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UONG_DAN" sheetId="1" state="visible" r:id="rId3"/>
    <sheet name="DASHBOARD" sheetId="2" state="visible" r:id="rId4"/>
    <sheet name="SETTINGS" sheetId="3" state="visible" r:id="rId5"/>
    <sheet name="SENTENCES" sheetId="4" state="visible" r:id="rId6"/>
    <sheet name="VOCAB" sheetId="5" state="visible" r:id="rId7"/>
    <sheet name="DAILY_LOG" sheetId="6" state="visible" r:id="rId8"/>
  </sheets>
  <definedNames>
    <definedName function="false" hidden="true" localSheetId="5" name="_xlnm._FilterDatabase" vbProcedure="false">DAILY_LOG!$A$2:$L$107</definedName>
    <definedName function="false" hidden="true" localSheetId="3" name="_xlnm._FilterDatabase" vbProcedure="false">SENTENCES!$A$2:$U$1802</definedName>
    <definedName function="false" hidden="true" localSheetId="4" name="_xlnm._FilterDatabase" vbProcedure="false">VOCAB!$A$2:$M$2205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<sst xmlns="http://schemas.openxmlformats.org/spreadsheetml/2006/main" count="34855" uniqueCount="14210">
  <si>
    <t xml:space="preserve">HỆ THỐNG 1800 CÂU TIẾNG ĐỨC  |  A0 → B2 trong 3 tháng</t>
  </si>
  <si>
    <t xml:space="preserve">Phương pháp: Lexical Approach (Lewis) + 10.000 Sentences / AJATT (i+1) + Mass Sentences (Glossika SRS)</t>
  </si>
  <si>
    <t xml:space="preserve">CÁC TAB TRONG FILE</t>
  </si>
  <si>
    <t xml:space="preserve">SETTINGS</t>
  </si>
  <si>
    <t xml:space="preserve">Nơi duy nhất bạn chỉnh tham số: ngày bắt đầu, số câu/ngày, số ngày đệm (lag), khoảng cách ôn SRS. Mọi tab khác tự tính lại theo đây.</t>
  </si>
  <si>
    <t xml:space="preserve">SENTENCES</t>
  </si>
  <si>
    <t xml:space="preserve">1800 dòng câu. Mỗi dòng: câu Đức, phiên âm, nghĩa Việt, chủ đề, loại câu, điểm ngữ pháp, từ mới. Đây là nơi bạn TICK ngày học và ngày ôn.</t>
  </si>
  <si>
    <t xml:space="preserve">VOCAB</t>
  </si>
  <si>
    <t xml:space="preserve">Chú thích từng từ/cụm từ, gắn với đúng ID câu mà nó xuất hiện. Lọc được theo loại từ, chủ đề, cấp độ.</t>
  </si>
  <si>
    <t xml:space="preserve">DASHBOARD</t>
  </si>
  <si>
    <t xml:space="preserve">Bảng điều khiển: tiến độ hôm nay, số câu nợ, số ngày trễ, cảnh báo, 2 biểu đồ.</t>
  </si>
  <si>
    <t xml:space="preserve">DAILY_LOG</t>
  </si>
  <si>
    <t xml:space="preserve">Nhật ký 105 ngày (90 ngày kế hoạch + 15 ngày đệm). Tự đếm số câu học/ôn mỗi ngày, đánh dấu ngày nghỉ hoặc miss.</t>
  </si>
  <si>
    <t xml:space="preserve">CÁCH DÙNG HẰNG NGÀY</t>
  </si>
  <si>
    <t xml:space="preserve">Bước 1</t>
  </si>
  <si>
    <t xml:space="preserve">Mở tab SENTENCES, bật AutoFilter ở cột 'Ngày thứ' chọn đúng ngày của hôm nay (xem DASHBOARD ô B6).</t>
  </si>
  <si>
    <t xml:space="preserve">Bước 2</t>
  </si>
  <si>
    <t xml:space="preserve">Học 20 câu: đọc to câu Đức, soi phiên âm, hiểu nghĩa, liếc cột 'Điểm ngữ pháp'. Không học từ rời.</t>
  </si>
  <si>
    <t xml:space="preserve">Bước 3</t>
  </si>
  <si>
    <t xml:space="preserve">Học xong câu nào, bấm vào ô 'Ngày học' của câu đó và nhấn Ctrl + ;  (dấu chấm phẩy) để chèn ngày hôm nay.</t>
  </si>
  <si>
    <t xml:space="preserve">Bước 4</t>
  </si>
  <si>
    <t xml:space="preserve">Lọc cột 'Trạng thái' = '◆ ÔN HÔM NAY' để biết câu nào tới hạn ôn. Ôn xong thì Ctrl + ; vào ô 'Ôn 1' (hoặc Ôn 2/3/4/5 nếu đã có).</t>
  </si>
  <si>
    <t xml:space="preserve">Bước 5</t>
  </si>
  <si>
    <t xml:space="preserve">Cuối ngày liếc DASHBOARD. Đèn 🟢 là ổn, 🟡 là cần bù, 🔴 là đã vượt ngưỡng đệm 15 ngày.</t>
  </si>
  <si>
    <t xml:space="preserve">CƠ CHẾ SPACED REPETITION</t>
  </si>
  <si>
    <t xml:space="preserve">Khoảng lặp mặc định</t>
  </si>
  <si>
    <t xml:space="preserve">1 ngày → 3 ngày → 7 ngày → 16 ngày → 35 ngày. Đủ 5 lần ôn thì câu được đánh dấu '✔ MASTER'.</t>
  </si>
  <si>
    <t xml:space="preserve">Ngày ôn kế tiếp</t>
  </si>
  <si>
    <t xml:space="preserve">Tự tính = ngày gần nhất bạn chạm vào câu đó + khoảng lặp tương ứng. Bạn không cần tính tay.</t>
  </si>
  <si>
    <t xml:space="preserve">Đổi khoảng lặp</t>
  </si>
  <si>
    <t xml:space="preserve">Sửa trực tiếp SETTINGS!B9:B13. Toàn bộ 1800 dòng tự cập nhật.</t>
  </si>
  <si>
    <t xml:space="preserve">CƠ CHẾ ĐỆM / LAG (ngày nghỉ)</t>
  </si>
  <si>
    <t xml:space="preserve">Nguyên tắc</t>
  </si>
  <si>
    <t xml:space="preserve">Hệ thống KHÔNG phạt bạn khi nghỉ. Nó chỉ cộng dồn 'số câu nợ' và quy ra 'số ngày trễ' = câu nợ / 20.</t>
  </si>
  <si>
    <t xml:space="preserve">Ngưỡng an toàn</t>
  </si>
  <si>
    <t xml:space="preserve">SETTINGS!B7 = 15 ngày. Trễ dưới 15 ngày vẫn kịp mốc 3 tháng ± sai số. Vượt 15 ngày thì DASHBOARD bật đèn đỏ.</t>
  </si>
  <si>
    <t xml:space="preserve">Bù như thế nào</t>
  </si>
  <si>
    <t xml:space="preserve">DASHBOARD ô 'Cần học mỗi ngày để kịp hạn chót' tự tính lại liều lượng mới. Cứ theo con số đó.</t>
  </si>
  <si>
    <t xml:space="preserve">PHIÊN ÂM IPA (International Phonetic Alphabet)</t>
  </si>
  <si>
    <t xml:space="preserve">Nguồn</t>
  </si>
  <si>
    <t xml:space="preserve">Toàn bộ 1800 câu được phiên âm bằng espeak-ng (giọng Đức chuẩn) rồi hiệu chỉnh lại theo quy ước Duden/Siebs.</t>
  </si>
  <si>
    <t xml:space="preserve">ˈ  và  ˌ</t>
  </si>
  <si>
    <t xml:space="preserve">Trọng âm chính và trọng âm phụ, đặt TRƯỚC âm tiết mang trọng âm: ˈɡuːtən, ˌʔaɪnə.</t>
  </si>
  <si>
    <t xml:space="preserve">ː</t>
  </si>
  <si>
    <t xml:space="preserve">Dấu kéo dài nguyên âm: Bahn [baːn] khác Bann [ban]. Đây là cặp đối lập có nghĩa trong tiếng Đức.</t>
  </si>
  <si>
    <t xml:space="preserve">ʔ</t>
  </si>
  <si>
    <t xml:space="preserve">Âm tắc thanh hầu, đứng trước nguyên âm đầu âm tiết mang trọng âm: ich [ʔɪç], eine [ˌʔaɪnə]. Người Việt hay bỏ âm này nên nghe bị dính chữ.</t>
  </si>
  <si>
    <t xml:space="preserve">ʁ</t>
  </si>
  <si>
    <t xml:space="preserve">R lưỡi gà, rung ở cuống họng, KHÔNG phải r đầu lưỡi như tiếng Việt: Rot [ʁoːt], Park [paʁk].</t>
  </si>
  <si>
    <t xml:space="preserve">ɐ̯</t>
  </si>
  <si>
    <t xml:space="preserve">R bị nguyên âm hoá ở cuối âm tiết sau nguyên âm dài: sehr [zeːɐ̯], wir [viːɐ̯]. Nghe gần như một chữ a rất nhẹ.</t>
  </si>
  <si>
    <t xml:space="preserve">ɐ</t>
  </si>
  <si>
    <t xml:space="preserve">Đuôi -er không trọng âm: Mutter [ˈmʊtɐ], besser [ˈbɛsɐ]. Đừng đọc thành ơ-rờ.</t>
  </si>
  <si>
    <t xml:space="preserve">ə</t>
  </si>
  <si>
    <t xml:space="preserve">Schwa, nguyên âm giữa miệng, cực nhẹ: bitte [ˈbɪtə].</t>
  </si>
  <si>
    <t xml:space="preserve">ç  và  x</t>
  </si>
  <si>
    <t xml:space="preserve">Hai biến thể của ch: ç sau i/e/ä/ö/ü/phụ âm (ich [ʔɪç]), x sau a/o/u (Nacht [naxt]).</t>
  </si>
  <si>
    <t xml:space="preserve">ʃ</t>
  </si>
  <si>
    <t xml:space="preserve">Âm sh: schön [ʃøːn]. Chú ý st-/sp- đầu từ cũng đọc ʃ: Stadt [ʃtat], sprechen [ˈʃpʁɛçən].</t>
  </si>
  <si>
    <t xml:space="preserve">y ʏ ø œ</t>
  </si>
  <si>
    <t xml:space="preserve">Bốn nguyên âm tròn môi không có trong tiếng Việt: über [ˈʔyːbɐ], müssen [ˈmʏsən], schön [ʃøːn], möchte [ˈmœçtə].</t>
  </si>
  <si>
    <t xml:space="preserve">pf  ts</t>
  </si>
  <si>
    <t xml:space="preserve">Phụ âm kép: Pferd [pfeːɐ̯t], Zeit [tsaɪt]. Chữ z luôn là ts.</t>
  </si>
  <si>
    <t xml:space="preserve">Lưu ý</t>
  </si>
  <si>
    <t xml:space="preserve">IPA mô tả cách phát âm chuẩn khi đọc rõ từng từ. Khi nói nhanh người Đức rút gọn nhiều, nên vẫn phải nghe audio gốc.</t>
  </si>
  <si>
    <t xml:space="preserve">CẤU TRÚC 90 NGÀY</t>
  </si>
  <si>
    <t xml:space="preserve">Ngày 1 đến 30 (600 câu)</t>
  </si>
  <si>
    <t xml:space="preserve">Trình độ A1 đến A2: chào hỏi, giới thiệu, gia đình, ăn uống, mua sắm, Modalverben, động từ tách, Dativ, Wechselpräpositionen, Perfekt.</t>
  </si>
  <si>
    <t xml:space="preserve">Ngày 31 đến 60 (600 câu)</t>
  </si>
  <si>
    <t xml:space="preserve">Trình độ B1: dass / weil / obwohl, mệnh đề thời gian, mệnh đề quan hệ đủ cách, Präteritum, Plusquamperfekt, Futur, bị động, Konjunktiv II, Genitiv, ngân hàng, hành chính, xin việc, nhà cửa, du lịch.</t>
  </si>
  <si>
    <t xml:space="preserve">Ngày 61 đến 90 (600 câu)</t>
  </si>
  <si>
    <t xml:space="preserve">Trình độ B2: lập luận và phản biện, Konjunktiv I và lời nói gián tiếp, cấu trúc phân từ, danh hóa, các dạng thay thế bị động, Modalpartikeln, môi trường, AI, kinh tế, chính trị, thành ngữ, lỗi thường gặp của người Việt, Redemittel luyện thi B2.</t>
  </si>
  <si>
    <t xml:space="preserve">Ô nhập liệu</t>
  </si>
  <si>
    <t xml:space="preserve">Mọi ô nền VÀNG là ô bạn gõ vào. Ô nền trắng hoặc xám là công thức, đừng sửa.</t>
  </si>
  <si>
    <t xml:space="preserve">DASHBOARD THEO DÕI TIẾN ĐỘ 1800 CÂU</t>
  </si>
  <si>
    <t xml:space="preserve">Mọi con số tự cập nhật theo ngày thật trên máy. Không có ô nào cần nhập tay ở tab này.</t>
  </si>
  <si>
    <t xml:space="preserve">  THỜI GIAN</t>
  </si>
  <si>
    <t xml:space="preserve">  ÔN TẬP HÔM NAY (SRS)</t>
  </si>
  <si>
    <t xml:space="preserve">Hôm nay</t>
  </si>
  <si>
    <t xml:space="preserve">Câu phải HỌC MỚI hôm nay</t>
  </si>
  <si>
    <t xml:space="preserve">Hôm nay là NGÀY THỨ</t>
  </si>
  <si>
    <t xml:space="preserve">Câu tới hạn ÔN hôm nay</t>
  </si>
  <si>
    <t xml:space="preserve">Ngày bắt đầu</t>
  </si>
  <si>
    <t xml:space="preserve">Câu TRỄ ÔN (cần xử lý ngay)</t>
  </si>
  <si>
    <t xml:space="preserve">Mốc 3 tháng (ngày 90)</t>
  </si>
  <si>
    <t xml:space="preserve">Câu TRỄ HỌC (chưa đụng tới)</t>
  </si>
  <si>
    <t xml:space="preserve">Hạn chót có đệm 15 ngày</t>
  </si>
  <si>
    <t xml:space="preserve">Câu đã MASTER (ôn đủ 5 lần)</t>
  </si>
  <si>
    <t xml:space="preserve">Số ngày còn lại tới hạn chót</t>
  </si>
  <si>
    <t xml:space="preserve">Tổng việc hôm nay</t>
  </si>
  <si>
    <t xml:space="preserve">  KHỐI LƯỢNG</t>
  </si>
  <si>
    <t xml:space="preserve">  KỶ LUẬT &amp; CHẤT LƯỢNG</t>
  </si>
  <si>
    <t xml:space="preserve">Mục tiêu tổng (câu)</t>
  </si>
  <si>
    <t xml:space="preserve">Số ngày đã học ít nhất 1 câu</t>
  </si>
  <si>
    <t xml:space="preserve">Số câu đã có nội dung trong file</t>
  </si>
  <si>
    <t xml:space="preserve">Số ngày NGHỈ / MISS đã qua</t>
  </si>
  <si>
    <t xml:space="preserve">ĐÃ HỌC (câu)</t>
  </si>
  <si>
    <t xml:space="preserve">Số ngày đạt đủ 20 câu</t>
  </si>
  <si>
    <t xml:space="preserve">Kế hoạch phải xong tới hôm nay</t>
  </si>
  <si>
    <t xml:space="preserve">Trung bình câu mới / ngày đã qua</t>
  </si>
  <si>
    <t xml:space="preserve">Câu đang NỢ</t>
  </si>
  <si>
    <t xml:space="preserve">Tổng lượt ôn đã thực hiện</t>
  </si>
  <si>
    <t xml:space="preserve">Quy ra SỐ NGÀY TRỄ</t>
  </si>
  <si>
    <t xml:space="preserve">Số câu A1 đã học</t>
  </si>
  <si>
    <t xml:space="preserve">% hoàn thành</t>
  </si>
  <si>
    <t xml:space="preserve">Số câu A2 đã học</t>
  </si>
  <si>
    <t xml:space="preserve">Cần học mỗi ngày để kịp hạn chót</t>
  </si>
  <si>
    <t xml:space="preserve">Số từ vựng đã mở khoá</t>
  </si>
  <si>
    <t xml:space="preserve">BIỂU ĐỒ 1 - Đường tiến độ: kế hoạch lũy kế (xám) so với thực tế bạn đã học (xanh). Khoảng cách giữa 2 đường chính là số câu đang nợ.</t>
  </si>
  <si>
    <t xml:space="preserve">BIỂU ĐỒ 2 - Cột hoạt động mỗi ngày: câu học mới và lượt ôn. Cột trống = ngày nghỉ / miss.</t>
  </si>
  <si>
    <t xml:space="preserve">BẢNG THAM SỐ  (chỉ sửa ô màu vàng)</t>
  </si>
  <si>
    <t xml:space="preserve">Ngày bắt đầu học</t>
  </si>
  <si>
    <t xml:space="preserve">Ngày D1. Đổi ngày này thì toàn bộ lịch 1800 câu dịch theo.</t>
  </si>
  <si>
    <t xml:space="preserve">Số câu mới mỗi ngày</t>
  </si>
  <si>
    <t xml:space="preserve">Liều lượng chuẩn của phương pháp 10.000 câu.</t>
  </si>
  <si>
    <t xml:space="preserve">Số ngày kế hoạch</t>
  </si>
  <si>
    <t xml:space="preserve">3 tháng.</t>
  </si>
  <si>
    <t xml:space="preserve">Tổng số câu mục tiêu</t>
  </si>
  <si>
    <t xml:space="preserve">Tự tính = số câu/ngày x số ngày.</t>
  </si>
  <si>
    <t xml:space="preserve">Số ngày đệm cho phép (lag)</t>
  </si>
  <si>
    <t xml:space="preserve">Sai số bạn chấp nhận: nghỉ, bận, quên. Vượt mức này DASHBOARD báo đỏ.</t>
  </si>
  <si>
    <t xml:space="preserve">Hạn chót cuối cùng</t>
  </si>
  <si>
    <t xml:space="preserve">Ngày bắt đầu + 90 ngày + 15 ngày đệm.</t>
  </si>
  <si>
    <t xml:space="preserve">Khoảng ôn SRS lần 1 (ngày)</t>
  </si>
  <si>
    <t xml:space="preserve">Ôn lần 1 sau 1 ngày kể từ ngày học.</t>
  </si>
  <si>
    <t xml:space="preserve">Khoảng ôn SRS lần 2 (ngày)</t>
  </si>
  <si>
    <t xml:space="preserve">Khoảng ôn SRS lần 3 (ngày)</t>
  </si>
  <si>
    <t xml:space="preserve">Khoảng ôn SRS lần 4 (ngày)</t>
  </si>
  <si>
    <t xml:space="preserve">Khoảng ôn SRS lần 5 (ngày)</t>
  </si>
  <si>
    <t xml:space="preserve">Sau lần 5 câu được coi là MASTER.</t>
  </si>
  <si>
    <t xml:space="preserve">Ngày hôm nay (tự cập nhật)</t>
  </si>
  <si>
    <t xml:space="preserve">Lấy từ đồng hồ máy, tự đổi mỗi lần mở file.</t>
  </si>
  <si>
    <t xml:space="preserve">1800 CÂU CỐT LÕI  |  Tick ngày vào cột L–Q (ô vàng) bằng Ctrl + ;</t>
  </si>
  <si>
    <t xml:space="preserve">ID</t>
  </si>
  <si>
    <t xml:space="preserve">Ngày thứ</t>
  </si>
  <si>
    <t xml:space="preserve">Ngày dự kiến</t>
  </si>
  <si>
    <t xml:space="preserve">Cấp độ</t>
  </si>
  <si>
    <t xml:space="preserve">Chủ đề</t>
  </si>
  <si>
    <t xml:space="preserve">Loại câu</t>
  </si>
  <si>
    <t xml:space="preserve">Điểm ngữ pháp</t>
  </si>
  <si>
    <t xml:space="preserve">Câu tiếng Đức</t>
  </si>
  <si>
    <t xml:space="preserve">Phiên âm IPA (chuẩn Duden)</t>
  </si>
  <si>
    <t xml:space="preserve">Nghĩa tiếng Việt</t>
  </si>
  <si>
    <t xml:space="preserve">Từ mới trong câu</t>
  </si>
  <si>
    <t xml:space="preserve">Ngày học  (Ctrl+;)</t>
  </si>
  <si>
    <t xml:space="preserve">Ôn 1</t>
  </si>
  <si>
    <t xml:space="preserve">Ôn 2</t>
  </si>
  <si>
    <t xml:space="preserve">Ôn 3</t>
  </si>
  <si>
    <t xml:space="preserve">Ôn 4</t>
  </si>
  <si>
    <t xml:space="preserve">Ôn 5</t>
  </si>
  <si>
    <t xml:space="preserve">Số lần ôn</t>
  </si>
  <si>
    <t xml:space="preserve">Trạng thái</t>
  </si>
  <si>
    <t xml:space="preserve">Thành thạo</t>
  </si>
  <si>
    <t xml:space="preserve">S0001</t>
  </si>
  <si>
    <t xml:space="preserve">A1</t>
  </si>
  <si>
    <t xml:space="preserve">Chào hỏi &amp; Lịch sự</t>
  </si>
  <si>
    <t xml:space="preserve">Câu cảm thán</t>
  </si>
  <si>
    <t xml:space="preserve">Cụm chào hỏi cố định</t>
  </si>
  <si>
    <t xml:space="preserve">Guten Morgen!</t>
  </si>
  <si>
    <t xml:space="preserve">[ˈɡuːtən ˈmɔʁɡən]</t>
  </si>
  <si>
    <t xml:space="preserve">Chào buổi sáng!</t>
  </si>
  <si>
    <t xml:space="preserve">der Morgen = buổi sáng; gut = tốt</t>
  </si>
  <si>
    <t xml:space="preserve">S0002</t>
  </si>
  <si>
    <t xml:space="preserve">Câu hỏi</t>
  </si>
  <si>
    <t xml:space="preserve">wie geht es + Dativ (Ihnen)</t>
  </si>
  <si>
    <t xml:space="preserve">Guten Tag, wie geht es Ihnen?</t>
  </si>
  <si>
    <t xml:space="preserve">[ˈɡuːtən ˈtaːk, viː ˈɡeːt ʔɛs ˈʔiːnən]</t>
  </si>
  <si>
    <t xml:space="preserve">Chào ông/bà, ông/bà khỏe không?</t>
  </si>
  <si>
    <t xml:space="preserve">der Tag = ngày; gehen = đi/diễn ra</t>
  </si>
  <si>
    <t xml:space="preserve">S0003</t>
  </si>
  <si>
    <t xml:space="preserve">geht's = geht es (rút gọn), dir = Dativ của du</t>
  </si>
  <si>
    <t xml:space="preserve">Hallo, wie geht's dir?</t>
  </si>
  <si>
    <t xml:space="preserve">[ˈhaloː, viː ˈɡeːts ˈdiːɐ̯]</t>
  </si>
  <si>
    <t xml:space="preserve">Chào bạn, bạn khỏe không?</t>
  </si>
  <si>
    <t xml:space="preserve">dir = với bạn (Dativ)</t>
  </si>
  <si>
    <t xml:space="preserve">S0004</t>
  </si>
  <si>
    <t xml:space="preserve">Câu trả lời</t>
  </si>
  <si>
    <t xml:space="preserve">mir = Dativ của ich</t>
  </si>
  <si>
    <t xml:space="preserve">Mir geht es gut, danke.</t>
  </si>
  <si>
    <t xml:space="preserve">[miːɐ̯ ˈɡeːt ʔɛs ˈɡuːt, ˈdaŋkə]</t>
  </si>
  <si>
    <t xml:space="preserve">Tôi khỏe, cảm ơn.</t>
  </si>
  <si>
    <t xml:space="preserve">mir = với tôi (Dativ); danke = cảm ơn</t>
  </si>
  <si>
    <t xml:space="preserve">S0005</t>
  </si>
  <si>
    <t xml:space="preserve">Câu phủ định</t>
  </si>
  <si>
    <t xml:space="preserve">nicht đứng trước tính từ</t>
  </si>
  <si>
    <t xml:space="preserve">Es geht mir nicht so gut.</t>
  </si>
  <si>
    <t xml:space="preserve">[ʔɛs ˈɡeːt miːɐ̯ ˈnɪçt zoː ˈɡuːt]</t>
  </si>
  <si>
    <t xml:space="preserve">Tôi không được khỏe lắm.</t>
  </si>
  <si>
    <t xml:space="preserve">nicht = không; so = như thế</t>
  </si>
  <si>
    <t xml:space="preserve">S0006</t>
  </si>
  <si>
    <t xml:space="preserve">Câu hỏi rút gọn với Dativ</t>
  </si>
  <si>
    <t xml:space="preserve">Und Ihnen?</t>
  </si>
  <si>
    <t xml:space="preserve">[ʔʊnt ˈʔiːnən]</t>
  </si>
  <si>
    <t xml:space="preserve">Còn ông/bà thì sao?</t>
  </si>
  <si>
    <t xml:space="preserve">und = và</t>
  </si>
  <si>
    <t xml:space="preserve">S0007</t>
  </si>
  <si>
    <t xml:space="preserve">zu + Infinitiv</t>
  </si>
  <si>
    <t xml:space="preserve">Guten Abend, schön Sie zu sehen.</t>
  </si>
  <si>
    <t xml:space="preserve">[ˈɡuːtən ˈʔaːbənt, ˈʃøːn ziː tsuː ˈzeːən]</t>
  </si>
  <si>
    <t xml:space="preserve">Chào buổi tối, rất vui được gặp ông/bà.</t>
  </si>
  <si>
    <t xml:space="preserve">der Abend = buổi tối; schön = đẹp/vui; sehen = nhìn thấy</t>
  </si>
  <si>
    <t xml:space="preserve">S0008</t>
  </si>
  <si>
    <t xml:space="preserve">Mệnh lệnh</t>
  </si>
  <si>
    <t xml:space="preserve">Imperativ với du (bỏ -st)</t>
  </si>
  <si>
    <t xml:space="preserve">Gute Nacht, schlaf gut!</t>
  </si>
  <si>
    <t xml:space="preserve">[ˈɡuːtə ˈnaxt, ˈʃlaːf ˈɡuːt]</t>
  </si>
  <si>
    <t xml:space="preserve">Chúc ngủ ngon, ngủ ngon nhé!</t>
  </si>
  <si>
    <t xml:space="preserve">die Nacht = đêm; schlafen = ngủ</t>
  </si>
  <si>
    <t xml:space="preserve">S0009</t>
  </si>
  <si>
    <t xml:space="preserve">Cụm cố định</t>
  </si>
  <si>
    <t xml:space="preserve">Auf Wiedersehen!</t>
  </si>
  <si>
    <t xml:space="preserve">[ʔaʊf viːdɐˈzeːən]</t>
  </si>
  <si>
    <t xml:space="preserve">Tạm biệt! (trang trọng)</t>
  </si>
  <si>
    <t xml:space="preserve">wieder = lại</t>
  </si>
  <si>
    <t xml:space="preserve">S0010</t>
  </si>
  <si>
    <t xml:space="preserve">bis + thời gian</t>
  </si>
  <si>
    <t xml:space="preserve">Tschüss, bis morgen!</t>
  </si>
  <si>
    <t xml:space="preserve">[ˈtʃys, bɪs ˈmɔʁɡən]</t>
  </si>
  <si>
    <t xml:space="preserve">Tạm biệt, hẹn mai nhé!</t>
  </si>
  <si>
    <t xml:space="preserve">bis = cho đến; morgen = ngày mai</t>
  </si>
  <si>
    <t xml:space="preserve">S0011</t>
  </si>
  <si>
    <t xml:space="preserve">bis + trạng từ thời gian</t>
  </si>
  <si>
    <t xml:space="preserve">Bis später!</t>
  </si>
  <si>
    <t xml:space="preserve">[bɪs ˈʃpɛːtɐ]</t>
  </si>
  <si>
    <t xml:space="preserve">Hẹn gặp lại sau!</t>
  </si>
  <si>
    <t xml:space="preserve">später = sau này</t>
  </si>
  <si>
    <t xml:space="preserve">S0012</t>
  </si>
  <si>
    <t xml:space="preserve">Bis bald!</t>
  </si>
  <si>
    <t xml:space="preserve">[bɪs ˈbalt]</t>
  </si>
  <si>
    <t xml:space="preserve">Hẹn sớm gặp lại!</t>
  </si>
  <si>
    <t xml:space="preserve">bald = sớm</t>
  </si>
  <si>
    <t xml:space="preserve">S0013</t>
  </si>
  <si>
    <t xml:space="preserve">in + Dativ (tên nước)</t>
  </si>
  <si>
    <t xml:space="preserve">Herzlich willkommen in Deutschland!</t>
  </si>
  <si>
    <t xml:space="preserve">[ˈhɛʁtslɪç vɪlˈkɔmən ʔɪn ˈdɔøtʃlant]</t>
  </si>
  <si>
    <t xml:space="preserve">Chào mừng đến nước Đức!</t>
  </si>
  <si>
    <t xml:space="preserve">willkommen = chào mừng; Deutschland = nước Đức</t>
  </si>
  <si>
    <t xml:space="preserve">S0014</t>
  </si>
  <si>
    <t xml:space="preserve">Akkusativ rút gọn (Ich wünsche Ihnen...)</t>
  </si>
  <si>
    <t xml:space="preserve">Schönen Tag noch!</t>
  </si>
  <si>
    <t xml:space="preserve">[ˈʃøːnən ˈtaːk nɔx]</t>
  </si>
  <si>
    <t xml:space="preserve">Chúc một ngày tốt lành!</t>
  </si>
  <si>
    <t xml:space="preserve">noch = còn nữa</t>
  </si>
  <si>
    <t xml:space="preserve">S0015</t>
  </si>
  <si>
    <t xml:space="preserve">für + Akkusativ</t>
  </si>
  <si>
    <t xml:space="preserve">Vielen Dank für alles.</t>
  </si>
  <si>
    <t xml:space="preserve">[ˈfiːlən ˈdaŋk fyːɐ̯ ˈʔaləs]</t>
  </si>
  <si>
    <t xml:space="preserve">Cảm ơn vì tất cả.</t>
  </si>
  <si>
    <t xml:space="preserve">viel = nhiều; für = cho/vì; alles = tất cả</t>
  </si>
  <si>
    <t xml:space="preserve">S0016</t>
  </si>
  <si>
    <t xml:space="preserve">Bitte schön.</t>
  </si>
  <si>
    <t xml:space="preserve">[ˈbɪtə ˈʃøːn]</t>
  </si>
  <si>
    <t xml:space="preserve">Không có gì. / Của bạn đây.</t>
  </si>
  <si>
    <t xml:space="preserve">bitte = xin mời/làm ơn</t>
  </si>
  <si>
    <t xml:space="preserve">S0017</t>
  </si>
  <si>
    <t xml:space="preserve">Modalverb dürfen + Infinitiv cuối câu</t>
  </si>
  <si>
    <t xml:space="preserve">Entschuldigung, darf ich etwas fragen?</t>
  </si>
  <si>
    <t xml:space="preserve">[ʔɛntˈʃʊldɪˌɡʊŋ, ˈdaʁf ʔɪç ˈʔɛtvaːs ˈfʁaːɡən]</t>
  </si>
  <si>
    <t xml:space="preserve">Xin lỗi, tôi hỏi một chút được không?</t>
  </si>
  <si>
    <t xml:space="preserve">die Entschuldigung = lời xin lỗi; dürfen = được phép; fragen = hỏi; etwas = một chút</t>
  </si>
  <si>
    <t xml:space="preserve">S0018</t>
  </si>
  <si>
    <t xml:space="preserve">Cụm cố định với Dativ</t>
  </si>
  <si>
    <t xml:space="preserve">Es tut mir leid.</t>
  </si>
  <si>
    <t xml:space="preserve">[ʔɛs ˈtuːt miːɐ̯ ˈlaɪt]</t>
  </si>
  <si>
    <t xml:space="preserve">Tôi xin lỗi. / Tôi rất tiếc.</t>
  </si>
  <si>
    <t xml:space="preserve">leidtun = làm ai tiếc</t>
  </si>
  <si>
    <t xml:space="preserve">S0019</t>
  </si>
  <si>
    <t xml:space="preserve">kein + Nomen trung tính</t>
  </si>
  <si>
    <t xml:space="preserve">Kein Problem.</t>
  </si>
  <si>
    <t xml:space="preserve">[ˈkaɪn pʁoːˈbleːm]</t>
  </si>
  <si>
    <t xml:space="preserve">Không vấn đề gì.</t>
  </si>
  <si>
    <t xml:space="preserve">das Problem = vấn đề; kein = không có</t>
  </si>
  <si>
    <t xml:space="preserve">S0020</t>
  </si>
  <si>
    <t xml:space="preserve">zu chèn giữa động từ tách được</t>
  </si>
  <si>
    <t xml:space="preserve">Freut mich, Sie kennenzulernen.</t>
  </si>
  <si>
    <t xml:space="preserve">[ˈfʁɔøt mɪç, ziː ˈkɛnənˌtsuːlɐnən]</t>
  </si>
  <si>
    <t xml:space="preserve">Rất vui được làm quen với ông/bà.</t>
  </si>
  <si>
    <t xml:space="preserve">kennenlernen = làm quen; sich freuen = vui</t>
  </si>
  <si>
    <t xml:space="preserve">S0021</t>
  </si>
  <si>
    <t xml:space="preserve">Giới thiệu bản thân</t>
  </si>
  <si>
    <t xml:space="preserve">Câu trần thuật</t>
  </si>
  <si>
    <t xml:space="preserve">Động từ vị trí 2</t>
  </si>
  <si>
    <t xml:space="preserve">Ich heiße Minh.</t>
  </si>
  <si>
    <t xml:space="preserve">[ʔɪç ˈhaɪsə ˈmɪnh]</t>
  </si>
  <si>
    <t xml:space="preserve">Tôi tên là Minh.</t>
  </si>
  <si>
    <t xml:space="preserve">heißen = tên là</t>
  </si>
  <si>
    <t xml:space="preserve">S0022</t>
  </si>
  <si>
    <t xml:space="preserve">W-Frage: W + Verb + Subjekt</t>
  </si>
  <si>
    <t xml:space="preserve">Wie heißen Sie?</t>
  </si>
  <si>
    <t xml:space="preserve">[viː ˈhaɪsən ziː]</t>
  </si>
  <si>
    <t xml:space="preserve">Ông/bà tên gì?</t>
  </si>
  <si>
    <t xml:space="preserve">wie = như thế nào</t>
  </si>
  <si>
    <t xml:space="preserve">S0023</t>
  </si>
  <si>
    <t xml:space="preserve">Possessivartikel mein + Nomen đực</t>
  </si>
  <si>
    <t xml:space="preserve">Mein Name ist Anna Schmidt.</t>
  </si>
  <si>
    <t xml:space="preserve">[maɪn ˈnaːmə ʔɪst ˈʔanaː ˈʃmɪt]</t>
  </si>
  <si>
    <t xml:space="preserve">Tên tôi là Anna Schmidt.</t>
  </si>
  <si>
    <t xml:space="preserve">der Name = tên; mein = của tôi</t>
  </si>
  <si>
    <t xml:space="preserve">S0024</t>
  </si>
  <si>
    <t xml:space="preserve">sein + Alter</t>
  </si>
  <si>
    <t xml:space="preserve">Ich bin dreißig Jahre alt.</t>
  </si>
  <si>
    <t xml:space="preserve">[ʔɪç bɪn ˈdʁaɪsɪç ˈjaːʁə ˈʔalt]</t>
  </si>
  <si>
    <t xml:space="preserve">Tôi ba mươi tuổi.</t>
  </si>
  <si>
    <t xml:space="preserve">das Jahr = năm; alt = già/tuổi</t>
  </si>
  <si>
    <t xml:space="preserve">S0025</t>
  </si>
  <si>
    <t xml:space="preserve">wie alt + sein</t>
  </si>
  <si>
    <t xml:space="preserve">Wie alt bist du?</t>
  </si>
  <si>
    <t xml:space="preserve">[viː ˈʔalt bɪst duː]</t>
  </si>
  <si>
    <t xml:space="preserve">Bạn bao nhiêu tuổi?</t>
  </si>
  <si>
    <t xml:space="preserve">du = bạn</t>
  </si>
  <si>
    <t xml:space="preserve">S0026</t>
  </si>
  <si>
    <t xml:space="preserve">kommen aus + tên nước</t>
  </si>
  <si>
    <t xml:space="preserve">Ich komme aus Vietnam.</t>
  </si>
  <si>
    <t xml:space="preserve">[ʔɪç ˈkɔmə ˌʔaʊs ˈvɪɛtˌnaːm]</t>
  </si>
  <si>
    <t xml:space="preserve">Tôi đến từ Việt Nam.</t>
  </si>
  <si>
    <t xml:space="preserve">kommen = đến; aus = từ</t>
  </si>
  <si>
    <t xml:space="preserve">S0027</t>
  </si>
  <si>
    <t xml:space="preserve">wohnen in + Dativ</t>
  </si>
  <si>
    <t xml:space="preserve">Ich wohne jetzt in Berlin.</t>
  </si>
  <si>
    <t xml:space="preserve">[ʔɪç ˈvoːnə ˌjɛtst ʔɪn bɛʁˈliːn]</t>
  </si>
  <si>
    <t xml:space="preserve">Bây giờ tôi sống ở Berlin.</t>
  </si>
  <si>
    <t xml:space="preserve">wohnen = sống/ở; jetzt = bây giờ</t>
  </si>
  <si>
    <t xml:space="preserve">S0028</t>
  </si>
  <si>
    <t xml:space="preserve">Reflexivverb + Modalverb</t>
  </si>
  <si>
    <t xml:space="preserve">Darf ich mich vorstellen?</t>
  </si>
  <si>
    <t xml:space="preserve">[ˈdaʁf ʔɪç mɪç ˈfoːɐ̯ˌʃtɛlən]</t>
  </si>
  <si>
    <t xml:space="preserve">Tôi xin phép tự giới thiệu?</t>
  </si>
  <si>
    <t xml:space="preserve">sich vorstellen = tự giới thiệu</t>
  </si>
  <si>
    <t xml:space="preserve">S0029</t>
  </si>
  <si>
    <t xml:space="preserve">das ist + Nomen</t>
  </si>
  <si>
    <t xml:space="preserve">Das ist mein Freund Thomas.</t>
  </si>
  <si>
    <t xml:space="preserve">[das ʔɪst maɪn ˈfʁɔønt ˈtoːmaːs]</t>
  </si>
  <si>
    <t xml:space="preserve">Đây là bạn tôi, Thomas.</t>
  </si>
  <si>
    <t xml:space="preserve">der Freund = bạn (nam); das = cái này/đây</t>
  </si>
  <si>
    <t xml:space="preserve">S0030</t>
  </si>
  <si>
    <t xml:space="preserve">Nghề nghiệp không có Artikel</t>
  </si>
  <si>
    <t xml:space="preserve">Ich bin Student an der Universität.</t>
  </si>
  <si>
    <t xml:space="preserve">[ʔɪç bɪn ʃtuːˈdɛnt ʔan dɛɐ̯ ˌʔuːniːˌvɛʁziːˈtɛːt]</t>
  </si>
  <si>
    <t xml:space="preserve">Tôi là sinh viên ở trường đại học.</t>
  </si>
  <si>
    <t xml:space="preserve">der Student = sinh viên; die Universität = đại học</t>
  </si>
  <si>
    <t xml:space="preserve">S0031</t>
  </si>
  <si>
    <t xml:space="preserve">machen + trạng từ</t>
  </si>
  <si>
    <t xml:space="preserve">Was machen Sie beruflich?</t>
  </si>
  <si>
    <t xml:space="preserve">[ˈvas ˈmaxən ziː bəˈʁuːflɪç]</t>
  </si>
  <si>
    <t xml:space="preserve">Ông/bà làm nghề gì?</t>
  </si>
  <si>
    <t xml:space="preserve">machen = làm; beruflich = về nghề nghiệp</t>
  </si>
  <si>
    <t xml:space="preserve">S0032</t>
  </si>
  <si>
    <t xml:space="preserve">sprechen + ngôn ngữ (không Artikel)</t>
  </si>
  <si>
    <t xml:space="preserve">Ich spreche ein bisschen Deutsch.</t>
  </si>
  <si>
    <t xml:space="preserve">[ʔɪç ˈʃpʁɛçə ʔaɪn ˈbɪsçən ˈdɔøtʃ]</t>
  </si>
  <si>
    <t xml:space="preserve">Tôi nói được một chút tiếng Đức.</t>
  </si>
  <si>
    <t xml:space="preserve">sprechen = nói; ein bisschen = một chút</t>
  </si>
  <si>
    <t xml:space="preserve">S0033</t>
  </si>
  <si>
    <t xml:space="preserve">meine + Nomen giống cái</t>
  </si>
  <si>
    <t xml:space="preserve">Meine Telefonnummer ist null eins sieben.</t>
  </si>
  <si>
    <t xml:space="preserve">[ˌmaɪnə ˌteːleːˈfɔnʊmɐ ʔɪst ˈnʊl ʔaɪns ˈziːbən]</t>
  </si>
  <si>
    <t xml:space="preserve">Số điện thoại của tôi là 017.</t>
  </si>
  <si>
    <t xml:space="preserve">die Telefonnummer = số điện thoại</t>
  </si>
  <si>
    <t xml:space="preserve">S0034</t>
  </si>
  <si>
    <t xml:space="preserve">sein + Partizip làm tính từ</t>
  </si>
  <si>
    <t xml:space="preserve">Ich bin verheiratet.</t>
  </si>
  <si>
    <t xml:space="preserve">[ʔɪç bɪn fɛʁhaɪˈʁaːtət]</t>
  </si>
  <si>
    <t xml:space="preserve">Tôi đã kết hôn.</t>
  </si>
  <si>
    <t xml:space="preserve">verheiratet = đã kết hôn</t>
  </si>
  <si>
    <t xml:space="preserve">S0035</t>
  </si>
  <si>
    <t xml:space="preserve">noch = vẫn còn</t>
  </si>
  <si>
    <t xml:space="preserve">Ich bin noch Single.</t>
  </si>
  <si>
    <t xml:space="preserve">[ʔɪç bɪn nɔx (en)ˈsɪŋɡəl(de)]</t>
  </si>
  <si>
    <t xml:space="preserve">Tôi vẫn còn độc thân.</t>
  </si>
  <si>
    <t xml:space="preserve">S0036</t>
  </si>
  <si>
    <t xml:space="preserve">wo + Verb</t>
  </si>
  <si>
    <t xml:space="preserve">Wo wohnen Sie genau?</t>
  </si>
  <si>
    <t xml:space="preserve">[ˌvoː ˈvoːnən ziː ɡəˈnaʊ]</t>
  </si>
  <si>
    <t xml:space="preserve">Ông/bà sống chính xác ở đâu?</t>
  </si>
  <si>
    <t xml:space="preserve">wo = ở đâu; genau = chính xác</t>
  </si>
  <si>
    <t xml:space="preserve">S0037</t>
  </si>
  <si>
    <t xml:space="preserve">seit + Dativ, dùng thì hiện tại</t>
  </si>
  <si>
    <t xml:space="preserve">Ich lebe seit zwei Jahren hier.</t>
  </si>
  <si>
    <t xml:space="preserve">[ʔɪç ˈleːbə zaɪt ˈtsvaɪ ˈjaːʁən ˈhiːɐ̯]</t>
  </si>
  <si>
    <t xml:space="preserve">Tôi sống ở đây được hai năm rồi.</t>
  </si>
  <si>
    <t xml:space="preserve">leben = sống; seit = từ khi; hier = ở đây</t>
  </si>
  <si>
    <t xml:space="preserve">S0038</t>
  </si>
  <si>
    <t xml:space="preserve">Ihren = Akkusativ giống đực</t>
  </si>
  <si>
    <t xml:space="preserve">Darf ich Ihren Namen wiederholen?</t>
  </si>
  <si>
    <t xml:space="preserve">[ˈdaʁf ʔɪç ˌʔiːʁən ˈnaːmən viːdɐˈhoːlən]</t>
  </si>
  <si>
    <t xml:space="preserve">Tôi nhắc lại tên ông/bà được không?</t>
  </si>
  <si>
    <t xml:space="preserve">wiederholen = nhắc lại</t>
  </si>
  <si>
    <t xml:space="preserve">S0039</t>
  </si>
  <si>
    <t xml:space="preserve">bei + Dativ</t>
  </si>
  <si>
    <t xml:space="preserve">Ich arbeite bei einer Firma in Hamburg.</t>
  </si>
  <si>
    <t xml:space="preserve">[ʔɪç ˈʔaʁbaɪtə baɪ ˌʔaɪnɐ ˈfɪʁmaː ʔɪn ˈhambʊʁk]</t>
  </si>
  <si>
    <t xml:space="preserve">Tôi làm việc ở một công ty tại Hamburg.</t>
  </si>
  <si>
    <t xml:space="preserve">arbeiten = làm việc; die Firma = công ty; bei = tại</t>
  </si>
  <si>
    <t xml:space="preserve">S0040</t>
  </si>
  <si>
    <t xml:space="preserve">zu + Infinitiv, dich = Akkusativ</t>
  </si>
  <si>
    <t xml:space="preserve">Es freut mich sehr, dich zu treffen.</t>
  </si>
  <si>
    <t xml:space="preserve">[ʔɛs ˈfʁɔøt mɪç ˈzeːɐ̯, dɪç tsuː ˈtʁɛfən]</t>
  </si>
  <si>
    <t xml:space="preserve">Rất vui được gặp bạn.</t>
  </si>
  <si>
    <t xml:space="preserve">treffen = gặp; sehr = rất</t>
  </si>
  <si>
    <t xml:space="preserve">S0041</t>
  </si>
  <si>
    <t xml:space="preserve">Quốc tịch &amp; Ngôn ngữ</t>
  </si>
  <si>
    <t xml:space="preserve">woher + kommen</t>
  </si>
  <si>
    <t xml:space="preserve">Woher kommst du?</t>
  </si>
  <si>
    <t xml:space="preserve">[voːˈheːɐ̯ ˈkɔmst duː]</t>
  </si>
  <si>
    <t xml:space="preserve">Bạn đến từ đâu?</t>
  </si>
  <si>
    <t xml:space="preserve">woher = từ đâu</t>
  </si>
  <si>
    <t xml:space="preserve">S0042</t>
  </si>
  <si>
    <t xml:space="preserve">Quốc tịch không có Artikel</t>
  </si>
  <si>
    <t xml:space="preserve">Ich bin Vietnamese.</t>
  </si>
  <si>
    <t xml:space="preserve">[ʔɪç bɪn ˈvɪɛtˌnaməsə]</t>
  </si>
  <si>
    <t xml:space="preserve">Tôi là người Việt Nam.</t>
  </si>
  <si>
    <t xml:space="preserve">der Vietnamese = người Việt (nam)</t>
  </si>
  <si>
    <t xml:space="preserve">S0043</t>
  </si>
  <si>
    <t xml:space="preserve">Dạng giống cái của quốc tịch</t>
  </si>
  <si>
    <t xml:space="preserve">Sie ist Deutsche.</t>
  </si>
  <si>
    <t xml:space="preserve">[ziː ʔɪst ˈdɔøtʃə]</t>
  </si>
  <si>
    <t xml:space="preserve">Cô ấy là người Đức.</t>
  </si>
  <si>
    <t xml:space="preserve">die Deutsche = người Đức (nữ)</t>
  </si>
  <si>
    <t xml:space="preserve">S0044</t>
  </si>
  <si>
    <t xml:space="preserve">welche + Nomen số nhiều</t>
  </si>
  <si>
    <t xml:space="preserve">Welche Sprachen sprichst du?</t>
  </si>
  <si>
    <t xml:space="preserve">[ˈvɛlçə ˈʃpʁaːxən ˈʃpʁɪkst duː]</t>
  </si>
  <si>
    <t xml:space="preserve">Bạn nói những thứ tiếng nào?</t>
  </si>
  <si>
    <t xml:space="preserve">welche = nào; die Sprache = ngôn ngữ</t>
  </si>
  <si>
    <t xml:space="preserve">S0045</t>
  </si>
  <si>
    <t xml:space="preserve">Liệt kê với und</t>
  </si>
  <si>
    <t xml:space="preserve">Ich spreche Vietnamesisch und Englisch.</t>
  </si>
  <si>
    <t xml:space="preserve">[ʔɪç ˈʃpʁɛçə ˌvɪɛtnaˈmeːzɪʃ ʔʊnt ˈʔɛŋlɪʃ]</t>
  </si>
  <si>
    <t xml:space="preserve">Tôi nói tiếng Việt và tiếng Anh.</t>
  </si>
  <si>
    <t xml:space="preserve">Englisch = tiếng Anh</t>
  </si>
  <si>
    <t xml:space="preserve">S0046</t>
  </si>
  <si>
    <t xml:space="preserve">noch nicht = vẫn chưa</t>
  </si>
  <si>
    <t xml:space="preserve">Mein Deutsch ist noch nicht so gut.</t>
  </si>
  <si>
    <t xml:space="preserve">[maɪn ˈdɔøtʃ ʔɪst ˈnɔx ˈnɪçt zoː ˈɡuːt]</t>
  </si>
  <si>
    <t xml:space="preserve">Tiếng Đức của tôi vẫn chưa tốt lắm.</t>
  </si>
  <si>
    <t xml:space="preserve">S0047</t>
  </si>
  <si>
    <t xml:space="preserve">Komparativ langsamer</t>
  </si>
  <si>
    <t xml:space="preserve">Können Sie bitte langsamer sprechen?</t>
  </si>
  <si>
    <t xml:space="preserve">[ˌkœnən ziː ˈbɪtə ˈlaŋzaːmɐ ˈʃpʁɛçən]</t>
  </si>
  <si>
    <t xml:space="preserve">Ông/bà nói chậm hơn được không ạ?</t>
  </si>
  <si>
    <t xml:space="preserve">langsam = chậm; langsamer = chậm hơn</t>
  </si>
  <si>
    <t xml:space="preserve">S0048</t>
  </si>
  <si>
    <t xml:space="preserve">nicht đứng cuối câu</t>
  </si>
  <si>
    <t xml:space="preserve">Ich verstehe das nicht.</t>
  </si>
  <si>
    <t xml:space="preserve">[ʔɪç fɛʁˈʃteːə das ˈnɪçt]</t>
  </si>
  <si>
    <t xml:space="preserve">Tôi không hiểu cái đó.</t>
  </si>
  <si>
    <t xml:space="preserve">verstehen = hiểu</t>
  </si>
  <si>
    <t xml:space="preserve">S0049</t>
  </si>
  <si>
    <t xml:space="preserve">dieses + Nomen trung tính</t>
  </si>
  <si>
    <t xml:space="preserve">Was bedeutet dieses Wort?</t>
  </si>
  <si>
    <t xml:space="preserve">[ˈvas bəˈdɔøtət ˌdiːzəs ˈvɔʁt]</t>
  </si>
  <si>
    <t xml:space="preserve">Từ này nghĩa là gì?</t>
  </si>
  <si>
    <t xml:space="preserve">bedeuten = có nghĩa; das Wort = từ</t>
  </si>
  <si>
    <t xml:space="preserve">S0050</t>
  </si>
  <si>
    <t xml:space="preserve">man = chủ ngữ phiếm chỉ</t>
  </si>
  <si>
    <t xml:space="preserve">Wie sagt man das auf Deutsch?</t>
  </si>
  <si>
    <t xml:space="preserve">[viː ˈzaːkt man das ʔaʊf ˈdɔøtʃ]</t>
  </si>
  <si>
    <t xml:space="preserve">Cái này tiếng Đức nói thế nào?</t>
  </si>
  <si>
    <t xml:space="preserve">man = người ta; sagen = nói</t>
  </si>
  <si>
    <t xml:space="preserve">S0051</t>
  </si>
  <si>
    <t xml:space="preserve">Modalverb + Infinitiv cuối</t>
  </si>
  <si>
    <t xml:space="preserve">Können Sie das bitte wiederholen?</t>
  </si>
  <si>
    <t xml:space="preserve">[ˌkœnən ziː das ˈbɪtə viːdɐˈhoːlən]</t>
  </si>
  <si>
    <t xml:space="preserve">Ông/bà nhắc lại được không ạ?</t>
  </si>
  <si>
    <t xml:space="preserve">wiederholen = lặp lại</t>
  </si>
  <si>
    <t xml:space="preserve">S0052</t>
  </si>
  <si>
    <t xml:space="preserve">seit + Dativ số nhiều</t>
  </si>
  <si>
    <t xml:space="preserve">Ich lerne seit drei Monaten Deutsch.</t>
  </si>
  <si>
    <t xml:space="preserve">[ʔɪç ˈlɛʁnə zaɪt ˈdʁaɪ ˈmoːnaːtən ˈdɔøtʃ]</t>
  </si>
  <si>
    <t xml:space="preserve">Tôi học tiếng Đức được ba tháng rồi.</t>
  </si>
  <si>
    <t xml:space="preserve">lernen = học; der Monat = tháng</t>
  </si>
  <si>
    <t xml:space="preserve">S0053</t>
  </si>
  <si>
    <t xml:space="preserve">Câu ghép</t>
  </si>
  <si>
    <t xml:space="preserve">aber nối hai mệnh đề (vị trí 0)</t>
  </si>
  <si>
    <t xml:space="preserve">Deutsch ist nicht einfach, aber interessant.</t>
  </si>
  <si>
    <t xml:space="preserve">[ˈdɔøtʃ ʔɪst ˈnɪçt ˈʔaɪnˌfax, ˌʔaːbɐ ˌʔɪntəʁɛˈsant]</t>
  </si>
  <si>
    <t xml:space="preserve">Tiếng Đức không dễ, nhưng thú vị.</t>
  </si>
  <si>
    <t xml:space="preserve">einfach = dễ; aber = nhưng; interessant = thú vị</t>
  </si>
  <si>
    <t xml:space="preserve">S0054</t>
  </si>
  <si>
    <t xml:space="preserve">in + Dativ giống cái</t>
  </si>
  <si>
    <t xml:space="preserve">In welcher Stadt bist du geboren?</t>
  </si>
  <si>
    <t xml:space="preserve">[ʔɪn ˈvɛlçɐ ˈʃtat bɪst duː ɡəˈboːʁən]</t>
  </si>
  <si>
    <t xml:space="preserve">Bạn sinh ở thành phố nào?</t>
  </si>
  <si>
    <t xml:space="preserve">die Stadt = thành phố; geboren = được sinh ra</t>
  </si>
  <si>
    <t xml:space="preserve">S0055</t>
  </si>
  <si>
    <t xml:space="preserve">Compound noun</t>
  </si>
  <si>
    <t xml:space="preserve">Meine Muttersprache ist Vietnamesisch.</t>
  </si>
  <si>
    <t xml:space="preserve">[ˌmaɪnə ˈmʊtɐˌʃpʁaːxə ʔɪst ˌvɪɛtnaˈmeːzɪʃ]</t>
  </si>
  <si>
    <t xml:space="preserve">Tiếng mẹ đẻ của tôi là tiếng Việt.</t>
  </si>
  <si>
    <t xml:space="preserve">die Muttersprache = tiếng mẹ đẻ</t>
  </si>
  <si>
    <t xml:space="preserve">S0056</t>
  </si>
  <si>
    <t xml:space="preserve">möchte + Infinitiv cuối</t>
  </si>
  <si>
    <t xml:space="preserve">Ich möchte mein Deutsch verbessern.</t>
  </si>
  <si>
    <t xml:space="preserve">[ʔɪç ˈmœçtə maɪn ˈdɔøtʃ fɛʁˈbɛsɐn]</t>
  </si>
  <si>
    <t xml:space="preserve">Tôi muốn cải thiện tiếng Đức của mình.</t>
  </si>
  <si>
    <t xml:space="preserve">möchten = muốn; verbessern = cải thiện</t>
  </si>
  <si>
    <t xml:space="preserve">S0057</t>
  </si>
  <si>
    <t xml:space="preserve">Câu hỏi Ja/Nein</t>
  </si>
  <si>
    <t xml:space="preserve">Verb đứng đầu câu</t>
  </si>
  <si>
    <t xml:space="preserve">Sprechen Sie auch Französisch?</t>
  </si>
  <si>
    <t xml:space="preserve">[ˈʃpʁɛçən ziː ˌʔaʊx fʁanˈtsøːzɪʃ]</t>
  </si>
  <si>
    <t xml:space="preserve">Ông/bà có nói cả tiếng Pháp không?</t>
  </si>
  <si>
    <t xml:space="preserve">auch = cũng; Französisch = tiếng Pháp</t>
  </si>
  <si>
    <t xml:space="preserve">S0058</t>
  </si>
  <si>
    <t xml:space="preserve">leider + nicht</t>
  </si>
  <si>
    <t xml:space="preserve">Nein, leider nicht.</t>
  </si>
  <si>
    <t xml:space="preserve">[ˈnaɪn, ˈlaɪdɐ ˈnɪçt]</t>
  </si>
  <si>
    <t xml:space="preserve">Không, tiếc là không.</t>
  </si>
  <si>
    <t xml:space="preserve">leider = tiếc là</t>
  </si>
  <si>
    <t xml:space="preserve">S0059</t>
  </si>
  <si>
    <t xml:space="preserve">jeden Tag = Akkusativ chỉ thời gian</t>
  </si>
  <si>
    <t xml:space="preserve">Ich übe jeden Tag ein bisschen.</t>
  </si>
  <si>
    <t xml:space="preserve">[ʔɪç ˈʔyːbə ˈjeːdən ˈtaːk ʔaɪn ˈbɪsçən]</t>
  </si>
  <si>
    <t xml:space="preserve">Tôi luyện tập một chút mỗi ngày.</t>
  </si>
  <si>
    <t xml:space="preserve">üben = luyện tập; jeden Tag = mỗi ngày</t>
  </si>
  <si>
    <t xml:space="preserve">S0060</t>
  </si>
  <si>
    <t xml:space="preserve">mich = Akkusativ của ich</t>
  </si>
  <si>
    <t xml:space="preserve">Verstehen Sie mich?</t>
  </si>
  <si>
    <t xml:space="preserve">[fɛʁˈʃteːən ziː mɪç]</t>
  </si>
  <si>
    <t xml:space="preserve">Ông/bà hiểu tôi không?</t>
  </si>
  <si>
    <t xml:space="preserve">mich = tôi (Akkusativ)</t>
  </si>
  <si>
    <t xml:space="preserve">S0061</t>
  </si>
  <si>
    <t xml:space="preserve">Số đếm &amp; Thông tin liên lạc</t>
  </si>
  <si>
    <t xml:space="preserve">Liệt kê</t>
  </si>
  <si>
    <t xml:space="preserve">Số đếm 1-5</t>
  </si>
  <si>
    <t xml:space="preserve">Eins, zwei, drei, vier, fünf.</t>
  </si>
  <si>
    <t xml:space="preserve">[ˈʔaɪns, ˈtsvaɪ, ˈdʁaɪ, ˈfiːɐ̯, ˈfynf]</t>
  </si>
  <si>
    <t xml:space="preserve">Một, hai, ba, bốn, năm.</t>
  </si>
  <si>
    <t xml:space="preserve">eins/zwei/drei/vier/fünf = 1/2/3/4/5</t>
  </si>
  <si>
    <t xml:space="preserve">S0062</t>
  </si>
  <si>
    <t xml:space="preserve">Số đếm 6-10</t>
  </si>
  <si>
    <t xml:space="preserve">Sechs, sieben, acht, neun, zehn.</t>
  </si>
  <si>
    <t xml:space="preserve">[ˈzɛks, ˈziːbən, ˈʔaxt, ˈnɔøn, ˈtseːn]</t>
  </si>
  <si>
    <t xml:space="preserve">Sáu, bảy, tám, chín, mười.</t>
  </si>
  <si>
    <t xml:space="preserve">sechs/sieben/acht/neun/zehn = 6/7/8/9/10</t>
  </si>
  <si>
    <t xml:space="preserve">S0063</t>
  </si>
  <si>
    <t xml:space="preserve">haben + Akkusativ số nhiều</t>
  </si>
  <si>
    <t xml:space="preserve">Ich habe zwei Kinder.</t>
  </si>
  <si>
    <t xml:space="preserve">[ʔɪç haːbə ˈtsvaɪ ˈkɪndɐ]</t>
  </si>
  <si>
    <t xml:space="preserve">Tôi có hai đứa con.</t>
  </si>
  <si>
    <t xml:space="preserve">haben = có; das Kind = đứa trẻ</t>
  </si>
  <si>
    <t xml:space="preserve">S0064</t>
  </si>
  <si>
    <t xml:space="preserve">wie viel + Verb</t>
  </si>
  <si>
    <t xml:space="preserve">Wie viel kostet das?</t>
  </si>
  <si>
    <t xml:space="preserve">[viː ˈfiːl ˈkɔstət das]</t>
  </si>
  <si>
    <t xml:space="preserve">Cái này giá bao nhiêu?</t>
  </si>
  <si>
    <t xml:space="preserve">kosten = có giá; wie viel = bao nhiêu</t>
  </si>
  <si>
    <t xml:space="preserve">S0065</t>
  </si>
  <si>
    <t xml:space="preserve">Số + đơn vị tiền</t>
  </si>
  <si>
    <t xml:space="preserve">Das kostet zwanzig Euro.</t>
  </si>
  <si>
    <t xml:space="preserve">[das ˈkɔstət ˈtsvantsɪç ˈʔɔøʁoː]</t>
  </si>
  <si>
    <t xml:space="preserve">Cái đó giá hai mươi euro.</t>
  </si>
  <si>
    <t xml:space="preserve">zwanzig = hai mươi; der Euro = euro</t>
  </si>
  <si>
    <t xml:space="preserve">S0066</t>
  </si>
  <si>
    <t xml:space="preserve">Nomen ghép</t>
  </si>
  <si>
    <t xml:space="preserve">Meine Adresse ist Hauptstraße fünf.</t>
  </si>
  <si>
    <t xml:space="preserve">[ˌmaɪnə ʔaˈdʁɛsə ʔɪst ˈhaʊptsˌtʁaːsə ˈfynf]</t>
  </si>
  <si>
    <t xml:space="preserve">Địa chỉ của tôi là số 5 đường Hauptstraße.</t>
  </si>
  <si>
    <t xml:space="preserve">die Adresse = địa chỉ; die Straße = đường</t>
  </si>
  <si>
    <t xml:space="preserve">S0067</t>
  </si>
  <si>
    <t xml:space="preserve">Ihre + Nomen giống cái</t>
  </si>
  <si>
    <t xml:space="preserve">Wie ist Ihre E-Mail-Adresse?</t>
  </si>
  <si>
    <t xml:space="preserve">[viː ʔɪst ˌʔiːʁə ˈʔeː(en)ˈmeɪl(de)aˈdʁɛsə]</t>
  </si>
  <si>
    <t xml:space="preserve">Email của ông/bà là gì?</t>
  </si>
  <si>
    <t xml:space="preserve">die E-Mail = email</t>
  </si>
  <si>
    <t xml:space="preserve">S0068</t>
  </si>
  <si>
    <t xml:space="preserve">Modalverb + Infinitiv</t>
  </si>
  <si>
    <t xml:space="preserve">Können Sie das bitte buchstabieren?</t>
  </si>
  <si>
    <t xml:space="preserve">[ˌkœnən ziː das ˈbɪtə ˌbuːxʃtaːˈbiːʁən]</t>
  </si>
  <si>
    <t xml:space="preserve">Ông/bà đánh vần được không ạ?</t>
  </si>
  <si>
    <t xml:space="preserve">buchstabieren = đánh vần</t>
  </si>
  <si>
    <t xml:space="preserve">S0069</t>
  </si>
  <si>
    <t xml:space="preserve">im Jahr + năm</t>
  </si>
  <si>
    <t xml:space="preserve">Ich bin im Jahr neunzehnhundertvierundneunzig geboren.</t>
  </si>
  <si>
    <t xml:space="preserve">[ʔɪç bɪn ʔɪm ˈjaːɐ̯ ˈnɔøntseːnˌhʊndɐˌtviːʁʊndˌnɔøntsɪç ɡəˈboːʁən]</t>
  </si>
  <si>
    <t xml:space="preserve">Tôi sinh năm 1994.</t>
  </si>
  <si>
    <t xml:space="preserve">das Jahr = năm</t>
  </si>
  <si>
    <t xml:space="preserve">S0070</t>
  </si>
  <si>
    <t xml:space="preserve">wie viele + số nhiều, ihr = các bạn</t>
  </si>
  <si>
    <t xml:space="preserve">Wie viele Personen seid ihr?</t>
  </si>
  <si>
    <t xml:space="preserve">[viː ˈfiːlə pɛʁˈzoːnən ˈzaɪt ʔiːɐ̯]</t>
  </si>
  <si>
    <t xml:space="preserve">Các bạn có bao nhiêu người?</t>
  </si>
  <si>
    <t xml:space="preserve">die Person = người; ihr = các bạn</t>
  </si>
  <si>
    <t xml:space="preserve">S0071</t>
  </si>
  <si>
    <t xml:space="preserve">zu + số thứ tự</t>
  </si>
  <si>
    <t xml:space="preserve">Wir sind zu viert.</t>
  </si>
  <si>
    <t xml:space="preserve">[viːɐ̯ zɪnt tsuː ˈfiːɐ̯t]</t>
  </si>
  <si>
    <t xml:space="preserve">Chúng tôi có bốn người.</t>
  </si>
  <si>
    <t xml:space="preserve">wir = chúng tôi</t>
  </si>
  <si>
    <t xml:space="preserve">S0072</t>
  </si>
  <si>
    <t xml:space="preserve">die + Nomen giống cái</t>
  </si>
  <si>
    <t xml:space="preserve">Die Nummer ist falsch.</t>
  </si>
  <si>
    <t xml:space="preserve">[diː ˈnʊmɐ ʔɪst ˈfalʃ]</t>
  </si>
  <si>
    <t xml:space="preserve">Số đó sai rồi.</t>
  </si>
  <si>
    <t xml:space="preserve">die Nummer = con số; falsch = sai</t>
  </si>
  <si>
    <t xml:space="preserve">S0073</t>
  </si>
  <si>
    <t xml:space="preserve">Trennbares Verb anrufen (an đứng cuối)</t>
  </si>
  <si>
    <t xml:space="preserve">Rufen Sie mich bitte morgen an.</t>
  </si>
  <si>
    <t xml:space="preserve">[ˈʁuːfən ziː mɪç ˈbɪtə ˈmɔʁɡən ˈʔan]</t>
  </si>
  <si>
    <t xml:space="preserve">Ngày mai làm ơn gọi cho tôi.</t>
  </si>
  <si>
    <t xml:space="preserve">anrufen = gọi điện</t>
  </si>
  <si>
    <t xml:space="preserve">S0074</t>
  </si>
  <si>
    <t xml:space="preserve">Dativ (dir) + Akkusativ (eine Nachricht)</t>
  </si>
  <si>
    <t xml:space="preserve">Ich schreibe dir eine Nachricht.</t>
  </si>
  <si>
    <t xml:space="preserve">[ʔɪç ˈʃʁaɪbə diːɐ̯ ˌʔaɪnə ˈnaxʁɪçt]</t>
  </si>
  <si>
    <t xml:space="preserve">Tôi sẽ nhắn tin cho bạn.</t>
  </si>
  <si>
    <t xml:space="preserve">schreiben = viết; die Nachricht = tin nhắn</t>
  </si>
  <si>
    <t xml:space="preserve">S0075</t>
  </si>
  <si>
    <t xml:space="preserve">haben chia với du</t>
  </si>
  <si>
    <t xml:space="preserve">Hast du WhatsApp?</t>
  </si>
  <si>
    <t xml:space="preserve">[hast duː ˈvaːts ˈʔap]</t>
  </si>
  <si>
    <t xml:space="preserve">Bạn có WhatsApp không?</t>
  </si>
  <si>
    <t xml:space="preserve">haben = có</t>
  </si>
  <si>
    <t xml:space="preserve">S0076</t>
  </si>
  <si>
    <t xml:space="preserve">am + số thứ tự + tháng</t>
  </si>
  <si>
    <t xml:space="preserve">Mein Geburtstag ist am zehnten Mai.</t>
  </si>
  <si>
    <t xml:space="preserve">[maɪn ɡəˈbʊʁtstaːk ʔɪst ʔam ˈtseːntən ˈmaɪ]</t>
  </si>
  <si>
    <t xml:space="preserve">Sinh nhật tôi là ngày 10 tháng 5.</t>
  </si>
  <si>
    <t xml:space="preserve">der Geburtstag = sinh nhật; der Mai = tháng Năm</t>
  </si>
  <si>
    <t xml:space="preserve">S0077</t>
  </si>
  <si>
    <t xml:space="preserve">es là chủ ngữ hình thức</t>
  </si>
  <si>
    <t xml:space="preserve">Wie spät ist es?</t>
  </si>
  <si>
    <t xml:space="preserve">[viː ˈʃpɛːt ʔɪst ʔɛs]</t>
  </si>
  <si>
    <t xml:space="preserve">Mấy giờ rồi?</t>
  </si>
  <si>
    <t xml:space="preserve">spät = muộn</t>
  </si>
  <si>
    <t xml:space="preserve">S0078</t>
  </si>
  <si>
    <t xml:space="preserve">halb + giờ kế tiếp</t>
  </si>
  <si>
    <t xml:space="preserve">Es ist halb acht.</t>
  </si>
  <si>
    <t xml:space="preserve">[ʔɛsɪst ˈhalp ˈʔaxt]</t>
  </si>
  <si>
    <t xml:space="preserve">Bây giờ là bảy giờ rưỡi.</t>
  </si>
  <si>
    <t xml:space="preserve">halb = một nửa</t>
  </si>
  <si>
    <t xml:space="preserve">S0079</t>
  </si>
  <si>
    <t xml:space="preserve">um + giờ</t>
  </si>
  <si>
    <t xml:space="preserve">Der Kurs beginnt um neun Uhr.</t>
  </si>
  <si>
    <t xml:space="preserve">[dɛɐ̯ ˈkuːɐ̯s bəˈɡɪnt ʔʊm ˈnɔøn ˈʔuːɐ̯]</t>
  </si>
  <si>
    <t xml:space="preserve">Khóa học bắt đầu lúc chín giờ.</t>
  </si>
  <si>
    <t xml:space="preserve">der Kurs = khóa học; beginnen = bắt đầu; die Uhr = giờ</t>
  </si>
  <si>
    <t xml:space="preserve">S0080</t>
  </si>
  <si>
    <t xml:space="preserve">dabei haben = mang theo</t>
  </si>
  <si>
    <t xml:space="preserve">Ich habe hundert Euro dabei.</t>
  </si>
  <si>
    <t xml:space="preserve">[ʔɪç haːbə ˈhʊndɐt ˈʔɔøʁoː daːˈbaɪ]</t>
  </si>
  <si>
    <t xml:space="preserve">Tôi mang theo một trăm euro.</t>
  </si>
  <si>
    <t xml:space="preserve">hundert = một trăm; dabei = theo mình</t>
  </si>
  <si>
    <t xml:space="preserve">S0081</t>
  </si>
  <si>
    <t xml:space="preserve">Động từ sein &amp; haben</t>
  </si>
  <si>
    <t xml:space="preserve">sein + Adjektiv</t>
  </si>
  <si>
    <t xml:space="preserve">Ich bin müde.</t>
  </si>
  <si>
    <t xml:space="preserve">[ʔɪç bɪn ˈmyːdə]</t>
  </si>
  <si>
    <t xml:space="preserve">Tôi mệt.</t>
  </si>
  <si>
    <t xml:space="preserve">müde = mệt</t>
  </si>
  <si>
    <t xml:space="preserve">S0082</t>
  </si>
  <si>
    <t xml:space="preserve">sein chia với du</t>
  </si>
  <si>
    <t xml:space="preserve">Du bist sehr nett.</t>
  </si>
  <si>
    <t xml:space="preserve">[duː bɪst ˈzeːɐ̯ ˈnɛt]</t>
  </si>
  <si>
    <t xml:space="preserve">Bạn rất tử tế.</t>
  </si>
  <si>
    <t xml:space="preserve">nett = tử tế</t>
  </si>
  <si>
    <t xml:space="preserve">S0083</t>
  </si>
  <si>
    <t xml:space="preserve">sein + Nominativ</t>
  </si>
  <si>
    <t xml:space="preserve">Er ist mein Bruder.</t>
  </si>
  <si>
    <t xml:space="preserve">[ʔɛɐ̯ ʔɪst maɪn ˈbʁuːdɐ]</t>
  </si>
  <si>
    <t xml:space="preserve">Anh ấy là anh trai tôi.</t>
  </si>
  <si>
    <t xml:space="preserve">der Bruder = anh/em trai</t>
  </si>
  <si>
    <t xml:space="preserve">S0084</t>
  </si>
  <si>
    <t xml:space="preserve">Trạng từ thời gian sau Verb</t>
  </si>
  <si>
    <t xml:space="preserve">Sie ist heute krank.</t>
  </si>
  <si>
    <t xml:space="preserve">[ziː ʔɪst ˈhɔøtə ˈkʁaŋk]</t>
  </si>
  <si>
    <t xml:space="preserve">Hôm nay cô ấy bị ốm.</t>
  </si>
  <si>
    <t xml:space="preserve">krank = ốm; heute = hôm nay</t>
  </si>
  <si>
    <t xml:space="preserve">S0085</t>
  </si>
  <si>
    <t xml:space="preserve">zu Hause = cụm cố định</t>
  </si>
  <si>
    <t xml:space="preserve">Wir sind zu Hause.</t>
  </si>
  <si>
    <t xml:space="preserve">[viːɐ̯ zɪnt tsuː ˈhaʊzə]</t>
  </si>
  <si>
    <t xml:space="preserve">Chúng tôi đang ở nhà.</t>
  </si>
  <si>
    <t xml:space="preserve">zu Hause = ở nhà</t>
  </si>
  <si>
    <t xml:space="preserve">S0086</t>
  </si>
  <si>
    <t xml:space="preserve">sein chia với ihr</t>
  </si>
  <si>
    <t xml:space="preserve">Seid ihr bereit?</t>
  </si>
  <si>
    <t xml:space="preserve">[ˈzaɪt ʔiːɐ̯ bəˈʁaɪt]</t>
  </si>
  <si>
    <t xml:space="preserve">Các bạn sẵn sàng chưa?</t>
  </si>
  <si>
    <t xml:space="preserve">bereit = sẵn sàng</t>
  </si>
  <si>
    <t xml:space="preserve">S0087</t>
  </si>
  <si>
    <t xml:space="preserve">sein chia với sie (số nhiều)</t>
  </si>
  <si>
    <t xml:space="preserve">Sie sind sehr freundlich.</t>
  </si>
  <si>
    <t xml:space="preserve">[ziː zɪnt ˈzeːɐ̯ ˈfʁɔøntlɪç]</t>
  </si>
  <si>
    <t xml:space="preserve">Họ rất thân thiện.</t>
  </si>
  <si>
    <t xml:space="preserve">freundlich = thân thiện</t>
  </si>
  <si>
    <t xml:space="preserve">S0088</t>
  </si>
  <si>
    <t xml:space="preserve">nicht + Adjektiv</t>
  </si>
  <si>
    <t xml:space="preserve">Das ist nicht richtig.</t>
  </si>
  <si>
    <t xml:space="preserve">[das ʔɪst ˈnɪçt ˈʁɪçtɪç]</t>
  </si>
  <si>
    <t xml:space="preserve">Cái đó không đúng.</t>
  </si>
  <si>
    <t xml:space="preserve">richtig = đúng</t>
  </si>
  <si>
    <t xml:space="preserve">S0089</t>
  </si>
  <si>
    <t xml:space="preserve">kein + Nomen giống cái</t>
  </si>
  <si>
    <t xml:space="preserve">Ich habe keine Zeit.</t>
  </si>
  <si>
    <t xml:space="preserve">[ʔɪç haːbə ˈkaɪnə ˈtsaɪt]</t>
  </si>
  <si>
    <t xml:space="preserve">Tôi không có thời gian.</t>
  </si>
  <si>
    <t xml:space="preserve">die Zeit = thời gian</t>
  </si>
  <si>
    <t xml:space="preserve">S0090</t>
  </si>
  <si>
    <t xml:space="preserve">haben + Nomen không Artikel</t>
  </si>
  <si>
    <t xml:space="preserve">Hast du Hunger?</t>
  </si>
  <si>
    <t xml:space="preserve">[hast duː ˈhʊŋɐ]</t>
  </si>
  <si>
    <t xml:space="preserve">Bạn đói không?</t>
  </si>
  <si>
    <t xml:space="preserve">der Hunger = cơn đói</t>
  </si>
  <si>
    <t xml:space="preserve">S0091</t>
  </si>
  <si>
    <t xml:space="preserve">Akkusativ đực: einen + Adjektiv -en</t>
  </si>
  <si>
    <t xml:space="preserve">Er hat einen neuen Job.</t>
  </si>
  <si>
    <t xml:space="preserve">[ʔɛɐ̯ hat ˌʔaɪnən ˈnɔøən (en)dˈʒɒb(de)]</t>
  </si>
  <si>
    <t xml:space="preserve">Anh ấy có công việc mới.</t>
  </si>
  <si>
    <t xml:space="preserve">der Job = công việc; neu = mới</t>
  </si>
  <si>
    <t xml:space="preserve">S0092</t>
  </si>
  <si>
    <t xml:space="preserve">viel zu + Infinitiv</t>
  </si>
  <si>
    <t xml:space="preserve">Wir haben viel zu tun.</t>
  </si>
  <si>
    <t xml:space="preserve">[viːɐ̯ ˌhaːbən ˈfiːl tsuː ˈtuːn]</t>
  </si>
  <si>
    <t xml:space="preserve">Chúng tôi có nhiều việc phải làm.</t>
  </si>
  <si>
    <t xml:space="preserve">tun = làm</t>
  </si>
  <si>
    <t xml:space="preserve">S0093</t>
  </si>
  <si>
    <t xml:space="preserve">haben chia với ihr</t>
  </si>
  <si>
    <t xml:space="preserve">Habt ihr Durst?</t>
  </si>
  <si>
    <t xml:space="preserve">[ˈhaːpt ʔiːɐ̯ ˈduːɐ̯st]</t>
  </si>
  <si>
    <t xml:space="preserve">Các bạn khát không?</t>
  </si>
  <si>
    <t xml:space="preserve">der Durst = cơn khát</t>
  </si>
  <si>
    <t xml:space="preserve">S0094</t>
  </si>
  <si>
    <t xml:space="preserve">kein ... mehr = không còn ... nữa</t>
  </si>
  <si>
    <t xml:space="preserve">Ich bin kein Anfänger mehr.</t>
  </si>
  <si>
    <t xml:space="preserve">[ʔɪç bɪn ˈkaɪn ˈʔanˌfɛŋɐ ˈmeːɐ̯]</t>
  </si>
  <si>
    <t xml:space="preserve">Tôi không còn là người mới nữa.</t>
  </si>
  <si>
    <t xml:space="preserve">der Anfänger = người mới bắt đầu</t>
  </si>
  <si>
    <t xml:space="preserve">S0095</t>
  </si>
  <si>
    <t xml:space="preserve">Angst vor + Dativ</t>
  </si>
  <si>
    <t xml:space="preserve">Sie hat Angst vor Hunden.</t>
  </si>
  <si>
    <t xml:space="preserve">[ziː hat ˈʔaŋst ˌfɔɐ̯ ˈhʊndən]</t>
  </si>
  <si>
    <t xml:space="preserve">Cô ấy sợ chó.</t>
  </si>
  <si>
    <t xml:space="preserve">die Angst = nỗi sợ; der Hund = con chó</t>
  </si>
  <si>
    <t xml:space="preserve">S0096</t>
  </si>
  <si>
    <t xml:space="preserve">es làm chủ ngữ thời tiết</t>
  </si>
  <si>
    <t xml:space="preserve">Es ist sehr kalt heute.</t>
  </si>
  <si>
    <t xml:space="preserve">[ʔɛsɪst ˈzeːɐ̯ ˈkalt ˈhɔøtə]</t>
  </si>
  <si>
    <t xml:space="preserve">Hôm nay rất lạnh.</t>
  </si>
  <si>
    <t xml:space="preserve">kalt = lạnh</t>
  </si>
  <si>
    <t xml:space="preserve">S0097</t>
  </si>
  <si>
    <t xml:space="preserve">Perfekt với sein</t>
  </si>
  <si>
    <t xml:space="preserve">Wir sind pünktlich angekommen.</t>
  </si>
  <si>
    <t xml:space="preserve">[viːɐ̯ zɪnt ˈpyŋktlɪç ˈʔanɡəˌkɔmən]</t>
  </si>
  <si>
    <t xml:space="preserve">Chúng tôi đã đến đúng giờ.</t>
  </si>
  <si>
    <t xml:space="preserve">pünktlich = đúng giờ; ankommen = đến nơi</t>
  </si>
  <si>
    <t xml:space="preserve">S0098</t>
  </si>
  <si>
    <t xml:space="preserve">eine + Nomen giống cái Akkusativ</t>
  </si>
  <si>
    <t xml:space="preserve">Ich habe eine Frage.</t>
  </si>
  <si>
    <t xml:space="preserve">[ʔɪç haːbə ˌʔaɪnə ˈfʁaːɡə]</t>
  </si>
  <si>
    <t xml:space="preserve">Tôi có một câu hỏi.</t>
  </si>
  <si>
    <t xml:space="preserve">die Frage = câu hỏi</t>
  </si>
  <si>
    <t xml:space="preserve">S0099</t>
  </si>
  <si>
    <t xml:space="preserve">sein + Adjektiv trong câu hỏi</t>
  </si>
  <si>
    <t xml:space="preserve">Bist du sicher?</t>
  </si>
  <si>
    <t xml:space="preserve">[bɪst duː ˈzɪçɐ]</t>
  </si>
  <si>
    <t xml:space="preserve">Bạn chắc chứ?</t>
  </si>
  <si>
    <t xml:space="preserve">sicher = chắc chắn</t>
  </si>
  <si>
    <t xml:space="preserve">S0100</t>
  </si>
  <si>
    <t xml:space="preserve">recht haben = cụm cố định</t>
  </si>
  <si>
    <t xml:space="preserve">Sie haben recht.</t>
  </si>
  <si>
    <t xml:space="preserve">[ziː ˌhaːbən ˈʁɛçt]</t>
  </si>
  <si>
    <t xml:space="preserve">Ông/bà nói đúng.</t>
  </si>
  <si>
    <t xml:space="preserve">recht haben = có lý</t>
  </si>
  <si>
    <t xml:space="preserve">S0101</t>
  </si>
  <si>
    <t xml:space="preserve">Gia đình</t>
  </si>
  <si>
    <t xml:space="preserve">Das ist meine Familie.</t>
  </si>
  <si>
    <t xml:space="preserve">[das ʔɪst ˌmaɪnə faˈmiːlɪə]</t>
  </si>
  <si>
    <t xml:space="preserve">Đây là gia đình tôi.</t>
  </si>
  <si>
    <t xml:space="preserve">die Familie = gia đình</t>
  </si>
  <si>
    <t xml:space="preserve">S0102</t>
  </si>
  <si>
    <t xml:space="preserve">Komparativ älter + đuôi -en</t>
  </si>
  <si>
    <t xml:space="preserve">Ich habe einen älteren Bruder.</t>
  </si>
  <si>
    <t xml:space="preserve">[ʔɪç haːbə ˌʔaɪnən ˈʔɛltəʁən ˈbʁuːdɐ]</t>
  </si>
  <si>
    <t xml:space="preserve">Tôi có một người anh trai.</t>
  </si>
  <si>
    <t xml:space="preserve">älter = lớn tuổi hơn</t>
  </si>
  <si>
    <t xml:space="preserve">S0103</t>
  </si>
  <si>
    <t xml:space="preserve">studieren in + Dativ</t>
  </si>
  <si>
    <t xml:space="preserve">Meine Schwester studiert in München.</t>
  </si>
  <si>
    <t xml:space="preserve">[ˌmaɪnə ˈʃvɛstɐ ʃtuːˈdiːɐ̯t ʔɪn ˈmynçən]</t>
  </si>
  <si>
    <t xml:space="preserve">Chị tôi học đại học ở München.</t>
  </si>
  <si>
    <t xml:space="preserve">die Schwester = chị/em gái; studieren = học đại học</t>
  </si>
  <si>
    <t xml:space="preserve">S0104</t>
  </si>
  <si>
    <t xml:space="preserve">als + nghề (không Artikel)</t>
  </si>
  <si>
    <t xml:space="preserve">Mein Vater arbeitet als Ingenieur.</t>
  </si>
  <si>
    <t xml:space="preserve">[maɪn ˈfaːtɐ ˈʔaʁbaɪtət ʔals ˌʔɪndʒənˈjøːɐ̯]</t>
  </si>
  <si>
    <t xml:space="preserve">Bố tôi làm kỹ sư.</t>
  </si>
  <si>
    <t xml:space="preserve">der Vater = bố; als = với tư cách</t>
  </si>
  <si>
    <t xml:space="preserve">S0105</t>
  </si>
  <si>
    <t xml:space="preserve">Dạng giống cái -in</t>
  </si>
  <si>
    <t xml:space="preserve">Meine Mutter ist Lehrerin.</t>
  </si>
  <si>
    <t xml:space="preserve">[ˌmaɪnə ˈmʊtɐ ʔɪst ˈleːʁəˌʁɪn]</t>
  </si>
  <si>
    <t xml:space="preserve">Mẹ tôi là giáo viên.</t>
  </si>
  <si>
    <t xml:space="preserve">die Mutter = mẹ; die Lehrerin = cô giáo</t>
  </si>
  <si>
    <t xml:space="preserve">S0106</t>
  </si>
  <si>
    <t xml:space="preserve">wie viele + số nhiều</t>
  </si>
  <si>
    <t xml:space="preserve">Wie viele Geschwister hast du?</t>
  </si>
  <si>
    <t xml:space="preserve">[viː ˈfiːlə ɡəˈʃvɪstɐ hast duː]</t>
  </si>
  <si>
    <t xml:space="preserve">Bạn có mấy anh chị em?</t>
  </si>
  <si>
    <t xml:space="preserve">die Geschwister = anh chị em</t>
  </si>
  <si>
    <t xml:space="preserve">S0107</t>
  </si>
  <si>
    <t xml:space="preserve">ein + Nomen trung tính</t>
  </si>
  <si>
    <t xml:space="preserve">Ich bin ein Einzelkind.</t>
  </si>
  <si>
    <t xml:space="preserve">[ʔɪç bɪn ʔaɪn ˈʔaɪnˌtsɛlkɪnt]</t>
  </si>
  <si>
    <t xml:space="preserve">Tôi là con một.</t>
  </si>
  <si>
    <t xml:space="preserve">das Einzelkind = con một</t>
  </si>
  <si>
    <t xml:space="preserve">S0108</t>
  </si>
  <si>
    <t xml:space="preserve">auf dem Land = cụm cố định</t>
  </si>
  <si>
    <t xml:space="preserve">Meine Großeltern wohnen auf dem Land.</t>
  </si>
  <si>
    <t xml:space="preserve">[ˌmaɪnə ˈɡʁoːsɛltɐn ˈvoːnən ʔaʊf deːm ˈlant]</t>
  </si>
  <si>
    <t xml:space="preserve">Ông bà tôi sống ở quê.</t>
  </si>
  <si>
    <t xml:space="preserve">die Großeltern = ông bà; das Land = nông thôn</t>
  </si>
  <si>
    <t xml:space="preserve">S0109</t>
  </si>
  <si>
    <t xml:space="preserve">in + Akkusativ (hướng)</t>
  </si>
  <si>
    <t xml:space="preserve">Mein Sohn geht in den Kindergarten.</t>
  </si>
  <si>
    <t xml:space="preserve">[maɪn ˈzoːn ˈɡeːt ʔɪn deːn ˈkɪndɐˌɡaʁtən]</t>
  </si>
  <si>
    <t xml:space="preserve">Con trai tôi đi nhà trẻ.</t>
  </si>
  <si>
    <t xml:space="preserve">der Sohn = con trai; der Kindergarten = nhà trẻ</t>
  </si>
  <si>
    <t xml:space="preserve">S0110</t>
  </si>
  <si>
    <t xml:space="preserve">Alter với sein</t>
  </si>
  <si>
    <t xml:space="preserve">Meine Tochter ist sieben Jahre alt.</t>
  </si>
  <si>
    <t xml:space="preserve">[ˌmaɪnə ˈtɔxtɐ ʔɪst ˈziːbən ˈjaːʁə ˈʔalt]</t>
  </si>
  <si>
    <t xml:space="preserve">Con gái tôi bảy tuổi.</t>
  </si>
  <si>
    <t xml:space="preserve">die Tochter = con gái</t>
  </si>
  <si>
    <t xml:space="preserve">S0111</t>
  </si>
  <si>
    <t xml:space="preserve">Trạng từ tần suất sau Verb</t>
  </si>
  <si>
    <t xml:space="preserve">Wir besuchen oft meine Eltern.</t>
  </si>
  <si>
    <t xml:space="preserve">[viːɐ̯ bəˈzuːxən ˈʔɔft ˌmaɪnə ˈʔɛltɐn]</t>
  </si>
  <si>
    <t xml:space="preserve">Chúng tôi hay về thăm bố mẹ tôi.</t>
  </si>
  <si>
    <t xml:space="preserve">besuchen = thăm; die Eltern = bố mẹ; oft = thường</t>
  </si>
  <si>
    <t xml:space="preserve">S0112</t>
  </si>
  <si>
    <t xml:space="preserve">Adverb gut</t>
  </si>
  <si>
    <t xml:space="preserve">Mein Mann kocht sehr gut.</t>
  </si>
  <si>
    <t xml:space="preserve">[maɪn ˈman ˈkɔxt ˈzeːɐ̯ ˈɡuːt]</t>
  </si>
  <si>
    <t xml:space="preserve">Chồng tôi nấu ăn rất ngon.</t>
  </si>
  <si>
    <t xml:space="preserve">der Mann = chồng/người đàn ông; kochen = nấu ăn</t>
  </si>
  <si>
    <t xml:space="preserve">S0113</t>
  </si>
  <si>
    <t xml:space="preserve">im = in dem (Dativ)</t>
  </si>
  <si>
    <t xml:space="preserve">Meine Frau arbeitet im Krankenhaus.</t>
  </si>
  <si>
    <t xml:space="preserve">[ˌmaɪnə ˈfʁaʊ ˈʔaʁbaɪtət ʔɪm ˈkʁankənˌhaʊs]</t>
  </si>
  <si>
    <t xml:space="preserve">Vợ tôi làm việc ở bệnh viện.</t>
  </si>
  <si>
    <t xml:space="preserve">die Frau = vợ/phụ nữ; das Krankenhaus = bệnh viện</t>
  </si>
  <si>
    <t xml:space="preserve">S0114</t>
  </si>
  <si>
    <t xml:space="preserve">sich verstehen = hiểu nhau (reflexiv)</t>
  </si>
  <si>
    <t xml:space="preserve">Wir verstehen uns sehr gut.</t>
  </si>
  <si>
    <t xml:space="preserve">[viːɐ̯ fɛʁˈʃteːən ʔʊns ˈzeːɐ̯ ˈɡuːt]</t>
  </si>
  <si>
    <t xml:space="preserve">Chúng tôi rất hiểu nhau.</t>
  </si>
  <si>
    <t xml:space="preserve">sich verstehen = hợp nhau</t>
  </si>
  <si>
    <t xml:space="preserve">S0115</t>
  </si>
  <si>
    <t xml:space="preserve">wichtig + Dativ</t>
  </si>
  <si>
    <t xml:space="preserve">Meine Familie ist mir sehr wichtig.</t>
  </si>
  <si>
    <t xml:space="preserve">[ˌmaɪnə faˈmiːlɪə ʔɪst miːɐ̯ ˈzeːɐ̯ ˈvɪçtɪç]</t>
  </si>
  <si>
    <t xml:space="preserve">Gia đình rất quan trọng với tôi.</t>
  </si>
  <si>
    <t xml:space="preserve">wichtig = quan trọng</t>
  </si>
  <si>
    <t xml:space="preserve">S0116</t>
  </si>
  <si>
    <t xml:space="preserve">Nomen số nhiều không Artikel</t>
  </si>
  <si>
    <t xml:space="preserve">Hast du Haustiere?</t>
  </si>
  <si>
    <t xml:space="preserve">[hast duː ˈhaʊˌstiːʁə]</t>
  </si>
  <si>
    <t xml:space="preserve">Bạn có nuôi thú cưng không?</t>
  </si>
  <si>
    <t xml:space="preserve">das Haustier = thú cưng</t>
  </si>
  <si>
    <t xml:space="preserve">S0117</t>
  </si>
  <si>
    <t xml:space="preserve">Akkusativ: eine (cái) / einen (đực)</t>
  </si>
  <si>
    <t xml:space="preserve">Wir haben eine Katze und einen Hund.</t>
  </si>
  <si>
    <t xml:space="preserve">[viːɐ̯ ˌhaːbən ˌʔaɪnə ˈkatsə ʔʊnt ˌʔaɪnən ˈhʊnt]</t>
  </si>
  <si>
    <t xml:space="preserve">Chúng tôi có một con mèo và một con chó.</t>
  </si>
  <si>
    <t xml:space="preserve">die Katze = con mèo</t>
  </si>
  <si>
    <t xml:space="preserve">S0118</t>
  </si>
  <si>
    <t xml:space="preserve">in + Dativ (địa điểm)</t>
  </si>
  <si>
    <t xml:space="preserve">Mein Onkel lebt in Australien.</t>
  </si>
  <si>
    <t xml:space="preserve">[maɪn ˈʔɔnkəl ˈleːpt ʔɪn ʔaʊsˈtʁalɪən]</t>
  </si>
  <si>
    <t xml:space="preserve">Chú tôi sống ở Úc.</t>
  </si>
  <si>
    <t xml:space="preserve">der Onkel = chú/bác</t>
  </si>
  <si>
    <t xml:space="preserve">S0119</t>
  </si>
  <si>
    <t xml:space="preserve">kommen + Infinitiv không zu</t>
  </si>
  <si>
    <t xml:space="preserve">Meine Tante kommt uns morgen besuchen.</t>
  </si>
  <si>
    <t xml:space="preserve">[ˌmaɪnə ˈtantə ˈkɔmt ʔʊns ˈmɔʁɡən bəˈzuːxən]</t>
  </si>
  <si>
    <t xml:space="preserve">Dì tôi mai đến thăm chúng tôi.</t>
  </si>
  <si>
    <t xml:space="preserve">die Tante = cô/dì; uns = chúng tôi (Akk)</t>
  </si>
  <si>
    <t xml:space="preserve">S0120</t>
  </si>
  <si>
    <t xml:space="preserve">dein = của bạn</t>
  </si>
  <si>
    <t xml:space="preserve">Wie heißt dein Cousin?</t>
  </si>
  <si>
    <t xml:space="preserve">[viː ˈhaɪst daɪn kuːˈziːn]</t>
  </si>
  <si>
    <t xml:space="preserve">Anh họ bạn tên gì?</t>
  </si>
  <si>
    <t xml:space="preserve">der Cousin = anh/em họ</t>
  </si>
  <si>
    <t xml:space="preserve">S0121</t>
  </si>
  <si>
    <t xml:space="preserve">Câu hỏi W-Fragen</t>
  </si>
  <si>
    <t xml:space="preserve">was + Verb vị trí 2</t>
  </si>
  <si>
    <t xml:space="preserve">Was machst du gerade?</t>
  </si>
  <si>
    <t xml:space="preserve">[ˈvas ˈmaxst duː ɡəˈʁaːdə]</t>
  </si>
  <si>
    <t xml:space="preserve">Bạn đang làm gì vậy?</t>
  </si>
  <si>
    <t xml:space="preserve">gerade = ngay lúc này</t>
  </si>
  <si>
    <t xml:space="preserve">S0122</t>
  </si>
  <si>
    <t xml:space="preserve">wer = ai (Nominativ)</t>
  </si>
  <si>
    <t xml:space="preserve">Wer ist dieser Mann?</t>
  </si>
  <si>
    <t xml:space="preserve">[ˈveːɐ̯ ʔɪst ˌdiːzɐ ˈman]</t>
  </si>
  <si>
    <t xml:space="preserve">Người đàn ông này là ai?</t>
  </si>
  <si>
    <t xml:space="preserve">wer = ai; dieser = này</t>
  </si>
  <si>
    <t xml:space="preserve">S0123</t>
  </si>
  <si>
    <t xml:space="preserve">wo = ở đâu (vị trí)</t>
  </si>
  <si>
    <t xml:space="preserve">Wo ist die Toilette?</t>
  </si>
  <si>
    <t xml:space="preserve">[ˌvoː ʔɪst diː ˈtoːiːˌlɛtə]</t>
  </si>
  <si>
    <t xml:space="preserve">Nhà vệ sinh ở đâu?</t>
  </si>
  <si>
    <t xml:space="preserve">die Toilette = nhà vệ sinh</t>
  </si>
  <si>
    <t xml:space="preserve">S0124</t>
  </si>
  <si>
    <t xml:space="preserve">wohin = đi đâu (hướng)</t>
  </si>
  <si>
    <t xml:space="preserve">Wohin gehst du?</t>
  </si>
  <si>
    <t xml:space="preserve">[voːˈhiːn ˈɡeːst duː]</t>
  </si>
  <si>
    <t xml:space="preserve">Bạn đi đâu đấy?</t>
  </si>
  <si>
    <t xml:space="preserve">wohin = đi đâu</t>
  </si>
  <si>
    <t xml:space="preserve">S0125</t>
  </si>
  <si>
    <t xml:space="preserve">wann = khi nào</t>
  </si>
  <si>
    <t xml:space="preserve">Wann beginnt der Film?</t>
  </si>
  <si>
    <t xml:space="preserve">[ˈvan bəˈɡɪnt dɛɐ̯ ˈfɪlm]</t>
  </si>
  <si>
    <t xml:space="preserve">Phim bắt đầu lúc nào?</t>
  </si>
  <si>
    <t xml:space="preserve">wann = khi nào; der Film = bộ phim</t>
  </si>
  <si>
    <t xml:space="preserve">S0126</t>
  </si>
  <si>
    <t xml:space="preserve">warum = tại sao</t>
  </si>
  <si>
    <t xml:space="preserve">Warum bist du so traurig?</t>
  </si>
  <si>
    <t xml:space="preserve">[vaːˈʁʊm bɪst duː zoː ˈtʁaʊʁɪç]</t>
  </si>
  <si>
    <t xml:space="preserve">Sao bạn buồn thế?</t>
  </si>
  <si>
    <t xml:space="preserve">warum = tại sao; traurig = buồn</t>
  </si>
  <si>
    <t xml:space="preserve">S0127</t>
  </si>
  <si>
    <t xml:space="preserve">wie lange = bao lâu</t>
  </si>
  <si>
    <t xml:space="preserve">Wie lange dauert die Fahrt?</t>
  </si>
  <si>
    <t xml:space="preserve">[viː ˈlaŋə ˈdaʊɐt diː ˈfaːɐ̯t]</t>
  </si>
  <si>
    <t xml:space="preserve">Chuyến đi mất bao lâu?</t>
  </si>
  <si>
    <t xml:space="preserve">dauern = kéo dài; die Fahrt = chuyến đi</t>
  </si>
  <si>
    <t xml:space="preserve">S0128</t>
  </si>
  <si>
    <t xml:space="preserve">wie oft = bao lâu một lần</t>
  </si>
  <si>
    <t xml:space="preserve">Wie oft fährst du nach Hause?</t>
  </si>
  <si>
    <t xml:space="preserve">[viː ˈʔɔft ˈfɛːɐ̯st duː naːx ˈhaʊzə]</t>
  </si>
  <si>
    <t xml:space="preserve">Bạn về nhà bao lâu một lần?</t>
  </si>
  <si>
    <t xml:space="preserve">fahren = đi (xe); nach Hause = về nhà</t>
  </si>
  <si>
    <t xml:space="preserve">S0129</t>
  </si>
  <si>
    <t xml:space="preserve">welches + Nomen trung tính</t>
  </si>
  <si>
    <t xml:space="preserve">Welches Buch liest du?</t>
  </si>
  <si>
    <t xml:space="preserve">[ˈvɛlçəs ˈbuːx ˈliːst duː]</t>
  </si>
  <si>
    <t xml:space="preserve">Bạn đang đọc quyển sách nào?</t>
  </si>
  <si>
    <t xml:space="preserve">welches = nào; das Buch = quyển sách; lesen = đọc</t>
  </si>
  <si>
    <t xml:space="preserve">S0130</t>
  </si>
  <si>
    <t xml:space="preserve">wem = ai (Dativ), gehören + Dativ</t>
  </si>
  <si>
    <t xml:space="preserve">Wem gehört diese Tasche?</t>
  </si>
  <si>
    <t xml:space="preserve">[ˈveːm ɡəˈhœʁt ˌdiːzə ˈtaʃə]</t>
  </si>
  <si>
    <t xml:space="preserve">Cái túi này của ai?</t>
  </si>
  <si>
    <t xml:space="preserve">wem = cho ai; gehören = thuộc về; die Tasche = cái túi</t>
  </si>
  <si>
    <t xml:space="preserve">S0131</t>
  </si>
  <si>
    <t xml:space="preserve">wen = ai (Akkusativ)</t>
  </si>
  <si>
    <t xml:space="preserve">Wen rufst du an?</t>
  </si>
  <si>
    <t xml:space="preserve">[ˈveːn ˈʁuːfst duː ˈʔan]</t>
  </si>
  <si>
    <t xml:space="preserve">Bạn gọi cho ai?</t>
  </si>
  <si>
    <t xml:space="preserve">S0132</t>
  </si>
  <si>
    <t xml:space="preserve">woher + wissen</t>
  </si>
  <si>
    <t xml:space="preserve">Woher weißt du das?</t>
  </si>
  <si>
    <t xml:space="preserve">[voːˈheːɐ̯ ˈvaɪst duː das]</t>
  </si>
  <si>
    <t xml:space="preserve">Sao bạn biết chuyện đó?</t>
  </si>
  <si>
    <t xml:space="preserve">wissen = biết</t>
  </si>
  <si>
    <t xml:space="preserve">S0133</t>
  </si>
  <si>
    <t xml:space="preserve">Giới từ + Fragewort</t>
  </si>
  <si>
    <t xml:space="preserve">Mit wem sprichst du?</t>
  </si>
  <si>
    <t xml:space="preserve">[mɪt ˈveːm ˈʃpʁɪkst duː]</t>
  </si>
  <si>
    <t xml:space="preserve">Bạn đang nói chuyện với ai?</t>
  </si>
  <si>
    <t xml:space="preserve">mit = với</t>
  </si>
  <si>
    <t xml:space="preserve">S0134</t>
  </si>
  <si>
    <t xml:space="preserve">wo + r + Präposition (vật)</t>
  </si>
  <si>
    <t xml:space="preserve">Worüber redet ihr?</t>
  </si>
  <si>
    <t xml:space="preserve">[ˈvoːʁyːbɐ ˈʁeːdət ʔiːɐ̯]</t>
  </si>
  <si>
    <t xml:space="preserve">Các bạn nói về chuyện gì?</t>
  </si>
  <si>
    <t xml:space="preserve">reden = nói chuyện; über = về</t>
  </si>
  <si>
    <t xml:space="preserve">S0135</t>
  </si>
  <si>
    <t xml:space="preserve">was für ein = loại nào</t>
  </si>
  <si>
    <t xml:space="preserve">Was für ein Auto hast du?</t>
  </si>
  <si>
    <t xml:space="preserve">[ˈvas fyːɐ̯ ʔaɪn ˈʔaʊtoː hast duː]</t>
  </si>
  <si>
    <t xml:space="preserve">Bạn có loại xe gì?</t>
  </si>
  <si>
    <t xml:space="preserve">das Auto = xe hơi</t>
  </si>
  <si>
    <t xml:space="preserve">S0136</t>
  </si>
  <si>
    <t xml:space="preserve">wie viel Uhr = mấy giờ</t>
  </si>
  <si>
    <t xml:space="preserve">Wie viel Uhr ist es jetzt?</t>
  </si>
  <si>
    <t xml:space="preserve">[viː ˈfiːl ˈʔuːɐ̯ ʔɪst ʔɛs ˈjɛtst]</t>
  </si>
  <si>
    <t xml:space="preserve">Bây giờ mấy giờ?</t>
  </si>
  <si>
    <t xml:space="preserve">die Uhr = đồng hồ/giờ</t>
  </si>
  <si>
    <t xml:space="preserve">S0137</t>
  </si>
  <si>
    <t xml:space="preserve">arbeiten thêm -e- trước -st</t>
  </si>
  <si>
    <t xml:space="preserve">Wo arbeitest du?</t>
  </si>
  <si>
    <t xml:space="preserve">[ˌvoː ˈʔaʁbaɪtəst duː]</t>
  </si>
  <si>
    <t xml:space="preserve">Bạn làm việc ở đâu?</t>
  </si>
  <si>
    <t xml:space="preserve">arbeiten = làm việc</t>
  </si>
  <si>
    <t xml:space="preserve">S0138</t>
  </si>
  <si>
    <t xml:space="preserve">Geburtstag haben = cụm cố định</t>
  </si>
  <si>
    <t xml:space="preserve">Wann hast du Geburtstag?</t>
  </si>
  <si>
    <t xml:space="preserve">[ˈvan hast duː ɡəˈbʊʁtstaːk]</t>
  </si>
  <si>
    <t xml:space="preserve">Sinh nhật bạn khi nào?</t>
  </si>
  <si>
    <t xml:space="preserve">der Geburtstag = sinh nhật</t>
  </si>
  <si>
    <t xml:space="preserve">S0139</t>
  </si>
  <si>
    <t xml:space="preserve">warum + Verb</t>
  </si>
  <si>
    <t xml:space="preserve">Warum lernst du Deutsch?</t>
  </si>
  <si>
    <t xml:space="preserve">[vaːˈʁʊm ˈlɛʁnst duː ˈdɔøtʃ]</t>
  </si>
  <si>
    <t xml:space="preserve">Sao bạn học tiếng Đức?</t>
  </si>
  <si>
    <t xml:space="preserve">lernen = học</t>
  </si>
  <si>
    <t xml:space="preserve">S0140</t>
  </si>
  <si>
    <t xml:space="preserve">Câu phụ</t>
  </si>
  <si>
    <t xml:space="preserve">weil đẩy Verb xuống cuối câu</t>
  </si>
  <si>
    <t xml:space="preserve">Weil ich in Deutschland studieren möchte.</t>
  </si>
  <si>
    <t xml:space="preserve">[ˌvaɪl ʔɪç ʔɪn ˈdɔøtʃlant ʃtuːˈdiːʁən ˈmœçtə]</t>
  </si>
  <si>
    <t xml:space="preserve">Vì tôi muốn học đại học ở Đức.</t>
  </si>
  <si>
    <t xml:space="preserve">weil = bởi vì</t>
  </si>
  <si>
    <t xml:space="preserve">S0141</t>
  </si>
  <si>
    <t xml:space="preserve">Nghề nghiệp &amp; Công việc</t>
  </si>
  <si>
    <t xml:space="preserve">als + nghề</t>
  </si>
  <si>
    <t xml:space="preserve">Ich arbeite als Softwareentwickler.</t>
  </si>
  <si>
    <t xml:space="preserve">[ʔɪç ˈʔaʁbaɪtə ʔals ˈzɔftvaˌʁeːntvɪklɐ]</t>
  </si>
  <si>
    <t xml:space="preserve">Tôi làm lập trình viên.</t>
  </si>
  <si>
    <t xml:space="preserve">der Softwareentwickler = lập trình viên</t>
  </si>
  <si>
    <t xml:space="preserve">S0142</t>
  </si>
  <si>
    <t xml:space="preserve">Mein Arbeitstag beginnt um acht Uhr.</t>
  </si>
  <si>
    <t xml:space="preserve">[maɪn ˈʔaʁbaɪtˌstaːk bəˈɡɪnt ʔʊm ˈʔaxt ˈʔuːɐ̯]</t>
  </si>
  <si>
    <t xml:space="preserve">Ngày làm việc của tôi bắt đầu lúc 8 giờ.</t>
  </si>
  <si>
    <t xml:space="preserve">der Arbeitstag = ngày làm việc</t>
  </si>
  <si>
    <t xml:space="preserve">S0143</t>
  </si>
  <si>
    <t xml:space="preserve">pro + đơn vị</t>
  </si>
  <si>
    <t xml:space="preserve">Ich arbeite vierzig Stunden pro Woche.</t>
  </si>
  <si>
    <t xml:space="preserve">[ʔɪç ˈʔaʁbaɪtə ˈfiːɐ̯tsɪç ˈʃtʊndən pʁoː ˈvɔxə]</t>
  </si>
  <si>
    <t xml:space="preserve">Tôi làm 40 tiếng một tuần.</t>
  </si>
  <si>
    <t xml:space="preserve">die Stunde = giờ; die Woche = tuần</t>
  </si>
  <si>
    <t xml:space="preserve">S0144</t>
  </si>
  <si>
    <t xml:space="preserve">gefallen + Dativ (chủ ngữ là vật)</t>
  </si>
  <si>
    <t xml:space="preserve">Gefällt dir deine Arbeit?</t>
  </si>
  <si>
    <t xml:space="preserve">[ɡəˈfɛlt diːɐ̯ ˌdaɪnə ˈʔaʁbaɪt]</t>
  </si>
  <si>
    <t xml:space="preserve">Bạn có thích công việc của mình không?</t>
  </si>
  <si>
    <t xml:space="preserve">gefallen = làm hài lòng; die Arbeit = công việc</t>
  </si>
  <si>
    <t xml:space="preserve">S0145</t>
  </si>
  <si>
    <t xml:space="preserve">Spaß machen + Dativ</t>
  </si>
  <si>
    <t xml:space="preserve">Ja, die Arbeit macht mir Spaß.</t>
  </si>
  <si>
    <t xml:space="preserve">[ˈjaː, diː ˈʔaʁbaɪt ˈmaxt miːɐ̯ ˈʃpaːs]</t>
  </si>
  <si>
    <t xml:space="preserve">Có, công việc làm tôi thấy vui.</t>
  </si>
  <si>
    <t xml:space="preserve">der Spaß = niềm vui</t>
  </si>
  <si>
    <t xml:space="preserve">S0146</t>
  </si>
  <si>
    <t xml:space="preserve">Akkusativ đực với tính từ</t>
  </si>
  <si>
    <t xml:space="preserve">Ich suche einen neuen Job.</t>
  </si>
  <si>
    <t xml:space="preserve">[ʔɪç ˈzuːxə ˌʔaɪnən ˈnɔøən (en)dˈʒɒb(de)]</t>
  </si>
  <si>
    <t xml:space="preserve">Tôi đang tìm việc mới.</t>
  </si>
  <si>
    <t xml:space="preserve">suchen = tìm</t>
  </si>
  <si>
    <t xml:space="preserve">S0147</t>
  </si>
  <si>
    <t xml:space="preserve">Perfekt: haben + Partizip II</t>
  </si>
  <si>
    <t xml:space="preserve">Ich habe eine Bewerbung geschrieben.</t>
  </si>
  <si>
    <t xml:space="preserve">[ʔɪç haːbə ˌʔaɪnə bəˈvɛʁbʊŋ ɡəˈʃʁiːbən]</t>
  </si>
  <si>
    <t xml:space="preserve">Tôi đã viết một đơn xin việc.</t>
  </si>
  <si>
    <t xml:space="preserve">die Bewerbung = đơn xin việc</t>
  </si>
  <si>
    <t xml:space="preserve">S0148</t>
  </si>
  <si>
    <t xml:space="preserve">Trạng từ đầu câu -&gt; đảo Verb-Subjekt</t>
  </si>
  <si>
    <t xml:space="preserve">Morgen habe ich ein Vorstellungsgespräch.</t>
  </si>
  <si>
    <t xml:space="preserve">[ˈmɔʁɡən haːbə ʔɪç ʔaɪn ˈfoːɐ̯ˌʃtɛlʊŋsɡəˌʃpʁɛːç]</t>
  </si>
  <si>
    <t xml:space="preserve">Mai tôi có buổi phỏng vấn.</t>
  </si>
  <si>
    <t xml:space="preserve">das Vorstellungsgespräch = phỏng vấn</t>
  </si>
  <si>
    <t xml:space="preserve">S0149</t>
  </si>
  <si>
    <t xml:space="preserve">Mein Chef ist sehr streng.</t>
  </si>
  <si>
    <t xml:space="preserve">[maɪn ˈʃɛf ʔɪst ˈzeːɐ̯ ˈʃtʁɛŋ]</t>
  </si>
  <si>
    <t xml:space="preserve">Sếp tôi rất nghiêm.</t>
  </si>
  <si>
    <t xml:space="preserve">der Chef = sếp; streng = nghiêm khắc</t>
  </si>
  <si>
    <t xml:space="preserve">S0150</t>
  </si>
  <si>
    <t xml:space="preserve">im = in dem</t>
  </si>
  <si>
    <t xml:space="preserve">Ich arbeite im Homeoffice.</t>
  </si>
  <si>
    <t xml:space="preserve">[ʔɪç ˈʔaʁbaɪtə ʔɪm ˈhoːmeːˌɔfiːkə]</t>
  </si>
  <si>
    <t xml:space="preserve">Tôi làm việc tại nhà.</t>
  </si>
  <si>
    <t xml:space="preserve">das Homeoffice = làm việc từ xa</t>
  </si>
  <si>
    <t xml:space="preserve">S0151</t>
  </si>
  <si>
    <t xml:space="preserve">Können wir einen Termin vereinbaren?</t>
  </si>
  <si>
    <t xml:space="preserve">[ˌkœnən viːɐ̯ ˌʔaɪnən tɛʁˈmiːn fɛˈʁaɪnbaːʁən]</t>
  </si>
  <si>
    <t xml:space="preserve">Chúng ta hẹn một cuộc gặp được không?</t>
  </si>
  <si>
    <t xml:space="preserve">der Termin = cuộc hẹn; vereinbaren = thỏa thuận</t>
  </si>
  <si>
    <t xml:space="preserve">S0152</t>
  </si>
  <si>
    <t xml:space="preserve">Ich bin gerade in einer Besprechung.</t>
  </si>
  <si>
    <t xml:space="preserve">[ʔɪç bɪn ɡəˈʁaːdə ʔɪn ˌʔaɪnɐ bəˈʃpʁɛçʊŋ]</t>
  </si>
  <si>
    <t xml:space="preserve">Tôi đang trong cuộc họp.</t>
  </si>
  <si>
    <t xml:space="preserve">die Besprechung = cuộc họp</t>
  </si>
  <si>
    <t xml:space="preserve">S0153</t>
  </si>
  <si>
    <t xml:space="preserve">Das Gehalt ist nicht schlecht.</t>
  </si>
  <si>
    <t xml:space="preserve">[das ɡəˈhalt ʔɪst ˈnɪçt ˈʃlɛçt]</t>
  </si>
  <si>
    <t xml:space="preserve">Lương không tệ.</t>
  </si>
  <si>
    <t xml:space="preserve">das Gehalt = lương; schlecht = tệ</t>
  </si>
  <si>
    <t xml:space="preserve">S0154</t>
  </si>
  <si>
    <t xml:space="preserve">Akkusativ thời gian</t>
  </si>
  <si>
    <t xml:space="preserve">Ich mache nächste Woche Urlaub.</t>
  </si>
  <si>
    <t xml:space="preserve">[ʔɪç ˈmaxə ˈnɛçstə ˈvɔxə ˈʔuːɐ̯laʊp]</t>
  </si>
  <si>
    <t xml:space="preserve">Tuần sau tôi đi nghỉ.</t>
  </si>
  <si>
    <t xml:space="preserve">der Urlaub = kỳ nghỉ; nächste = tiếp theo</t>
  </si>
  <si>
    <t xml:space="preserve">S0155</t>
  </si>
  <si>
    <t xml:space="preserve">Perfekt + seinen (Akk đực)</t>
  </si>
  <si>
    <t xml:space="preserve">Er hat seinen Job gekündigt.</t>
  </si>
  <si>
    <t xml:space="preserve">[ʔɛɐ̯ hat ˌzaɪnən (en)dˈʒɒb(de) ɡəˈkyndɪçt]</t>
  </si>
  <si>
    <t xml:space="preserve">Anh ấy đã nghỉ việc.</t>
  </si>
  <si>
    <t xml:space="preserve">kündigen = nghỉ việc/chấm dứt</t>
  </si>
  <si>
    <t xml:space="preserve">S0156</t>
  </si>
  <si>
    <t xml:space="preserve">müssen + Infinitiv cuối</t>
  </si>
  <si>
    <t xml:space="preserve">Ich muss noch eine E-Mail schreiben.</t>
  </si>
  <si>
    <t xml:space="preserve">[ʔɪç ˈmʊs nɔx ˌʔaɪnə ˈʔeː(en)ˈmeɪl(de) ˈʃʁaɪbən]</t>
  </si>
  <si>
    <t xml:space="preserve">Tôi còn phải viết một email.</t>
  </si>
  <si>
    <t xml:space="preserve">müssen = phải</t>
  </si>
  <si>
    <t xml:space="preserve">S0157</t>
  </si>
  <si>
    <t xml:space="preserve">viel zu tun = cụm cố định</t>
  </si>
  <si>
    <t xml:space="preserve">Wir haben heute viel zu tun.</t>
  </si>
  <si>
    <t xml:space="preserve">[viːɐ̯ ˌhaːbən ˈhɔøtə ˈfiːl tsuː ˈtuːn]</t>
  </si>
  <si>
    <t xml:space="preserve">Hôm nay chúng tôi nhiều việc lắm.</t>
  </si>
  <si>
    <t xml:space="preserve">viel = nhiều</t>
  </si>
  <si>
    <t xml:space="preserve">S0158</t>
  </si>
  <si>
    <t xml:space="preserve">Adjektiv + số nhiều không Artikel</t>
  </si>
  <si>
    <t xml:space="preserve">Die Firma sucht neue Mitarbeiter.</t>
  </si>
  <si>
    <t xml:space="preserve">[diː ˈfɪʁmaː ˈzuːxt ˈnɔøə ˈmɪˌtaʁbaɪtɐ]</t>
  </si>
  <si>
    <t xml:space="preserve">Công ty đang tuyển nhân viên mới.</t>
  </si>
  <si>
    <t xml:space="preserve">der Mitarbeiter = nhân viên</t>
  </si>
  <si>
    <t xml:space="preserve">S0159</t>
  </si>
  <si>
    <t xml:space="preserve">zum + Infinitiv danh hóa</t>
  </si>
  <si>
    <t xml:space="preserve">Ich verdiene genug zum Leben.</t>
  </si>
  <si>
    <t xml:space="preserve">[ʔɪç fɛʁˈdiːnə ɡəˈnuːk tsʊm ˈleːbən]</t>
  </si>
  <si>
    <t xml:space="preserve">Tôi kiếm đủ sống.</t>
  </si>
  <si>
    <t xml:space="preserve">verdienen = kiếm tiền; genug = đủ</t>
  </si>
  <si>
    <t xml:space="preserve">S0160</t>
  </si>
  <si>
    <t xml:space="preserve">am + thứ trong tuần</t>
  </si>
  <si>
    <t xml:space="preserve">Hast du am Freitag frei?</t>
  </si>
  <si>
    <t xml:space="preserve">[hast duː ʔam ˈfʁaɪtaːk ˈfʁaɪ]</t>
  </si>
  <si>
    <t xml:space="preserve">Thứ Sáu bạn được nghỉ không?</t>
  </si>
  <si>
    <t xml:space="preserve">frei haben = được nghỉ; der Freitag = thứ Sáu</t>
  </si>
  <si>
    <t xml:space="preserve">S0161</t>
  </si>
  <si>
    <t xml:space="preserve">Động từ thường (Präsens)</t>
  </si>
  <si>
    <t xml:space="preserve">Trật tự: Subjekt-Verb-Zeit-Objekt</t>
  </si>
  <si>
    <t xml:space="preserve">Ich lerne jeden Abend Deutsch.</t>
  </si>
  <si>
    <t xml:space="preserve">[ʔɪç ˈlɛʁnə ˈjeːdən ˈʔaːbənt ˈdɔøtʃ]</t>
  </si>
  <si>
    <t xml:space="preserve">Tối nào tôi cũng học tiếng Đức.</t>
  </si>
  <si>
    <t xml:space="preserve">jeden Abend = mỗi tối</t>
  </si>
  <si>
    <t xml:space="preserve">S0162</t>
  </si>
  <si>
    <t xml:space="preserve">machen chia với du: -st</t>
  </si>
  <si>
    <t xml:space="preserve">Du machst das sehr gut.</t>
  </si>
  <si>
    <t xml:space="preserve">[duː ˈmaxst das ˈzeːɐ̯ ˈɡuːt]</t>
  </si>
  <si>
    <t xml:space="preserve">Bạn làm việc đó rất tốt.</t>
  </si>
  <si>
    <t xml:space="preserve">machen = làm</t>
  </si>
  <si>
    <t xml:space="preserve">S0163</t>
  </si>
  <si>
    <t xml:space="preserve">gern + Verb = thích làm gì</t>
  </si>
  <si>
    <t xml:space="preserve">Er spielt gern Fußball.</t>
  </si>
  <si>
    <t xml:space="preserve">[ʔɛɐ̯ ˈʃpiːlt ˈɡɛʁn ˈfʊsbal]</t>
  </si>
  <si>
    <t xml:space="preserve">Anh ấy thích chơi bóng đá.</t>
  </si>
  <si>
    <t xml:space="preserve">spielen = chơi; gern = thích; der Fußball = bóng đá</t>
  </si>
  <si>
    <t xml:space="preserve">S0164</t>
  </si>
  <si>
    <t xml:space="preserve">im + Dativ</t>
  </si>
  <si>
    <t xml:space="preserve">Wir kaufen Brot im Supermarkt.</t>
  </si>
  <si>
    <t xml:space="preserve">[viːɐ̯ ˈkaʊfən ˈbʁoːt ʔɪm ˈzuːpɐˌmaʁkt]</t>
  </si>
  <si>
    <t xml:space="preserve">Chúng tôi mua bánh mì ở siêu thị.</t>
  </si>
  <si>
    <t xml:space="preserve">kaufen = mua; das Brot = bánh mì; der Supermarkt = siêu thị</t>
  </si>
  <si>
    <t xml:space="preserve">S0165</t>
  </si>
  <si>
    <t xml:space="preserve">Adjektivdeklination Dativ giống cái</t>
  </si>
  <si>
    <t xml:space="preserve">Ihr wohnt in einer schönen Stadt.</t>
  </si>
  <si>
    <t xml:space="preserve">[ʔiːɐ̯ ˈvoːnt ʔɪn ˌʔaɪnɐ ˈʃøːnən ˈʃtat]</t>
  </si>
  <si>
    <t xml:space="preserve">Các bạn sống ở một thành phố đẹp.</t>
  </si>
  <si>
    <t xml:space="preserve">schön = đẹp</t>
  </si>
  <si>
    <t xml:space="preserve">S0166</t>
  </si>
  <si>
    <t xml:space="preserve">arbeiten + -en số nhiều</t>
  </si>
  <si>
    <t xml:space="preserve">Sie arbeiten jeden Tag hart.</t>
  </si>
  <si>
    <t xml:space="preserve">[ziː ˈʔaʁbaɪtən ˈjeːdən ˈtaːk ˈhaʁt]</t>
  </si>
  <si>
    <t xml:space="preserve">Họ làm việc vất vả mỗi ngày.</t>
  </si>
  <si>
    <t xml:space="preserve">hart = vất vả</t>
  </si>
  <si>
    <t xml:space="preserve">S0167</t>
  </si>
  <si>
    <t xml:space="preserve">gern + Verb</t>
  </si>
  <si>
    <t xml:space="preserve">Ich höre gern Musik.</t>
  </si>
  <si>
    <t xml:space="preserve">[ʔɪç ˈhøːʁə ˈɡɛʁn muːˈziːk]</t>
  </si>
  <si>
    <t xml:space="preserve">Tôi thích nghe nhạc.</t>
  </si>
  <si>
    <t xml:space="preserve">hören = nghe; die Musik = âm nhạc</t>
  </si>
  <si>
    <t xml:space="preserve">S0168</t>
  </si>
  <si>
    <t xml:space="preserve">zu viel = quá nhiều</t>
  </si>
  <si>
    <t xml:space="preserve">Er fragt immer zu viel.</t>
  </si>
  <si>
    <t xml:space="preserve">[ʔɛɐ̯ ˈfʁaːkt ˈʔɪmɐ tsuː ˈfiːl]</t>
  </si>
  <si>
    <t xml:space="preserve">Anh ấy lúc nào cũng hỏi quá nhiều.</t>
  </si>
  <si>
    <t xml:space="preserve">immer = luôn luôn; zu viel = quá nhiều</t>
  </si>
  <si>
    <t xml:space="preserve">S0169</t>
  </si>
  <si>
    <t xml:space="preserve">warten auf + Akkusativ</t>
  </si>
  <si>
    <t xml:space="preserve">Wir warten auf den Bus.</t>
  </si>
  <si>
    <t xml:space="preserve">[viːɐ̯ ˈvaʁtən ʔaʊf deːn ˈbʊs]</t>
  </si>
  <si>
    <t xml:space="preserve">Chúng tôi đang chờ xe buýt.</t>
  </si>
  <si>
    <t xml:space="preserve">warten = chờ; der Bus = xe buýt</t>
  </si>
  <si>
    <t xml:space="preserve">S0170</t>
  </si>
  <si>
    <t xml:space="preserve">Dativ (mir) trước Akkusativ (den Weg)</t>
  </si>
  <si>
    <t xml:space="preserve">Sie zeigt mir den Weg.</t>
  </si>
  <si>
    <t xml:space="preserve">[ziː ˈtsaɪkt miːɐ̯ deːn ˈveːk]</t>
  </si>
  <si>
    <t xml:space="preserve">Cô ấy chỉ đường cho tôi.</t>
  </si>
  <si>
    <t xml:space="preserve">zeigen = chỉ; der Weg = con đường</t>
  </si>
  <si>
    <t xml:space="preserve">S0171</t>
  </si>
  <si>
    <t xml:space="preserve">brauchen + Akkusativ</t>
  </si>
  <si>
    <t xml:space="preserve">Ich brauche deine Hilfe.</t>
  </si>
  <si>
    <t xml:space="preserve">[ʔɪç ˈbʁaʊxə ˌdaɪnə ˈhɪlfə]</t>
  </si>
  <si>
    <t xml:space="preserve">Tôi cần bạn giúp.</t>
  </si>
  <si>
    <t xml:space="preserve">brauchen = cần; die Hilfe = sự giúp đỡ</t>
  </si>
  <si>
    <t xml:space="preserve">S0172</t>
  </si>
  <si>
    <t xml:space="preserve">noch einmal = thêm lần nữa</t>
  </si>
  <si>
    <t xml:space="preserve">Er erklärt die Regel noch einmal.</t>
  </si>
  <si>
    <t xml:space="preserve">[ʔɛɐ̯ ʔɛʁˈklɛʁt diː ˈʁeːɡəl nɔx ˈʔaɪnˌmaːl]</t>
  </si>
  <si>
    <t xml:space="preserve">Anh ấy giải thích quy tắc thêm lần nữa.</t>
  </si>
  <si>
    <t xml:space="preserve">erklären = giải thích; die Regel = quy tắc</t>
  </si>
  <si>
    <t xml:space="preserve">S0173</t>
  </si>
  <si>
    <t xml:space="preserve">meinen = Akkusativ đực</t>
  </si>
  <si>
    <t xml:space="preserve">Wir feiern heute meinen Geburtstag.</t>
  </si>
  <si>
    <t xml:space="preserve">[viːɐ̯ ˈfaɪɐn ˈhɔøtə ˌmaɪnən ɡəˈbʊʁtstaːk]</t>
  </si>
  <si>
    <t xml:space="preserve">Hôm nay chúng tôi mừng sinh nhật tôi.</t>
  </si>
  <si>
    <t xml:space="preserve">feiern = ăn mừng</t>
  </si>
  <si>
    <t xml:space="preserve">S0174</t>
  </si>
  <si>
    <t xml:space="preserve">Adverb laut</t>
  </si>
  <si>
    <t xml:space="preserve">Das Kind weint sehr laut.</t>
  </si>
  <si>
    <t xml:space="preserve">[das ˈkɪnt ˈvaɪnt ˈzeːɐ̯ ˈlaʊt]</t>
  </si>
  <si>
    <t xml:space="preserve">Đứa trẻ khóc rất to.</t>
  </si>
  <si>
    <t xml:space="preserve">weinen = khóc; laut = to/ồn</t>
  </si>
  <si>
    <t xml:space="preserve">S0175</t>
  </si>
  <si>
    <t xml:space="preserve">mit + Dativ (không Artikel)</t>
  </si>
  <si>
    <t xml:space="preserve">Ich bezahle mit Karte.</t>
  </si>
  <si>
    <t xml:space="preserve">[ʔɪç bəˈtsaːlə mɪt ˈkaʁtə]</t>
  </si>
  <si>
    <t xml:space="preserve">Tôi trả bằng thẻ.</t>
  </si>
  <si>
    <t xml:space="preserve">bezahlen = trả tiền; die Karte = thẻ</t>
  </si>
  <si>
    <t xml:space="preserve">S0176</t>
  </si>
  <si>
    <t xml:space="preserve">Adverb không chia</t>
  </si>
  <si>
    <t xml:space="preserve">Sie lächelt immer freundlich.</t>
  </si>
  <si>
    <t xml:space="preserve">[ziː ˈlɛçəlt ˈʔɪmɐ ˈfʁɔøntlɪç]</t>
  </si>
  <si>
    <t xml:space="preserve">Cô ấy luôn cười thân thiện.</t>
  </si>
  <si>
    <t xml:space="preserve">lächeln = mỉm cười</t>
  </si>
  <si>
    <t xml:space="preserve">S0177</t>
  </si>
  <si>
    <t xml:space="preserve">zusammen = cùng nhau</t>
  </si>
  <si>
    <t xml:space="preserve">Wir üben zusammen Grammatik.</t>
  </si>
  <si>
    <t xml:space="preserve">[viːɐ̯ ˈʔyːbən tsuːˈzamən ɡʁaˈmatiːk]</t>
  </si>
  <si>
    <t xml:space="preserve">Chúng tôi luyện ngữ pháp cùng nhau.</t>
  </si>
  <si>
    <t xml:space="preserve">zusammen = cùng nhau; die Grammatik = ngữ pháp</t>
  </si>
  <si>
    <t xml:space="preserve">S0178</t>
  </si>
  <si>
    <t xml:space="preserve">Er sammelt alte Briefmarken.</t>
  </si>
  <si>
    <t xml:space="preserve">[ʔɛɐ̯ ˈzaməlt ˈʔaltə ˈbʁiːfmaʁkən]</t>
  </si>
  <si>
    <t xml:space="preserve">Anh ấy sưu tầm tem cũ.</t>
  </si>
  <si>
    <t xml:space="preserve">sammeln = sưu tầm; die Briefmarke = con tem</t>
  </si>
  <si>
    <t xml:space="preserve">S0179</t>
  </si>
  <si>
    <t xml:space="preserve">danken + Dativ</t>
  </si>
  <si>
    <t xml:space="preserve">Ich danke dir von Herzen.</t>
  </si>
  <si>
    <t xml:space="preserve">[ʔɪç ˈdaŋkə diːɐ̯ fɔn ˈhɛʁtsən]</t>
  </si>
  <si>
    <t xml:space="preserve">Tôi cảm ơn bạn từ tận đáy lòng.</t>
  </si>
  <si>
    <t xml:space="preserve">danken = cảm ơn; das Herz = trái tim</t>
  </si>
  <si>
    <t xml:space="preserve">S0180</t>
  </si>
  <si>
    <t xml:space="preserve">antworten auf + Akkusativ</t>
  </si>
  <si>
    <t xml:space="preserve">Sie antwortet nicht auf meine Frage.</t>
  </si>
  <si>
    <t xml:space="preserve">[ziː ˈʔantvɔʁtət ˈnɪçt ʔaʊf ˌmaɪnə ˈfʁaːɡə]</t>
  </si>
  <si>
    <t xml:space="preserve">Cô ấy không trả lời câu hỏi của tôi.</t>
  </si>
  <si>
    <t xml:space="preserve">antworten = trả lời</t>
  </si>
  <si>
    <t xml:space="preserve">S0181</t>
  </si>
  <si>
    <t xml:space="preserve">Mạo từ &amp; Danh từ</t>
  </si>
  <si>
    <t xml:space="preserve">der = giống đực; aus + chất liệu</t>
  </si>
  <si>
    <t xml:space="preserve">Der Tisch ist aus Holz.</t>
  </si>
  <si>
    <t xml:space="preserve">[dɛɐ̯ ˈtɪʃ ʔɪst ˌʔaʊs ˈhɔlts]</t>
  </si>
  <si>
    <t xml:space="preserve">Cái bàn làm bằng gỗ.</t>
  </si>
  <si>
    <t xml:space="preserve">der Tisch = cái bàn; das Holz = gỗ</t>
  </si>
  <si>
    <t xml:space="preserve">S0182</t>
  </si>
  <si>
    <t xml:space="preserve">die = giống cái</t>
  </si>
  <si>
    <t xml:space="preserve">Die Lampe ist kaputt.</t>
  </si>
  <si>
    <t xml:space="preserve">[diː ˈlampə ʔɪst ˈkapʊt]</t>
  </si>
  <si>
    <t xml:space="preserve">Cái đèn hỏng rồi.</t>
  </si>
  <si>
    <t xml:space="preserve">die Lampe = cái đèn; kaputt = hỏng</t>
  </si>
  <si>
    <t xml:space="preserve">S0183</t>
  </si>
  <si>
    <t xml:space="preserve">das = giống trung</t>
  </si>
  <si>
    <t xml:space="preserve">Das Fenster ist offen.</t>
  </si>
  <si>
    <t xml:space="preserve">[das ˈfɛnstɐ ʔɪst ˈʔɔfən]</t>
  </si>
  <si>
    <t xml:space="preserve">Cửa sổ đang mở.</t>
  </si>
  <si>
    <t xml:space="preserve">das Fenster = cửa sổ; offen = mở</t>
  </si>
  <si>
    <t xml:space="preserve">S0184</t>
  </si>
  <si>
    <t xml:space="preserve">Số nhiều luôn dùng die; auf + Dativ</t>
  </si>
  <si>
    <t xml:space="preserve">Die Bücher liegen auf dem Tisch.</t>
  </si>
  <si>
    <t xml:space="preserve">[diː ˈbyːçɐ ˈliːɡən ʔaʊf deːm ˈtɪʃ]</t>
  </si>
  <si>
    <t xml:space="preserve">Những quyển sách nằm trên bàn.</t>
  </si>
  <si>
    <t xml:space="preserve">liegen = nằm; das Buch/die Bücher = sách</t>
  </si>
  <si>
    <t xml:space="preserve">S0185</t>
  </si>
  <si>
    <t xml:space="preserve">einen = Akkusativ đực</t>
  </si>
  <si>
    <t xml:space="preserve">Ich kaufe einen Stuhl.</t>
  </si>
  <si>
    <t xml:space="preserve">[ʔɪç ˈkaʊfə ˌʔaɪnən ˈʃtuːl]</t>
  </si>
  <si>
    <t xml:space="preserve">Tôi mua một cái ghế.</t>
  </si>
  <si>
    <t xml:space="preserve">der Stuhl = cái ghế</t>
  </si>
  <si>
    <t xml:space="preserve">S0186</t>
  </si>
  <si>
    <t xml:space="preserve">eine = Akkusativ giống cái</t>
  </si>
  <si>
    <t xml:space="preserve">Sie hat eine Idee.</t>
  </si>
  <si>
    <t xml:space="preserve">[ziː hat ˌʔaɪnə ʔiːˈdeː]</t>
  </si>
  <si>
    <t xml:space="preserve">Cô ấy có một ý tưởng.</t>
  </si>
  <si>
    <t xml:space="preserve">die Idee = ý tưởng</t>
  </si>
  <si>
    <t xml:space="preserve">S0187</t>
  </si>
  <si>
    <t xml:space="preserve">ein = Akkusativ trung tính</t>
  </si>
  <si>
    <t xml:space="preserve">Wir brauchen ein Auto.</t>
  </si>
  <si>
    <t xml:space="preserve">[viːɐ̯ ˈbʁaʊxən ʔaɪn ˈʔaʊtoː]</t>
  </si>
  <si>
    <t xml:space="preserve">Chúng tôi cần một chiếc xe.</t>
  </si>
  <si>
    <t xml:space="preserve">S0188</t>
  </si>
  <si>
    <t xml:space="preserve">Genitiv: des + -s</t>
  </si>
  <si>
    <t xml:space="preserve">Der Hund des Nachbarn bellt laut.</t>
  </si>
  <si>
    <t xml:space="preserve">[dɛɐ̯ ˈhʊnt dɛs ˈnaxbaʁn ˈbɛlt ˈlaʊt]</t>
  </si>
  <si>
    <t xml:space="preserve">Con chó của hàng xóm sủa to.</t>
  </si>
  <si>
    <t xml:space="preserve">der Nachbar = hàng xóm; bellen = sủa</t>
  </si>
  <si>
    <t xml:space="preserve">S0189</t>
  </si>
  <si>
    <t xml:space="preserve">Dativ (dem Kind) + Akkusativ</t>
  </si>
  <si>
    <t xml:space="preserve">Ich gebe dem Kind ein Geschenk.</t>
  </si>
  <si>
    <t xml:space="preserve">[ʔɪç ˈɡeːbə deːm ˈkɪnt ʔaɪn ɡəˈʃɛŋk]</t>
  </si>
  <si>
    <t xml:space="preserve">Tôi tặng đứa trẻ một món quà.</t>
  </si>
  <si>
    <t xml:space="preserve">geben = đưa/tặng; das Geschenk = món quà</t>
  </si>
  <si>
    <t xml:space="preserve">S0190</t>
  </si>
  <si>
    <t xml:space="preserve">Genitiv giống cái: der</t>
  </si>
  <si>
    <t xml:space="preserve">Die Farbe der Wand gefällt mir.</t>
  </si>
  <si>
    <t xml:space="preserve">[diː ˈfaʁbə dɛɐ̯ ˈvant ɡəˈfɛlt ˈmiːɐ̯]</t>
  </si>
  <si>
    <t xml:space="preserve">Tôi thích màu của bức tường.</t>
  </si>
  <si>
    <t xml:space="preserve">die Farbe = màu sắc; die Wand = bức tường</t>
  </si>
  <si>
    <t xml:space="preserve">S0191</t>
  </si>
  <si>
    <t xml:space="preserve">kein + Nomen đực</t>
  </si>
  <si>
    <t xml:space="preserve">Kein Mensch weiß das.</t>
  </si>
  <si>
    <t xml:space="preserve">[ˈkaɪn ˈmɛnʃ ˈvaɪs das]</t>
  </si>
  <si>
    <t xml:space="preserve">Không ai biết chuyện đó.</t>
  </si>
  <si>
    <t xml:space="preserve">der Mensch = con người</t>
  </si>
  <si>
    <t xml:space="preserve">S0192</t>
  </si>
  <si>
    <t xml:space="preserve">nicht + Possessivartikel</t>
  </si>
  <si>
    <t xml:space="preserve">Das ist nicht mein Schlüssel.</t>
  </si>
  <si>
    <t xml:space="preserve">[das ʔɪst ˈnɪçt maɪn ˈʃlysəl]</t>
  </si>
  <si>
    <t xml:space="preserve">Đó không phải chìa khóa của tôi.</t>
  </si>
  <si>
    <t xml:space="preserve">der Schlüssel = chìa khóa</t>
  </si>
  <si>
    <t xml:space="preserve">S0193</t>
  </si>
  <si>
    <t xml:space="preserve">Perfekt, Partizip không ge-</t>
  </si>
  <si>
    <t xml:space="preserve">Hast du den Brief bekommen?</t>
  </si>
  <si>
    <t xml:space="preserve">[hast duː deːn ˈbʁiːf bəˈkɔmən]</t>
  </si>
  <si>
    <t xml:space="preserve">Bạn nhận được thư chưa?</t>
  </si>
  <si>
    <t xml:space="preserve">der Brief = lá thư; bekommen = nhận được</t>
  </si>
  <si>
    <t xml:space="preserve">S0194</t>
  </si>
  <si>
    <t xml:space="preserve">Số nhiều + im</t>
  </si>
  <si>
    <t xml:space="preserve">Die Kinder spielen im Garten.</t>
  </si>
  <si>
    <t xml:space="preserve">[diː ˈkɪndɐ ˈʃpiːlən ʔɪm ˈɡaʁtən]</t>
  </si>
  <si>
    <t xml:space="preserve">Bọn trẻ chơi trong vườn.</t>
  </si>
  <si>
    <t xml:space="preserve">der Garten = khu vườn</t>
  </si>
  <si>
    <t xml:space="preserve">S0195</t>
  </si>
  <si>
    <t xml:space="preserve">meine + Akkusativ giống cái</t>
  </si>
  <si>
    <t xml:space="preserve">Ich suche meine Brille.</t>
  </si>
  <si>
    <t xml:space="preserve">[ʔɪç ˈzuːxə ˌmaɪnə ˈbʁɪlə]</t>
  </si>
  <si>
    <t xml:space="preserve">Tôi đang tìm cái kính của mình.</t>
  </si>
  <si>
    <t xml:space="preserve">die Brille = cái kính</t>
  </si>
  <si>
    <t xml:space="preserve">S0196</t>
  </si>
  <si>
    <t xml:space="preserve">neben + Dativ (vị trí)</t>
  </si>
  <si>
    <t xml:space="preserve">Der Schlüssel liegt neben der Tür.</t>
  </si>
  <si>
    <t xml:space="preserve">[dɛɐ̯ ˈʃlysəl ˈliːkt ˌneːbən dɛɐ̯ ˈtyːɐ̯]</t>
  </si>
  <si>
    <t xml:space="preserve">Chìa khóa nằm cạnh cửa.</t>
  </si>
  <si>
    <t xml:space="preserve">neben = bên cạnh; die Tür = cánh cửa</t>
  </si>
  <si>
    <t xml:space="preserve">S0197</t>
  </si>
  <si>
    <t xml:space="preserve">Nomen không đếm được</t>
  </si>
  <si>
    <t xml:space="preserve">Das Wasser ist sehr heiß.</t>
  </si>
  <si>
    <t xml:space="preserve">[das ˈvasɐ ʔɪst ˈzeːɐ̯ ˈhaɪs]</t>
  </si>
  <si>
    <t xml:space="preserve">Nước rất nóng.</t>
  </si>
  <si>
    <t xml:space="preserve">das Wasser = nước; heiß = nóng</t>
  </si>
  <si>
    <t xml:space="preserve">S0198</t>
  </si>
  <si>
    <t xml:space="preserve">nach + tên thành phố</t>
  </si>
  <si>
    <t xml:space="preserve">Ich nehme den Zug nach Köln.</t>
  </si>
  <si>
    <t xml:space="preserve">[ʔɪç ˈneːmə deːn ˈtsuːk naːx ˈkœln]</t>
  </si>
  <si>
    <t xml:space="preserve">Tôi đi tàu đến Köln.</t>
  </si>
  <si>
    <t xml:space="preserve">nehmen = lấy/đi; der Zug = tàu hỏa</t>
  </si>
  <si>
    <t xml:space="preserve">S0199</t>
  </si>
  <si>
    <t xml:space="preserve">Perfekt với sein (steigen)</t>
  </si>
  <si>
    <t xml:space="preserve">Die Preise sind dieses Jahr gestiegen.</t>
  </si>
  <si>
    <t xml:space="preserve">[diː ˈpʁaɪzə zɪnt ˌdiːzəs ˈjaːɐ̯ ɡəˈʃtiːɡən]</t>
  </si>
  <si>
    <t xml:space="preserve">Năm nay giá đã tăng.</t>
  </si>
  <si>
    <t xml:space="preserve">der Preis = giá; steigen = tăng</t>
  </si>
  <si>
    <t xml:space="preserve">S0200</t>
  </si>
  <si>
    <t xml:space="preserve">keinen ... mehr</t>
  </si>
  <si>
    <t xml:space="preserve">Mein Handy hat keinen Akku mehr.</t>
  </si>
  <si>
    <t xml:space="preserve">[maɪn ˈhɛndiː hat ˈkaɪnən ˈʔakuː ˈmeːɐ̯]</t>
  </si>
  <si>
    <t xml:space="preserve">Điện thoại tôi hết pin rồi.</t>
  </si>
  <si>
    <t xml:space="preserve">das Handy = điện thoại; der Akku = pin</t>
  </si>
  <si>
    <t xml:space="preserve">S0201</t>
  </si>
  <si>
    <t xml:space="preserve">Cách Akkusativ</t>
  </si>
  <si>
    <t xml:space="preserve">der -&gt; den trong Akkusativ</t>
  </si>
  <si>
    <t xml:space="preserve">Ich sehe den Mann dort.</t>
  </si>
  <si>
    <t xml:space="preserve">[ʔɪç ˈzeːə deːn ˈman ˈdɔʁt]</t>
  </si>
  <si>
    <t xml:space="preserve">Tôi thấy người đàn ông đằng kia.</t>
  </si>
  <si>
    <t xml:space="preserve">dort = đằng kia</t>
  </si>
  <si>
    <t xml:space="preserve">S0202</t>
  </si>
  <si>
    <t xml:space="preserve">die không đổi trong Akkusativ</t>
  </si>
  <si>
    <t xml:space="preserve">Sie liest die Zeitung.</t>
  </si>
  <si>
    <t xml:space="preserve">[ziː ˈliːst diː ˈtsaɪˌtʊŋ]</t>
  </si>
  <si>
    <t xml:space="preserve">Cô ấy đọc báo.</t>
  </si>
  <si>
    <t xml:space="preserve">die Zeitung = tờ báo</t>
  </si>
  <si>
    <t xml:space="preserve">S0203</t>
  </si>
  <si>
    <t xml:space="preserve">das không đổi trong Akkusativ</t>
  </si>
  <si>
    <t xml:space="preserve">Wir essen das Brot.</t>
  </si>
  <si>
    <t xml:space="preserve">[viːɐ̯ ˈʔɛsən das ˈbʁoːt]</t>
  </si>
  <si>
    <t xml:space="preserve">Chúng tôi ăn bánh mì.</t>
  </si>
  <si>
    <t xml:space="preserve">essen = ăn</t>
  </si>
  <si>
    <t xml:space="preserve">S0204</t>
  </si>
  <si>
    <t xml:space="preserve">ein -&gt; einen (đực)</t>
  </si>
  <si>
    <t xml:space="preserve">Ich trinke einen Kaffee.</t>
  </si>
  <si>
    <t xml:space="preserve">[ʔɪç ˈtʁɪŋkə ˌʔaɪnən ˈkafeː]</t>
  </si>
  <si>
    <t xml:space="preserve">Tôi uống một ly cà phê.</t>
  </si>
  <si>
    <t xml:space="preserve">trinken = uống; der Kaffee = cà phê</t>
  </si>
  <si>
    <t xml:space="preserve">S0205</t>
  </si>
  <si>
    <t xml:space="preserve">eine giữ nguyên</t>
  </si>
  <si>
    <t xml:space="preserve">Er kauft eine Jacke.</t>
  </si>
  <si>
    <t xml:space="preserve">[ʔɛɐ̯ ˈkaʊft ˌʔaɪnə ˈjakə]</t>
  </si>
  <si>
    <t xml:space="preserve">Anh ấy mua một cái áo khoác.</t>
  </si>
  <si>
    <t xml:space="preserve">die Jacke = áo khoác</t>
  </si>
  <si>
    <t xml:space="preserve">S0206</t>
  </si>
  <si>
    <t xml:space="preserve">dich = Akkusativ của du</t>
  </si>
  <si>
    <t xml:space="preserve">Ich liebe dich.</t>
  </si>
  <si>
    <t xml:space="preserve">[ʔɪç ˈliːbə ˈdɪç]</t>
  </si>
  <si>
    <t xml:space="preserve">Tôi yêu bạn.</t>
  </si>
  <si>
    <t xml:space="preserve">lieben = yêu; dich = bạn (Akk)</t>
  </si>
  <si>
    <t xml:space="preserve">S0207</t>
  </si>
  <si>
    <t xml:space="preserve">Kannst du mich hören?</t>
  </si>
  <si>
    <t xml:space="preserve">[ˌkanst duː mɪç ˈhøːʁən]</t>
  </si>
  <si>
    <t xml:space="preserve">Bạn nghe thấy tôi không?</t>
  </si>
  <si>
    <t xml:space="preserve">mich = tôi (Akk)</t>
  </si>
  <si>
    <t xml:space="preserve">S0208</t>
  </si>
  <si>
    <t xml:space="preserve">ihn = Akkusativ của er</t>
  </si>
  <si>
    <t xml:space="preserve">Ich besuche ihn am Wochenende.</t>
  </si>
  <si>
    <t xml:space="preserve">[ʔɪç bəˈzuːxə ʔiːn ʔam ˈvɔxənəndə]</t>
  </si>
  <si>
    <t xml:space="preserve">Cuối tuần tôi đến thăm anh ấy.</t>
  </si>
  <si>
    <t xml:space="preserve">ihn = anh ấy (Akk); das Wochenende = cuối tuần</t>
  </si>
  <si>
    <t xml:space="preserve">S0209</t>
  </si>
  <si>
    <t xml:space="preserve">sie không đổi trong Akkusativ</t>
  </si>
  <si>
    <t xml:space="preserve">Wir treffen sie um sechs.</t>
  </si>
  <si>
    <t xml:space="preserve">[viːɐ̯ ˈtʁɛfən ziː ʔʊm ˈzɛks]</t>
  </si>
  <si>
    <t xml:space="preserve">Chúng tôi gặp cô ấy lúc sáu giờ.</t>
  </si>
  <si>
    <t xml:space="preserve">treffen = gặp</t>
  </si>
  <si>
    <t xml:space="preserve">S0210</t>
  </si>
  <si>
    <t xml:space="preserve">uns = Akkusativ của wir</t>
  </si>
  <si>
    <t xml:space="preserve">Hast du uns gesehen?</t>
  </si>
  <si>
    <t xml:space="preserve">[hast duː ʔʊns ɡəˈzeːən]</t>
  </si>
  <si>
    <t xml:space="preserve">Bạn có thấy chúng tôi không?</t>
  </si>
  <si>
    <t xml:space="preserve">uns = chúng tôi (Akk)</t>
  </si>
  <si>
    <t xml:space="preserve">S0211</t>
  </si>
  <si>
    <t xml:space="preserve">keinen = kein ở Akkusativ đực</t>
  </si>
  <si>
    <t xml:space="preserve">Ich habe keinen Hunger mehr.</t>
  </si>
  <si>
    <t xml:space="preserve">[ʔɪç haːbə ˈkaɪnən ˈhʊŋɐ ˈmeːɐ̯]</t>
  </si>
  <si>
    <t xml:space="preserve">Tôi không đói nữa.</t>
  </si>
  <si>
    <t xml:space="preserve">kein ... mehr = không còn nữa</t>
  </si>
  <si>
    <t xml:space="preserve">S0212</t>
  </si>
  <si>
    <t xml:space="preserve">mitbringen tách: mit đứng cuối</t>
  </si>
  <si>
    <t xml:space="preserve">Er bringt mir das Buch mit.</t>
  </si>
  <si>
    <t xml:space="preserve">[ʔɛɐ̯ ˈbʁɪŋt miːɐ̯ das ˈbuːx ˈmɪt]</t>
  </si>
  <si>
    <t xml:space="preserve">Anh ấy mang quyển sách đến cho tôi.</t>
  </si>
  <si>
    <t xml:space="preserve">mitbringen = mang theo</t>
  </si>
  <si>
    <t xml:space="preserve">S0213</t>
  </si>
  <si>
    <t xml:space="preserve">diesen = Akkusativ đực</t>
  </si>
  <si>
    <t xml:space="preserve">Ich finde diesen Film langweilig.</t>
  </si>
  <si>
    <t xml:space="preserve">[ʔɪç ˈfɪndə ˌdiːzən ˈfɪlm ˈlaŋˌvaɪlɪç]</t>
  </si>
  <si>
    <t xml:space="preserve">Tôi thấy phim này chán.</t>
  </si>
  <si>
    <t xml:space="preserve">finden = thấy/cho rằng; langweilig = chán</t>
  </si>
  <si>
    <t xml:space="preserve">S0214</t>
  </si>
  <si>
    <t xml:space="preserve">Imperativ bất quy tắc nehmen -&gt; nimm</t>
  </si>
  <si>
    <t xml:space="preserve">Nimm bitte den Stuhl!</t>
  </si>
  <si>
    <t xml:space="preserve">[ˈnɪm ˈbɪtə deːn ˈʃtuːl]</t>
  </si>
  <si>
    <t xml:space="preserve">Làm ơn lấy cái ghế đi!</t>
  </si>
  <si>
    <t xml:space="preserve">nehmen = lấy</t>
  </si>
  <si>
    <t xml:space="preserve">S0215</t>
  </si>
  <si>
    <t xml:space="preserve">ohne + Akkusativ, đảo Verb</t>
  </si>
  <si>
    <t xml:space="preserve">Ohne dich gehe ich nicht.</t>
  </si>
  <si>
    <t xml:space="preserve">[ˈʔoːnə dɪç ˈɡeːə ʔɪç ˈnɪçt]</t>
  </si>
  <si>
    <t xml:space="preserve">Không có bạn thì tôi không đi.</t>
  </si>
  <si>
    <t xml:space="preserve">ohne = không có</t>
  </si>
  <si>
    <t xml:space="preserve">S0216</t>
  </si>
  <si>
    <t xml:space="preserve">durch + Akkusativ</t>
  </si>
  <si>
    <t xml:space="preserve">Durch den Park ist es schneller.</t>
  </si>
  <si>
    <t xml:space="preserve">[dʊʁç deːn ˈpaʁk ʔɪst ʔɛs ˈʃnɛlɐ]</t>
  </si>
  <si>
    <t xml:space="preserve">Đi qua công viên thì nhanh hơn.</t>
  </si>
  <si>
    <t xml:space="preserve">durch = xuyên qua; der Park = công viên</t>
  </si>
  <si>
    <t xml:space="preserve">S0217</t>
  </si>
  <si>
    <t xml:space="preserve">Ich warte für dich.</t>
  </si>
  <si>
    <t xml:space="preserve">[ʔɪç ˈvaʁtə fyːɐ̯ ˈdɪç]</t>
  </si>
  <si>
    <t xml:space="preserve">Tôi chờ vì bạn.</t>
  </si>
  <si>
    <t xml:space="preserve">für = cho/vì</t>
  </si>
  <si>
    <t xml:space="preserve">S0218</t>
  </si>
  <si>
    <t xml:space="preserve">um + Akkusativ</t>
  </si>
  <si>
    <t xml:space="preserve">Wir gehen um die Ecke.</t>
  </si>
  <si>
    <t xml:space="preserve">[viːɐ̯ ˈɡeːən ʔʊm diː ˈʔɛkə]</t>
  </si>
  <si>
    <t xml:space="preserve">Chúng tôi đi vòng qua góc phố.</t>
  </si>
  <si>
    <t xml:space="preserve">um = quanh; die Ecke = góc</t>
  </si>
  <si>
    <t xml:space="preserve">S0219</t>
  </si>
  <si>
    <t xml:space="preserve">gegen + Akkusativ</t>
  </si>
  <si>
    <t xml:space="preserve">Gegen den Wind ist es schwer.</t>
  </si>
  <si>
    <t xml:space="preserve">[ˌɡeːɡən deːn ˈvɪnt ʔɪst ʔɛs ˈʃveːɐ̯]</t>
  </si>
  <si>
    <t xml:space="preserve">Ngược gió thì khó.</t>
  </si>
  <si>
    <t xml:space="preserve">gegen = ngược/chống; der Wind = gió; schwer = khó</t>
  </si>
  <si>
    <t xml:space="preserve">S0220</t>
  </si>
  <si>
    <t xml:space="preserve">kennen + Akkusativ</t>
  </si>
  <si>
    <t xml:space="preserve">Ich kenne diese Frau nicht.</t>
  </si>
  <si>
    <t xml:space="preserve">[ʔɪç ˈkɛnə ˌdiːzə ˈfʁaʊ ˈnɪçt]</t>
  </si>
  <si>
    <t xml:space="preserve">Tôi không quen người phụ nữ này.</t>
  </si>
  <si>
    <t xml:space="preserve">kennen = quen biết</t>
  </si>
  <si>
    <t xml:space="preserve">S0221</t>
  </si>
  <si>
    <t xml:space="preserve">Ăn uống</t>
  </si>
  <si>
    <t xml:space="preserve">Adjektiv Akkusativ đực không Artikel</t>
  </si>
  <si>
    <t xml:space="preserve">Ich habe großen Hunger.</t>
  </si>
  <si>
    <t xml:space="preserve">[ʔɪç haːbə ˈɡʁoːsən ˈhʊŋɐ]</t>
  </si>
  <si>
    <t xml:space="preserve">Tôi đói lắm.</t>
  </si>
  <si>
    <t xml:space="preserve">groß = lớn</t>
  </si>
  <si>
    <t xml:space="preserve">S0222</t>
  </si>
  <si>
    <t xml:space="preserve">möchten + Infinitiv cuối</t>
  </si>
  <si>
    <t xml:space="preserve">Was möchtest du essen?</t>
  </si>
  <si>
    <t xml:space="preserve">[ˈvas ˈmœçtəst duː ˈʔɛsən]</t>
  </si>
  <si>
    <t xml:space="preserve">Bạn muốn ăn gì?</t>
  </si>
  <si>
    <t xml:space="preserve">möchten = muốn</t>
  </si>
  <si>
    <t xml:space="preserve">S0223</t>
  </si>
  <si>
    <t xml:space="preserve">mit + Dativ không Artikel</t>
  </si>
  <si>
    <t xml:space="preserve">Ich esse gern Reis mit Gemüse.</t>
  </si>
  <si>
    <t xml:space="preserve">[ʔɪç ˈʔɛsə ˈɡɛʁn ˈʁaɪs mɪt ɡəˈmyːzə]</t>
  </si>
  <si>
    <t xml:space="preserve">Tôi thích ăn cơm với rau.</t>
  </si>
  <si>
    <t xml:space="preserve">der Reis = cơm/gạo; das Gemüse = rau</t>
  </si>
  <si>
    <t xml:space="preserve">S0224</t>
  </si>
  <si>
    <t xml:space="preserve">Trạng ngữ đầu câu -&gt; đảo</t>
  </si>
  <si>
    <t xml:space="preserve">Zum Frühstück trinke ich Tee.</t>
  </si>
  <si>
    <t xml:space="preserve">[tsʊm ˈfʁyːʃtyk ˈtʁɪŋkə ʔɪç ˈteː]</t>
  </si>
  <si>
    <t xml:space="preserve">Bữa sáng tôi uống trà.</t>
  </si>
  <si>
    <t xml:space="preserve">das Frühstück = bữa sáng; der Tee = trà</t>
  </si>
  <si>
    <t xml:space="preserve">S0225</t>
  </si>
  <si>
    <t xml:space="preserve">schmecken = có vị</t>
  </si>
  <si>
    <t xml:space="preserve">Das Essen schmeckt sehr gut.</t>
  </si>
  <si>
    <t xml:space="preserve">[das ˈʔɛsən ˈʃmɛkt ˈzeːɐ̯ ˈɡuːt]</t>
  </si>
  <si>
    <t xml:space="preserve">Món ăn rất ngon.</t>
  </si>
  <si>
    <t xml:space="preserve">schmecken = có vị; das Essen = món ăn</t>
  </si>
  <si>
    <t xml:space="preserve">S0226</t>
  </si>
  <si>
    <t xml:space="preserve">Ich esse kein Fleisch.</t>
  </si>
  <si>
    <t xml:space="preserve">[ʔɪç ˈʔɛsə ˈkaɪn ˈflaɪʃ]</t>
  </si>
  <si>
    <t xml:space="preserve">Tôi không ăn thịt.</t>
  </si>
  <si>
    <t xml:space="preserve">das Fleisch = thịt</t>
  </si>
  <si>
    <t xml:space="preserve">S0227</t>
  </si>
  <si>
    <t xml:space="preserve">Nghề/kiểu người không Artikel</t>
  </si>
  <si>
    <t xml:space="preserve">Ich bin Vegetarier.</t>
  </si>
  <si>
    <t xml:space="preserve">[ʔɪç bɪn ˌveːɡeːˈtaːʁiːɐ]</t>
  </si>
  <si>
    <t xml:space="preserve">Tôi ăn chay.</t>
  </si>
  <si>
    <t xml:space="preserve">der Vegetarier = người ăn chay</t>
  </si>
  <si>
    <t xml:space="preserve">S0228</t>
  </si>
  <si>
    <t xml:space="preserve">etwas + Nomen không đếm được</t>
  </si>
  <si>
    <t xml:space="preserve">Möchtest du noch etwas Wasser?</t>
  </si>
  <si>
    <t xml:space="preserve">[ˈmœçtəst duː nɔx ˈʔɛtvaːs ˈvasɐ]</t>
  </si>
  <si>
    <t xml:space="preserve">Bạn muốn thêm chút nước không?</t>
  </si>
  <si>
    <t xml:space="preserve">etwas = một chút</t>
  </si>
  <si>
    <t xml:space="preserve">S0229</t>
  </si>
  <si>
    <t xml:space="preserve">zu + Adjektiv = quá</t>
  </si>
  <si>
    <t xml:space="preserve">Der Kuchen ist zu süß.</t>
  </si>
  <si>
    <t xml:space="preserve">[dɛɐ̯ ˈkʊxən ʔɪst tsuː ˈzyːs]</t>
  </si>
  <si>
    <t xml:space="preserve">Bánh ngọt quá.</t>
  </si>
  <si>
    <t xml:space="preserve">der Kuchen = bánh ngọt; süß = ngọt</t>
  </si>
  <si>
    <t xml:space="preserve">S0230</t>
  </si>
  <si>
    <t xml:space="preserve">heute Abend = trạng ngữ</t>
  </si>
  <si>
    <t xml:space="preserve">Ich koche heute Abend Suppe.</t>
  </si>
  <si>
    <t xml:space="preserve">[ʔɪç ˈkɔxə ˈhɔøtə ˈʔaːbənt ˈzʊpə]</t>
  </si>
  <si>
    <t xml:space="preserve">Tối nay tôi nấu súp.</t>
  </si>
  <si>
    <t xml:space="preserve">die Suppe = súp</t>
  </si>
  <si>
    <t xml:space="preserve">S0231</t>
  </si>
  <si>
    <t xml:space="preserve">Perfekt của essen</t>
  </si>
  <si>
    <t xml:space="preserve">Hast du schon gegessen?</t>
  </si>
  <si>
    <t xml:space="preserve">[hast duː ˌʃoːn ɡəˈɡɛsən]</t>
  </si>
  <si>
    <t xml:space="preserve">Bạn ăn chưa?</t>
  </si>
  <si>
    <t xml:space="preserve">schon = đã/rồi</t>
  </si>
  <si>
    <t xml:space="preserve">S0232</t>
  </si>
  <si>
    <t xml:space="preserve">noch nichts = chưa gì cả</t>
  </si>
  <si>
    <t xml:space="preserve">Nein, ich habe noch nichts gegessen.</t>
  </si>
  <si>
    <t xml:space="preserve">[ˈnaɪn, ʔɪç haːbə nɔx ˈnɪçts ɡəˈɡɛsən]</t>
  </si>
  <si>
    <t xml:space="preserve">Chưa, tôi chưa ăn gì cả.</t>
  </si>
  <si>
    <t xml:space="preserve">nichts = không gì</t>
  </si>
  <si>
    <t xml:space="preserve">S0233</t>
  </si>
  <si>
    <t xml:space="preserve">Partizip II làm tính từ</t>
  </si>
  <si>
    <t xml:space="preserve">Das Brot ist frisch gebacken.</t>
  </si>
  <si>
    <t xml:space="preserve">[das ˈbʁoːt ʔɪst ˈfʁɪʃ ɡəˈbakən]</t>
  </si>
  <si>
    <t xml:space="preserve">Bánh mì mới nướng.</t>
  </si>
  <si>
    <t xml:space="preserve">frisch = tươi; backen = nướng</t>
  </si>
  <si>
    <t xml:space="preserve">S0234</t>
  </si>
  <si>
    <t xml:space="preserve">morgens = trạng từ thói quen</t>
  </si>
  <si>
    <t xml:space="preserve">Ich trinke morgens immer Kaffee.</t>
  </si>
  <si>
    <t xml:space="preserve">[ʔɪç ˈtʁɪŋkə ˈmɔʁɡəns ˈʔɪmɐ ˈkafeː]</t>
  </si>
  <si>
    <t xml:space="preserve">Buổi sáng tôi luôn uống cà phê.</t>
  </si>
  <si>
    <t xml:space="preserve">morgens = vào buổi sáng</t>
  </si>
  <si>
    <t xml:space="preserve">S0235</t>
  </si>
  <si>
    <t xml:space="preserve">leider trong câu</t>
  </si>
  <si>
    <t xml:space="preserve">Die Milch ist leider sauer.</t>
  </si>
  <si>
    <t xml:space="preserve">[diː ˈmɪlç ʔɪst ˈlaɪdɐ ˈzaʊɐ]</t>
  </si>
  <si>
    <t xml:space="preserve">Tiếc là sữa bị chua.</t>
  </si>
  <si>
    <t xml:space="preserve">die Milch = sữa; sauer = chua</t>
  </si>
  <si>
    <t xml:space="preserve">S0236</t>
  </si>
  <si>
    <t xml:space="preserve">ein Stück + Nomen</t>
  </si>
  <si>
    <t xml:space="preserve">Ich nehme ein Stück Käse.</t>
  </si>
  <si>
    <t xml:space="preserve">[ʔɪç ˈneːmə ʔaɪn ˈʃtyk ˈkɛːzə]</t>
  </si>
  <si>
    <t xml:space="preserve">Tôi lấy một miếng phô mai.</t>
  </si>
  <si>
    <t xml:space="preserve">das Stück = miếng; der Käse = phô mai</t>
  </si>
  <si>
    <t xml:space="preserve">S0237</t>
  </si>
  <si>
    <t xml:space="preserve">mögen chia với du</t>
  </si>
  <si>
    <t xml:space="preserve">Magst du scharfes Essen?</t>
  </si>
  <si>
    <t xml:space="preserve">[ˈmaːkst duː ˈʃaʁfəs ˈʔɛsən]</t>
  </si>
  <si>
    <t xml:space="preserve">Bạn thích đồ cay không?</t>
  </si>
  <si>
    <t xml:space="preserve">mögen = thích; scharf = cay</t>
  </si>
  <si>
    <t xml:space="preserve">S0238</t>
  </si>
  <si>
    <t xml:space="preserve">es gibt + Akkusativ</t>
  </si>
  <si>
    <t xml:space="preserve">Zum Mittagessen gibt es Nudeln.</t>
  </si>
  <si>
    <t xml:space="preserve">[tsʊm ˈmɪtaˌɡɛsən ˈɡiːpt ʔɛs ˈnuːdəln]</t>
  </si>
  <si>
    <t xml:space="preserve">Bữa trưa có mì.</t>
  </si>
  <si>
    <t xml:space="preserve">das Mittagessen = bữa trưa; die Nudel = mì</t>
  </si>
  <si>
    <t xml:space="preserve">S0239</t>
  </si>
  <si>
    <t xml:space="preserve">von + Dativ</t>
  </si>
  <si>
    <t xml:space="preserve">Ich habe das Rezept von meiner Mutter.</t>
  </si>
  <si>
    <t xml:space="preserve">[ʔɪç haːbə das ʁeːˈtsɛpt fɔn ˌmaɪnɐ ˈmʊtɐ]</t>
  </si>
  <si>
    <t xml:space="preserve">Tôi có công thức từ mẹ tôi.</t>
  </si>
  <si>
    <t xml:space="preserve">das Rezept = công thức</t>
  </si>
  <si>
    <t xml:space="preserve">S0240</t>
  </si>
  <si>
    <t xml:space="preserve">Guten Appetit!</t>
  </si>
  <si>
    <t xml:space="preserve">[ˈɡuːtən ˌʔapeːˈtɪt]</t>
  </si>
  <si>
    <t xml:space="preserve">Chúc ngon miệng!</t>
  </si>
  <si>
    <t xml:space="preserve">der Appetit = sự ngon miệng</t>
  </si>
  <si>
    <t xml:space="preserve">S0241</t>
  </si>
  <si>
    <t xml:space="preserve">Nhà hàng &amp; Quán ăn</t>
  </si>
  <si>
    <t xml:space="preserve">Haben Sie einen Tisch für zwei Personen?</t>
  </si>
  <si>
    <t xml:space="preserve">[ˌhaːbən ziː ˌʔaɪnən ˈtɪʃ fyːɐ̯ ˈtsvaɪ pɛʁˈzoːnən]</t>
  </si>
  <si>
    <t xml:space="preserve">Ông/bà có bàn cho hai người không?</t>
  </si>
  <si>
    <t xml:space="preserve">der Tisch = bàn</t>
  </si>
  <si>
    <t xml:space="preserve">S0242</t>
  </si>
  <si>
    <t xml:space="preserve">möchte + Akkusativ</t>
  </si>
  <si>
    <t xml:space="preserve">Ich möchte bitte die Speisekarte.</t>
  </si>
  <si>
    <t xml:space="preserve">[ʔɪç ˈmœçtə ˈbɪtə diː ˈʃpaɪzeːˌkaʁtə]</t>
  </si>
  <si>
    <t xml:space="preserve">Cho tôi xin thực đơn.</t>
  </si>
  <si>
    <t xml:space="preserve">die Speisekarte = thực đơn</t>
  </si>
  <si>
    <t xml:space="preserve">S0243</t>
  </si>
  <si>
    <t xml:space="preserve">Was können Sie empfehlen?</t>
  </si>
  <si>
    <t xml:space="preserve">[ˈvas ˌkœnən ziː ʔɛmˈpfeːlən]</t>
  </si>
  <si>
    <t xml:space="preserve">Ông/bà gợi ý món gì?</t>
  </si>
  <si>
    <t xml:space="preserve">empfehlen = gợi ý</t>
  </si>
  <si>
    <t xml:space="preserve">S0244</t>
  </si>
  <si>
    <t xml:space="preserve">mit + Dativ số nhiều</t>
  </si>
  <si>
    <t xml:space="preserve">Ich nehme das Schnitzel mit Pommes.</t>
  </si>
  <si>
    <t xml:space="preserve">[ʔɪç ˈneːmə das ˈʃnɪtsəl mɪt ˈpɔməs]</t>
  </si>
  <si>
    <t xml:space="preserve">Tôi lấy món Schnitzel với khoai tây chiên.</t>
  </si>
  <si>
    <t xml:space="preserve">das Schnitzel = thịt tẩm bột rán</t>
  </si>
  <si>
    <t xml:space="preserve">S0245</t>
  </si>
  <si>
    <t xml:space="preserve">für mich = Akkusativ</t>
  </si>
  <si>
    <t xml:space="preserve">Für mich bitte ein Glas Wein.</t>
  </si>
  <si>
    <t xml:space="preserve">[fyːɐ̯ mɪç ˈbɪtə ʔaɪn ˈɡlaːs ˈvaɪn]</t>
  </si>
  <si>
    <t xml:space="preserve">Cho tôi một ly rượu vang.</t>
  </si>
  <si>
    <t xml:space="preserve">das Glas = cái ly; der Wein = rượu vang</t>
  </si>
  <si>
    <t xml:space="preserve">S0246</t>
  </si>
  <si>
    <t xml:space="preserve">Konjunktiv II lịch sự</t>
  </si>
  <si>
    <t xml:space="preserve">Könnten wir bitte bestellen?</t>
  </si>
  <si>
    <t xml:space="preserve">[ˈkœntən viːɐ̯ ˈbɪtə bəˈʃtɛlən]</t>
  </si>
  <si>
    <t xml:space="preserve">Chúng tôi gọi món được không ạ?</t>
  </si>
  <si>
    <t xml:space="preserve">bestellen = gọi món</t>
  </si>
  <si>
    <t xml:space="preserve">S0247</t>
  </si>
  <si>
    <t xml:space="preserve">Komparativ länger</t>
  </si>
  <si>
    <t xml:space="preserve">Das Essen dauert etwas länger.</t>
  </si>
  <si>
    <t xml:space="preserve">[das ˈʔɛsən ˈdaʊɐt ˈʔɛtvaːs ˈlɛŋɐ]</t>
  </si>
  <si>
    <t xml:space="preserve">Món ăn sẽ lâu hơn một chút.</t>
  </si>
  <si>
    <t xml:space="preserve">länger = lâu hơn</t>
  </si>
  <si>
    <t xml:space="preserve">S0248</t>
  </si>
  <si>
    <t xml:space="preserve">Perfekt + nicht</t>
  </si>
  <si>
    <t xml:space="preserve">Entschuldigung, ich habe das nicht bestellt.</t>
  </si>
  <si>
    <t xml:space="preserve">[ʔɛntˈʃʊldɪˌɡʊŋ, ʔɪç haːbə das ˈnɪçt bəˈʃtɛlt]</t>
  </si>
  <si>
    <t xml:space="preserve">Xin lỗi, tôi không gọi món này.</t>
  </si>
  <si>
    <t xml:space="preserve">S0249</t>
  </si>
  <si>
    <t xml:space="preserve">Câu rút gọn</t>
  </si>
  <si>
    <t xml:space="preserve">Die Rechnung, bitte!</t>
  </si>
  <si>
    <t xml:space="preserve">[diː ˈʁɛçnʊŋ, ˈbɪtə]</t>
  </si>
  <si>
    <t xml:space="preserve">Cho xin hóa đơn!</t>
  </si>
  <si>
    <t xml:space="preserve">die Rechnung = hóa đơn</t>
  </si>
  <si>
    <t xml:space="preserve">S0250</t>
  </si>
  <si>
    <t xml:space="preserve">oder nối hai lựa chọn</t>
  </si>
  <si>
    <t xml:space="preserve">Zusammen oder getrennt?</t>
  </si>
  <si>
    <t xml:space="preserve">[tsuːˈzamən ˌʔoːdɐ ɡəˈtʁɛnt]</t>
  </si>
  <si>
    <t xml:space="preserve">Trả chung hay riêng?</t>
  </si>
  <si>
    <t xml:space="preserve">getrennt = riêng; oder = hoặc</t>
  </si>
  <si>
    <t xml:space="preserve">S0251</t>
  </si>
  <si>
    <t xml:space="preserve">zahlen + trạng từ</t>
  </si>
  <si>
    <t xml:space="preserve">Wir zahlen getrennt, bitte.</t>
  </si>
  <si>
    <t xml:space="preserve">[viːɐ̯ ˈtsaːlən ɡəˈtʁɛnt, ˈbɪtə]</t>
  </si>
  <si>
    <t xml:space="preserve">Chúng tôi trả riêng ạ.</t>
  </si>
  <si>
    <t xml:space="preserve">zahlen = trả tiền</t>
  </si>
  <si>
    <t xml:space="preserve">S0252</t>
  </si>
  <si>
    <t xml:space="preserve">Cụm cố định khi tip</t>
  </si>
  <si>
    <t xml:space="preserve">Stimmt so, danke.</t>
  </si>
  <si>
    <t xml:space="preserve">[ˈʃtɪmt ˈzoː, ˈdaŋkə]</t>
  </si>
  <si>
    <t xml:space="preserve">Khỏi thối, cảm ơn.</t>
  </si>
  <si>
    <t xml:space="preserve">stimmen = đúng</t>
  </si>
  <si>
    <t xml:space="preserve">S0253</t>
  </si>
  <si>
    <t xml:space="preserve">können + Infinitiv cuối</t>
  </si>
  <si>
    <t xml:space="preserve">Kann ich mit Karte bezahlen?</t>
  </si>
  <si>
    <t xml:space="preserve">[ˌkan ʔɪç mɪt ˈkaʁtə bəˈtsaːlən]</t>
  </si>
  <si>
    <t xml:space="preserve">Tôi trả thẻ được không?</t>
  </si>
  <si>
    <t xml:space="preserve">die Karte = thẻ</t>
  </si>
  <si>
    <t xml:space="preserve">S0254</t>
  </si>
  <si>
    <t xml:space="preserve">Partizip làm tính từ</t>
  </si>
  <si>
    <t xml:space="preserve">Das Restaurant ist heute geschlossen.</t>
  </si>
  <si>
    <t xml:space="preserve">[das ˌʁɛstoːˈʁã ʔɪst ˈhɔøtə ɡəˈʃlɔsən]</t>
  </si>
  <si>
    <t xml:space="preserve">Hôm nay nhà hàng đóng cửa.</t>
  </si>
  <si>
    <t xml:space="preserve">das Restaurant = nhà hàng; geschlossen = đóng cửa</t>
  </si>
  <si>
    <t xml:space="preserve">S0255</t>
  </si>
  <si>
    <t xml:space="preserve">es gibt + Akkusativ số nhiều</t>
  </si>
  <si>
    <t xml:space="preserve">Gibt es auch vegetarische Gerichte?</t>
  </si>
  <si>
    <t xml:space="preserve">[ˈɡiːpt ʔɛs ˌʔaʊx ˌveːɡeːˈtaʁɪʃə ɡəˈʁɪçtə]</t>
  </si>
  <si>
    <t xml:space="preserve">Có món chay không?</t>
  </si>
  <si>
    <t xml:space="preserve">das Gericht = món ăn; vegetarisch = chay</t>
  </si>
  <si>
    <t xml:space="preserve">S0256</t>
  </si>
  <si>
    <t xml:space="preserve">allergisch gegen + Akkusativ</t>
  </si>
  <si>
    <t xml:space="preserve">Ich bin allergisch gegen Nüsse.</t>
  </si>
  <si>
    <t xml:space="preserve">[ʔɪç bɪn ˈʔalɐˌɡɪʃ ˌɡeːɡən ˈnysə]</t>
  </si>
  <si>
    <t xml:space="preserve">Tôi dị ứng với hạt.</t>
  </si>
  <si>
    <t xml:space="preserve">allergisch = dị ứng; die Nuss = hạt</t>
  </si>
  <si>
    <t xml:space="preserve">S0257</t>
  </si>
  <si>
    <t xml:space="preserve">ohne + Akkusativ</t>
  </si>
  <si>
    <t xml:space="preserve">Könnten Sie das ohne Salz zubereiten?</t>
  </si>
  <si>
    <t xml:space="preserve">[ˈkœntən ziː das ˈʔoːnə ˈzalts tsuːbəˈʁaɪtən]</t>
  </si>
  <si>
    <t xml:space="preserve">Ông/bà làm món không muối được không?</t>
  </si>
  <si>
    <t xml:space="preserve">das Salz = muối; zubereiten = chế biến</t>
  </si>
  <si>
    <t xml:space="preserve">S0258</t>
  </si>
  <si>
    <t xml:space="preserve">Perfekt của schmecken</t>
  </si>
  <si>
    <t xml:space="preserve">Das hat wirklich lecker geschmeckt.</t>
  </si>
  <si>
    <t xml:space="preserve">[das hat ˈvɪʁklɪç ˈlɛkɐ ɡəˈʃmɛkt]</t>
  </si>
  <si>
    <t xml:space="preserve">Món đó thật sự rất ngon.</t>
  </si>
  <si>
    <t xml:space="preserve">lecker = ngon; wirklich = thật sự</t>
  </si>
  <si>
    <t xml:space="preserve">S0259</t>
  </si>
  <si>
    <t xml:space="preserve">Số nhiều + sind</t>
  </si>
  <si>
    <t xml:space="preserve">Wo sind die Toiletten?</t>
  </si>
  <si>
    <t xml:space="preserve">[ˌvoː zɪnt diː ˌtoːiːˈlɛtən]</t>
  </si>
  <si>
    <t xml:space="preserve">S0260</t>
  </si>
  <si>
    <t xml:space="preserve">hätte gern = lịch sự</t>
  </si>
  <si>
    <t xml:space="preserve">Wir hätten gern noch Wasser.</t>
  </si>
  <si>
    <t xml:space="preserve">[viːɐ̯ ˌhɛtən ˈɡɛʁn nɔx ˈvasɐ]</t>
  </si>
  <si>
    <t xml:space="preserve">Chúng tôi muốn thêm nước.</t>
  </si>
  <si>
    <t xml:space="preserve">hätten gern = muốn có</t>
  </si>
  <si>
    <t xml:space="preserve">S0261</t>
  </si>
  <si>
    <t xml:space="preserve">Mua sắm &amp; Giá cả</t>
  </si>
  <si>
    <t xml:space="preserve">wo + Verb + Subjekt</t>
  </si>
  <si>
    <t xml:space="preserve">Wo finde ich die Milch?</t>
  </si>
  <si>
    <t xml:space="preserve">[ˌvoː ˈfɪndə ʔɪç diː ˈmɪlç]</t>
  </si>
  <si>
    <t xml:space="preserve">Sữa ở chỗ nào?</t>
  </si>
  <si>
    <t xml:space="preserve">finden = tìm thấy</t>
  </si>
  <si>
    <t xml:space="preserve">S0262</t>
  </si>
  <si>
    <t xml:space="preserve">Đơn vị + Nomen số nhiều</t>
  </si>
  <si>
    <t xml:space="preserve">Wie viel kostet ein Kilo Äpfel?</t>
  </si>
  <si>
    <t xml:space="preserve">[viː ˈfiːl ˈkɔstət ʔaɪn ˈkiːloː ˈʔɛpfəl]</t>
  </si>
  <si>
    <t xml:space="preserve">Một ký táo bao nhiêu tiền?</t>
  </si>
  <si>
    <t xml:space="preserve">das Kilo = ký; der Apfel = quả táo</t>
  </si>
  <si>
    <t xml:space="preserve">S0263</t>
  </si>
  <si>
    <t xml:space="preserve">zu + Adjektiv + Dativ</t>
  </si>
  <si>
    <t xml:space="preserve">Das ist mir zu teuer.</t>
  </si>
  <si>
    <t xml:space="preserve">[das ʔɪst miːɐ̯ tsuː ˈtɔøɐ]</t>
  </si>
  <si>
    <t xml:space="preserve">Cái đó với tôi là quá đắt.</t>
  </si>
  <si>
    <t xml:space="preserve">teuer = đắt</t>
  </si>
  <si>
    <t xml:space="preserve">S0264</t>
  </si>
  <si>
    <t xml:space="preserve">in + Größe</t>
  </si>
  <si>
    <t xml:space="preserve">Haben Sie das auch in Größe M?</t>
  </si>
  <si>
    <t xml:space="preserve">[ˌhaːbən ziː das ˌʔaʊx ʔɪn ˈɡʁøːsə ˈʔɛm]</t>
  </si>
  <si>
    <t xml:space="preserve">Ông/bà có cái này cỡ M không?</t>
  </si>
  <si>
    <t xml:space="preserve">die Größe = kích cỡ</t>
  </si>
  <si>
    <t xml:space="preserve">S0265</t>
  </si>
  <si>
    <t xml:space="preserve">Ich suche ein Geschenk für meine Mutter.</t>
  </si>
  <si>
    <t xml:space="preserve">[ʔɪç ˈzuːxə ʔaɪn ɡəˈʃɛŋk fyːɐ̯ ˌmaɪnə ˈmʊtɐ]</t>
  </si>
  <si>
    <t xml:space="preserve">Tôi tìm quà cho mẹ tôi.</t>
  </si>
  <si>
    <t xml:space="preserve">das Geschenk = món quà</t>
  </si>
  <si>
    <t xml:space="preserve">S0266</t>
  </si>
  <si>
    <t xml:space="preserve">Trennbares Verb + Modalverb</t>
  </si>
  <si>
    <t xml:space="preserve">Kann ich das anprobieren?</t>
  </si>
  <si>
    <t xml:space="preserve">[ˌkan ʔɪç das ˈʔanpʁoːˌbiːʁən]</t>
  </si>
  <si>
    <t xml:space="preserve">Tôi thử được không?</t>
  </si>
  <si>
    <t xml:space="preserve">anprobieren = mặc thử</t>
  </si>
  <si>
    <t xml:space="preserve">S0267</t>
  </si>
  <si>
    <t xml:space="preserve">Verb đầu câu</t>
  </si>
  <si>
    <t xml:space="preserve">Nehmen Sie auch Kreditkarten?</t>
  </si>
  <si>
    <t xml:space="preserve">[ˈneːmən ziː ˌʔaʊx ˈkʁeːdɪtˌkaʁtən]</t>
  </si>
  <si>
    <t xml:space="preserve">Ông/bà có nhận thẻ tín dụng không?</t>
  </si>
  <si>
    <t xml:space="preserve">die Kreditkarte = thẻ tín dụng</t>
  </si>
  <si>
    <t xml:space="preserve">S0268</t>
  </si>
  <si>
    <t xml:space="preserve">Ich hätte gern eine Tüte.</t>
  </si>
  <si>
    <t xml:space="preserve">[ʔɪç ˌhɛtə ˈɡɛʁn ˌʔaɪnə ˈtyːtə]</t>
  </si>
  <si>
    <t xml:space="preserve">Cho tôi xin một cái túi.</t>
  </si>
  <si>
    <t xml:space="preserve">die Tüte = túi đựng</t>
  </si>
  <si>
    <t xml:space="preserve">S0269</t>
  </si>
  <si>
    <t xml:space="preserve">gelten bis + thời gian</t>
  </si>
  <si>
    <t xml:space="preserve">Das Angebot gilt nur bis Samstag.</t>
  </si>
  <si>
    <t xml:space="preserve">[das ˈʔanɡəˌboːt ˈɡɪlt ˈnuːɐ̯ bɪs ˈzamstaːk]</t>
  </si>
  <si>
    <t xml:space="preserve">Khuyến mãi chỉ đến thứ Bảy.</t>
  </si>
  <si>
    <t xml:space="preserve">das Angebot = ưu đãi; gelten = có hiệu lực; nur = chỉ</t>
  </si>
  <si>
    <t xml:space="preserve">S0270</t>
  </si>
  <si>
    <t xml:space="preserve">in + Dativ + Adjektiv -en</t>
  </si>
  <si>
    <t xml:space="preserve">Haben Sie das in einer anderen Farbe?</t>
  </si>
  <si>
    <t xml:space="preserve">[ˌhaːbən ziː das ʔɪn ˌʔaɪnɐ ˈʔandəʁən ˈfaʁbə]</t>
  </si>
  <si>
    <t xml:space="preserve">Ông/bà có màu khác không?</t>
  </si>
  <si>
    <t xml:space="preserve">andere = khác</t>
  </si>
  <si>
    <t xml:space="preserve">S0271</t>
  </si>
  <si>
    <t xml:space="preserve">Trennbares Verb sau Modalverb</t>
  </si>
  <si>
    <t xml:space="preserve">Ich möchte das umtauschen.</t>
  </si>
  <si>
    <t xml:space="preserve">[ʔɪç ˈmœçtə das ˈʔʊmˌtaʊʃən]</t>
  </si>
  <si>
    <t xml:space="preserve">Tôi muốn đổi cái này.</t>
  </si>
  <si>
    <t xml:space="preserve">umtauschen = đổi hàng</t>
  </si>
  <si>
    <t xml:space="preserve">S0272</t>
  </si>
  <si>
    <t xml:space="preserve">Haben Sie den Kassenbon noch?</t>
  </si>
  <si>
    <t xml:space="preserve">[ˌhaːbən ziː deːn ˈkasənˌboːn nɔx]</t>
  </si>
  <si>
    <t xml:space="preserve">Ông/bà còn giữ hóa đơn không?</t>
  </si>
  <si>
    <t xml:space="preserve">der Kassenbon = hóa đơn tính tiền</t>
  </si>
  <si>
    <t xml:space="preserve">S0273</t>
  </si>
  <si>
    <t xml:space="preserve">Der Laden schließt um acht Uhr.</t>
  </si>
  <si>
    <t xml:space="preserve">[dɛɐ̯ ˈlaːdən ˈʃliːst ʔʊm ˈʔaxt ˈʔuːɐ̯]</t>
  </si>
  <si>
    <t xml:space="preserve">Cửa hàng đóng lúc tám giờ.</t>
  </si>
  <si>
    <t xml:space="preserve">der Laden = cửa hàng; schließen = đóng</t>
  </si>
  <si>
    <t xml:space="preserve">S0274</t>
  </si>
  <si>
    <t xml:space="preserve">Ist das im Preis inbegriffen?</t>
  </si>
  <si>
    <t xml:space="preserve">[ʔɪst das ʔɪm ˈpʁaɪs ˈʔɪnbɛˌɡʁɪfən]</t>
  </si>
  <si>
    <t xml:space="preserve">Cái đó đã tính trong giá chưa?</t>
  </si>
  <si>
    <t xml:space="preserve">der Preis = giá; inbegriffen = đã bao gồm</t>
  </si>
  <si>
    <t xml:space="preserve">S0275</t>
  </si>
  <si>
    <t xml:space="preserve">lieber = thích hơn</t>
  </si>
  <si>
    <t xml:space="preserve">Ich zahle lieber bar.</t>
  </si>
  <si>
    <t xml:space="preserve">[ʔɪç ˈtsaːlə ˈliːbɐ ˈbaːɐ̯]</t>
  </si>
  <si>
    <t xml:space="preserve">Tôi thích trả tiền mặt hơn.</t>
  </si>
  <si>
    <t xml:space="preserve">lieber = thích hơn; bar = tiền mặt</t>
  </si>
  <si>
    <t xml:space="preserve">S0276</t>
  </si>
  <si>
    <t xml:space="preserve">passen + Dativ</t>
  </si>
  <si>
    <t xml:space="preserve">Diese Schuhe passen mir nicht.</t>
  </si>
  <si>
    <t xml:space="preserve">[ˌdiːzə ˈʃuːə ˈpasən miːɐ̯ ˈnɪçt]</t>
  </si>
  <si>
    <t xml:space="preserve">Đôi giày này không vừa với tôi.</t>
  </si>
  <si>
    <t xml:space="preserve">der Schuh = giày; passen = vừa</t>
  </si>
  <si>
    <t xml:space="preserve">S0277</t>
  </si>
  <si>
    <t xml:space="preserve">Gibt es einen Rabatt für Studenten?</t>
  </si>
  <si>
    <t xml:space="preserve">[ˈɡiːpt ʔɛs ˌʔaɪnən ˈʁabat fyːɐ̯ ʃtuːˈdɛntən]</t>
  </si>
  <si>
    <t xml:space="preserve">Có giảm giá cho sinh viên không?</t>
  </si>
  <si>
    <t xml:space="preserve">der Rabatt = giảm giá</t>
  </si>
  <si>
    <t xml:space="preserve">S0278</t>
  </si>
  <si>
    <t xml:space="preserve">Ich brauche noch Zahnpasta und Seife.</t>
  </si>
  <si>
    <t xml:space="preserve">[ʔɪç ˈbʁaʊxə nɔx tsaːnˈpastaː ʔʊnt ˈzaɪfə]</t>
  </si>
  <si>
    <t xml:space="preserve">Tôi cần thêm kem đánh răng và xà phòng.</t>
  </si>
  <si>
    <t xml:space="preserve">die Zahnpasta = kem đánh răng; die Seife = xà phòng</t>
  </si>
  <si>
    <t xml:space="preserve">S0279</t>
  </si>
  <si>
    <t xml:space="preserve">wo + sein</t>
  </si>
  <si>
    <t xml:space="preserve">Wo ist die Kasse?</t>
  </si>
  <si>
    <t xml:space="preserve">[ˌvoː ʔɪst diː ˈkasə]</t>
  </si>
  <si>
    <t xml:space="preserve">Quầy thu ngân ở đâu?</t>
  </si>
  <si>
    <t xml:space="preserve">die Kasse = quầy thu ngân</t>
  </si>
  <si>
    <t xml:space="preserve">S0280</t>
  </si>
  <si>
    <t xml:space="preserve">Akkusativ chúc tụng</t>
  </si>
  <si>
    <t xml:space="preserve">Vielen Dank, einen schönen Tag noch!</t>
  </si>
  <si>
    <t xml:space="preserve">[ˈfiːlən ˈdaŋk, ˌʔaɪnən ˈʃøːnən ˈtaːk nɔx]</t>
  </si>
  <si>
    <t xml:space="preserve">Cảm ơn nhiều, chúc ngày tốt lành!</t>
  </si>
  <si>
    <t xml:space="preserve">schön = đẹp/tốt</t>
  </si>
  <si>
    <t xml:space="preserve">S0281</t>
  </si>
  <si>
    <t xml:space="preserve">Màu sắc &amp; Quần áo</t>
  </si>
  <si>
    <t xml:space="preserve">Lieblings- = tiền tố yêu thích</t>
  </si>
  <si>
    <t xml:space="preserve">Mein Lieblingsfarbe ist Blau.</t>
  </si>
  <si>
    <t xml:space="preserve">[maɪn ˈliːblɪŋsˌfaʁbə ʔɪst ˈblaʊ]</t>
  </si>
  <si>
    <t xml:space="preserve">Màu yêu thích của tôi là xanh dương.</t>
  </si>
  <si>
    <t xml:space="preserve">die Lieblingsfarbe = màu yêu thích; blau = xanh dương</t>
  </si>
  <si>
    <t xml:space="preserve">S0282</t>
  </si>
  <si>
    <t xml:space="preserve">Adjektiv + ein + trung tính: -es</t>
  </si>
  <si>
    <t xml:space="preserve">Ich trage heute ein rotes Hemd.</t>
  </si>
  <si>
    <t xml:space="preserve">[ʔɪç ˈtʁaːɡə ˈhɔøtə ʔaɪn ˈʁoːtəs ˈhɛmt]</t>
  </si>
  <si>
    <t xml:space="preserve">Hôm nay tôi mặc áo sơ mi đỏ.</t>
  </si>
  <si>
    <t xml:space="preserve">tragen = mặc; rot = đỏ; das Hemd = áo sơ mi</t>
  </si>
  <si>
    <t xml:space="preserve">S0283</t>
  </si>
  <si>
    <t xml:space="preserve">die + Adjektiv -e</t>
  </si>
  <si>
    <t xml:space="preserve">Die schwarze Hose gefällt mir.</t>
  </si>
  <si>
    <t xml:space="preserve">[diː ˈʃvaʁtsə ˈhoːzə ɡəˈfɛlt ˈmiːɐ̯]</t>
  </si>
  <si>
    <t xml:space="preserve">Tôi thích cái quần đen.</t>
  </si>
  <si>
    <t xml:space="preserve">schwarz = đen; die Hose = quần</t>
  </si>
  <si>
    <t xml:space="preserve">S0284</t>
  </si>
  <si>
    <t xml:space="preserve">anhaben tách: an đứng cuối</t>
  </si>
  <si>
    <t xml:space="preserve">Er hat eine weiße Jacke an.</t>
  </si>
  <si>
    <t xml:space="preserve">[ʔɛɐ̯ hat ˌʔaɪnə ˈvaɪsə ˈjakə ˈʔan]</t>
  </si>
  <si>
    <t xml:space="preserve">Anh ấy đang mặc áo khoác trắng.</t>
  </si>
  <si>
    <t xml:space="preserve">weiß = trắng; anhaben = mặc trên người</t>
  </si>
  <si>
    <t xml:space="preserve">S0285</t>
  </si>
  <si>
    <t xml:space="preserve">das + Adjektiv -e</t>
  </si>
  <si>
    <t xml:space="preserve">Das grüne Kleid ist sehr schön.</t>
  </si>
  <si>
    <t xml:space="preserve">[das ˈɡʁyːnə ˈklaɪt ʔɪst ˈzeːɐ̯ ˈʃøːn]</t>
  </si>
  <si>
    <t xml:space="preserve">Cái váy xanh lá rất đẹp.</t>
  </si>
  <si>
    <t xml:space="preserve">grün = xanh lá; das Kleid = váy</t>
  </si>
  <si>
    <t xml:space="preserve">S0286</t>
  </si>
  <si>
    <t xml:space="preserve">Ich brauche neue Socken.</t>
  </si>
  <si>
    <t xml:space="preserve">[ʔɪç ˈbʁaʊxə ˈnɔøə ˈzɔkən]</t>
  </si>
  <si>
    <t xml:space="preserve">Tôi cần tất mới.</t>
  </si>
  <si>
    <t xml:space="preserve">die Socke = chiếc tất</t>
  </si>
  <si>
    <t xml:space="preserve">S0287</t>
  </si>
  <si>
    <t xml:space="preserve">am liebsten = Superlativ</t>
  </si>
  <si>
    <t xml:space="preserve">Welche Farbe magst du am liebsten?</t>
  </si>
  <si>
    <t xml:space="preserve">[ˈvɛlçə ˈfaʁbə ˈmaːkst duː ʔam ˈliːbstən]</t>
  </si>
  <si>
    <t xml:space="preserve">Bạn thích màu nào nhất?</t>
  </si>
  <si>
    <t xml:space="preserve">am liebsten = thích nhất</t>
  </si>
  <si>
    <t xml:space="preserve">S0288</t>
  </si>
  <si>
    <t xml:space="preserve">Der Mantel ist mir zu groß.</t>
  </si>
  <si>
    <t xml:space="preserve">[dɛɐ̯ ˈmantəl ʔɪst miːɐ̯ tsuː ˈɡʁoːs]</t>
  </si>
  <si>
    <t xml:space="preserve">Áo măng tô quá rộng với tôi.</t>
  </si>
  <si>
    <t xml:space="preserve">der Mantel = áo măng tô</t>
  </si>
  <si>
    <t xml:space="preserve">S0289</t>
  </si>
  <si>
    <t xml:space="preserve">sich anziehen reflexiv + Dativ</t>
  </si>
  <si>
    <t xml:space="preserve">Zieh dir bitte eine Jacke an!</t>
  </si>
  <si>
    <t xml:space="preserve">[ˈtsiː diːɐ̯ ˈbɪtə ˌʔaɪnə ˈjakə ˈʔan]</t>
  </si>
  <si>
    <t xml:space="preserve">Mặc áo khoác vào đi!</t>
  </si>
  <si>
    <t xml:space="preserve">anziehen = mặc vào</t>
  </si>
  <si>
    <t xml:space="preserve">S0290</t>
  </si>
  <si>
    <t xml:space="preserve">Trạng ngữ đầu -&gt; đảo</t>
  </si>
  <si>
    <t xml:space="preserve">Im Winter trage ich immer Handschuhe.</t>
  </si>
  <si>
    <t xml:space="preserve">[ʔɪm ˈvɪntɐ ˈtʁaːɡə ʔɪç ˈʔɪmɐ ˈhantˌʃuːə]</t>
  </si>
  <si>
    <t xml:space="preserve">Mùa đông tôi luôn đeo găng tay.</t>
  </si>
  <si>
    <t xml:space="preserve">der Winter = mùa đông; der Handschuh = găng tay</t>
  </si>
  <si>
    <t xml:space="preserve">S0291</t>
  </si>
  <si>
    <t xml:space="preserve">stehen + Dativ = hợp</t>
  </si>
  <si>
    <t xml:space="preserve">Diese Farbe steht dir gut.</t>
  </si>
  <si>
    <t xml:space="preserve">[ˌdiːzə ˈfaʁbə ˈʃteːt diːɐ̯ ˈɡuːt]</t>
  </si>
  <si>
    <t xml:space="preserve">Màu này hợp với bạn.</t>
  </si>
  <si>
    <t xml:space="preserve">stehen = hợp/đứng</t>
  </si>
  <si>
    <t xml:space="preserve">S0292</t>
  </si>
  <si>
    <t xml:space="preserve">am + thứ</t>
  </si>
  <si>
    <t xml:space="preserve">Ich wasche meine Kleidung am Sonntag.</t>
  </si>
  <si>
    <t xml:space="preserve">[ʔɪç ˈvaʃə ˌmaɪnə ˈklaɪdʊŋ ʔam ˈzɔntaːk]</t>
  </si>
  <si>
    <t xml:space="preserve">Chủ nhật tôi giặt quần áo.</t>
  </si>
  <si>
    <t xml:space="preserve">waschen = giặt; die Kleidung = quần áo</t>
  </si>
  <si>
    <t xml:space="preserve">S0293</t>
  </si>
  <si>
    <t xml:space="preserve">aus + chất liệu</t>
  </si>
  <si>
    <t xml:space="preserve">Die Schuhe sind aus Leder.</t>
  </si>
  <si>
    <t xml:space="preserve">[diː ˈʃuːə zɪnt ˌʔaʊs ˈleːdɐ]</t>
  </si>
  <si>
    <t xml:space="preserve">Giày làm bằng da.</t>
  </si>
  <si>
    <t xml:space="preserve">das Leder = da</t>
  </si>
  <si>
    <t xml:space="preserve">S0294</t>
  </si>
  <si>
    <t xml:space="preserve">nicht cuối câu</t>
  </si>
  <si>
    <t xml:space="preserve">Gelb steht mir leider nicht.</t>
  </si>
  <si>
    <t xml:space="preserve">[ˈɡɛlp ˈʃteːt miːɐ̯ ˈlaɪdɐ ˈnɪçt]</t>
  </si>
  <si>
    <t xml:space="preserve">Tiếc là màu vàng không hợp tôi.</t>
  </si>
  <si>
    <t xml:space="preserve">gelb = vàng</t>
  </si>
  <si>
    <t xml:space="preserve">S0295</t>
  </si>
  <si>
    <t xml:space="preserve">Ich habe meinen Schal verloren.</t>
  </si>
  <si>
    <t xml:space="preserve">[ʔɪç haːbə ˌmaɪnən ˈʃaːl fɛʁˈloːʁən]</t>
  </si>
  <si>
    <t xml:space="preserve">Tôi làm mất khăn quàng rồi.</t>
  </si>
  <si>
    <t xml:space="preserve">der Schal = khăn quàng; verlieren = mất</t>
  </si>
  <si>
    <t xml:space="preserve">S0296</t>
  </si>
  <si>
    <t xml:space="preserve">nur = chỉ</t>
  </si>
  <si>
    <t xml:space="preserve">Das T-Shirt kostet nur zehn Euro.</t>
  </si>
  <si>
    <t xml:space="preserve">[das ˈteː(en)ˈʃɐːt(de) ˈkɔstət ˈnuːɐ̯ ˈtseːn ˈʔɔøʁoː]</t>
  </si>
  <si>
    <t xml:space="preserve">Cái áo thun chỉ mười euro.</t>
  </si>
  <si>
    <t xml:space="preserve">das T-Shirt = áo thun</t>
  </si>
  <si>
    <t xml:space="preserve">S0297</t>
  </si>
  <si>
    <t xml:space="preserve">tragen biến âm a -&gt; ä</t>
  </si>
  <si>
    <t xml:space="preserve">Trägst du gern Kleider?</t>
  </si>
  <si>
    <t xml:space="preserve">[ˈtʁɛːkst duː ˈɡɛʁn ˈklaɪdɐ]</t>
  </si>
  <si>
    <t xml:space="preserve">Bạn thích mặc váy không?</t>
  </si>
  <si>
    <t xml:space="preserve">tragen = mặc</t>
  </si>
  <si>
    <t xml:space="preserve">S0298</t>
  </si>
  <si>
    <t xml:space="preserve">Der Pullover ist aus Wolle.</t>
  </si>
  <si>
    <t xml:space="preserve">[dɛɐ̯ ˈpʊloːvɐ ʔɪst ˌʔaʊs ˈvɔlə]</t>
  </si>
  <si>
    <t xml:space="preserve">Áo len làm bằng len.</t>
  </si>
  <si>
    <t xml:space="preserve">der Pullover = áo len; die Wolle = len</t>
  </si>
  <si>
    <t xml:space="preserve">S0299</t>
  </si>
  <si>
    <t xml:space="preserve">sich umziehen: um đứng cuối</t>
  </si>
  <si>
    <t xml:space="preserve">Ich ziehe mich schnell um.</t>
  </si>
  <si>
    <t xml:space="preserve">[ʔɪç ˈtsiːə mɪç ˈʃnɛl ˈʔʊm]</t>
  </si>
  <si>
    <t xml:space="preserve">Tôi thay đồ nhanh thôi.</t>
  </si>
  <si>
    <t xml:space="preserve">sich umziehen = thay đồ; schnell = nhanh</t>
  </si>
  <si>
    <t xml:space="preserve">S0300</t>
  </si>
  <si>
    <t xml:space="preserve">zusammenpassen</t>
  </si>
  <si>
    <t xml:space="preserve">Blau und Grau passen gut zusammen.</t>
  </si>
  <si>
    <t xml:space="preserve">[ˈblaʊ ʔʊnt ˈɡʁaʊ ˈpasən ˈɡuːt tsuːˈzamən]</t>
  </si>
  <si>
    <t xml:space="preserve">Xanh dương và xám hợp nhau.</t>
  </si>
  <si>
    <t xml:space="preserve">grau = xám; zusammenpassen = hợp nhau</t>
  </si>
  <si>
    <t xml:space="preserve">S0301</t>
  </si>
  <si>
    <t xml:space="preserve">A2</t>
  </si>
  <si>
    <t xml:space="preserve">Động từ khuyết thiếu (können/müssen)</t>
  </si>
  <si>
    <t xml:space="preserve">können + Infinitiv cuối câu</t>
  </si>
  <si>
    <t xml:space="preserve">Ich kann gut schwimmen.</t>
  </si>
  <si>
    <t xml:space="preserve">[ʔɪç ˌkan ˈɡuːt ˈʃvɪmən]</t>
  </si>
  <si>
    <t xml:space="preserve">Tôi bơi giỏi.</t>
  </si>
  <si>
    <t xml:space="preserve">können = có thể; schwimmen = bơi</t>
  </si>
  <si>
    <t xml:space="preserve">S0302</t>
  </si>
  <si>
    <t xml:space="preserve">helfen + Dativ</t>
  </si>
  <si>
    <t xml:space="preserve">Kannst du mir bitte helfen?</t>
  </si>
  <si>
    <t xml:space="preserve">[ˌkanst duː miːɐ̯ ˈbɪtə ˈhɛlfən]</t>
  </si>
  <si>
    <t xml:space="preserve">Bạn giúp tôi được không?</t>
  </si>
  <si>
    <t xml:space="preserve">helfen = giúp</t>
  </si>
  <si>
    <t xml:space="preserve">S0303</t>
  </si>
  <si>
    <t xml:space="preserve">nicht đứng trước Infinitiv</t>
  </si>
  <si>
    <t xml:space="preserve">Er kann heute nicht kommen.</t>
  </si>
  <si>
    <t xml:space="preserve">[ʔɛɐ̯ ˌkan ˈhɔøtə ˈnɪçt ˈkɔmən]</t>
  </si>
  <si>
    <t xml:space="preserve">Hôm nay anh ấy không đến được.</t>
  </si>
  <si>
    <t xml:space="preserve">kommen = đến</t>
  </si>
  <si>
    <t xml:space="preserve">S0304</t>
  </si>
  <si>
    <t xml:space="preserve">Ich muss jetzt gehen.</t>
  </si>
  <si>
    <t xml:space="preserve">[ʔɪç ˈmʊs ˌjɛtst ˈɡeːən]</t>
  </si>
  <si>
    <t xml:space="preserve">Tôi phải đi bây giờ.</t>
  </si>
  <si>
    <t xml:space="preserve">S0305</t>
  </si>
  <si>
    <t xml:space="preserve">Modalverb đầu câu</t>
  </si>
  <si>
    <t xml:space="preserve">Musst du wirklich arbeiten?</t>
  </si>
  <si>
    <t xml:space="preserve">[ˈmʊst duː ˈvɪʁklɪç ˈʔaʁbaɪtən]</t>
  </si>
  <si>
    <t xml:space="preserve">Bạn thật sự phải làm việc à?</t>
  </si>
  <si>
    <t xml:space="preserve">wirklich = thật sự</t>
  </si>
  <si>
    <t xml:space="preserve">S0306</t>
  </si>
  <si>
    <t xml:space="preserve">Wir müssen uns beeilen.</t>
  </si>
  <si>
    <t xml:space="preserve">[viːɐ̯ ˈmysən ʔʊns bəˈʔaɪlən]</t>
  </si>
  <si>
    <t xml:space="preserve">Chúng ta phải nhanh lên.</t>
  </si>
  <si>
    <t xml:space="preserve">sich beeilen = vội</t>
  </si>
  <si>
    <t xml:space="preserve">S0307</t>
  </si>
  <si>
    <t xml:space="preserve">können dùng một mình (bỏ sprechen)</t>
  </si>
  <si>
    <t xml:space="preserve">Sie kann sehr gut Deutsch.</t>
  </si>
  <si>
    <t xml:space="preserve">[ziː ˌkan ˈzeːɐ̯ ˈɡuːt ˈdɔøtʃ]</t>
  </si>
  <si>
    <t xml:space="preserve">Cô ấy nói tiếng Đức rất giỏi.</t>
  </si>
  <si>
    <t xml:space="preserve">können = biết/có thể</t>
  </si>
  <si>
    <t xml:space="preserve">S0308</t>
  </si>
  <si>
    <t xml:space="preserve">müssen + nicht = không cần</t>
  </si>
  <si>
    <t xml:space="preserve">Du musst nicht alles verstehen.</t>
  </si>
  <si>
    <t xml:space="preserve">[duː ˈmʊst ˈnɪçt ˈʔaləs fɛʁˈʃteːən]</t>
  </si>
  <si>
    <t xml:space="preserve">Bạn không cần phải hiểu hết.</t>
  </si>
  <si>
    <t xml:space="preserve">alles = tất cả</t>
  </si>
  <si>
    <t xml:space="preserve">S0309</t>
  </si>
  <si>
    <t xml:space="preserve">Ihnen = Dativ lịch sự</t>
  </si>
  <si>
    <t xml:space="preserve">Kann ich Ihnen helfen?</t>
  </si>
  <si>
    <t xml:space="preserve">[ˌkan ʔɪç ˌʔiːnən ˈhɛlfən]</t>
  </si>
  <si>
    <t xml:space="preserve">Tôi giúp gì được cho ông/bà?</t>
  </si>
  <si>
    <t xml:space="preserve">Ihnen = ông/bà (Dativ)</t>
  </si>
  <si>
    <t xml:space="preserve">S0310</t>
  </si>
  <si>
    <t xml:space="preserve">Trennbares Verb làm Infinitiv</t>
  </si>
  <si>
    <t xml:space="preserve">Ich muss morgen früh aufstehen.</t>
  </si>
  <si>
    <t xml:space="preserve">[ʔɪç ˈmʊs ˈmɔʁɡən ˈfʁyː ˈʔaʊfˌʃteːən]</t>
  </si>
  <si>
    <t xml:space="preserve">Mai tôi phải dậy sớm.</t>
  </si>
  <si>
    <t xml:space="preserve">aufstehen = thức dậy; früh = sớm</t>
  </si>
  <si>
    <t xml:space="preserve">S0311</t>
  </si>
  <si>
    <t xml:space="preserve">Dativ + Akkusativ + Infinitiv</t>
  </si>
  <si>
    <t xml:space="preserve">Können Sie mir die Richtung zeigen?</t>
  </si>
  <si>
    <t xml:space="preserve">[ˌkœnən ziː miːɐ̯ diː ˈʁɪçtʊŋ ˈtsaɪɡən]</t>
  </si>
  <si>
    <t xml:space="preserve">Ông/bà chỉ hướng giúp tôi được không?</t>
  </si>
  <si>
    <t xml:space="preserve">die Richtung = hướng</t>
  </si>
  <si>
    <t xml:space="preserve">S0312</t>
  </si>
  <si>
    <t xml:space="preserve">Man kann hier nicht parken.</t>
  </si>
  <si>
    <t xml:space="preserve">[man ˌkan ˈhiːɐ̯ ˈnɪçt ˈpaʁkən]</t>
  </si>
  <si>
    <t xml:space="preserve">Ở đây không được đỗ xe.</t>
  </si>
  <si>
    <t xml:space="preserve">parken = đỗ xe</t>
  </si>
  <si>
    <t xml:space="preserve">S0313</t>
  </si>
  <si>
    <t xml:space="preserve">Präteritum của können</t>
  </si>
  <si>
    <t xml:space="preserve">Ich konnte gestern nicht schlafen.</t>
  </si>
  <si>
    <t xml:space="preserve">[ʔɪç ˈkɔntə ˈɡɛstɐn ˈnɪçt ˈʃlaːfən]</t>
  </si>
  <si>
    <t xml:space="preserve">Hôm qua tôi không ngủ được.</t>
  </si>
  <si>
    <t xml:space="preserve">konnte = đã có thể; gestern = hôm qua</t>
  </si>
  <si>
    <t xml:space="preserve">S0314</t>
  </si>
  <si>
    <t xml:space="preserve">Präteritum của müssen</t>
  </si>
  <si>
    <t xml:space="preserve">Wir mussten lange warten.</t>
  </si>
  <si>
    <t xml:space="preserve">[viːɐ̯ ˈmʊstən ˈlaŋə ˈvaʁtən]</t>
  </si>
  <si>
    <t xml:space="preserve">Chúng tôi đã phải chờ lâu.</t>
  </si>
  <si>
    <t xml:space="preserve">mussten = đã phải</t>
  </si>
  <si>
    <t xml:space="preserve">S0315</t>
  </si>
  <si>
    <t xml:space="preserve">Modalverb + bitte</t>
  </si>
  <si>
    <t xml:space="preserve">Kannst du das bitte wiederholen?</t>
  </si>
  <si>
    <t xml:space="preserve">[ˌkanst duː das ˈbɪtə viːdɐˈhoːlən]</t>
  </si>
  <si>
    <t xml:space="preserve">Bạn nhắc lại được không?</t>
  </si>
  <si>
    <t xml:space="preserve">S0316</t>
  </si>
  <si>
    <t xml:space="preserve">noch viel = còn nhiều</t>
  </si>
  <si>
    <t xml:space="preserve">Ich muss noch viel lernen.</t>
  </si>
  <si>
    <t xml:space="preserve">[ʔɪç ˈmʊs nɔx ˈfiːl ˈlɛʁnən]</t>
  </si>
  <si>
    <t xml:space="preserve">Tôi còn phải học nhiều.</t>
  </si>
  <si>
    <t xml:space="preserve">noch = còn</t>
  </si>
  <si>
    <t xml:space="preserve">S0317</t>
  </si>
  <si>
    <t xml:space="preserve">sich entscheiden reflexiv</t>
  </si>
  <si>
    <t xml:space="preserve">Er kann sich nicht entscheiden.</t>
  </si>
  <si>
    <t xml:space="preserve">[ʔɛɐ̯ ˌkan zɪç ˈnɪçt ʔɛntˈʃaɪdən]</t>
  </si>
  <si>
    <t xml:space="preserve">Anh ấy không quyết định được.</t>
  </si>
  <si>
    <t xml:space="preserve">sich entscheiden = quyết định</t>
  </si>
  <si>
    <t xml:space="preserve">S0318</t>
  </si>
  <si>
    <t xml:space="preserve">Modalverb số nhiều đầu câu</t>
  </si>
  <si>
    <t xml:space="preserve">Müssen wir einen Termin machen?</t>
  </si>
  <si>
    <t xml:space="preserve">[ˈmysən viːɐ̯ ˌʔaɪnən tɛʁˈmiːn ˈmaxən]</t>
  </si>
  <si>
    <t xml:space="preserve">Chúng tôi có phải đặt hẹn không?</t>
  </si>
  <si>
    <t xml:space="preserve">der Termin = cuộc hẹn</t>
  </si>
  <si>
    <t xml:space="preserve">S0319</t>
  </si>
  <si>
    <t xml:space="preserve">kaum = hầu như không</t>
  </si>
  <si>
    <t xml:space="preserve">Ich kann es kaum glauben.</t>
  </si>
  <si>
    <t xml:space="preserve">[ʔɪç ˌkan ʔɛs ˈkaʊm ˈɡlaʊbən]</t>
  </si>
  <si>
    <t xml:space="preserve">Tôi khó mà tin được.</t>
  </si>
  <si>
    <t xml:space="preserve">kaum = hầu như không; glauben = tin</t>
  </si>
  <si>
    <t xml:space="preserve">S0320</t>
  </si>
  <si>
    <t xml:space="preserve">Du kannst mich jederzeit anrufen.</t>
  </si>
  <si>
    <t xml:space="preserve">[duː ˌkanst mɪç ˈjeːdɐˌtsaɪt ˈʔanˌʁuːfən]</t>
  </si>
  <si>
    <t xml:space="preserve">Bạn gọi tôi lúc nào cũng được.</t>
  </si>
  <si>
    <t xml:space="preserve">jederzeit = bất cứ lúc nào</t>
  </si>
  <si>
    <t xml:space="preserve">S0321</t>
  </si>
  <si>
    <t xml:space="preserve">Động từ khuyết thiếu (wollen/dürfen/sollen)</t>
  </si>
  <si>
    <t xml:space="preserve">wollen + Infinitiv cuối</t>
  </si>
  <si>
    <t xml:space="preserve">Ich will nach Deutschland ziehen.</t>
  </si>
  <si>
    <t xml:space="preserve">[ʔɪç vɪl naːx ˈdɔøtʃlant ˈtsiːən]</t>
  </si>
  <si>
    <t xml:space="preserve">Tôi muốn chuyển đến Đức.</t>
  </si>
  <si>
    <t xml:space="preserve">wollen = muốn; ziehen = chuyển đi</t>
  </si>
  <si>
    <t xml:space="preserve">S0322</t>
  </si>
  <si>
    <t xml:space="preserve">W-Frage + Modalverb</t>
  </si>
  <si>
    <t xml:space="preserve">Was willst du später machen?</t>
  </si>
  <si>
    <t xml:space="preserve">[ˈvas vɪlst duː ˈʃpɛːtɐ ˈmaxən]</t>
  </si>
  <si>
    <t xml:space="preserve">Sau này bạn muốn làm gì?</t>
  </si>
  <si>
    <t xml:space="preserve">S0323</t>
  </si>
  <si>
    <t xml:space="preserve">dürfen = xin phép</t>
  </si>
  <si>
    <t xml:space="preserve">Darf ich hier rauchen?</t>
  </si>
  <si>
    <t xml:space="preserve">[ˈdaʁf ʔɪç ˈhiːɐ̯ ˈʁaʊxən]</t>
  </si>
  <si>
    <t xml:space="preserve">Tôi hút thuốc ở đây được không?</t>
  </si>
  <si>
    <t xml:space="preserve">dürfen = được phép; rauchen = hút thuốc</t>
  </si>
  <si>
    <t xml:space="preserve">S0324</t>
  </si>
  <si>
    <t xml:space="preserve">dürfen nicht = cấm</t>
  </si>
  <si>
    <t xml:space="preserve">Hier darf man nicht fotografieren.</t>
  </si>
  <si>
    <t xml:space="preserve">[ˈhiːɐ̯ ˈdaʁf man ˈnɪçt ˌfoːtoːɡʁaˈfiːʁən]</t>
  </si>
  <si>
    <t xml:space="preserve">Ở đây không được chụp ảnh.</t>
  </si>
  <si>
    <t xml:space="preserve">fotografieren = chụp ảnh</t>
  </si>
  <si>
    <t xml:space="preserve">S0325</t>
  </si>
  <si>
    <t xml:space="preserve">sollen = lời khuyên/yêu cầu</t>
  </si>
  <si>
    <t xml:space="preserve">Du sollst mehr Wasser trinken.</t>
  </si>
  <si>
    <t xml:space="preserve">[duː ˌzɔlst ˈmeːɐ̯ ˈvasɐ ˈtʁɪŋkən]</t>
  </si>
  <si>
    <t xml:space="preserve">Bạn nên uống nhiều nước hơn.</t>
  </si>
  <si>
    <t xml:space="preserve">sollen = nên; mehr = nhiều hơn</t>
  </si>
  <si>
    <t xml:space="preserve">S0326</t>
  </si>
  <si>
    <t xml:space="preserve">sollen hỏi ý kiến</t>
  </si>
  <si>
    <t xml:space="preserve">Soll ich das Fenster öffnen?</t>
  </si>
  <si>
    <t xml:space="preserve">[ˌzɔl ʔɪç das ˈfɛnstɐ ˈʔœfnən]</t>
  </si>
  <si>
    <t xml:space="preserve">Tôi mở cửa sổ nhé?</t>
  </si>
  <si>
    <t xml:space="preserve">öffnen = mở</t>
  </si>
  <si>
    <t xml:space="preserve">S0327</t>
  </si>
  <si>
    <t xml:space="preserve">am Wochenende = Dativ</t>
  </si>
  <si>
    <t xml:space="preserve">Wir wollen am Wochenende wandern.</t>
  </si>
  <si>
    <t xml:space="preserve">[viːɐ̯ vɔlən ʔam ˈvɔxənəndə ˈvandɐn]</t>
  </si>
  <si>
    <t xml:space="preserve">Cuối tuần chúng tôi muốn đi bộ đường dài.</t>
  </si>
  <si>
    <t xml:space="preserve">wandern = đi bộ đường dài</t>
  </si>
  <si>
    <t xml:space="preserve">S0328</t>
  </si>
  <si>
    <t xml:space="preserve">möchten lịch sự hơn wollen</t>
  </si>
  <si>
    <t xml:space="preserve">Möchten Sie etwas trinken?</t>
  </si>
  <si>
    <t xml:space="preserve">[ˈmœçtən ziː ˈʔɛtvaːs ˈtʁɪŋkən]</t>
  </si>
  <si>
    <t xml:space="preserve">Ông/bà muốn uống gì không?</t>
  </si>
  <si>
    <t xml:space="preserve">S0329</t>
  </si>
  <si>
    <t xml:space="preserve">Ich möchte lieber zu Hause bleiben.</t>
  </si>
  <si>
    <t xml:space="preserve">[ʔɪç ˈmœçtə ˈliːbɐ tsuː ˈhaʊzə ˈblaɪbən]</t>
  </si>
  <si>
    <t xml:space="preserve">Tôi muốn ở nhà hơn.</t>
  </si>
  <si>
    <t xml:space="preserve">bleiben = ở lại</t>
  </si>
  <si>
    <t xml:space="preserve">S0330</t>
  </si>
  <si>
    <t xml:space="preserve">Darfst du so spät noch ausgehen?</t>
  </si>
  <si>
    <t xml:space="preserve">[ˈdaʁfst duː zoː ˈʃpɛːt nɔx ˈʔaʊsˌɡeːən]</t>
  </si>
  <si>
    <t xml:space="preserve">Bạn được ra ngoài muộn thế à?</t>
  </si>
  <si>
    <t xml:space="preserve">ausgehen = ra ngoài chơi</t>
  </si>
  <si>
    <t xml:space="preserve">S0331</t>
  </si>
  <si>
    <t xml:space="preserve">Mệnh đề gián tiếp không dass</t>
  </si>
  <si>
    <t xml:space="preserve">Der Arzt sagt, ich soll mich ausruhen.</t>
  </si>
  <si>
    <t xml:space="preserve">[dɛɐ̯ ˈʔaʁtst ˈzaːkt, ʔɪç ˌzɔl mɪç ˈʔaʊsˌʁuːən]</t>
  </si>
  <si>
    <t xml:space="preserve">Bác sĩ nói tôi nên nghỉ ngơi.</t>
  </si>
  <si>
    <t xml:space="preserve">der Arzt = bác sĩ; sich ausruhen = nghỉ ngơi</t>
  </si>
  <si>
    <t xml:space="preserve">S0332</t>
  </si>
  <si>
    <t xml:space="preserve">sollen biểu thị ngạc nhiên</t>
  </si>
  <si>
    <t xml:space="preserve">Was soll das bedeuten?</t>
  </si>
  <si>
    <t xml:space="preserve">[ˈvas ˌzɔl das bəˈdɔøtən]</t>
  </si>
  <si>
    <t xml:space="preserve">Cái đó nghĩa là sao?</t>
  </si>
  <si>
    <t xml:space="preserve">bedeuten = có nghĩa</t>
  </si>
  <si>
    <t xml:space="preserve">S0333</t>
  </si>
  <si>
    <t xml:space="preserve">Präteritum của wollen</t>
  </si>
  <si>
    <t xml:space="preserve">Ich wollte dich gerade anrufen.</t>
  </si>
  <si>
    <t xml:space="preserve">[ʔɪç vɔltə dɪç ɡəˈʁaːdə ˈʔanˌʁuːfən]</t>
  </si>
  <si>
    <t xml:space="preserve">Tôi vừa định gọi cho bạn.</t>
  </si>
  <si>
    <t xml:space="preserve">wollte = đã muốn</t>
  </si>
  <si>
    <t xml:space="preserve">S0334</t>
  </si>
  <si>
    <t xml:space="preserve">niemand = không ai</t>
  </si>
  <si>
    <t xml:space="preserve">Niemand darf das Zimmer betreten.</t>
  </si>
  <si>
    <t xml:space="preserve">[ˈniːmant ˈdaʁf das ˈtsɪmɐ bəˈtʁeːtən]</t>
  </si>
  <si>
    <t xml:space="preserve">Không ai được vào phòng.</t>
  </si>
  <si>
    <t xml:space="preserve">niemand = không ai; betreten = bước vào</t>
  </si>
  <si>
    <t xml:space="preserve">S0335</t>
  </si>
  <si>
    <t xml:space="preserve">Hai Infinitiv cuối câu</t>
  </si>
  <si>
    <t xml:space="preserve">Wollen wir zusammen essen gehen?</t>
  </si>
  <si>
    <t xml:space="preserve">[vɔlən viːɐ̯ tsuːˈzamən ˈʔɛsən ˈɡeːən]</t>
  </si>
  <si>
    <t xml:space="preserve">Chúng ta đi ăn cùng nhau nhé?</t>
  </si>
  <si>
    <t xml:space="preserve">S0336</t>
  </si>
  <si>
    <t xml:space="preserve">unbedingt = nhất định</t>
  </si>
  <si>
    <t xml:space="preserve">Sie will unbedingt gewinnen.</t>
  </si>
  <si>
    <t xml:space="preserve">[ziː vɪl ˈʔʊnbəˌdɪŋt ɡəˈvɪnən]</t>
  </si>
  <si>
    <t xml:space="preserve">Cô ấy nhất định muốn thắng.</t>
  </si>
  <si>
    <t xml:space="preserve">unbedingt = nhất thiết; gewinnen = thắng</t>
  </si>
  <si>
    <t xml:space="preserve">S0337</t>
  </si>
  <si>
    <t xml:space="preserve">man + sollen = quy tắc chung</t>
  </si>
  <si>
    <t xml:space="preserve">Man soll andere Menschen respektieren.</t>
  </si>
  <si>
    <t xml:space="preserve">[man ˌzɔl ˈʔandəʁə ˈmɛnʃən ˌʁɛspɛkˈtiːʁən]</t>
  </si>
  <si>
    <t xml:space="preserve">Người ta nên tôn trọng người khác.</t>
  </si>
  <si>
    <t xml:space="preserve">respektieren = tôn trọng</t>
  </si>
  <si>
    <t xml:space="preserve">S0338</t>
  </si>
  <si>
    <t xml:space="preserve">nichts = không gì cả</t>
  </si>
  <si>
    <t xml:space="preserve">Ich darf leider nichts sagen.</t>
  </si>
  <si>
    <t xml:space="preserve">[ʔɪç ˈdaʁf ˈlaɪdɐ ˈnɪçts ˈzaːɡən]</t>
  </si>
  <si>
    <t xml:space="preserve">Tiếc là tôi không được nói gì.</t>
  </si>
  <si>
    <t xml:space="preserve">S0339</t>
  </si>
  <si>
    <t xml:space="preserve">zum = zu dem</t>
  </si>
  <si>
    <t xml:space="preserve">Was möchtest du zum Geburtstag?</t>
  </si>
  <si>
    <t xml:space="preserve">[ˈvas ˈmœçtəst duː tsʊm ɡəˈbʊʁtstaːk]</t>
  </si>
  <si>
    <t xml:space="preserve">Sinh nhật bạn muốn gì?</t>
  </si>
  <si>
    <t xml:space="preserve">zum = nhân dịp</t>
  </si>
  <si>
    <t xml:space="preserve">S0340</t>
  </si>
  <si>
    <t xml:space="preserve">sollten = Konjunktiv II lời khuyên</t>
  </si>
  <si>
    <t xml:space="preserve">Wir sollten besser früher losfahren.</t>
  </si>
  <si>
    <t xml:space="preserve">[viːɐ̯ ˌzɔltən ˈbɛsɐ ˈfʁyːɐ ˈlɔsfaːʁən]</t>
  </si>
  <si>
    <t xml:space="preserve">Chúng ta nên đi sớm hơn thì tốt hơn.</t>
  </si>
  <si>
    <t xml:space="preserve">losfahren = khởi hành; besser = tốt hơn</t>
  </si>
  <si>
    <t xml:space="preserve">S0341</t>
  </si>
  <si>
    <t xml:space="preserve">Động từ tách (trennbare Verben)</t>
  </si>
  <si>
    <t xml:space="preserve">Tiền tố auf- tách ra cuối câu</t>
  </si>
  <si>
    <t xml:space="preserve">Ich stehe jeden Tag um sechs auf.</t>
  </si>
  <si>
    <t xml:space="preserve">[ʔɪç ˈʃteːə ˈjeːdən ˈtaːk ʔʊm ˈzɛks ˈʔaʊf]</t>
  </si>
  <si>
    <t xml:space="preserve">Ngày nào tôi cũng dậy lúc sáu giờ.</t>
  </si>
  <si>
    <t xml:space="preserve">aufstehen = thức dậy</t>
  </si>
  <si>
    <t xml:space="preserve">S0342</t>
  </si>
  <si>
    <t xml:space="preserve">abfahren tách: ab cuối câu</t>
  </si>
  <si>
    <t xml:space="preserve">Der Zug fährt um zehn Uhr ab.</t>
  </si>
  <si>
    <t xml:space="preserve">[dɛɐ̯ ˈtsuːk ˈfɛːɐ̯t ʔʊm ˈtseːn ˈʔuːɐ̯ ˈʔap]</t>
  </si>
  <si>
    <t xml:space="preserve">Tàu khởi hành lúc mười giờ.</t>
  </si>
  <si>
    <t xml:space="preserve">abfahren = khởi hành</t>
  </si>
  <si>
    <t xml:space="preserve">S0343</t>
  </si>
  <si>
    <t xml:space="preserve">ankommen tách trong câu hỏi</t>
  </si>
  <si>
    <t xml:space="preserve">Wann kommt der Bus an?</t>
  </si>
  <si>
    <t xml:space="preserve">[ˈvan ˈkɔmt dɛɐ̯ ˈbʊs ˈʔan]</t>
  </si>
  <si>
    <t xml:space="preserve">Khi nào xe buýt đến?</t>
  </si>
  <si>
    <t xml:space="preserve">ankommen = đến nơi</t>
  </si>
  <si>
    <t xml:space="preserve">S0344</t>
  </si>
  <si>
    <t xml:space="preserve">anrufen tách</t>
  </si>
  <si>
    <t xml:space="preserve">Ich rufe dich später an.</t>
  </si>
  <si>
    <t xml:space="preserve">[ʔɪç ˈʁuːfə dɪç ˈʃpɛːtɐ ˈʔan]</t>
  </si>
  <si>
    <t xml:space="preserve">Lát nữa tôi gọi cho bạn.</t>
  </si>
  <si>
    <t xml:space="preserve">S0345</t>
  </si>
  <si>
    <t xml:space="preserve">zumachen tách</t>
  </si>
  <si>
    <t xml:space="preserve">Bitte machen Sie die Tür zu.</t>
  </si>
  <si>
    <t xml:space="preserve">[ˈbɪtə ˈmaxən ziː diː ˈtyːɐ̯ ˈtsuː]</t>
  </si>
  <si>
    <t xml:space="preserve">Làm ơn đóng cửa lại.</t>
  </si>
  <si>
    <t xml:space="preserve">zumachen = đóng lại</t>
  </si>
  <si>
    <t xml:space="preserve">S0346</t>
  </si>
  <si>
    <t xml:space="preserve">einkaufen tách</t>
  </si>
  <si>
    <t xml:space="preserve">Er kauft im Supermarkt ein.</t>
  </si>
  <si>
    <t xml:space="preserve">[ʔɛɐ̯ ˈkaʊft ʔɪm ˈzuːpɐˌmaʁkt ˈʔaɪn]</t>
  </si>
  <si>
    <t xml:space="preserve">Anh ấy đi siêu thị mua đồ.</t>
  </si>
  <si>
    <t xml:space="preserve">einkaufen = đi mua sắm</t>
  </si>
  <si>
    <t xml:space="preserve">S0347</t>
  </si>
  <si>
    <t xml:space="preserve">anfangen mit + Dativ</t>
  </si>
  <si>
    <t xml:space="preserve">Wir fangen gleich mit dem Unterricht an.</t>
  </si>
  <si>
    <t xml:space="preserve">[viːɐ̯ ˈfaŋən ˈɡlaɪç mɪt deːm ˌʔʊntɐˈʁɪçt ˈʔan]</t>
  </si>
  <si>
    <t xml:space="preserve">Chúng ta sắp bắt đầu buổi học.</t>
  </si>
  <si>
    <t xml:space="preserve">anfangen = bắt đầu; der Unterricht = buổi học</t>
  </si>
  <si>
    <t xml:space="preserve">S0348</t>
  </si>
  <si>
    <t xml:space="preserve">aufschreiben tách trong Imperativ</t>
  </si>
  <si>
    <t xml:space="preserve">Schreib bitte deine Nummer auf!</t>
  </si>
  <si>
    <t xml:space="preserve">[ˈʃʁaɪp ˈbɪtə ˌdaɪnə ˈnʊmɐ ˈʔaʊf]</t>
  </si>
  <si>
    <t xml:space="preserve">Ghi số của bạn ra đi!</t>
  </si>
  <si>
    <t xml:space="preserve">aufschreiben = ghi ra</t>
  </si>
  <si>
    <t xml:space="preserve">S0349</t>
  </si>
  <si>
    <t xml:space="preserve">umziehen tách</t>
  </si>
  <si>
    <t xml:space="preserve">Ich ziehe nächsten Monat um.</t>
  </si>
  <si>
    <t xml:space="preserve">[ʔɪç ˈtsiːə ˈnɛçstən ˈmoːnaːt ˈʔʊm]</t>
  </si>
  <si>
    <t xml:space="preserve">Tháng sau tôi chuyển nhà.</t>
  </si>
  <si>
    <t xml:space="preserve">umziehen = chuyển nhà</t>
  </si>
  <si>
    <t xml:space="preserve">S0350</t>
  </si>
  <si>
    <t xml:space="preserve">aussehen + Adjektiv</t>
  </si>
  <si>
    <t xml:space="preserve">Sie sieht sehr müde aus.</t>
  </si>
  <si>
    <t xml:space="preserve">[ziː ˈziːt ˈzeːɐ̯ ˈmyːdə ˈʔaʊs]</t>
  </si>
  <si>
    <t xml:space="preserve">Trông cô ấy rất mệt.</t>
  </si>
  <si>
    <t xml:space="preserve">aussehen = trông có vẻ</t>
  </si>
  <si>
    <t xml:space="preserve">S0351</t>
  </si>
  <si>
    <t xml:space="preserve">teilnehmen an + Dativ</t>
  </si>
  <si>
    <t xml:space="preserve">Nimm bitte an der Besprechung teil.</t>
  </si>
  <si>
    <t xml:space="preserve">[ˈnɪm ˈbɪtə ʔan dɛɐ̯ bəˈʃpʁɛçʊŋ ˈtaɪl]</t>
  </si>
  <si>
    <t xml:space="preserve">Hãy tham dự cuộc họp nhé.</t>
  </si>
  <si>
    <t xml:space="preserve">teilnehmen = tham dự</t>
  </si>
  <si>
    <t xml:space="preserve">S0352</t>
  </si>
  <si>
    <t xml:space="preserve">stattfinden tách</t>
  </si>
  <si>
    <t xml:space="preserve">Das Konzert findet am Samstag statt.</t>
  </si>
  <si>
    <t xml:space="preserve">[das kɔnˈtsɛʁt ˈfɪndət ʔam ˈzamstaːk ˈʃtat]</t>
  </si>
  <si>
    <t xml:space="preserve">Buổi hòa nhạc diễn ra vào thứ Bảy.</t>
  </si>
  <si>
    <t xml:space="preserve">stattfinden = diễn ra; das Konzert = hòa nhạc</t>
  </si>
  <si>
    <t xml:space="preserve">S0353</t>
  </si>
  <si>
    <t xml:space="preserve">abholen tách</t>
  </si>
  <si>
    <t xml:space="preserve">Ich hole dich am Bahnhof ab.</t>
  </si>
  <si>
    <t xml:space="preserve">[ʔɪç ˈhoːlə dɪç ʔam ˈbaːnhoːf ˈʔap]</t>
  </si>
  <si>
    <t xml:space="preserve">Tôi sẽ đón bạn ở ga.</t>
  </si>
  <si>
    <t xml:space="preserve">abholen = đón; der Bahnhof = nhà ga</t>
  </si>
  <si>
    <t xml:space="preserve">S0354</t>
  </si>
  <si>
    <t xml:space="preserve">aufhören mit + Dativ</t>
  </si>
  <si>
    <t xml:space="preserve">Hör bitte auf damit!</t>
  </si>
  <si>
    <t xml:space="preserve">[ˈhøːɐ̯ ˈbɪtə ʔaʊf daːˈmɪt]</t>
  </si>
  <si>
    <t xml:space="preserve">Làm ơn dừng chuyện đó lại!</t>
  </si>
  <si>
    <t xml:space="preserve">aufhören = dừng lại</t>
  </si>
  <si>
    <t xml:space="preserve">S0355</t>
  </si>
  <si>
    <t xml:space="preserve">mitbringen tách</t>
  </si>
  <si>
    <t xml:space="preserve">Er bringt seine Freundin mit.</t>
  </si>
  <si>
    <t xml:space="preserve">[ʔɛɐ̯ ˈbʁɪŋt ˌzaɪnə ˈfʁɔøndɪn ˈmɪt]</t>
  </si>
  <si>
    <t xml:space="preserve">Anh ấy dẫn bạn gái đi cùng.</t>
  </si>
  <si>
    <t xml:space="preserve">mitbringen = mang/dẫn theo</t>
  </si>
  <si>
    <t xml:space="preserve">S0356</t>
  </si>
  <si>
    <t xml:space="preserve">Sau Modalverb thì KHÔNG tách</t>
  </si>
  <si>
    <t xml:space="preserve">Ich muss noch einkaufen gehen.</t>
  </si>
  <si>
    <t xml:space="preserve">[ʔɪç ˈmʊs nɔx ˈʔaɪnˌkaʊfən ˈɡeːən]</t>
  </si>
  <si>
    <t xml:space="preserve">Tôi còn phải đi mua đồ.</t>
  </si>
  <si>
    <t xml:space="preserve">einkaufen = mua sắm</t>
  </si>
  <si>
    <t xml:space="preserve">S0357</t>
  </si>
  <si>
    <t xml:space="preserve">einladen tách, zur = zu der</t>
  </si>
  <si>
    <t xml:space="preserve">Wir laden euch zur Party ein.</t>
  </si>
  <si>
    <t xml:space="preserve">[viːɐ̯ ˈlaːdən ʔɔøç tsuːɐ̯ (en)ˈpaːti(de) ˈʔaɪn]</t>
  </si>
  <si>
    <t xml:space="preserve">Chúng tôi mời các bạn đến tiệc.</t>
  </si>
  <si>
    <t xml:space="preserve">einladen = mời; die Party = bữa tiệc</t>
  </si>
  <si>
    <t xml:space="preserve">S0358</t>
  </si>
  <si>
    <t xml:space="preserve">anmachen tách</t>
  </si>
  <si>
    <t xml:space="preserve">Mach bitte das Licht an.</t>
  </si>
  <si>
    <t xml:space="preserve">[ˈmax ˈbɪtə das ˈlɪçt ˈʔan]</t>
  </si>
  <si>
    <t xml:space="preserve">Bật đèn lên đi.</t>
  </si>
  <si>
    <t xml:space="preserve">anmachen = bật; das Licht = đèn</t>
  </si>
  <si>
    <t xml:space="preserve">S0359</t>
  </si>
  <si>
    <t xml:space="preserve">in + Dativ (thời gian tương lai)</t>
  </si>
  <si>
    <t xml:space="preserve">Der Film fängt in fünf Minuten an.</t>
  </si>
  <si>
    <t xml:space="preserve">[dɛɐ̯ ˈfɪlm ˈfɛŋt ʔɪn ˈfynf miːˈnuːtən ˈʔan]</t>
  </si>
  <si>
    <t xml:space="preserve">Phim bắt đầu sau năm phút nữa.</t>
  </si>
  <si>
    <t xml:space="preserve">die Minute = phút</t>
  </si>
  <si>
    <t xml:space="preserve">S0360</t>
  </si>
  <si>
    <t xml:space="preserve">vorschlagen tách</t>
  </si>
  <si>
    <t xml:space="preserve">Ich schlage vor, wir treffen uns morgen.</t>
  </si>
  <si>
    <t xml:space="preserve">[ʔɪç ˈʃlaːɡə ˈfɔɐ̯, viːɐ̯ ˈtʁɛfən ʔʊns ˈmɔʁɡən]</t>
  </si>
  <si>
    <t xml:space="preserve">Tôi đề nghị mai chúng ta gặp nhau.</t>
  </si>
  <si>
    <t xml:space="preserve">vorschlagen = đề nghị</t>
  </si>
  <si>
    <t xml:space="preserve">S0361</t>
  </si>
  <si>
    <t xml:space="preserve">Lịch sinh hoạt &amp; Giờ giấc</t>
  </si>
  <si>
    <t xml:space="preserve">Ich wache um halb sieben auf.</t>
  </si>
  <si>
    <t xml:space="preserve">[ʔɪç ˈvaxə ʔʊm ˈhalp ˈziːbən ˈʔaʊf]</t>
  </si>
  <si>
    <t xml:space="preserve">Tôi thức giấc lúc sáu rưỡi.</t>
  </si>
  <si>
    <t xml:space="preserve">aufwachen = thức giấc</t>
  </si>
  <si>
    <t xml:space="preserve">S0362</t>
  </si>
  <si>
    <t xml:space="preserve">danach đầu câu -&gt; đảo</t>
  </si>
  <si>
    <t xml:space="preserve">Danach dusche ich und ziehe mich an.</t>
  </si>
  <si>
    <t xml:space="preserve">[daˈnax ˈduːʃə ʔɪç ʔʊnt ˈtsiːə mɪç ˈʔan]</t>
  </si>
  <si>
    <t xml:space="preserve">Sau đó tôi tắm và mặc đồ.</t>
  </si>
  <si>
    <t xml:space="preserve">danach = sau đó; duschen = tắm</t>
  </si>
  <si>
    <t xml:space="preserve">S0363</t>
  </si>
  <si>
    <t xml:space="preserve">zur = zu der (Dativ)</t>
  </si>
  <si>
    <t xml:space="preserve">Um acht fahre ich zur Arbeit.</t>
  </si>
  <si>
    <t xml:space="preserve">[ʔʊm ˈʔaxt ˈfaːʁə ʔɪç tsuːɐ̯ ˈʔaʁbaɪt]</t>
  </si>
  <si>
    <t xml:space="preserve">Tám giờ tôi đi làm.</t>
  </si>
  <si>
    <t xml:space="preserve">fahren = đi (xe)</t>
  </si>
  <si>
    <t xml:space="preserve">S0364</t>
  </si>
  <si>
    <t xml:space="preserve">mittags = trạng từ thói quen</t>
  </si>
  <si>
    <t xml:space="preserve">Mittags mache ich eine Pause.</t>
  </si>
  <si>
    <t xml:space="preserve">[ˈmɪtaːks ˈmaxə ʔɪç ˌʔaɪnə ˈpaʊzə]</t>
  </si>
  <si>
    <t xml:space="preserve">Buổi trưa tôi nghỉ giải lao.</t>
  </si>
  <si>
    <t xml:space="preserve">die Pause = giờ nghỉ; mittags = buổi trưa</t>
  </si>
  <si>
    <t xml:space="preserve">S0365</t>
  </si>
  <si>
    <t xml:space="preserve">Viertel nach = hơn 15 phút</t>
  </si>
  <si>
    <t xml:space="preserve">Es ist Viertel nach drei.</t>
  </si>
  <si>
    <t xml:space="preserve">[ʔɛsɪst ˈfiːɐ̯təl naːx ˈdʁaɪ]</t>
  </si>
  <si>
    <t xml:space="preserve">Bây giờ là ba giờ mười lăm.</t>
  </si>
  <si>
    <t xml:space="preserve">das Viertel = một phần tư; nach = sau</t>
  </si>
  <si>
    <t xml:space="preserve">S0366</t>
  </si>
  <si>
    <t xml:space="preserve">Viertel vor = kém 15 phút</t>
  </si>
  <si>
    <t xml:space="preserve">Es ist Viertel vor neun.</t>
  </si>
  <si>
    <t xml:space="preserve">[ʔɛsɪst ˈfiːɐ̯təl ˌfɔɐ̯ ˈnɔøn]</t>
  </si>
  <si>
    <t xml:space="preserve">Bây giờ là chín giờ kém mười lăm.</t>
  </si>
  <si>
    <t xml:space="preserve">vor = trước</t>
  </si>
  <si>
    <t xml:space="preserve">S0367</t>
  </si>
  <si>
    <t xml:space="preserve">normalerweise = thường lệ</t>
  </si>
  <si>
    <t xml:space="preserve">Ich komme normalerweise um sechs nach Hause.</t>
  </si>
  <si>
    <t xml:space="preserve">[ʔɪç ˈkɔmə ˈnɔʁmalɐˌvaɪzə ʔʊm ˈzɛks naːx ˈhaʊzə]</t>
  </si>
  <si>
    <t xml:space="preserve">Tôi thường về nhà lúc sáu giờ.</t>
  </si>
  <si>
    <t xml:space="preserve">normalerweise = thường thì</t>
  </si>
  <si>
    <t xml:space="preserve">S0368</t>
  </si>
  <si>
    <t xml:space="preserve">fernsehen tách</t>
  </si>
  <si>
    <t xml:space="preserve">Abends sehe ich oft fern.</t>
  </si>
  <si>
    <t xml:space="preserve">[ˈʔaːbənts ˈzeːə ʔɪç ˈʔɔft ˈfɛʁn]</t>
  </si>
  <si>
    <t xml:space="preserve">Buổi tối tôi hay xem tivi.</t>
  </si>
  <si>
    <t xml:space="preserve">fernsehen = xem tivi; abends = buổi tối</t>
  </si>
  <si>
    <t xml:space="preserve">S0369</t>
  </si>
  <si>
    <t xml:space="preserve">ins = in das (Akkusativ hướng)</t>
  </si>
  <si>
    <t xml:space="preserve">Ich gehe meistens um elf ins Bett.</t>
  </si>
  <si>
    <t xml:space="preserve">[ʔɪç ˈɡeːə ˈmaɪstəns ʔʊm ˈʔɛlf ʔɪns ˈbɛt]</t>
  </si>
  <si>
    <t xml:space="preserve">Tôi thường đi ngủ lúc mười một giờ.</t>
  </si>
  <si>
    <t xml:space="preserve">meistens = phần lớn; das Bett = giường</t>
  </si>
  <si>
    <t xml:space="preserve">S0370</t>
  </si>
  <si>
    <t xml:space="preserve">am + Wochenende</t>
  </si>
  <si>
    <t xml:space="preserve">Am Wochenende schlafe ich länger.</t>
  </si>
  <si>
    <t xml:space="preserve">[ʔam ˈvɔxənəndə ˈʃlaːfə ʔɪç ˈlɛŋɐ]</t>
  </si>
  <si>
    <t xml:space="preserve">Cuối tuần tôi ngủ lâu hơn.</t>
  </si>
  <si>
    <t xml:space="preserve">S0371</t>
  </si>
  <si>
    <t xml:space="preserve">brauchen + thời gian</t>
  </si>
  <si>
    <t xml:space="preserve">Wie lange brauchst du zur Arbeit?</t>
  </si>
  <si>
    <t xml:space="preserve">[viː ˈlaŋə ˈbʁaʊxst duː tsuːɐ̯ ˈʔaʁbaɪt]</t>
  </si>
  <si>
    <t xml:space="preserve">Bạn đi làm mất bao lâu?</t>
  </si>
  <si>
    <t xml:space="preserve">brauchen = cần</t>
  </si>
  <si>
    <t xml:space="preserve">S0372</t>
  </si>
  <si>
    <t xml:space="preserve">mit dem + phương tiện</t>
  </si>
  <si>
    <t xml:space="preserve">Ungefähr vierzig Minuten mit dem Bus.</t>
  </si>
  <si>
    <t xml:space="preserve">[ˈʔʊnɡəˌfɛːɐ̯ ˈfiːɐ̯tsɪç miːˈnuːtən mɪt deːm ˈbʊs]</t>
  </si>
  <si>
    <t xml:space="preserve">Khoảng bốn mươi phút bằng xe buýt.</t>
  </si>
  <si>
    <t xml:space="preserve">ungefähr = khoảng</t>
  </si>
  <si>
    <t xml:space="preserve">S0373</t>
  </si>
  <si>
    <t xml:space="preserve">den ganzen Tag = Akkusativ thời gian</t>
  </si>
  <si>
    <t xml:space="preserve">Ich habe heute den ganzen Tag frei.</t>
  </si>
  <si>
    <t xml:space="preserve">[ʔɪç haːbə ˈhɔøtə deːn ˈɡantsən ˈtaːk ˈfʁaɪ]</t>
  </si>
  <si>
    <t xml:space="preserve">Hôm nay tôi rảnh cả ngày.</t>
  </si>
  <si>
    <t xml:space="preserve">ganz = cả/toàn bộ</t>
  </si>
  <si>
    <t xml:space="preserve">S0374</t>
  </si>
  <si>
    <t xml:space="preserve">spät dran sein = cụm cố định</t>
  </si>
  <si>
    <t xml:space="preserve">Beeil dich, wir sind spät dran!</t>
  </si>
  <si>
    <t xml:space="preserve">[bəˈʔaɪl ˈdɪç, viːɐ̯ zɪnt ˈʃpɛːt ˈdʁaːn]</t>
  </si>
  <si>
    <t xml:space="preserve">Nhanh lên, chúng ta trễ rồi!</t>
  </si>
  <si>
    <t xml:space="preserve">spät dran sein = bị trễ</t>
  </si>
  <si>
    <t xml:space="preserve">S0375</t>
  </si>
  <si>
    <t xml:space="preserve">um + giờ chi tiết</t>
  </si>
  <si>
    <t xml:space="preserve">Der Termin ist um Viertel nach zwei.</t>
  </si>
  <si>
    <t xml:space="preserve">[dɛɐ̯ tɛʁˈmiːn ʔɪst ʔʊm ˈfiːɐ̯təl naːx ˈtsvaɪ]</t>
  </si>
  <si>
    <t xml:space="preserve">Cuộc hẹn lúc hai giờ mười lăm.</t>
  </si>
  <si>
    <t xml:space="preserve">S0376</t>
  </si>
  <si>
    <t xml:space="preserve">aufräumen tách</t>
  </si>
  <si>
    <t xml:space="preserve">Ich räume jeden Abend die Küche auf.</t>
  </si>
  <si>
    <t xml:space="preserve">[ʔɪç ˈʁɔømə ˈjeːdən ˈʔaːbənt diː ˈkyçə ˈʔaʊf]</t>
  </si>
  <si>
    <t xml:space="preserve">Tối nào tôi cũng dọn bếp.</t>
  </si>
  <si>
    <t xml:space="preserve">aufräumen = dọn dẹp; die Küche = nhà bếp</t>
  </si>
  <si>
    <t xml:space="preserve">S0377</t>
  </si>
  <si>
    <t xml:space="preserve">Feierabend haben = cụm cố định</t>
  </si>
  <si>
    <t xml:space="preserve">Wann hast du Feierabend?</t>
  </si>
  <si>
    <t xml:space="preserve">[ˈvan hast duː ˈfaɪeːˌʁaːbənt]</t>
  </si>
  <si>
    <t xml:space="preserve">Khi nào bạn tan làm?</t>
  </si>
  <si>
    <t xml:space="preserve">der Feierabend = giờ tan làm</t>
  </si>
  <si>
    <t xml:space="preserve">S0378</t>
  </si>
  <si>
    <t xml:space="preserve">Sport treiben = cụm cố định</t>
  </si>
  <si>
    <t xml:space="preserve">Ich treibe dreimal pro Woche Sport.</t>
  </si>
  <si>
    <t xml:space="preserve">[ʔɪç ˈtʁaɪbə ˈdʁaɪmaːl pʁoː ˈvɔxə ˈʃpɔʁt]</t>
  </si>
  <si>
    <t xml:space="preserve">Tôi tập thể thao ba lần một tuần.</t>
  </si>
  <si>
    <t xml:space="preserve">der Sport = thể thao; dreimal = ba lần</t>
  </si>
  <si>
    <t xml:space="preserve">S0379</t>
  </si>
  <si>
    <t xml:space="preserve">vor + Dativ, Infinitiv danh hóa</t>
  </si>
  <si>
    <t xml:space="preserve">Vor dem Schlafen lese ich ein Buch.</t>
  </si>
  <si>
    <t xml:space="preserve">[ˌfɔɐ̯ deːm ˈʃlaːfən ˈleːzə ʔɪç ʔaɪn ˈbuːx]</t>
  </si>
  <si>
    <t xml:space="preserve">Trước khi ngủ tôi đọc sách.</t>
  </si>
  <si>
    <t xml:space="preserve">S0380</t>
  </si>
  <si>
    <t xml:space="preserve">voll = đầy/kín</t>
  </si>
  <si>
    <t xml:space="preserve">Mein Tag ist meistens sehr voll.</t>
  </si>
  <si>
    <t xml:space="preserve">[maɪn ˈtaːk ʔɪst ˈmaɪstəns ˈzeːɐ̯ ˈfɔl]</t>
  </si>
  <si>
    <t xml:space="preserve">Ngày của tôi thường rất kín.</t>
  </si>
  <si>
    <t xml:space="preserve">voll = đầy</t>
  </si>
  <si>
    <t xml:space="preserve">S0381</t>
  </si>
  <si>
    <t xml:space="preserve">Cách Dativ</t>
  </si>
  <si>
    <t xml:space="preserve">helfen + Dativ (meinem)</t>
  </si>
  <si>
    <t xml:space="preserve">Ich helfe meinem Bruder.</t>
  </si>
  <si>
    <t xml:space="preserve">[ʔɪç ˈhɛlfə ˌmaɪnəm ˈbʁuːdɐ]</t>
  </si>
  <si>
    <t xml:space="preserve">Tôi giúp anh trai tôi.</t>
  </si>
  <si>
    <t xml:space="preserve">S0382</t>
  </si>
  <si>
    <t xml:space="preserve">gehören + Dativ</t>
  </si>
  <si>
    <t xml:space="preserve">Das Buch gehört meiner Schwester.</t>
  </si>
  <si>
    <t xml:space="preserve">[das ˈbuːx ɡəˈhœʁt ˌmaɪnɐ ˈʃvɛstɐ]</t>
  </si>
  <si>
    <t xml:space="preserve">Quyển sách là của chị tôi.</t>
  </si>
  <si>
    <t xml:space="preserve">gehören = thuộc về</t>
  </si>
  <si>
    <t xml:space="preserve">S0383</t>
  </si>
  <si>
    <t xml:space="preserve">Dativ người + Akkusativ vật</t>
  </si>
  <si>
    <t xml:space="preserve">Ich gebe dem Kellner das Geld.</t>
  </si>
  <si>
    <t xml:space="preserve">[ʔɪç ˈɡeːbə deːm ˈkɛlnɐ das ˈɡɛlt]</t>
  </si>
  <si>
    <t xml:space="preserve">Tôi đưa tiền cho người phục vụ.</t>
  </si>
  <si>
    <t xml:space="preserve">der Kellner = phục vụ; das Geld = tiền</t>
  </si>
  <si>
    <t xml:space="preserve">S0384</t>
  </si>
  <si>
    <t xml:space="preserve">mir = Dativ, das = Akkusativ</t>
  </si>
  <si>
    <t xml:space="preserve">Kannst du mir das erklären?</t>
  </si>
  <si>
    <t xml:space="preserve">[ˌkanst duː miːɐ̯ das ʔɛʁˈklɛːʁən]</t>
  </si>
  <si>
    <t xml:space="preserve">Bạn giải thích cho tôi được không?</t>
  </si>
  <si>
    <t xml:space="preserve">erklären = giải thích</t>
  </si>
  <si>
    <t xml:space="preserve">S0385</t>
  </si>
  <si>
    <t xml:space="preserve">stehen + Dativ</t>
  </si>
  <si>
    <t xml:space="preserve">Das Kleid steht dir sehr gut.</t>
  </si>
  <si>
    <t xml:space="preserve">[das ˈklaɪt ˈʃteːt diːɐ̯ ˈzeːɐ̯ ˈɡuːt]</t>
  </si>
  <si>
    <t xml:space="preserve">Cái váy rất hợp với bạn.</t>
  </si>
  <si>
    <t xml:space="preserve">stehen = hợp</t>
  </si>
  <si>
    <t xml:space="preserve">S0386</t>
  </si>
  <si>
    <t xml:space="preserve">danken + Dativ, für + Akkusativ</t>
  </si>
  <si>
    <t xml:space="preserve">Ich danke Ihnen für Ihre Hilfe.</t>
  </si>
  <si>
    <t xml:space="preserve">[ʔɪç ˈdaŋkə ˌʔiːnən fyːɐ̯ ˌʔiːʁə ˈhɪlfə]</t>
  </si>
  <si>
    <t xml:space="preserve">Cảm ơn ông/bà đã giúp đỡ.</t>
  </si>
  <si>
    <t xml:space="preserve">danken = cảm ơn</t>
  </si>
  <si>
    <t xml:space="preserve">S0387</t>
  </si>
  <si>
    <t xml:space="preserve">leidtun + Dativ</t>
  </si>
  <si>
    <t xml:space="preserve">Es tut mir wirklich leid.</t>
  </si>
  <si>
    <t xml:space="preserve">[ʔɛs ˈtuːt miːɐ̯ ˈvɪʁklɪç ˈlaɪt]</t>
  </si>
  <si>
    <t xml:space="preserve">Tôi thật sự xin lỗi.</t>
  </si>
  <si>
    <t xml:space="preserve">leidtun = làm tiếc</t>
  </si>
  <si>
    <t xml:space="preserve">S0388</t>
  </si>
  <si>
    <t xml:space="preserve">gefallen + Dativ</t>
  </si>
  <si>
    <t xml:space="preserve">Wie gefällt dir die Stadt?</t>
  </si>
  <si>
    <t xml:space="preserve">[viː ɡəˈfɛlt diːɐ̯ diː ˈʃtat]</t>
  </si>
  <si>
    <t xml:space="preserve">Bạn thấy thành phố thế nào?</t>
  </si>
  <si>
    <t xml:space="preserve">gefallen = làm hài lòng</t>
  </si>
  <si>
    <t xml:space="preserve">S0389</t>
  </si>
  <si>
    <t xml:space="preserve">Dativ số nhiều: den + -n</t>
  </si>
  <si>
    <t xml:space="preserve">Der Lehrer antwortet den Schülern.</t>
  </si>
  <si>
    <t xml:space="preserve">[dɛɐ̯ ˈleːʁɐ ˈʔantvɔʁtət deːn ˈʃyːlɐn]</t>
  </si>
  <si>
    <t xml:space="preserve">Thầy giáo trả lời các học sinh.</t>
  </si>
  <si>
    <t xml:space="preserve">der Schüler = học sinh</t>
  </si>
  <si>
    <t xml:space="preserve">S0390</t>
  </si>
  <si>
    <t xml:space="preserve">Dativ + Akkusativ</t>
  </si>
  <si>
    <t xml:space="preserve">Ich schicke meinem Chef eine Mail.</t>
  </si>
  <si>
    <t xml:space="preserve">[ʔɪç ˈʃɪkə ˌmaɪnəm ˈʃɛf ˌʔaɪnə (en)ˈmeɪl(de)]</t>
  </si>
  <si>
    <t xml:space="preserve">Tôi gửi sếp một email.</t>
  </si>
  <si>
    <t xml:space="preserve">schicken = gửi</t>
  </si>
  <si>
    <t xml:space="preserve">S0391</t>
  </si>
  <si>
    <t xml:space="preserve">passen + Dativ, nicht mehr</t>
  </si>
  <si>
    <t xml:space="preserve">Dieses Hemd passt mir nicht mehr.</t>
  </si>
  <si>
    <t xml:space="preserve">[ˌdiːzəs ˈhɛmt ˈpast miːɐ̯ ˌnɪçt ˈmeːɐ̯]</t>
  </si>
  <si>
    <t xml:space="preserve">Cái áo này không còn vừa tôi nữa.</t>
  </si>
  <si>
    <t xml:space="preserve">passen = vừa</t>
  </si>
  <si>
    <t xml:space="preserve">S0392</t>
  </si>
  <si>
    <t xml:space="preserve">Dativ số nhiều + Akkusativ</t>
  </si>
  <si>
    <t xml:space="preserve">Sie zeigt den Touristen den Weg.</t>
  </si>
  <si>
    <t xml:space="preserve">[ziː ˈtsaɪkt deːn tuːˈʁɪstən deːn ˈveːk]</t>
  </si>
  <si>
    <t xml:space="preserve">Cô ấy chỉ đường cho du khách.</t>
  </si>
  <si>
    <t xml:space="preserve">der Tourist = du khách</t>
  </si>
  <si>
    <t xml:space="preserve">S0393</t>
  </si>
  <si>
    <t xml:space="preserve">Dativ + sein + Adjektiv (cảm giác)</t>
  </si>
  <si>
    <t xml:space="preserve">Mir ist kalt.</t>
  </si>
  <si>
    <t xml:space="preserve">[miːɐ̯ ʔɪst ˈkalt]</t>
  </si>
  <si>
    <t xml:space="preserve">Tôi thấy lạnh.</t>
  </si>
  <si>
    <t xml:space="preserve">S0394</t>
  </si>
  <si>
    <t xml:space="preserve">wem = Fragewort Dativ</t>
  </si>
  <si>
    <t xml:space="preserve">Wem soll ich das geben?</t>
  </si>
  <si>
    <t xml:space="preserve">[ˈveːm ˌzɔl ʔɪç das ˈɡeːbən]</t>
  </si>
  <si>
    <t xml:space="preserve">Tôi nên đưa cái này cho ai?</t>
  </si>
  <si>
    <t xml:space="preserve">wem = cho ai</t>
  </si>
  <si>
    <t xml:space="preserve">S0395</t>
  </si>
  <si>
    <t xml:space="preserve">meinen = Dativ số nhiều</t>
  </si>
  <si>
    <t xml:space="preserve">Das Auto gehört meinen Eltern.</t>
  </si>
  <si>
    <t xml:space="preserve">[das ˈʔaʊtoː ɡəˈhœʁt ˌmaɪnən ˈʔɛltɐn]</t>
  </si>
  <si>
    <t xml:space="preserve">Chiếc xe là của bố mẹ tôi.</t>
  </si>
  <si>
    <t xml:space="preserve">die Eltern = bố mẹ</t>
  </si>
  <si>
    <t xml:space="preserve">S0396</t>
  </si>
  <si>
    <t xml:space="preserve">glauben + Dativ (người)</t>
  </si>
  <si>
    <t xml:space="preserve">Ich glaube dir nicht.</t>
  </si>
  <si>
    <t xml:space="preserve">[ʔɪç ˈɡlaʊbə diːɐ̯ ˈnɪçt]</t>
  </si>
  <si>
    <t xml:space="preserve">Tôi không tin bạn.</t>
  </si>
  <si>
    <t xml:space="preserve">glauben = tin</t>
  </si>
  <si>
    <t xml:space="preserve">S0397</t>
  </si>
  <si>
    <t xml:space="preserve">ihm = Dativ của er</t>
  </si>
  <si>
    <t xml:space="preserve">Es geht ihm viel besser.</t>
  </si>
  <si>
    <t xml:space="preserve">[ʔɛs ˈɡeːt ʔiːm ˈfiːl ˈbɛsɐ]</t>
  </si>
  <si>
    <t xml:space="preserve">Anh ấy đỡ hơn nhiều rồi.</t>
  </si>
  <si>
    <t xml:space="preserve">ihm = anh ấy (Dativ); besser = tốt hơn</t>
  </si>
  <si>
    <t xml:space="preserve">S0398</t>
  </si>
  <si>
    <t xml:space="preserve">Perfekt của gefallen + Dativ</t>
  </si>
  <si>
    <t xml:space="preserve">Der Film hat uns gut gefallen.</t>
  </si>
  <si>
    <t xml:space="preserve">[dɛɐ̯ ˈfɪlm hat ʔʊns ˈɡuːt ɡəˈfalən]</t>
  </si>
  <si>
    <t xml:space="preserve">Chúng tôi thấy phim hay.</t>
  </si>
  <si>
    <t xml:space="preserve">uns = chúng tôi (Dativ)</t>
  </si>
  <si>
    <t xml:space="preserve">S0399</t>
  </si>
  <si>
    <t xml:space="preserve">ihr = Dativ của sie</t>
  </si>
  <si>
    <t xml:space="preserve">Kannst du ihr bitte Bescheid sagen?</t>
  </si>
  <si>
    <t xml:space="preserve">[ˌkanst duː ʔiːɐ̯ ˈbɪtə bəˈʃaɪt ˈzaːɡən]</t>
  </si>
  <si>
    <t xml:space="preserve">Bạn báo cho cô ấy biết nhé?</t>
  </si>
  <si>
    <t xml:space="preserve">Bescheid sagen = báo cho biết</t>
  </si>
  <si>
    <t xml:space="preserve">S0400</t>
  </si>
  <si>
    <t xml:space="preserve">vertrauen + Dativ</t>
  </si>
  <si>
    <t xml:space="preserve">Ich vertraue meinen Freunden.</t>
  </si>
  <si>
    <t xml:space="preserve">[ʔɪç fɛʁˈtʁaʊə ˌmaɪnən ˈfʁɔøndən]</t>
  </si>
  <si>
    <t xml:space="preserve">Tôi tin tưởng bạn bè tôi.</t>
  </si>
  <si>
    <t xml:space="preserve">vertrauen = tin tưởng</t>
  </si>
  <si>
    <t xml:space="preserve">S0401</t>
  </si>
  <si>
    <t xml:space="preserve">Giới từ đi với Dativ</t>
  </si>
  <si>
    <t xml:space="preserve">mit + Dativ, zur = zu der</t>
  </si>
  <si>
    <t xml:space="preserve">Ich fahre mit dem Fahrrad zur Schule.</t>
  </si>
  <si>
    <t xml:space="preserve">[ʔɪç ˈfaːʁə mɪt deːm ˈfaːʁaːt tsuːɐ̯ ˈʃuːlə]</t>
  </si>
  <si>
    <t xml:space="preserve">Tôi đi xe đạp đến trường.</t>
  </si>
  <si>
    <t xml:space="preserve">das Fahrrad = xe đạp; die Schule = trường học</t>
  </si>
  <si>
    <t xml:space="preserve">S0402</t>
  </si>
  <si>
    <t xml:space="preserve">nach + Dativ (thời gian)</t>
  </si>
  <si>
    <t xml:space="preserve">Nach dem Essen trinke ich Tee.</t>
  </si>
  <si>
    <t xml:space="preserve">[naːx deːm ˈʔɛsən ˈtʁɪŋkə ʔɪç ˈteː]</t>
  </si>
  <si>
    <t xml:space="preserve">Sau bữa ăn tôi uống trà.</t>
  </si>
  <si>
    <t xml:space="preserve">nach = sau</t>
  </si>
  <si>
    <t xml:space="preserve">S0403</t>
  </si>
  <si>
    <t xml:space="preserve">seit + Dativ, dùng Präsens</t>
  </si>
  <si>
    <t xml:space="preserve">Seit einem Jahr lerne ich Deutsch.</t>
  </si>
  <si>
    <t xml:space="preserve">[zaɪt ˌʔaɪnəm ˈjaːɐ̯ ˈlɛʁnə ʔɪç ˈdɔøtʃ]</t>
  </si>
  <si>
    <t xml:space="preserve">Tôi học tiếng Đức được một năm rồi.</t>
  </si>
  <si>
    <t xml:space="preserve">seit = từ khi</t>
  </si>
  <si>
    <t xml:space="preserve">S0404</t>
  </si>
  <si>
    <t xml:space="preserve">vom = von dem</t>
  </si>
  <si>
    <t xml:space="preserve">Ich komme gerade vom Arzt.</t>
  </si>
  <si>
    <t xml:space="preserve">[ʔɪç ˈkɔmə ɡəˈʁaːdə fɔm ˈʔaʁtst]</t>
  </si>
  <si>
    <t xml:space="preserve">Tôi vừa từ chỗ bác sĩ về.</t>
  </si>
  <si>
    <t xml:space="preserve">vom = từ chỗ</t>
  </si>
  <si>
    <t xml:space="preserve">S0405</t>
  </si>
  <si>
    <t xml:space="preserve">Das Geschenk ist von meiner Freundin.</t>
  </si>
  <si>
    <t xml:space="preserve">[das ɡəˈʃɛŋk ʔɪst fɔn ˌmaɪnɐ ˈfʁɔøndɪn]</t>
  </si>
  <si>
    <t xml:space="preserve">Món quà là của bạn gái tôi.</t>
  </si>
  <si>
    <t xml:space="preserve">die Freundin = bạn gái</t>
  </si>
  <si>
    <t xml:space="preserve">S0406</t>
  </si>
  <si>
    <t xml:space="preserve">bei + Dativ (ở nhà ai)</t>
  </si>
  <si>
    <t xml:space="preserve">Wir wohnen bei meinen Eltern.</t>
  </si>
  <si>
    <t xml:space="preserve">[viːɐ̯ ˈvoːnən baɪ ˌmaɪnən ˈʔɛltɐn]</t>
  </si>
  <si>
    <t xml:space="preserve">Chúng tôi sống với bố mẹ tôi.</t>
  </si>
  <si>
    <t xml:space="preserve">bei = ở chỗ</t>
  </si>
  <si>
    <t xml:space="preserve">S0407</t>
  </si>
  <si>
    <t xml:space="preserve">außer + Dativ</t>
  </si>
  <si>
    <t xml:space="preserve">Außer mir war niemand da.</t>
  </si>
  <si>
    <t xml:space="preserve">[ˈʔaʊsɐ miːɐ̯ vaːɐ̯ ˈniːmant ˈdaː]</t>
  </si>
  <si>
    <t xml:space="preserve">Ngoài tôi ra thì không có ai.</t>
  </si>
  <si>
    <t xml:space="preserve">außer = ngoài ra; da = ở đó</t>
  </si>
  <si>
    <t xml:space="preserve">S0408</t>
  </si>
  <si>
    <t xml:space="preserve">Er geht zum Supermarkt.</t>
  </si>
  <si>
    <t xml:space="preserve">[ʔɛɐ̯ ˈɡeːt tsʊm ˈzuːpɐˌmaʁkt]</t>
  </si>
  <si>
    <t xml:space="preserve">Anh ấy đi siêu thị.</t>
  </si>
  <si>
    <t xml:space="preserve">zum = đến</t>
  </si>
  <si>
    <t xml:space="preserve">S0409</t>
  </si>
  <si>
    <t xml:space="preserve">gegenüber + Dativ</t>
  </si>
  <si>
    <t xml:space="preserve">Gegenüber dem Bahnhof gibt es ein Café.</t>
  </si>
  <si>
    <t xml:space="preserve">[ˌɡeːɡəˈnyːbɐ deːm ˈbaːnhoːf ˈɡiːpt ʔɛs ʔaɪn kaˈfeː]</t>
  </si>
  <si>
    <t xml:space="preserve">Đối diện nhà ga có một quán cà phê.</t>
  </si>
  <si>
    <t xml:space="preserve">gegenüber = đối diện; das Café = quán cà phê</t>
  </si>
  <si>
    <t xml:space="preserve">S0410</t>
  </si>
  <si>
    <t xml:space="preserve">ab + Dativ (mốc thời gian)</t>
  </si>
  <si>
    <t xml:space="preserve">Ab morgen arbeite ich wieder.</t>
  </si>
  <si>
    <t xml:space="preserve">[ʔap ˈmɔʁɡən ˈʔaʁbaɪtə ʔɪç ˈviːdɐ]</t>
  </si>
  <si>
    <t xml:space="preserve">Từ ngày mai tôi đi làm lại.</t>
  </si>
  <si>
    <t xml:space="preserve">ab = từ; wieder = lại</t>
  </si>
  <si>
    <t xml:space="preserve">S0411</t>
  </si>
  <si>
    <t xml:space="preserve">mit dem + phương tiện, nach + thành phố</t>
  </si>
  <si>
    <t xml:space="preserve">Ich fahre mit dem Zug nach Wien.</t>
  </si>
  <si>
    <t xml:space="preserve">[ʔɪç ˈfaːʁə mɪt deːm ˈtsuːk naːx ˈviːn]</t>
  </si>
  <si>
    <t xml:space="preserve">Tôi đi tàu đến Wien.</t>
  </si>
  <si>
    <t xml:space="preserve">der Zug = tàu hỏa</t>
  </si>
  <si>
    <t xml:space="preserve">S0412</t>
  </si>
  <si>
    <t xml:space="preserve">nach + Dativ giống cái</t>
  </si>
  <si>
    <t xml:space="preserve">Nach der Arbeit gehe ich ins Fitnessstudio.</t>
  </si>
  <si>
    <t xml:space="preserve">[naːx dɛɐ̯ ˈʔaʁbaɪt ˈɡeːə ʔɪç ʔɪns ˈfɪtnɛsˌstuːdɪˌʔoː]</t>
  </si>
  <si>
    <t xml:space="preserve">Sau giờ làm tôi đi tập gym.</t>
  </si>
  <si>
    <t xml:space="preserve">das Fitnessstudio = phòng gym</t>
  </si>
  <si>
    <t xml:space="preserve">S0413</t>
  </si>
  <si>
    <t xml:space="preserve">von + Dativ + Adjektiv -en</t>
  </si>
  <si>
    <t xml:space="preserve">Das Buch ist von einem deutschen Autor.</t>
  </si>
  <si>
    <t xml:space="preserve">[das ˈbuːx ʔɪst fɔn ˌʔaɪnəm ˈdɔøtʃən ˈʔaʊtoːɐ̯]</t>
  </si>
  <si>
    <t xml:space="preserve">Quyển sách là của một tác giả Đức.</t>
  </si>
  <si>
    <t xml:space="preserve">der Autor = tác giả</t>
  </si>
  <si>
    <t xml:space="preserve">S0414</t>
  </si>
  <si>
    <t xml:space="preserve">bei + Dativ (điều kiện)</t>
  </si>
  <si>
    <t xml:space="preserve">Bei schlechtem Wetter bleibe ich zu Hause.</t>
  </si>
  <si>
    <t xml:space="preserve">[baɪ ˈʃlɛçtəm ˈvɛtɐ ˈblaɪbə ʔɪç tsuː ˈhaʊzə]</t>
  </si>
  <si>
    <t xml:space="preserve">Trời xấu thì tôi ở nhà.</t>
  </si>
  <si>
    <t xml:space="preserve">das Wetter = thời tiết</t>
  </si>
  <si>
    <t xml:space="preserve">S0415</t>
  </si>
  <si>
    <t xml:space="preserve">Ich wohne seit drei Monaten hier.</t>
  </si>
  <si>
    <t xml:space="preserve">[ʔɪç ˈvoːnə zaɪt ˈdʁaɪ ˈmoːnaːtən ˈhiːɐ̯]</t>
  </si>
  <si>
    <t xml:space="preserve">Tôi ở đây được ba tháng rồi.</t>
  </si>
  <si>
    <t xml:space="preserve">der Monat = tháng</t>
  </si>
  <si>
    <t xml:space="preserve">S0416</t>
  </si>
  <si>
    <t xml:space="preserve">aus + Dativ + Adjektiv -en</t>
  </si>
  <si>
    <t xml:space="preserve">Sie kommt aus einer kleinen Stadt.</t>
  </si>
  <si>
    <t xml:space="preserve">[ziː ˈkɔmt ˌʔaʊs ˌʔaɪnɐ ˈklaɪnən ˈʃtat]</t>
  </si>
  <si>
    <t xml:space="preserve">Cô ấy đến từ một thành phố nhỏ.</t>
  </si>
  <si>
    <t xml:space="preserve">klein = nhỏ</t>
  </si>
  <si>
    <t xml:space="preserve">S0417</t>
  </si>
  <si>
    <t xml:space="preserve">mit + wem (Dativ)</t>
  </si>
  <si>
    <t xml:space="preserve">Mit wem gehst du ins Kino?</t>
  </si>
  <si>
    <t xml:space="preserve">[mɪt ˈveːm ˈɡeːst duː ʔɪns ˈkiːnoː]</t>
  </si>
  <si>
    <t xml:space="preserve">Bạn đi xem phim với ai?</t>
  </si>
  <si>
    <t xml:space="preserve">das Kino = rạp phim</t>
  </si>
  <si>
    <t xml:space="preserve">S0418</t>
  </si>
  <si>
    <t xml:space="preserve">bei + Possessiv Dativ</t>
  </si>
  <si>
    <t xml:space="preserve">Er wohnt bei seiner Tante.</t>
  </si>
  <si>
    <t xml:space="preserve">[ʔɛɐ̯ ˈvoːnt baɪ ˌzaɪnɐ ˈtantə]</t>
  </si>
  <si>
    <t xml:space="preserve">Anh ấy sống ở nhà dì.</t>
  </si>
  <si>
    <t xml:space="preserve">seiner = của anh ấy (Dativ)</t>
  </si>
  <si>
    <t xml:space="preserve">S0419</t>
  </si>
  <si>
    <t xml:space="preserve">Präteritum werden</t>
  </si>
  <si>
    <t xml:space="preserve">Nach dem Regen wurde es kühler.</t>
  </si>
  <si>
    <t xml:space="preserve">[naːx deːm ˈʁeːɡən ˌvʊʁdə ʔɛs ˈkyːlɐ]</t>
  </si>
  <si>
    <t xml:space="preserve">Sau cơn mưa trời mát hơn.</t>
  </si>
  <si>
    <t xml:space="preserve">der Regen = mưa; kühl = mát</t>
  </si>
  <si>
    <t xml:space="preserve">S0420</t>
  </si>
  <si>
    <t xml:space="preserve">Ich habe nichts gegen deinen Vorschlag.</t>
  </si>
  <si>
    <t xml:space="preserve">[ʔɪç haːbə ˈnɪçts ˌɡeːɡən ˌdaɪnən ˈfoːɐ̯ˌʃlaːk]</t>
  </si>
  <si>
    <t xml:space="preserve">Tôi không phản đối đề nghị của bạn.</t>
  </si>
  <si>
    <t xml:space="preserve">der Vorschlag = đề nghị</t>
  </si>
  <si>
    <t xml:space="preserve">S0421</t>
  </si>
  <si>
    <t xml:space="preserve">Giới từ hai cách (Wechselpräpositionen)</t>
  </si>
  <si>
    <t xml:space="preserve">an + Dativ (vị trí tĩnh)</t>
  </si>
  <si>
    <t xml:space="preserve">Das Bild hängt an der Wand.</t>
  </si>
  <si>
    <t xml:space="preserve">[das ˈbɪlt ˈhɛŋt ʔan dɛɐ̯ ˈvant]</t>
  </si>
  <si>
    <t xml:space="preserve">Bức tranh treo trên tường.</t>
  </si>
  <si>
    <t xml:space="preserve">das Bild = bức tranh; hängen = treo</t>
  </si>
  <si>
    <t xml:space="preserve">S0422</t>
  </si>
  <si>
    <t xml:space="preserve">an + Akkusativ (chuyển động)</t>
  </si>
  <si>
    <t xml:space="preserve">Ich hänge das Bild an die Wand.</t>
  </si>
  <si>
    <t xml:space="preserve">[ʔɪç ˈhɛŋə das ˈbɪlt ʔan diː ˈvant]</t>
  </si>
  <si>
    <t xml:space="preserve">Tôi treo bức tranh lên tường.</t>
  </si>
  <si>
    <t xml:space="preserve">hängen = treo lên</t>
  </si>
  <si>
    <t xml:space="preserve">S0423</t>
  </si>
  <si>
    <t xml:space="preserve">auf + Dativ (liegen)</t>
  </si>
  <si>
    <t xml:space="preserve">Die Katze liegt auf dem Sofa.</t>
  </si>
  <si>
    <t xml:space="preserve">[diː ˈkatsə ˈliːkt ʔaʊf deːm ˈzoːfaː]</t>
  </si>
  <si>
    <t xml:space="preserve">Con mèo nằm trên sô pha.</t>
  </si>
  <si>
    <t xml:space="preserve">das Sofa = ghế sô pha</t>
  </si>
  <si>
    <t xml:space="preserve">S0424</t>
  </si>
  <si>
    <t xml:space="preserve">auf + Akkusativ (springen)</t>
  </si>
  <si>
    <t xml:space="preserve">Die Katze springt auf das Sofa.</t>
  </si>
  <si>
    <t xml:space="preserve">[diː ˈkatsə ˈʃpʁɪŋt ʔaʊf das ˈzoːfaː]</t>
  </si>
  <si>
    <t xml:space="preserve">Con mèo nhảy lên sô pha.</t>
  </si>
  <si>
    <t xml:space="preserve">springen = nhảy</t>
  </si>
  <si>
    <t xml:space="preserve">S0425</t>
  </si>
  <si>
    <t xml:space="preserve">in + Dativ (sein)</t>
  </si>
  <si>
    <t xml:space="preserve">Ich bin in der Küche.</t>
  </si>
  <si>
    <t xml:space="preserve">[ʔɪç bɪn ʔɪn dɛɐ̯ ˈkyçə]</t>
  </si>
  <si>
    <t xml:space="preserve">Tôi đang ở trong bếp.</t>
  </si>
  <si>
    <t xml:space="preserve">die Küche = nhà bếp</t>
  </si>
  <si>
    <t xml:space="preserve">S0426</t>
  </si>
  <si>
    <t xml:space="preserve">in + Akkusativ (gehen)</t>
  </si>
  <si>
    <t xml:space="preserve">Ich gehe in die Küche.</t>
  </si>
  <si>
    <t xml:space="preserve">[ʔɪç ˈɡeːə ʔɪn diː ˈkyçə]</t>
  </si>
  <si>
    <t xml:space="preserve">Tôi đi vào bếp.</t>
  </si>
  <si>
    <t xml:space="preserve">gehen = đi</t>
  </si>
  <si>
    <t xml:space="preserve">S0427</t>
  </si>
  <si>
    <t xml:space="preserve">unter + Dativ</t>
  </si>
  <si>
    <t xml:space="preserve">Der Schlüssel liegt unter der Zeitung.</t>
  </si>
  <si>
    <t xml:space="preserve">[dɛɐ̯ ˈʃlysəl ˈliːkt ˌʔʊntɐ dɛɐ̯ ˈtsaɪˌtʊŋ]</t>
  </si>
  <si>
    <t xml:space="preserve">Chìa khóa nằm dưới tờ báo.</t>
  </si>
  <si>
    <t xml:space="preserve">unter = dưới</t>
  </si>
  <si>
    <t xml:space="preserve">S0428</t>
  </si>
  <si>
    <t xml:space="preserve">unter + Akkusativ (stellen)</t>
  </si>
  <si>
    <t xml:space="preserve">Stell die Tasche unter den Tisch!</t>
  </si>
  <si>
    <t xml:space="preserve">[ˈʃtɛl diː ˈtaʃə ˌʔʊntɐ deːn ˈtɪʃ]</t>
  </si>
  <si>
    <t xml:space="preserve">Để cái túi xuống dưới bàn!</t>
  </si>
  <si>
    <t xml:space="preserve">stellen = đặt đứng</t>
  </si>
  <si>
    <t xml:space="preserve">S0429</t>
  </si>
  <si>
    <t xml:space="preserve">vor + Dativ</t>
  </si>
  <si>
    <t xml:space="preserve">Das Auto steht vor dem Haus.</t>
  </si>
  <si>
    <t xml:space="preserve">[das ˈʔaʊtoː ˈʃteːt ˌfɔɐ̯ deːm ˈhaʊs]</t>
  </si>
  <si>
    <t xml:space="preserve">Chiếc xe đỗ trước nhà.</t>
  </si>
  <si>
    <t xml:space="preserve">vor = trước; das Haus = ngôi nhà</t>
  </si>
  <si>
    <t xml:space="preserve">S0430</t>
  </si>
  <si>
    <t xml:space="preserve">vor + Akkusativ</t>
  </si>
  <si>
    <t xml:space="preserve">Er stellt den Stuhl vor das Fenster.</t>
  </si>
  <si>
    <t xml:space="preserve">[ʔɛɐ̯ ˈʃtɛlt deːn ˈʃtuːl ˌfɔɐ̯ das ˈfɛnstɐ]</t>
  </si>
  <si>
    <t xml:space="preserve">Anh ấy đặt ghế trước cửa sổ.</t>
  </si>
  <si>
    <t xml:space="preserve">das Fenster = cửa sổ</t>
  </si>
  <si>
    <t xml:space="preserve">S0431</t>
  </si>
  <si>
    <t xml:space="preserve">hinter + Dativ</t>
  </si>
  <si>
    <t xml:space="preserve">Der Garten ist hinter dem Haus.</t>
  </si>
  <si>
    <t xml:space="preserve">[dɛɐ̯ ˈɡaʁtən ʔɪst ˈhɪntɐ deːm ˈhaʊs]</t>
  </si>
  <si>
    <t xml:space="preserve">Khu vườn ở phía sau nhà.</t>
  </si>
  <si>
    <t xml:space="preserve">hinter = phía sau</t>
  </si>
  <si>
    <t xml:space="preserve">S0432</t>
  </si>
  <si>
    <t xml:space="preserve">über + Dativ</t>
  </si>
  <si>
    <t xml:space="preserve">Die Lampe hängt über dem Tisch.</t>
  </si>
  <si>
    <t xml:space="preserve">[diː ˈlampə ˈhɛŋt ˌʔyːbɐ deːm ˈtɪʃ]</t>
  </si>
  <si>
    <t xml:space="preserve">Cái đèn treo phía trên bàn.</t>
  </si>
  <si>
    <t xml:space="preserve">über = phía trên</t>
  </si>
  <si>
    <t xml:space="preserve">S0433</t>
  </si>
  <si>
    <t xml:space="preserve">neben + Akkusativ (sich setzen)</t>
  </si>
  <si>
    <t xml:space="preserve">Ich setze mich neben dich.</t>
  </si>
  <si>
    <t xml:space="preserve">[ʔɪç ˈzɛtsə mɪç ˌneːbən ˈdɪç]</t>
  </si>
  <si>
    <t xml:space="preserve">Tôi ngồi xuống cạnh bạn.</t>
  </si>
  <si>
    <t xml:space="preserve">sich setzen = ngồi xuống</t>
  </si>
  <si>
    <t xml:space="preserve">S0434</t>
  </si>
  <si>
    <t xml:space="preserve">zwischen + Dativ số nhiều</t>
  </si>
  <si>
    <t xml:space="preserve">Zwischen den Häusern ist ein Weg.</t>
  </si>
  <si>
    <t xml:space="preserve">[ˈtsvɪʃən deːn ˈhɔøzɐn ʔɪst ʔaɪn ˈveːk]</t>
  </si>
  <si>
    <t xml:space="preserve">Giữa những ngôi nhà có một lối đi.</t>
  </si>
  <si>
    <t xml:space="preserve">zwischen = ở giữa</t>
  </si>
  <si>
    <t xml:space="preserve">S0435</t>
  </si>
  <si>
    <t xml:space="preserve">legen + Akkusativ</t>
  </si>
  <si>
    <t xml:space="preserve">Leg das Handy auf den Tisch.</t>
  </si>
  <si>
    <t xml:space="preserve">[ˈleːk das ˈhɛndiː ʔaʊf deːn ˈtɪʃ]</t>
  </si>
  <si>
    <t xml:space="preserve">Đặt điện thoại lên bàn.</t>
  </si>
  <si>
    <t xml:space="preserve">legen = đặt nằm</t>
  </si>
  <si>
    <t xml:space="preserve">S0436</t>
  </si>
  <si>
    <t xml:space="preserve">liegen + Dativ</t>
  </si>
  <si>
    <t xml:space="preserve">Das Handy liegt auf dem Tisch.</t>
  </si>
  <si>
    <t xml:space="preserve">[das ˈhɛndiː ˈliːkt ʔaʊf deːm ˈtɪʃ]</t>
  </si>
  <si>
    <t xml:space="preserve">Điện thoại nằm trên bàn.</t>
  </si>
  <si>
    <t xml:space="preserve">liegen = nằm</t>
  </si>
  <si>
    <t xml:space="preserve">S0437</t>
  </si>
  <si>
    <t xml:space="preserve">am = an dem</t>
  </si>
  <si>
    <t xml:space="preserve">Wir treffen uns am Bahnhof.</t>
  </si>
  <si>
    <t xml:space="preserve">[viːɐ̯ ˈtʁɛfən ʔʊns ʔam ˈbaːnhoːf]</t>
  </si>
  <si>
    <t xml:space="preserve">Chúng ta gặp nhau ở nhà ga.</t>
  </si>
  <si>
    <t xml:space="preserve">der Bahnhof = nhà ga</t>
  </si>
  <si>
    <t xml:space="preserve">S0438</t>
  </si>
  <si>
    <t xml:space="preserve">in + Akkusativ</t>
  </si>
  <si>
    <t xml:space="preserve">Ich hänge den Mantel in den Schrank.</t>
  </si>
  <si>
    <t xml:space="preserve">[ʔɪç ˈhɛŋə deːn ˈmantəl ʔɪn deːn ˈʃʁaŋk]</t>
  </si>
  <si>
    <t xml:space="preserve">Tôi treo áo khoác vào tủ.</t>
  </si>
  <si>
    <t xml:space="preserve">der Schrank = cái tủ</t>
  </si>
  <si>
    <t xml:space="preserve">S0439</t>
  </si>
  <si>
    <t xml:space="preserve">zwischen + Dativ</t>
  </si>
  <si>
    <t xml:space="preserve">Die Kinder spielen zwischen den Bäumen.</t>
  </si>
  <si>
    <t xml:space="preserve">[diː ˈkɪndɐ ˈʃpiːlən ˈtsvɪʃən deːn ˈbɔømən]</t>
  </si>
  <si>
    <t xml:space="preserve">Bọn trẻ chơi giữa những cái cây.</t>
  </si>
  <si>
    <t xml:space="preserve">der Baum = cái cây</t>
  </si>
  <si>
    <t xml:space="preserve">S0440</t>
  </si>
  <si>
    <t xml:space="preserve">an + Akkusativ, Genitiv der Schlange</t>
  </si>
  <si>
    <t xml:space="preserve">Stell dich bitte an das Ende der Schlange.</t>
  </si>
  <si>
    <t xml:space="preserve">[ˈʃtɛl dɪç ˈbɪtə ʔan das ˈʔɛndə dɛɐ̯ ˈʃlaŋə]</t>
  </si>
  <si>
    <t xml:space="preserve">Làm ơn xếp cuối hàng.</t>
  </si>
  <si>
    <t xml:space="preserve">das Ende = cuối; die Schlange = hàng người</t>
  </si>
  <si>
    <t xml:space="preserve">S0441</t>
  </si>
  <si>
    <t xml:space="preserve">Thì quá khứ Perfekt (haben)</t>
  </si>
  <si>
    <t xml:space="preserve">haben + Partizip II cuối câu</t>
  </si>
  <si>
    <t xml:space="preserve">Ich habe gestern viel gelernt.</t>
  </si>
  <si>
    <t xml:space="preserve">[ʔɪç haːbə ˈɡɛstɐn ˈfiːl ɡəˈlɛʁnt]</t>
  </si>
  <si>
    <t xml:space="preserve">Hôm qua tôi học nhiều.</t>
  </si>
  <si>
    <t xml:space="preserve">gelernt = đã học</t>
  </si>
  <si>
    <t xml:space="preserve">S0442</t>
  </si>
  <si>
    <t xml:space="preserve">Partizip bất quy tắc gelesen</t>
  </si>
  <si>
    <t xml:space="preserve">Hast du das Buch gelesen?</t>
  </si>
  <si>
    <t xml:space="preserve">[hast duː das ˈbuːx ɡəˈleːzən]</t>
  </si>
  <si>
    <t xml:space="preserve">Bạn đọc quyển sách đó chưa?</t>
  </si>
  <si>
    <t xml:space="preserve">gelesen = đã đọc</t>
  </si>
  <si>
    <t xml:space="preserve">S0443</t>
  </si>
  <si>
    <t xml:space="preserve">Partizip gesehen</t>
  </si>
  <si>
    <t xml:space="preserve">Wir haben einen Film gesehen.</t>
  </si>
  <si>
    <t xml:space="preserve">[viːɐ̯ ˌhaːbən ˌʔaɪnən ˈfɪlm ɡəˈzeːən]</t>
  </si>
  <si>
    <t xml:space="preserve">Chúng tôi đã xem một bộ phim.</t>
  </si>
  <si>
    <t xml:space="preserve">gesehen = đã xem</t>
  </si>
  <si>
    <t xml:space="preserve">S0444</t>
  </si>
  <si>
    <t xml:space="preserve">nicht trước Partizip</t>
  </si>
  <si>
    <t xml:space="preserve">Er hat mir nicht geantwortet.</t>
  </si>
  <si>
    <t xml:space="preserve">[ʔɛɐ̯ hat miːɐ̯ ˈnɪçt ɡəˈʔantvɔʁtət]</t>
  </si>
  <si>
    <t xml:space="preserve">Anh ấy không trả lời tôi.</t>
  </si>
  <si>
    <t xml:space="preserve">geantwortet = đã trả lời</t>
  </si>
  <si>
    <t xml:space="preserve">S0445</t>
  </si>
  <si>
    <t xml:space="preserve">gemacht = Partizip của machen</t>
  </si>
  <si>
    <t xml:space="preserve">Ich habe meine Hausaufgaben gemacht.</t>
  </si>
  <si>
    <t xml:space="preserve">[ʔɪç haːbə ˌmaɪnə ˈhaʊˌsaʊfˌɡaːbən ɡəˈmaxt]</t>
  </si>
  <si>
    <t xml:space="preserve">Tôi đã làm bài tập về nhà.</t>
  </si>
  <si>
    <t xml:space="preserve">die Hausaufgabe = bài tập về nhà</t>
  </si>
  <si>
    <t xml:space="preserve">S0446</t>
  </si>
  <si>
    <t xml:space="preserve">schon = đã</t>
  </si>
  <si>
    <t xml:space="preserve">Habt ihr schon gegessen?</t>
  </si>
  <si>
    <t xml:space="preserve">[ˈhaːpt ʔiːɐ̯ ˌʃoːn ɡəˈɡɛsən]</t>
  </si>
  <si>
    <t xml:space="preserve">Các bạn ăn chưa?</t>
  </si>
  <si>
    <t xml:space="preserve">gegessen = đã ăn</t>
  </si>
  <si>
    <t xml:space="preserve">S0447</t>
  </si>
  <si>
    <t xml:space="preserve">Sie hat den ganzen Tag gearbeitet.</t>
  </si>
  <si>
    <t xml:space="preserve">[ziː hat deːn ˈɡantsən ˈtaːk ɡəˈʔaʁbaɪtət]</t>
  </si>
  <si>
    <t xml:space="preserve">Cô ấy làm việc cả ngày.</t>
  </si>
  <si>
    <t xml:space="preserve">gearbeitet = đã làm việc</t>
  </si>
  <si>
    <t xml:space="preserve">S0448</t>
  </si>
  <si>
    <t xml:space="preserve">ver- không thêm ge-</t>
  </si>
  <si>
    <t xml:space="preserve">Ich habe meinen Schlüssel vergessen.</t>
  </si>
  <si>
    <t xml:space="preserve">[ʔɪç haːbə ˌmaɪnən ˈʃlysəl fɛʁˈɡɛsən]</t>
  </si>
  <si>
    <t xml:space="preserve">Tôi quên chìa khóa rồi.</t>
  </si>
  <si>
    <t xml:space="preserve">vergessen = quên</t>
  </si>
  <si>
    <t xml:space="preserve">S0449</t>
  </si>
  <si>
    <t xml:space="preserve">darüber = về chuyện đó</t>
  </si>
  <si>
    <t xml:space="preserve">Wir haben lange darüber gesprochen.</t>
  </si>
  <si>
    <t xml:space="preserve">[viːɐ̯ ˌhaːbən ˈlaŋə daːˈʁyːbɐ ɡəˈʃpʁɔxən]</t>
  </si>
  <si>
    <t xml:space="preserve">Chúng tôi đã nói chuyện đó rất lâu.</t>
  </si>
  <si>
    <t xml:space="preserve">gesprochen = đã nói</t>
  </si>
  <si>
    <t xml:space="preserve">S0450</t>
  </si>
  <si>
    <t xml:space="preserve">W-Frage ở Perfekt</t>
  </si>
  <si>
    <t xml:space="preserve">Was hast du am Wochenende gemacht?</t>
  </si>
  <si>
    <t xml:space="preserve">[ˈvas hast duː ʔam ˈvɔxənəndə ɡəˈmaxt]</t>
  </si>
  <si>
    <t xml:space="preserve">Cuối tuần bạn làm gì?</t>
  </si>
  <si>
    <t xml:space="preserve">das Wochenende = cuối tuần</t>
  </si>
  <si>
    <t xml:space="preserve">S0451</t>
  </si>
  <si>
    <t xml:space="preserve">gekauft = Partizip của kaufen</t>
  </si>
  <si>
    <t xml:space="preserve">Ich habe ein neues Handy gekauft.</t>
  </si>
  <si>
    <t xml:space="preserve">[ʔɪç haːbə ʔaɪn ˈnɔøəs ˈhɛndiː ɡəˈkaʊft]</t>
  </si>
  <si>
    <t xml:space="preserve">Tôi đã mua điện thoại mới.</t>
  </si>
  <si>
    <t xml:space="preserve">gekauft = đã mua</t>
  </si>
  <si>
    <t xml:space="preserve">S0452</t>
  </si>
  <si>
    <t xml:space="preserve">be- không thêm ge-</t>
  </si>
  <si>
    <t xml:space="preserve">Er hat die Prüfung bestanden.</t>
  </si>
  <si>
    <t xml:space="preserve">[ʔɛɐ̯ hat diː ˈpʁyːfʊŋ bəˈʃtandən]</t>
  </si>
  <si>
    <t xml:space="preserve">Anh ấy đã thi đỗ.</t>
  </si>
  <si>
    <t xml:space="preserve">die Prüfung = kỳ thi; bestehen = thi đỗ</t>
  </si>
  <si>
    <t xml:space="preserve">S0453</t>
  </si>
  <si>
    <t xml:space="preserve">geschlafen bất quy tắc</t>
  </si>
  <si>
    <t xml:space="preserve">Hast du gut geschlafen?</t>
  </si>
  <si>
    <t xml:space="preserve">[hast duː ˈɡuːt ɡəˈʃlaːfən]</t>
  </si>
  <si>
    <t xml:space="preserve">Bạn ngủ ngon không?</t>
  </si>
  <si>
    <t xml:space="preserve">geschlafen = đã ngủ</t>
  </si>
  <si>
    <t xml:space="preserve">S0454</t>
  </si>
  <si>
    <t xml:space="preserve">getroffen = Partizip của treffen</t>
  </si>
  <si>
    <t xml:space="preserve">Ich habe ihn im Park getroffen.</t>
  </si>
  <si>
    <t xml:space="preserve">[ʔɪç haːbə ʔiːn ʔɪm ˈpaʁk ɡəˈtʁɔfən]</t>
  </si>
  <si>
    <t xml:space="preserve">Tôi gặp anh ấy ở công viên.</t>
  </si>
  <si>
    <t xml:space="preserve">getroffen = đã gặp</t>
  </si>
  <si>
    <t xml:space="preserve">S0455</t>
  </si>
  <si>
    <t xml:space="preserve">gefeiert = Partizip của feiern</t>
  </si>
  <si>
    <t xml:space="preserve">Wir haben die ganze Nacht gefeiert.</t>
  </si>
  <si>
    <t xml:space="preserve">[viːɐ̯ ˌhaːbən diː ˈɡantsə ˈnaxt ɡəˈfaɪɐt]</t>
  </si>
  <si>
    <t xml:space="preserve">Chúng tôi ăn mừng cả đêm.</t>
  </si>
  <si>
    <t xml:space="preserve">gefeiert = đã ăn mừng</t>
  </si>
  <si>
    <t xml:space="preserve">S0456</t>
  </si>
  <si>
    <t xml:space="preserve">Trennbares Verb: an-ge-rufen</t>
  </si>
  <si>
    <t xml:space="preserve">Sie hat mich angerufen.</t>
  </si>
  <si>
    <t xml:space="preserve">[ziː hat mɪç ˈʔanɡəˌʁuːfən]</t>
  </si>
  <si>
    <t xml:space="preserve">Cô ấy đã gọi cho tôi.</t>
  </si>
  <si>
    <t xml:space="preserve">angerufen = đã gọi</t>
  </si>
  <si>
    <t xml:space="preserve">S0457</t>
  </si>
  <si>
    <t xml:space="preserve">Ich habe das Geld schon bezahlt.</t>
  </si>
  <si>
    <t xml:space="preserve">[ʔɪç haːbə das ˈɡɛlt ˌʃoːn bəˈtsaːlt]</t>
  </si>
  <si>
    <t xml:space="preserve">Tôi đã trả tiền rồi.</t>
  </si>
  <si>
    <t xml:space="preserve">bezahlt = đã trả</t>
  </si>
  <si>
    <t xml:space="preserve">S0458</t>
  </si>
  <si>
    <t xml:space="preserve">dort = ở đó</t>
  </si>
  <si>
    <t xml:space="preserve">Was habt ihr dort gemacht?</t>
  </si>
  <si>
    <t xml:space="preserve">[ˈvas ˈhaːpt ʔiːɐ̯ ˈdɔʁt ɡəˈmaxt]</t>
  </si>
  <si>
    <t xml:space="preserve">Các bạn đã làm gì ở đó?</t>
  </si>
  <si>
    <t xml:space="preserve">S0459</t>
  </si>
  <si>
    <t xml:space="preserve">auf-ge-räumt</t>
  </si>
  <si>
    <t xml:space="preserve">Er hat sein Zimmer aufgeräumt.</t>
  </si>
  <si>
    <t xml:space="preserve">[ʔɛɐ̯ hat zaɪn ˈtsɪmɐ ˈʔaʊfɡəˌʁɔømt]</t>
  </si>
  <si>
    <t xml:space="preserve">Anh ấy đã dọn phòng.</t>
  </si>
  <si>
    <t xml:space="preserve">aufgeräumt = đã dọn dẹp</t>
  </si>
  <si>
    <t xml:space="preserve">S0460</t>
  </si>
  <si>
    <t xml:space="preserve">über + Akkusativ</t>
  </si>
  <si>
    <t xml:space="preserve">Ich habe viel über Deutschland gelernt.</t>
  </si>
  <si>
    <t xml:space="preserve">[ʔɪç haːbə ˈfiːl ˌʔyːbɐ ˈdɔøtʃlant ɡəˈlɛʁnt]</t>
  </si>
  <si>
    <t xml:space="preserve">Tôi đã học được nhiều về nước Đức.</t>
  </si>
  <si>
    <t xml:space="preserve">über = về</t>
  </si>
  <si>
    <t xml:space="preserve">S0461</t>
  </si>
  <si>
    <t xml:space="preserve">Thì quá khứ Perfekt (sein)</t>
  </si>
  <si>
    <t xml:space="preserve">Động từ chuyển động -&gt; sein</t>
  </si>
  <si>
    <t xml:space="preserve">Ich bin gestern nach Berlin gefahren.</t>
  </si>
  <si>
    <t xml:space="preserve">[ʔɪç bɪn ˈɡɛstɐn naːx bɛʁˈliːn ɡəˈfaːʁən]</t>
  </si>
  <si>
    <t xml:space="preserve">Hôm qua tôi đã đi Berlin.</t>
  </si>
  <si>
    <t xml:space="preserve">gefahren = đã đi (xe)</t>
  </si>
  <si>
    <t xml:space="preserve">S0462</t>
  </si>
  <si>
    <t xml:space="preserve">ankommen + sein</t>
  </si>
  <si>
    <t xml:space="preserve">Wir sind um acht angekommen.</t>
  </si>
  <si>
    <t xml:space="preserve">[viːɐ̯ zɪnt ʔʊm ˈʔaxt ˈʔanɡəˌkɔmən]</t>
  </si>
  <si>
    <t xml:space="preserve">Chúng tôi đến lúc tám giờ.</t>
  </si>
  <si>
    <t xml:space="preserve">angekommen = đã đến</t>
  </si>
  <si>
    <t xml:space="preserve">S0463</t>
  </si>
  <si>
    <t xml:space="preserve">aufstehen + sein</t>
  </si>
  <si>
    <t xml:space="preserve">Bist du schon aufgestanden?</t>
  </si>
  <si>
    <t xml:space="preserve">[bɪst duː ˌʃoːn ˈʔaʊfɡəˌʃtandən]</t>
  </si>
  <si>
    <t xml:space="preserve">Bạn dậy chưa?</t>
  </si>
  <si>
    <t xml:space="preserve">aufgestanden = đã dậy</t>
  </si>
  <si>
    <t xml:space="preserve">S0464</t>
  </si>
  <si>
    <t xml:space="preserve">bleiben + sein (ngoại lệ)</t>
  </si>
  <si>
    <t xml:space="preserve">Er ist zu Hause geblieben.</t>
  </si>
  <si>
    <t xml:space="preserve">[ʔɛɐ̯ ʔɪst tsuː ˈhaʊzə ɡəˈbliːbən]</t>
  </si>
  <si>
    <t xml:space="preserve">Anh ấy đã ở nhà.</t>
  </si>
  <si>
    <t xml:space="preserve">geblieben = đã ở lại</t>
  </si>
  <si>
    <t xml:space="preserve">S0465</t>
  </si>
  <si>
    <t xml:space="preserve">laufen + sein</t>
  </si>
  <si>
    <t xml:space="preserve">Sie ist sehr schnell gelaufen.</t>
  </si>
  <si>
    <t xml:space="preserve">[ziː ʔɪst ˈzeːɐ̯ ˈʃnɛl ɡəˈlaʊfən]</t>
  </si>
  <si>
    <t xml:space="preserve">Cô ấy đã chạy rất nhanh.</t>
  </si>
  <si>
    <t xml:space="preserve">gelaufen = đã chạy</t>
  </si>
  <si>
    <t xml:space="preserve">S0466</t>
  </si>
  <si>
    <t xml:space="preserve">passieren + sein, không ge-</t>
  </si>
  <si>
    <t xml:space="preserve">Was ist passiert?</t>
  </si>
  <si>
    <t xml:space="preserve">[ˈvas ʔɪst paˈsiːɐ̯t]</t>
  </si>
  <si>
    <t xml:space="preserve">Đã xảy ra chuyện gì?</t>
  </si>
  <si>
    <t xml:space="preserve">passieren = xảy ra</t>
  </si>
  <si>
    <t xml:space="preserve">S0467</t>
  </si>
  <si>
    <t xml:space="preserve">werden + sein</t>
  </si>
  <si>
    <t xml:space="preserve">Ich bin letzte Woche krank geworden.</t>
  </si>
  <si>
    <t xml:space="preserve">[ʔɪç bɪn ˈlɛtstə ˈvɔxə ˈkʁaŋk ɡəˌvɔʁdən]</t>
  </si>
  <si>
    <t xml:space="preserve">Tuần trước tôi bị ốm.</t>
  </si>
  <si>
    <t xml:space="preserve">geworden = đã trở nên; letzte = vừa qua</t>
  </si>
  <si>
    <t xml:space="preserve">S0468</t>
  </si>
  <si>
    <t xml:space="preserve">gehen + sein</t>
  </si>
  <si>
    <t xml:space="preserve">Wir sind lange spazieren gegangen.</t>
  </si>
  <si>
    <t xml:space="preserve">[viːɐ̯ zɪnt ˈlaŋə ʃpaˈtsiːʁən ɡəˈɡaŋən]</t>
  </si>
  <si>
    <t xml:space="preserve">Chúng tôi đã đi dạo rất lâu.</t>
  </si>
  <si>
    <t xml:space="preserve">spazieren gehen = đi dạo</t>
  </si>
  <si>
    <t xml:space="preserve">S0469</t>
  </si>
  <si>
    <t xml:space="preserve">ab-ge-fahren</t>
  </si>
  <si>
    <t xml:space="preserve">Der Zug ist pünktlich abgefahren.</t>
  </si>
  <si>
    <t xml:space="preserve">[dɛɐ̯ ˈtsuːk ʔɪst ˈpyŋktlɪç ˈʔapɡəˌfaːʁən]</t>
  </si>
  <si>
    <t xml:space="preserve">Tàu đã khởi hành đúng giờ.</t>
  </si>
  <si>
    <t xml:space="preserve">abgefahren = đã khởi hành</t>
  </si>
  <si>
    <t xml:space="preserve">S0470</t>
  </si>
  <si>
    <t xml:space="preserve">geboren sein = cụm cố định</t>
  </si>
  <si>
    <t xml:space="preserve">Sie ist in Hanoi geboren.</t>
  </si>
  <si>
    <t xml:space="preserve">[ziː ʔɪst ʔɪn ˈhanoːˌiː ɡəˈboːʁən]</t>
  </si>
  <si>
    <t xml:space="preserve">Cô ấy sinh ra ở Hà Nội.</t>
  </si>
  <si>
    <t xml:space="preserve">geboren = được sinh ra</t>
  </si>
  <si>
    <t xml:space="preserve">S0471</t>
  </si>
  <si>
    <t xml:space="preserve">noch nie = chưa bao giờ</t>
  </si>
  <si>
    <t xml:space="preserve">Ich bin noch nie in Japan gewesen.</t>
  </si>
  <si>
    <t xml:space="preserve">[ʔɪç bɪn nɔx ˈniː ʔɪn jaˈpaːn ɡəˈveːzən]</t>
  </si>
  <si>
    <t xml:space="preserve">Tôi chưa bao giờ đến Nhật.</t>
  </si>
  <si>
    <t xml:space="preserve">noch nie = chưa bao giờ; gewesen = đã từng là</t>
  </si>
  <si>
    <t xml:space="preserve">S0472</t>
  </si>
  <si>
    <t xml:space="preserve">zurück-ge-kommen</t>
  </si>
  <si>
    <t xml:space="preserve">Wann seid ihr zurückgekommen?</t>
  </si>
  <si>
    <t xml:space="preserve">[ˈvan ˈzaɪt ʔiːɐ̯ tsuːˈʁykɡəˌkɔmən]</t>
  </si>
  <si>
    <t xml:space="preserve">Khi nào các bạn quay về?</t>
  </si>
  <si>
    <t xml:space="preserve">zurückkommen = quay lại</t>
  </si>
  <si>
    <t xml:space="preserve">S0473</t>
  </si>
  <si>
    <t xml:space="preserve">fallen + sein</t>
  </si>
  <si>
    <t xml:space="preserve">Er ist vom Fahrrad gefallen.</t>
  </si>
  <si>
    <t xml:space="preserve">[ʔɛɐ̯ ʔɪst fɔm ˈfaːʁaːt ɡəˈfalən]</t>
  </si>
  <si>
    <t xml:space="preserve">Anh ấy ngã khỏi xe đạp.</t>
  </si>
  <si>
    <t xml:space="preserve">fallen = ngã</t>
  </si>
  <si>
    <t xml:space="preserve">S0474</t>
  </si>
  <si>
    <t xml:space="preserve">vergehen + sein</t>
  </si>
  <si>
    <t xml:space="preserve">Die Zeit ist sehr schnell vergangen.</t>
  </si>
  <si>
    <t xml:space="preserve">[diː ˈtsaɪt ʔɪst ˈzeːɐ̯ ˈʃnɛl fɛʁˈɡaŋən]</t>
  </si>
  <si>
    <t xml:space="preserve">Thời gian trôi rất nhanh.</t>
  </si>
  <si>
    <t xml:space="preserve">vergehen = trôi qua</t>
  </si>
  <si>
    <t xml:space="preserve">S0475</t>
  </si>
  <si>
    <t xml:space="preserve">Ich bin mit dem Bus gefahren.</t>
  </si>
  <si>
    <t xml:space="preserve">[ʔɪç bɪn mɪt deːm ˈbʊs ɡəˈfaːʁən]</t>
  </si>
  <si>
    <t xml:space="preserve">Tôi đã đi bằng xe buýt.</t>
  </si>
  <si>
    <t xml:space="preserve">der Bus = xe buýt</t>
  </si>
  <si>
    <t xml:space="preserve">S0476</t>
  </si>
  <si>
    <t xml:space="preserve">ins = in das (hướng)</t>
  </si>
  <si>
    <t xml:space="preserve">Wir sind ins Kino gegangen.</t>
  </si>
  <si>
    <t xml:space="preserve">[viːɐ̯ zɪnt ʔɪns ˈkiːnoː ɡəˈɡaŋən]</t>
  </si>
  <si>
    <t xml:space="preserve">Chúng tôi đã đi xem phim.</t>
  </si>
  <si>
    <t xml:space="preserve">S0477</t>
  </si>
  <si>
    <t xml:space="preserve">sterben + sein</t>
  </si>
  <si>
    <t xml:space="preserve">Mein Hund ist leider gestorben.</t>
  </si>
  <si>
    <t xml:space="preserve">[maɪn ˈhʊnt ʔɪst ˈlaɪdɐ ɡəˈʃtɔʁbən]</t>
  </si>
  <si>
    <t xml:space="preserve">Tiếc là chó của tôi đã chết.</t>
  </si>
  <si>
    <t xml:space="preserve">sterben = chết</t>
  </si>
  <si>
    <t xml:space="preserve">S0478</t>
  </si>
  <si>
    <t xml:space="preserve">kommen + sein</t>
  </si>
  <si>
    <t xml:space="preserve">Bist du gut nach Hause gekommen?</t>
  </si>
  <si>
    <t xml:space="preserve">[bɪst duː ˈɡuːt naːx ˈhaʊzə ɡəˈkɔmən]</t>
  </si>
  <si>
    <t xml:space="preserve">Bạn về nhà an toàn chứ?</t>
  </si>
  <si>
    <t xml:space="preserve">gekommen = đã đến</t>
  </si>
  <si>
    <t xml:space="preserve">S0479</t>
  </si>
  <si>
    <t xml:space="preserve">um-ge-zogen</t>
  </si>
  <si>
    <t xml:space="preserve">Sie sind letztes Jahr umgezogen.</t>
  </si>
  <si>
    <t xml:space="preserve">[ziː zɪnt ˈlɛtstəs ˈjaːɐ̯ ˈʔʊmɡəˌtsoːɡən]</t>
  </si>
  <si>
    <t xml:space="preserve">Năm ngoái họ đã chuyển nhà.</t>
  </si>
  <si>
    <t xml:space="preserve">umgezogen = đã chuyển nhà</t>
  </si>
  <si>
    <t xml:space="preserve">S0480</t>
  </si>
  <si>
    <t xml:space="preserve">einschlafen + sein</t>
  </si>
  <si>
    <t xml:space="preserve">Ich bin eingeschlafen, tut mir leid.</t>
  </si>
  <si>
    <t xml:space="preserve">[ʔɪç bɪn ˈʔaɪnɡəˌʃlaːfən, ˈtuːt miːɐ̯ ˈlaɪt]</t>
  </si>
  <si>
    <t xml:space="preserve">Tôi ngủ quên mất, xin lỗi.</t>
  </si>
  <si>
    <t xml:space="preserve">einschlafen = ngủ thiếp đi</t>
  </si>
  <si>
    <t xml:space="preserve">S0481</t>
  </si>
  <si>
    <t xml:space="preserve">Nhà cửa &amp; Đồ đạc</t>
  </si>
  <si>
    <t xml:space="preserve">Ich wohne in einer kleinen Wohnung.</t>
  </si>
  <si>
    <t xml:space="preserve">[ʔɪç ˈvoːnə ʔɪn ˌʔaɪnɐ ˈklaɪnən ˈvoːnʊŋ]</t>
  </si>
  <si>
    <t xml:space="preserve">Tôi sống trong một căn hộ nhỏ.</t>
  </si>
  <si>
    <t xml:space="preserve">die Wohnung = căn hộ</t>
  </si>
  <si>
    <t xml:space="preserve">S0482</t>
  </si>
  <si>
    <t xml:space="preserve">Die Wohnung hat drei Zimmer.</t>
  </si>
  <si>
    <t xml:space="preserve">[diː ˈvoːnʊŋ hat ˈdʁaɪ ˈtsɪmɐ]</t>
  </si>
  <si>
    <t xml:space="preserve">Căn hộ có ba phòng.</t>
  </si>
  <si>
    <t xml:space="preserve">das Zimmer = căn phòng</t>
  </si>
  <si>
    <t xml:space="preserve">S0483</t>
  </si>
  <si>
    <t xml:space="preserve">Das Schlafzimmer ist sehr hell.</t>
  </si>
  <si>
    <t xml:space="preserve">[das ˈʃlaftsɪmɐ ʔɪst ˈzeːɐ̯ ˈhɛl]</t>
  </si>
  <si>
    <t xml:space="preserve">Phòng ngủ rất sáng.</t>
  </si>
  <si>
    <t xml:space="preserve">das Schlafzimmer = phòng ngủ; hell = sáng</t>
  </si>
  <si>
    <t xml:space="preserve">S0484</t>
  </si>
  <si>
    <t xml:space="preserve">betragen = lên tới (số tiền)</t>
  </si>
  <si>
    <t xml:space="preserve">Die Miete beträgt achthundert Euro.</t>
  </si>
  <si>
    <t xml:space="preserve">[diː ˈmiːtə bəˈtʁɛːkt ˈʔaxtʊndɐt ˈʔɔøʁoː]</t>
  </si>
  <si>
    <t xml:space="preserve">Tiền thuê là tám trăm euro.</t>
  </si>
  <si>
    <t xml:space="preserve">die Miete = tiền thuê; betragen = lên tới</t>
  </si>
  <si>
    <t xml:space="preserve">S0485</t>
  </si>
  <si>
    <t xml:space="preserve">Partizip làm Adjektiv</t>
  </si>
  <si>
    <t xml:space="preserve">Ich suche eine möblierte Wohnung.</t>
  </si>
  <si>
    <t xml:space="preserve">[ʔɪç ˈzuːxə ˌʔaɪnə mœˈbliːɐ̯tə ˈvoːnʊŋ]</t>
  </si>
  <si>
    <t xml:space="preserve">Tôi tìm căn hộ có nội thất.</t>
  </si>
  <si>
    <t xml:space="preserve">möbliert = có sẵn nội thất</t>
  </si>
  <si>
    <t xml:space="preserve">S0486</t>
  </si>
  <si>
    <t xml:space="preserve">nach + hướng</t>
  </si>
  <si>
    <t xml:space="preserve">Der Balkon geht nach Süden.</t>
  </si>
  <si>
    <t xml:space="preserve">[dɛɐ̯ balˈkoːn ˈɡeːt naːx ˈzyːdən]</t>
  </si>
  <si>
    <t xml:space="preserve">Ban công hướng nam.</t>
  </si>
  <si>
    <t xml:space="preserve">der Balkon = ban công; der Süden = hướng nam</t>
  </si>
  <si>
    <t xml:space="preserve">S0487</t>
  </si>
  <si>
    <t xml:space="preserve">Akkusativ đực</t>
  </si>
  <si>
    <t xml:space="preserve">Wir brauchen noch einen Kühlschrank.</t>
  </si>
  <si>
    <t xml:space="preserve">[viːɐ̯ ˈbʁaʊxən nɔx ˌʔaɪnən ˈkyːlʃʁaŋk]</t>
  </si>
  <si>
    <t xml:space="preserve">Chúng tôi còn cần một cái tủ lạnh.</t>
  </si>
  <si>
    <t xml:space="preserve">der Kühlschrank = tủ lạnh</t>
  </si>
  <si>
    <t xml:space="preserve">S0488</t>
  </si>
  <si>
    <t xml:space="preserve">Das Bad ist leider sehr klein.</t>
  </si>
  <si>
    <t xml:space="preserve">[das ˈbaːt ʔɪst ˈlaɪdɐ ˈzeːɐ̯ ˈklaɪn]</t>
  </si>
  <si>
    <t xml:space="preserve">Tiếc là phòng tắm rất nhỏ.</t>
  </si>
  <si>
    <t xml:space="preserve">das Bad = phòng tắm</t>
  </si>
  <si>
    <t xml:space="preserve">S0489</t>
  </si>
  <si>
    <t xml:space="preserve">teilen mit + Dativ</t>
  </si>
  <si>
    <t xml:space="preserve">Ich teile die Wohnung mit zwei Freunden.</t>
  </si>
  <si>
    <t xml:space="preserve">[ʔɪç ˈtaɪlə diː ˈvoːnʊŋ mɪt ˈtsvaɪ ˈfʁɔøndən]</t>
  </si>
  <si>
    <t xml:space="preserve">Tôi ở chung căn hộ với hai người bạn.</t>
  </si>
  <si>
    <t xml:space="preserve">teilen = chia sẻ</t>
  </si>
  <si>
    <t xml:space="preserve">S0490</t>
  </si>
  <si>
    <t xml:space="preserve">Der Vermieter wohnt im Erdgeschoss.</t>
  </si>
  <si>
    <t xml:space="preserve">[dɛɐ̯ fɛʁˈmiːtɐ ˈvoːnt ʔɪm ʔɛʁdˈɡɛʃɔs]</t>
  </si>
  <si>
    <t xml:space="preserve">Chủ nhà sống ở tầng trệt.</t>
  </si>
  <si>
    <t xml:space="preserve">der Vermieter = chủ nhà; das Erdgeschoss = tầng trệt</t>
  </si>
  <si>
    <t xml:space="preserve">S0491</t>
  </si>
  <si>
    <t xml:space="preserve">lassen + Infinitiv (nhờ làm)</t>
  </si>
  <si>
    <t xml:space="preserve">Wir müssen die Heizung reparieren lassen.</t>
  </si>
  <si>
    <t xml:space="preserve">[viːɐ̯ ˈmysən diː ˈhaɪtsʊŋ ˌʁeːpaˈʁiːʁən ˈlasən]</t>
  </si>
  <si>
    <t xml:space="preserve">Chúng tôi phải cho sửa lò sưởi.</t>
  </si>
  <si>
    <t xml:space="preserve">die Heizung = lò sưởi; reparieren = sửa</t>
  </si>
  <si>
    <t xml:space="preserve">S0492</t>
  </si>
  <si>
    <t xml:space="preserve">Die Nachbarn sind sehr laut.</t>
  </si>
  <si>
    <t xml:space="preserve">[diː ˈnaxbaʁn zɪnt ˈzeːɐ̯ ˈlaʊt]</t>
  </si>
  <si>
    <t xml:space="preserve">Hàng xóm rất ồn.</t>
  </si>
  <si>
    <t xml:space="preserve">der Nachbar = hàng xóm</t>
  </si>
  <si>
    <t xml:space="preserve">S0493</t>
  </si>
  <si>
    <t xml:space="preserve">Ich räume das Wohnzimmer auf.</t>
  </si>
  <si>
    <t xml:space="preserve">[ʔɪç ˈʁɔømə das ˈvoːntsɪmɐ ˈʔaʊf]</t>
  </si>
  <si>
    <t xml:space="preserve">Tôi dọn phòng khách.</t>
  </si>
  <si>
    <t xml:space="preserve">das Wohnzimmer = phòng khách</t>
  </si>
  <si>
    <t xml:space="preserve">S0494</t>
  </si>
  <si>
    <t xml:space="preserve">auf + Akkusativ</t>
  </si>
  <si>
    <t xml:space="preserve">Stell die Vase bitte auf den Tisch.</t>
  </si>
  <si>
    <t xml:space="preserve">[ˈʃtɛl diː ˈvaːzə ˈbɪtə ʔaʊf deːn ˈtɪʃ]</t>
  </si>
  <si>
    <t xml:space="preserve">Để cái bình lên bàn đi.</t>
  </si>
  <si>
    <t xml:space="preserve">die Vase = bình hoa</t>
  </si>
  <si>
    <t xml:space="preserve">S0495</t>
  </si>
  <si>
    <t xml:space="preserve">Das Sofa passt nicht durch die Tür.</t>
  </si>
  <si>
    <t xml:space="preserve">[das ˈzoːfaː ˈpast ˈnɪçt dʊʁç diː ˈtyːɐ̯]</t>
  </si>
  <si>
    <t xml:space="preserve">Cái sô pha không lọt qua cửa.</t>
  </si>
  <si>
    <t xml:space="preserve">passen = vừa; durch = qua</t>
  </si>
  <si>
    <t xml:space="preserve">S0496</t>
  </si>
  <si>
    <t xml:space="preserve">wie hoch = bao nhiêu (số tiền)</t>
  </si>
  <si>
    <t xml:space="preserve">Wie hoch sind die Nebenkosten?</t>
  </si>
  <si>
    <t xml:space="preserve">[viː ˈhoːx zɪnt diː ˈneːbənˌkɔstən]</t>
  </si>
  <si>
    <t xml:space="preserve">Phí dịch vụ là bao nhiêu?</t>
  </si>
  <si>
    <t xml:space="preserve">die Nebenkosten = chi phí phụ</t>
  </si>
  <si>
    <t xml:space="preserve">S0497</t>
  </si>
  <si>
    <t xml:space="preserve">unter- không tách, không ge-</t>
  </si>
  <si>
    <t xml:space="preserve">Ich habe den Mietvertrag unterschrieben.</t>
  </si>
  <si>
    <t xml:space="preserve">[ʔɪç haːbə deːn ˈmiːtfɛʁˌtʁaːk ˌʔʊntɐˈʃʁiːbən]</t>
  </si>
  <si>
    <t xml:space="preserve">Tôi đã ký hợp đồng thuê nhà.</t>
  </si>
  <si>
    <t xml:space="preserve">der Mietvertrag = hợp đồng thuê</t>
  </si>
  <si>
    <t xml:space="preserve">S0498</t>
  </si>
  <si>
    <t xml:space="preserve">Im Keller steht meine Waschmaschine.</t>
  </si>
  <si>
    <t xml:space="preserve">[ʔɪm ˈkɛlɐ ˈʃteːt ˌmaɪnə ˈvaʃmaˌʃiːnə]</t>
  </si>
  <si>
    <t xml:space="preserve">Máy giặt của tôi ở dưới tầng hầm.</t>
  </si>
  <si>
    <t xml:space="preserve">der Keller = tầng hầm; die Waschmaschine = máy giặt</t>
  </si>
  <si>
    <t xml:space="preserve">S0499</t>
  </si>
  <si>
    <t xml:space="preserve">Số thứ tự + Dativ</t>
  </si>
  <si>
    <t xml:space="preserve">Die Wohnung liegt im dritten Stock.</t>
  </si>
  <si>
    <t xml:space="preserve">[diː ˈvoːnʊŋ ˈliːkt ʔɪm ˈdʁɪtən ˈʃtɔk]</t>
  </si>
  <si>
    <t xml:space="preserve">Căn hộ ở tầng ba.</t>
  </si>
  <si>
    <t xml:space="preserve">der Stock = tầng; dritte = thứ ba</t>
  </si>
  <si>
    <t xml:space="preserve">S0500</t>
  </si>
  <si>
    <t xml:space="preserve">zum Glück = may mà</t>
  </si>
  <si>
    <t xml:space="preserve">Zum Glück gibt es einen Aufzug.</t>
  </si>
  <si>
    <t xml:space="preserve">[tsʊm ˈɡlyk ˈɡiːpt ʔɛs ˌʔaɪnən ˈʔaʊfˌtsuːk]</t>
  </si>
  <si>
    <t xml:space="preserve">May là có thang máy.</t>
  </si>
  <si>
    <t xml:space="preserve">zum Glück = may thay; der Aufzug = thang máy</t>
  </si>
  <si>
    <t xml:space="preserve">S0501</t>
  </si>
  <si>
    <t xml:space="preserve">Chỉ đường &amp; Giao thông</t>
  </si>
  <si>
    <t xml:space="preserve">wie + kommen zu + Dativ</t>
  </si>
  <si>
    <t xml:space="preserve">Entschuldigung, wie komme ich zum Bahnhof?</t>
  </si>
  <si>
    <t xml:space="preserve">[ʔɛntˈʃʊldɪˌɡʊŋ, viː ˈkɔmə ʔɪç tsʊm ˈbaːnhoːf]</t>
  </si>
  <si>
    <t xml:space="preserve">Xin lỗi, tôi đến nhà ga bằng cách nào?</t>
  </si>
  <si>
    <t xml:space="preserve">S0502</t>
  </si>
  <si>
    <t xml:space="preserve">bis zu + Dativ</t>
  </si>
  <si>
    <t xml:space="preserve">Gehen Sie geradeaus bis zur Ampel.</t>
  </si>
  <si>
    <t xml:space="preserve">[ˈɡeːən ziː ɡəˈʁadeːˌaʊs bɪs tsuːɐ̯ ˈʔampəl]</t>
  </si>
  <si>
    <t xml:space="preserve">Ông/bà đi thẳng đến đèn giao thông.</t>
  </si>
  <si>
    <t xml:space="preserve">geradeaus = đi thẳng; die Ampel = đèn giao thông</t>
  </si>
  <si>
    <t xml:space="preserve">S0503</t>
  </si>
  <si>
    <t xml:space="preserve">abbiegen tách</t>
  </si>
  <si>
    <t xml:space="preserve">Dann biegen Sie links ab.</t>
  </si>
  <si>
    <t xml:space="preserve">[dan ˈbiːɡən ziː ˈlɪŋks ˈʔap]</t>
  </si>
  <si>
    <t xml:space="preserve">Rồi rẽ trái.</t>
  </si>
  <si>
    <t xml:space="preserve">abbiegen = rẽ; links = bên trái</t>
  </si>
  <si>
    <t xml:space="preserve">S0504</t>
  </si>
  <si>
    <t xml:space="preserve">auf + Dativ + Adjektiv -en</t>
  </si>
  <si>
    <t xml:space="preserve">Die Post ist auf der rechten Seite.</t>
  </si>
  <si>
    <t xml:space="preserve">[diː ˈpɔst ʔɪst ʔaʊf dɛɐ̯ ˈʁɛçtən ˈzaɪtə]</t>
  </si>
  <si>
    <t xml:space="preserve">Bưu điện ở bên phải.</t>
  </si>
  <si>
    <t xml:space="preserve">die Post = bưu điện; rechts = bên phải</t>
  </si>
  <si>
    <t xml:space="preserve">S0505</t>
  </si>
  <si>
    <t xml:space="preserve">von hier = từ đây</t>
  </si>
  <si>
    <t xml:space="preserve">Ist es weit von hier?</t>
  </si>
  <si>
    <t xml:space="preserve">[ʔɪst ʔɛs ˈvaɪt fɔn ˈhiːɐ̯]</t>
  </si>
  <si>
    <t xml:space="preserve">Có xa đây không?</t>
  </si>
  <si>
    <t xml:space="preserve">weit = xa</t>
  </si>
  <si>
    <t xml:space="preserve">S0506</t>
  </si>
  <si>
    <t xml:space="preserve">zu Fuß = cụm cố định</t>
  </si>
  <si>
    <t xml:space="preserve">Nein, nur fünf Minuten zu Fuß.</t>
  </si>
  <si>
    <t xml:space="preserve">[ˈnaɪn, ˈnuːɐ̯ ˈfynf miːˈnuːtən tsuː ˈfuːs]</t>
  </si>
  <si>
    <t xml:space="preserve">Không, chỉ năm phút đi bộ.</t>
  </si>
  <si>
    <t xml:space="preserve">zu Fuß = đi bộ</t>
  </si>
  <si>
    <t xml:space="preserve">S0507</t>
  </si>
  <si>
    <t xml:space="preserve">mit der + Dativ</t>
  </si>
  <si>
    <t xml:space="preserve">Fahren Sie mit der U-Bahn Linie drei.</t>
  </si>
  <si>
    <t xml:space="preserve">[ˈfaːʁən ziː mɪt dɛɐ̯ ˈʔuːˈbaːn ˈliːnɪə ˈdʁaɪ]</t>
  </si>
  <si>
    <t xml:space="preserve">Ông/bà đi tàu điện ngầm tuyến ba.</t>
  </si>
  <si>
    <t xml:space="preserve">die U-Bahn = tàu điện ngầm; die Linie = tuyến</t>
  </si>
  <si>
    <t xml:space="preserve">S0508</t>
  </si>
  <si>
    <t xml:space="preserve">umsteigen sau Modalverb</t>
  </si>
  <si>
    <t xml:space="preserve">Wo muss ich umsteigen?</t>
  </si>
  <si>
    <t xml:space="preserve">[ˌvoː ˈmʊs ʔɪç ˈʔʊmˌʃtaɪɡən]</t>
  </si>
  <si>
    <t xml:space="preserve">Tôi phải đổi tàu ở đâu?</t>
  </si>
  <si>
    <t xml:space="preserve">umsteigen = đổi tàu/xe</t>
  </si>
  <si>
    <t xml:space="preserve">S0509</t>
  </si>
  <si>
    <t xml:space="preserve">aussteigen tách</t>
  </si>
  <si>
    <t xml:space="preserve">Steigen Sie am Hauptbahnhof aus.</t>
  </si>
  <si>
    <t xml:space="preserve">[ˈʃtaɪɡən ziː ʔam ˈhaʊptˌbaːnhoːf ˈʔaʊs]</t>
  </si>
  <si>
    <t xml:space="preserve">Ông/bà xuống ở ga trung tâm.</t>
  </si>
  <si>
    <t xml:space="preserve">aussteigen = xuống xe</t>
  </si>
  <si>
    <t xml:space="preserve">S0510</t>
  </si>
  <si>
    <t xml:space="preserve">ver- không ge-</t>
  </si>
  <si>
    <t xml:space="preserve">Ich habe meinen Zug verpasst.</t>
  </si>
  <si>
    <t xml:space="preserve">[ʔɪç haːbə ˌmaɪnən ˈtsuːk fɛʁˈpast]</t>
  </si>
  <si>
    <t xml:space="preserve">Tôi lỡ tàu rồi.</t>
  </si>
  <si>
    <t xml:space="preserve">verpassen = bỏ lỡ</t>
  </si>
  <si>
    <t xml:space="preserve">S0511</t>
  </si>
  <si>
    <t xml:space="preserve">wie oft = tần suất</t>
  </si>
  <si>
    <t xml:space="preserve">Wie oft fährt der Bus?</t>
  </si>
  <si>
    <t xml:space="preserve">[viː ˈʔɔft ˈfɛːɐ̯t dɛɐ̯ ˈbʊs]</t>
  </si>
  <si>
    <t xml:space="preserve">Xe buýt chạy bao lâu một chuyến?</t>
  </si>
  <si>
    <t xml:space="preserve">fahren = chạy</t>
  </si>
  <si>
    <t xml:space="preserve">S0512</t>
  </si>
  <si>
    <t xml:space="preserve">alle + khoảng thời gian</t>
  </si>
  <si>
    <t xml:space="preserve">Alle zehn Minuten.</t>
  </si>
  <si>
    <t xml:space="preserve">[ˈʔalə ˈtseːn miːˈnuːtən]</t>
  </si>
  <si>
    <t xml:space="preserve">Mười phút một chuyến.</t>
  </si>
  <si>
    <t xml:space="preserve">alle = mỗi</t>
  </si>
  <si>
    <t xml:space="preserve">S0513</t>
  </si>
  <si>
    <t xml:space="preserve">nach + thành phố</t>
  </si>
  <si>
    <t xml:space="preserve">Eine Fahrkarte nach Köln, bitte.</t>
  </si>
  <si>
    <t xml:space="preserve">[ˌʔaɪnə ˈfaːɐ̯kaʁtə naːx ˈkœln, ˈbɪtə]</t>
  </si>
  <si>
    <t xml:space="preserve">Cho một vé đi Köln ạ.</t>
  </si>
  <si>
    <t xml:space="preserve">die Fahrkarte = vé xe</t>
  </si>
  <si>
    <t xml:space="preserve">S0514</t>
  </si>
  <si>
    <t xml:space="preserve">hin und zurück = cụm cố định</t>
  </si>
  <si>
    <t xml:space="preserve">Einfach oder hin und zurück?</t>
  </si>
  <si>
    <t xml:space="preserve">[ˈʔaɪnˌfax ˌʔoːdɐ ˈhɪn ʔʊnt tsuːˈʁyk]</t>
  </si>
  <si>
    <t xml:space="preserve">Một chiều hay khứ hồi?</t>
  </si>
  <si>
    <t xml:space="preserve">hin und zurück = khứ hồi</t>
  </si>
  <si>
    <t xml:space="preserve">S0515</t>
  </si>
  <si>
    <t xml:space="preserve">Verspätung haben = cụm cố định</t>
  </si>
  <si>
    <t xml:space="preserve">Der Zug hat zwanzig Minuten Verspätung.</t>
  </si>
  <si>
    <t xml:space="preserve">[dɛɐ̯ ˈtsuːk hat ˈtsvantsɪç miːˈnuːtən fɛʁˈʃpɛːtʊŋ]</t>
  </si>
  <si>
    <t xml:space="preserve">Tàu trễ hai mươi phút.</t>
  </si>
  <si>
    <t xml:space="preserve">die Verspätung = sự trễ giờ</t>
  </si>
  <si>
    <t xml:space="preserve">S0516</t>
  </si>
  <si>
    <t xml:space="preserve">Ich nehme lieber ein Taxi.</t>
  </si>
  <si>
    <t xml:space="preserve">[ʔɪç ˈneːmə ˈliːbɐ ʔaɪn ˈtaksiː]</t>
  </si>
  <si>
    <t xml:space="preserve">Tôi thích đi taxi hơn.</t>
  </si>
  <si>
    <t xml:space="preserve">das Taxi = taxi</t>
  </si>
  <si>
    <t xml:space="preserve">S0517</t>
  </si>
  <si>
    <t xml:space="preserve">Hier darf man nicht parken.</t>
  </si>
  <si>
    <t xml:space="preserve">[ˈhiːɐ̯ ˈdaʁf man ˈnɪçt ˈpaʁkən]</t>
  </si>
  <si>
    <t xml:space="preserve">S0518</t>
  </si>
  <si>
    <t xml:space="preserve">wegen + Genitiv/Dativ</t>
  </si>
  <si>
    <t xml:space="preserve">Die Straße ist wegen Bauarbeiten gesperrt.</t>
  </si>
  <si>
    <t xml:space="preserve">[diː ˈʃtʁaːsə ʔɪst ˌveːɡən ˈbaʊaʁˌbaɪtən ɡəˈʃpɛʁt]</t>
  </si>
  <si>
    <t xml:space="preserve">Đường bị chặn vì công trình.</t>
  </si>
  <si>
    <t xml:space="preserve">wegen = vì; gesperrt = bị chặn</t>
  </si>
  <si>
    <t xml:space="preserve">S0519</t>
  </si>
  <si>
    <t xml:space="preserve">auf + Dativ</t>
  </si>
  <si>
    <t xml:space="preserve">Können Sie mir das auf der Karte zeigen?</t>
  </si>
  <si>
    <t xml:space="preserve">[ˌkœnən ziː miːɐ̯ das ʔaʊf dɛɐ̯ ˈkaʁtə ˈtsaɪɡən]</t>
  </si>
  <si>
    <t xml:space="preserve">Ông/bà chỉ giúp tôi trên bản đồ được không?</t>
  </si>
  <si>
    <t xml:space="preserve">die Karte = bản đồ</t>
  </si>
  <si>
    <t xml:space="preserve">S0520</t>
  </si>
  <si>
    <t xml:space="preserve">sich verlaufen reflexiv</t>
  </si>
  <si>
    <t xml:space="preserve">Ich glaube, ich habe mich verlaufen.</t>
  </si>
  <si>
    <t xml:space="preserve">[ʔɪç ˈɡlaʊbə, ʔɪç haːbə mɪç fɛʁˈlaʊfən]</t>
  </si>
  <si>
    <t xml:space="preserve">Tôi nghĩ tôi lạc đường rồi.</t>
  </si>
  <si>
    <t xml:space="preserve">sich verlaufen = lạc đường</t>
  </si>
  <si>
    <t xml:space="preserve">S0521</t>
  </si>
  <si>
    <t xml:space="preserve">Sức khỏe &amp; Bác sĩ</t>
  </si>
  <si>
    <t xml:space="preserve">sich fühlen reflexiv</t>
  </si>
  <si>
    <t xml:space="preserve">Ich fühle mich nicht gut.</t>
  </si>
  <si>
    <t xml:space="preserve">[ʔɪç ˈfyːlə mɪç ˈnɪçt ˈɡuːt]</t>
  </si>
  <si>
    <t xml:space="preserve">Tôi thấy không khỏe.</t>
  </si>
  <si>
    <t xml:space="preserve">sich fühlen = cảm thấy</t>
  </si>
  <si>
    <t xml:space="preserve">S0522</t>
  </si>
  <si>
    <t xml:space="preserve">Ich habe starke Kopfschmerzen.</t>
  </si>
  <si>
    <t xml:space="preserve">[ʔɪç haːbə ˈʃtaʁkə ˈkɔpfʃmɐtsən]</t>
  </si>
  <si>
    <t xml:space="preserve">Tôi đau đầu dữ dội.</t>
  </si>
  <si>
    <t xml:space="preserve">die Kopfschmerzen = đau đầu; stark = mạnh</t>
  </si>
  <si>
    <t xml:space="preserve">S0523</t>
  </si>
  <si>
    <t xml:space="preserve">wehtun + Dativ</t>
  </si>
  <si>
    <t xml:space="preserve">Mir tut der Bauch weh.</t>
  </si>
  <si>
    <t xml:space="preserve">[miːɐ̯ ˈtuːt dɛɐ̯ ˈbaʊx ˈveː]</t>
  </si>
  <si>
    <t xml:space="preserve">Tôi đau bụng.</t>
  </si>
  <si>
    <t xml:space="preserve">wehtun = làm đau; der Bauch = bụng</t>
  </si>
  <si>
    <t xml:space="preserve">S0524</t>
  </si>
  <si>
    <t xml:space="preserve">möchten + Infinitiv</t>
  </si>
  <si>
    <t xml:space="preserve">Ich möchte einen Termin vereinbaren.</t>
  </si>
  <si>
    <t xml:space="preserve">[ʔɪç ˈmœçtə ˌʔaɪnən tɛʁˈmiːn fɛˈʁaɪnbaːʁən]</t>
  </si>
  <si>
    <t xml:space="preserve">Tôi muốn đặt lịch hẹn.</t>
  </si>
  <si>
    <t xml:space="preserve">vereinbaren = thỏa thuận</t>
  </si>
  <si>
    <t xml:space="preserve">S0525</t>
  </si>
  <si>
    <t xml:space="preserve">Haben Sie Fieber?</t>
  </si>
  <si>
    <t xml:space="preserve">[ˌhaːbən ziː ˈfiːbɐ]</t>
  </si>
  <si>
    <t xml:space="preserve">Ông/bà có sốt không?</t>
  </si>
  <si>
    <t xml:space="preserve">das Fieber = cơn sốt</t>
  </si>
  <si>
    <t xml:space="preserve">S0526</t>
  </si>
  <si>
    <t xml:space="preserve">seit wann = từ khi nào</t>
  </si>
  <si>
    <t xml:space="preserve">Seit wann haben Sie die Beschwerden?</t>
  </si>
  <si>
    <t xml:space="preserve">[zaɪt ˈvan ˌhaːbən ziː diː bəˈʃveːɐ̯dən]</t>
  </si>
  <si>
    <t xml:space="preserve">Ông/bà bị như vậy từ khi nào?</t>
  </si>
  <si>
    <t xml:space="preserve">die Beschwerden = triệu chứng khó chịu</t>
  </si>
  <si>
    <t xml:space="preserve">S0527</t>
  </si>
  <si>
    <t xml:space="preserve">Seit drei Tagen geht es mir schlecht.</t>
  </si>
  <si>
    <t xml:space="preserve">[zaɪt ˈdʁaɪ ˈtaːɡən ˈɡeːt ʔɛs miːɐ̯ ˈʃlɛçt]</t>
  </si>
  <si>
    <t xml:space="preserve">Ba ngày nay tôi thấy mệt.</t>
  </si>
  <si>
    <t xml:space="preserve">schlecht = tệ</t>
  </si>
  <si>
    <t xml:space="preserve">S0528</t>
  </si>
  <si>
    <t xml:space="preserve">Ich bin erkältet.</t>
  </si>
  <si>
    <t xml:space="preserve">[ʔɪç bɪn ʔɛʁˈkɛltət]</t>
  </si>
  <si>
    <t xml:space="preserve">Tôi bị cảm.</t>
  </si>
  <si>
    <t xml:space="preserve">erkältet = bị cảm lạnh</t>
  </si>
  <si>
    <t xml:space="preserve">S0529</t>
  </si>
  <si>
    <t xml:space="preserve">Der Arzt verschreibt mir ein Medikament.</t>
  </si>
  <si>
    <t xml:space="preserve">[dɛɐ̯ ˈʔaʁtst fɛʁˈʃʁaɪpt miːɐ̯ ʔaɪn ˌmeːdiːkaˈmɛnt]</t>
  </si>
  <si>
    <t xml:space="preserve">Bác sĩ kê cho tôi một loại thuốc.</t>
  </si>
  <si>
    <t xml:space="preserve">verschreiben = kê đơn; das Medikament = thuốc</t>
  </si>
  <si>
    <t xml:space="preserve">S0530</t>
  </si>
  <si>
    <t xml:space="preserve">täglich = hằng ngày</t>
  </si>
  <si>
    <t xml:space="preserve">Nehmen Sie die Tabletten dreimal täglich.</t>
  </si>
  <si>
    <t xml:space="preserve">[ˈneːmən ziː diː taˈblɛtən ˈdʁaɪmaːl ˈtɛːklɪç]</t>
  </si>
  <si>
    <t xml:space="preserve">Ông/bà uống thuốc ba lần mỗi ngày.</t>
  </si>
  <si>
    <t xml:space="preserve">die Tablette = viên thuốc; täglich = hằng ngày</t>
  </si>
  <si>
    <t xml:space="preserve">S0531</t>
  </si>
  <si>
    <t xml:space="preserve">Ich muss zum Zahnarzt gehen.</t>
  </si>
  <si>
    <t xml:space="preserve">[ʔɪç ˈmʊs tsʊm ˈtsaːnaʁtst ˈɡeːən]</t>
  </si>
  <si>
    <t xml:space="preserve">Tôi phải đi nha sĩ.</t>
  </si>
  <si>
    <t xml:space="preserve">der Zahnarzt = nha sĩ</t>
  </si>
  <si>
    <t xml:space="preserve">S0532</t>
  </si>
  <si>
    <t xml:space="preserve">Akkusativ giống cái</t>
  </si>
  <si>
    <t xml:space="preserve">Haben Sie eine Versicherungskarte?</t>
  </si>
  <si>
    <t xml:space="preserve">[ˌhaːbən ziː ˌʔaɪnə fɛʁˈzɪçeːˌʁʊŋskaʁtə]</t>
  </si>
  <si>
    <t xml:space="preserve">Ông/bà có thẻ bảo hiểm không?</t>
  </si>
  <si>
    <t xml:space="preserve">die Versicherung = bảo hiểm</t>
  </si>
  <si>
    <t xml:space="preserve">S0533</t>
  </si>
  <si>
    <t xml:space="preserve">sich ausruhen reflexiv + tách</t>
  </si>
  <si>
    <t xml:space="preserve">Ruhen Sie sich ein paar Tage aus.</t>
  </si>
  <si>
    <t xml:space="preserve">[ˈʁuːən ziː zɪç ʔaɪn ˈpaːɐ̯ ˈtaːɡə ˈʔaʊs]</t>
  </si>
  <si>
    <t xml:space="preserve">Ông/bà nghỉ ngơi vài ngày đi.</t>
  </si>
  <si>
    <t xml:space="preserve">sich ausruhen = nghỉ ngơi; ein paar = vài</t>
  </si>
  <si>
    <t xml:space="preserve">S0534</t>
  </si>
  <si>
    <t xml:space="preserve">Ich bin gegen Pollen allergisch.</t>
  </si>
  <si>
    <t xml:space="preserve">[ʔɪç bɪn ˌɡeːɡən ˈpɔlən ˈʔalɐˌɡɪʃ]</t>
  </si>
  <si>
    <t xml:space="preserve">Tôi dị ứng với phấn hoa.</t>
  </si>
  <si>
    <t xml:space="preserve">der Pollen = phấn hoa</t>
  </si>
  <si>
    <t xml:space="preserve">S0535</t>
  </si>
  <si>
    <t xml:space="preserve">wehtun tách</t>
  </si>
  <si>
    <t xml:space="preserve">Mein Rücken tut seit Tagen weh.</t>
  </si>
  <si>
    <t xml:space="preserve">[maɪn ˈʁykən ˈtuːt zaɪt ˈtaːɡən ˈveː]</t>
  </si>
  <si>
    <t xml:space="preserve">Lưng tôi đau mấy ngày nay.</t>
  </si>
  <si>
    <t xml:space="preserve">der Rücken = lưng</t>
  </si>
  <si>
    <t xml:space="preserve">S0536</t>
  </si>
  <si>
    <t xml:space="preserve">Hai Imperativ nối bằng und</t>
  </si>
  <si>
    <t xml:space="preserve">Trinken Sie viel Wasser und schlafen Sie genug.</t>
  </si>
  <si>
    <t xml:space="preserve">[ˈtʁɪŋkən ziː ˈfiːl ˈvasɐ ʔʊnt ˈʃlaːfən ziː ɡəˈnuːk]</t>
  </si>
  <si>
    <t xml:space="preserve">Uống nhiều nước và ngủ đủ.</t>
  </si>
  <si>
    <t xml:space="preserve">genug = đủ</t>
  </si>
  <si>
    <t xml:space="preserve">S0537</t>
  </si>
  <si>
    <t xml:space="preserve">werden + Adjektiv (tương lai)</t>
  </si>
  <si>
    <t xml:space="preserve">Ich hoffe, du wirst bald gesund.</t>
  </si>
  <si>
    <t xml:space="preserve">[ʔɪç ˈhɔfə, duː ˌvɪʁst ˈbalt ɡəˈzʊnt]</t>
  </si>
  <si>
    <t xml:space="preserve">Tôi mong bạn sớm khỏe.</t>
  </si>
  <si>
    <t xml:space="preserve">gesund = khỏe mạnh; werden = trở nên</t>
  </si>
  <si>
    <t xml:space="preserve">S0538</t>
  </si>
  <si>
    <t xml:space="preserve">Gute Besserung!</t>
  </si>
  <si>
    <t xml:space="preserve">[ˈɡuːtə ˈbɛsəˌʁʊŋ]</t>
  </si>
  <si>
    <t xml:space="preserve">Chúc mau khỏe!</t>
  </si>
  <si>
    <t xml:space="preserve">die Besserung = sự hồi phục</t>
  </si>
  <si>
    <t xml:space="preserve">S0539</t>
  </si>
  <si>
    <t xml:space="preserve">sich verletzen reflexiv</t>
  </si>
  <si>
    <t xml:space="preserve">Ich habe mich beim Sport verletzt.</t>
  </si>
  <si>
    <t xml:space="preserve">[ʔɪç haːbə mɪç baɪm ˈʃpɔʁt fɛʁˈlɛtst]</t>
  </si>
  <si>
    <t xml:space="preserve">Tôi bị thương lúc chơi thể thao.</t>
  </si>
  <si>
    <t xml:space="preserve">sich verletzen = bị thương</t>
  </si>
  <si>
    <t xml:space="preserve">S0540</t>
  </si>
  <si>
    <t xml:space="preserve">Das Krankenhaus ist nicht weit von hier.</t>
  </si>
  <si>
    <t xml:space="preserve">[das ˈkʁankənˌhaʊs ʔɪst ˈnɪçt ˈvaɪt fɔn ˈhiːɐ̯]</t>
  </si>
  <si>
    <t xml:space="preserve">Bệnh viện không xa đây.</t>
  </si>
  <si>
    <t xml:space="preserve">das Krankenhaus = bệnh viện</t>
  </si>
  <si>
    <t xml:space="preserve">S0541</t>
  </si>
  <si>
    <t xml:space="preserve">Thời tiết &amp; Mùa</t>
  </si>
  <si>
    <t xml:space="preserve">Heute ist das Wetter wunderschön.</t>
  </si>
  <si>
    <t xml:space="preserve">[ˈhɔøtə ʔɪst das ˈvɛtɐ ˈvʊndɐˌʃøːn]</t>
  </si>
  <si>
    <t xml:space="preserve">Hôm nay thời tiết tuyệt đẹp.</t>
  </si>
  <si>
    <t xml:space="preserve">wunderschön = tuyệt đẹp</t>
  </si>
  <si>
    <t xml:space="preserve">S0542</t>
  </si>
  <si>
    <t xml:space="preserve">es + động từ thời tiết</t>
  </si>
  <si>
    <t xml:space="preserve">Es regnet seit heute Morgen.</t>
  </si>
  <si>
    <t xml:space="preserve">[ʔɛs ˈʁɛɡnət zaɪt ˈhɔøtə ˈmɔʁɡən]</t>
  </si>
  <si>
    <t xml:space="preserve">Trời mưa từ sáng nay.</t>
  </si>
  <si>
    <t xml:space="preserve">regnen = mưa</t>
  </si>
  <si>
    <t xml:space="preserve">S0543</t>
  </si>
  <si>
    <t xml:space="preserve">sollen = theo tin tức</t>
  </si>
  <si>
    <t xml:space="preserve">Morgen soll es schneien.</t>
  </si>
  <si>
    <t xml:space="preserve">[ˈmɔʁɡən ˌzɔl ʔɛs ˈʃnaɪən]</t>
  </si>
  <si>
    <t xml:space="preserve">Mai nghe nói sẽ có tuyết.</t>
  </si>
  <si>
    <t xml:space="preserve">schneien = có tuyết</t>
  </si>
  <si>
    <t xml:space="preserve">S0544</t>
  </si>
  <si>
    <t xml:space="preserve">im + mùa</t>
  </si>
  <si>
    <t xml:space="preserve">Im Sommer ist es hier sehr heiß.</t>
  </si>
  <si>
    <t xml:space="preserve">[ʔɪm ˈzɔmɐ ʔɪst ʔɛs ˈhiːɐ̯ ˈzeːɐ̯ ˈhaɪs]</t>
  </si>
  <si>
    <t xml:space="preserve">Mùa hè ở đây rất nóng.</t>
  </si>
  <si>
    <t xml:space="preserve">der Sommer = mùa hè</t>
  </si>
  <si>
    <t xml:space="preserve">S0545</t>
  </si>
  <si>
    <t xml:space="preserve">in + tên nước</t>
  </si>
  <si>
    <t xml:space="preserve">Der Winter in Deutschland ist lang.</t>
  </si>
  <si>
    <t xml:space="preserve">[dɛɐ̯ ˈvɪntɐ ʔɪn ˈdɔøtʃlant ʔɪst ˈlaŋ]</t>
  </si>
  <si>
    <t xml:space="preserve">Mùa đông ở Đức dài.</t>
  </si>
  <si>
    <t xml:space="preserve">der Winter = mùa đông; lang = dài</t>
  </si>
  <si>
    <t xml:space="preserve">S0546</t>
  </si>
  <si>
    <t xml:space="preserve">Im Frühling blühen die Blumen.</t>
  </si>
  <si>
    <t xml:space="preserve">[ʔɪm ˈfʁyːlɪŋ ˈblyːən diː ˈblʊmən]</t>
  </si>
  <si>
    <t xml:space="preserve">Mùa xuân hoa nở.</t>
  </si>
  <si>
    <t xml:space="preserve">der Frühling = mùa xuân; die Blume = bông hoa</t>
  </si>
  <si>
    <t xml:space="preserve">S0547</t>
  </si>
  <si>
    <t xml:space="preserve">Lieblings- + Nomen</t>
  </si>
  <si>
    <t xml:space="preserve">Der Herbst ist meine Lieblingsjahreszeit.</t>
  </si>
  <si>
    <t xml:space="preserve">[dɛɐ̯ ˈhɛʁpst ʔɪst ˌmaɪnə ˈliːblɪŋsˌjaːʁɛsˌtsaɪt]</t>
  </si>
  <si>
    <t xml:space="preserve">Mùa thu là mùa tôi thích nhất.</t>
  </si>
  <si>
    <t xml:space="preserve">der Herbst = mùa thu; die Jahreszeit = mùa</t>
  </si>
  <si>
    <t xml:space="preserve">S0548</t>
  </si>
  <si>
    <t xml:space="preserve">es + Adjektiv thời tiết</t>
  </si>
  <si>
    <t xml:space="preserve">Es ist windig und kalt draußen.</t>
  </si>
  <si>
    <t xml:space="preserve">[ʔɛsɪst ˈvɪndɪç ʔʊnt ˈkalt ˈdʁaʊsən]</t>
  </si>
  <si>
    <t xml:space="preserve">Bên ngoài gió và lạnh.</t>
  </si>
  <si>
    <t xml:space="preserve">windig = có gió; draußen = bên ngoài</t>
  </si>
  <si>
    <t xml:space="preserve">S0549</t>
  </si>
  <si>
    <t xml:space="preserve">mitnehmen tách</t>
  </si>
  <si>
    <t xml:space="preserve">Nimm einen Regenschirm mit!</t>
  </si>
  <si>
    <t xml:space="preserve">[ˈnɪm ˌʔaɪnən ˈʁeːɡənˌʃɪʁm ˈmɪt]</t>
  </si>
  <si>
    <t xml:space="preserve">Mang theo cái ô đi!</t>
  </si>
  <si>
    <t xml:space="preserve">der Regenschirm = cái ô</t>
  </si>
  <si>
    <t xml:space="preserve">S0550</t>
  </si>
  <si>
    <t xml:space="preserve">wie + sein</t>
  </si>
  <si>
    <t xml:space="preserve">Wie ist das Wetter morgen?</t>
  </si>
  <si>
    <t xml:space="preserve">[viː ʔɪst das ˈvɛtɐ ˈmɔʁɡən]</t>
  </si>
  <si>
    <t xml:space="preserve">Mai thời tiết thế nào?</t>
  </si>
  <si>
    <t xml:space="preserve">S0551</t>
  </si>
  <si>
    <t xml:space="preserve">Die Sonne scheint den ganzen Tag.</t>
  </si>
  <si>
    <t xml:space="preserve">[diː ˈzɔnə ˈʃaɪnt deːn ˈɡantsən ˈtaːk]</t>
  </si>
  <si>
    <t xml:space="preserve">Mặt trời chiếu cả ngày.</t>
  </si>
  <si>
    <t xml:space="preserve">die Sonne = mặt trời; scheinen = chiếu sáng</t>
  </si>
  <si>
    <t xml:space="preserve">S0552</t>
  </si>
  <si>
    <t xml:space="preserve">es sind + số nhiều</t>
  </si>
  <si>
    <t xml:space="preserve">Es sind heute fünf Grad.</t>
  </si>
  <si>
    <t xml:space="preserve">[ʔɛs zɪnt ˈhɔøtə ˈfynf ˈɡʁaːt]</t>
  </si>
  <si>
    <t xml:space="preserve">Hôm nay năm độ.</t>
  </si>
  <si>
    <t xml:space="preserve">der Grad = độ</t>
  </si>
  <si>
    <t xml:space="preserve">S0553</t>
  </si>
  <si>
    <t xml:space="preserve">Bei dem Wetter bleibe ich lieber drinnen.</t>
  </si>
  <si>
    <t xml:space="preserve">[baɪ deːm ˈvɛtɐ ˈblaɪbə ʔɪç ˈliːbɐ ˈdʁɪnən]</t>
  </si>
  <si>
    <t xml:space="preserve">Thời tiết này tôi thích ở trong nhà hơn.</t>
  </si>
  <si>
    <t xml:space="preserve">drinnen = bên trong</t>
  </si>
  <si>
    <t xml:space="preserve">S0554</t>
  </si>
  <si>
    <t xml:space="preserve">ganz = hoàn toàn</t>
  </si>
  <si>
    <t xml:space="preserve">Der Himmel ist heute ganz grau.</t>
  </si>
  <si>
    <t xml:space="preserve">[dɛɐ̯ ˈhɪməl ʔɪst ˈhɔøtə ˌɡants ˈɡʁaʊ]</t>
  </si>
  <si>
    <t xml:space="preserve">Hôm nay trời xám xịt.</t>
  </si>
  <si>
    <t xml:space="preserve">der Himmel = bầu trời</t>
  </si>
  <si>
    <t xml:space="preserve">S0555</t>
  </si>
  <si>
    <t xml:space="preserve">Perfekt với es</t>
  </si>
  <si>
    <t xml:space="preserve">Gestern hat es den ganzen Tag geregnet.</t>
  </si>
  <si>
    <t xml:space="preserve">[ˈɡɛstɐn hat ʔɛs deːn ˈɡantsən ˈtaːk ɡəˈʁɛɡnət]</t>
  </si>
  <si>
    <t xml:space="preserve">Hôm qua mưa cả ngày.</t>
  </si>
  <si>
    <t xml:space="preserve">geregnet = đã mưa</t>
  </si>
  <si>
    <t xml:space="preserve">S0556</t>
  </si>
  <si>
    <t xml:space="preserve">ans = an das (Akkusativ)</t>
  </si>
  <si>
    <t xml:space="preserve">Im August fahren wir ans Meer.</t>
  </si>
  <si>
    <t xml:space="preserve">[ʔɪm ˈʔaʊɡʊst ˈfaːʁən viːɐ̯ ʔans ˈmeːɐ̯]</t>
  </si>
  <si>
    <t xml:space="preserve">Tháng Tám chúng tôi đi biển.</t>
  </si>
  <si>
    <t xml:space="preserve">der August = tháng Tám; das Meer = biển</t>
  </si>
  <si>
    <t xml:space="preserve">S0557</t>
  </si>
  <si>
    <t xml:space="preserve">werden + Adjektiv</t>
  </si>
  <si>
    <t xml:space="preserve">Es wird langsam dunkel.</t>
  </si>
  <si>
    <t xml:space="preserve">[ʔɛs ˌvɪʁt ˈlaŋzaːm ˈdʊnkəl]</t>
  </si>
  <si>
    <t xml:space="preserve">Trời đang tối dần.</t>
  </si>
  <si>
    <t xml:space="preserve">dunkel = tối</t>
  </si>
  <si>
    <t xml:space="preserve">S0558</t>
  </si>
  <si>
    <t xml:space="preserve">eigentlich = thật ra</t>
  </si>
  <si>
    <t xml:space="preserve">Ich mag den Regen eigentlich gern.</t>
  </si>
  <si>
    <t xml:space="preserve">[ʔɪç ˈmaːk deːn ˈʁeːɡən ˈʔaɪɡəntlɪç ˈɡɛʁn]</t>
  </si>
  <si>
    <t xml:space="preserve">Thật ra tôi khá thích mưa.</t>
  </si>
  <si>
    <t xml:space="preserve">S0559</t>
  </si>
  <si>
    <t xml:space="preserve">wegen + Genitiv, ausfallen tách</t>
  </si>
  <si>
    <t xml:space="preserve">Wegen des Sturms fällt der Flug aus.</t>
  </si>
  <si>
    <t xml:space="preserve">[ˌveːɡən dɛs ˈʃtʊʁms ˈfɛlt dɛɐ̯ ˈfluːk ˈʔaʊs]</t>
  </si>
  <si>
    <t xml:space="preserve">Vì bão nên chuyến bay bị hủy.</t>
  </si>
  <si>
    <t xml:space="preserve">der Sturm = bão; ausfallen = bị hủy; der Flug = chuyến bay</t>
  </si>
  <si>
    <t xml:space="preserve">S0560</t>
  </si>
  <si>
    <t xml:space="preserve">Im Winter wird es früh dunkel.</t>
  </si>
  <si>
    <t xml:space="preserve">[ʔɪm ˈvɪntɐ ˌvɪʁt ʔɛs ˈfʁyː ˈdʊnkəl]</t>
  </si>
  <si>
    <t xml:space="preserve">Mùa đông trời tối sớm.</t>
  </si>
  <si>
    <t xml:space="preserve">früh = sớm</t>
  </si>
  <si>
    <t xml:space="preserve">S0561</t>
  </si>
  <si>
    <t xml:space="preserve">Giải trí &amp; Sở thích</t>
  </si>
  <si>
    <t xml:space="preserve">in + Dativ</t>
  </si>
  <si>
    <t xml:space="preserve">Was machst du in deiner Freizeit?</t>
  </si>
  <si>
    <t xml:space="preserve">[ˈvas ˈmaxst duː ʔɪn ˌdaɪnɐ ˈfʁaɪtsaɪt]</t>
  </si>
  <si>
    <t xml:space="preserve">Lúc rảnh bạn làm gì?</t>
  </si>
  <si>
    <t xml:space="preserve">die Freizeit = thời gian rảnh</t>
  </si>
  <si>
    <t xml:space="preserve">S0562</t>
  </si>
  <si>
    <t xml:space="preserve">Ich lese gern Romane.</t>
  </si>
  <si>
    <t xml:space="preserve">[ʔɪç ˈleːzə ˈɡɛʁn ʁoːˈmaːnə]</t>
  </si>
  <si>
    <t xml:space="preserve">Tôi thích đọc tiểu thuyết.</t>
  </si>
  <si>
    <t xml:space="preserve">der Roman = tiểu thuyết</t>
  </si>
  <si>
    <t xml:space="preserve">S0563</t>
  </si>
  <si>
    <t xml:space="preserve">Superlativ am liebsten + đảo</t>
  </si>
  <si>
    <t xml:space="preserve">Am liebsten höre ich klassische Musik.</t>
  </si>
  <si>
    <t xml:space="preserve">[ʔam ˈliːbstən ˈhøːʁə ʔɪç ˈklasɪʃə muːˈziːk]</t>
  </si>
  <si>
    <t xml:space="preserve">Tôi thích nhất là nghe nhạc cổ điển.</t>
  </si>
  <si>
    <t xml:space="preserve">klassisch = cổ điển</t>
  </si>
  <si>
    <t xml:space="preserve">S0564</t>
  </si>
  <si>
    <t xml:space="preserve">seit + Dativ, Präsens</t>
  </si>
  <si>
    <t xml:space="preserve">Ich spiele seit zehn Jahren Gitarre.</t>
  </si>
  <si>
    <t xml:space="preserve">[ʔɪç ˈʃpiːlə zaɪt ˈtseːn ˈjaːʁən ɡiːˈtaʁə]</t>
  </si>
  <si>
    <t xml:space="preserve">Tôi chơi guitar được mười năm rồi.</t>
  </si>
  <si>
    <t xml:space="preserve">die Gitarre = đàn guitar</t>
  </si>
  <si>
    <t xml:space="preserve">S0565</t>
  </si>
  <si>
    <t xml:space="preserve">ins = in das</t>
  </si>
  <si>
    <t xml:space="preserve">Wir gehen jeden Samstag ins Schwimmbad.</t>
  </si>
  <si>
    <t xml:space="preserve">[viːɐ̯ ˈɡeːən ˈjeːdən ˈzamstaːk ʔɪns ˈʃvɪmbaːt]</t>
  </si>
  <si>
    <t xml:space="preserve">Thứ Bảy nào chúng tôi cũng đi bể bơi.</t>
  </si>
  <si>
    <t xml:space="preserve">das Schwimmbad = bể bơi</t>
  </si>
  <si>
    <t xml:space="preserve">S0566</t>
  </si>
  <si>
    <t xml:space="preserve">Lust haben + zu + Infinitiv</t>
  </si>
  <si>
    <t xml:space="preserve">Hast du Lust, ins Kino zu gehen?</t>
  </si>
  <si>
    <t xml:space="preserve">[hast duː ˈlʊst, ʔɪns ˈkiːnoː tsuː ˈɡeːən]</t>
  </si>
  <si>
    <t xml:space="preserve">Bạn có muốn đi xem phim không?</t>
  </si>
  <si>
    <t xml:space="preserve">die Lust = hứng thú</t>
  </si>
  <si>
    <t xml:space="preserve">S0567</t>
  </si>
  <si>
    <t xml:space="preserve">sich interessieren für + Akkusativ</t>
  </si>
  <si>
    <t xml:space="preserve">Ich interessiere mich für Geschichte.</t>
  </si>
  <si>
    <t xml:space="preserve">[ʔɪç ˌʔɪntəʁɛˈsiːʁə mɪç fyːɐ̯ ɡəˈʃɪçtə]</t>
  </si>
  <si>
    <t xml:space="preserve">Tôi quan tâm đến lịch sử.</t>
  </si>
  <si>
    <t xml:space="preserve">die Geschichte = lịch sử</t>
  </si>
  <si>
    <t xml:space="preserve">S0568</t>
  </si>
  <si>
    <t xml:space="preserve">gern cuối câu</t>
  </si>
  <si>
    <t xml:space="preserve">Er fotografiert sehr gern.</t>
  </si>
  <si>
    <t xml:space="preserve">[ʔɛɐ̯ ˌfoːtoːɡʁaˈfiːɐ̯t ˈzeːɐ̯ ˈɡɛʁn]</t>
  </si>
  <si>
    <t xml:space="preserve">Anh ấy rất thích chụp ảnh.</t>
  </si>
  <si>
    <t xml:space="preserve">S0569</t>
  </si>
  <si>
    <t xml:space="preserve">sich treffen mit + Dativ</t>
  </si>
  <si>
    <t xml:space="preserve">Ich treffe mich oft mit Freunden.</t>
  </si>
  <si>
    <t xml:space="preserve">[ʔɪç ˈtʁɛfə mɪç ˈʔɔft mɪt ˈfʁɔøndən]</t>
  </si>
  <si>
    <t xml:space="preserve">Tôi hay gặp bạn bè.</t>
  </si>
  <si>
    <t xml:space="preserve">sich treffen = gặp nhau</t>
  </si>
  <si>
    <t xml:space="preserve">S0570</t>
  </si>
  <si>
    <t xml:space="preserve">gehen + Infinitiv</t>
  </si>
  <si>
    <t xml:space="preserve">Am Wochenende gehe ich gern wandern.</t>
  </si>
  <si>
    <t xml:space="preserve">[ʔam ˈvɔxənəndə ˈɡeːə ʔɪç ˈɡɛʁn ˈvandɐn]</t>
  </si>
  <si>
    <t xml:space="preserve">Cuối tuần tôi thích đi bộ đường dài.</t>
  </si>
  <si>
    <t xml:space="preserve">S0571</t>
  </si>
  <si>
    <t xml:space="preserve">Sie tanzt dreimal pro Woche.</t>
  </si>
  <si>
    <t xml:space="preserve">[ziː ˈtantst ˈdʁaɪmaːl pʁoː ˈvɔxə]</t>
  </si>
  <si>
    <t xml:space="preserve">Cô ấy nhảy ba lần một tuần.</t>
  </si>
  <si>
    <t xml:space="preserve">tanzen = nhảy múa</t>
  </si>
  <si>
    <t xml:space="preserve">S0572</t>
  </si>
  <si>
    <t xml:space="preserve">kein + für + Akkusativ</t>
  </si>
  <si>
    <t xml:space="preserve">Ich habe keine Zeit für Hobbys.</t>
  </si>
  <si>
    <t xml:space="preserve">[ʔɪç haːbə ˈkaɪnə ˈtsaɪt fyːɐ̯ ˈhɔbyːs]</t>
  </si>
  <si>
    <t xml:space="preserve">Tôi không có thời gian cho sở thích.</t>
  </si>
  <si>
    <t xml:space="preserve">das Hobby = sở thích</t>
  </si>
  <si>
    <t xml:space="preserve">S0573</t>
  </si>
  <si>
    <t xml:space="preserve">welche + Nomen giống cái</t>
  </si>
  <si>
    <t xml:space="preserve">Welche Serie schaust du gerade?</t>
  </si>
  <si>
    <t xml:space="preserve">[ˈvɛlçə ˈzeːʁɪə ˈʃaʊst duː ɡəˈʁaːdə]</t>
  </si>
  <si>
    <t xml:space="preserve">Bạn đang xem phim bộ nào?</t>
  </si>
  <si>
    <t xml:space="preserve">die Serie = phim bộ; schauen = xem</t>
  </si>
  <si>
    <t xml:space="preserve">S0574</t>
  </si>
  <si>
    <t xml:space="preserve">Adverb + gern</t>
  </si>
  <si>
    <t xml:space="preserve">Ich koche leidenschaftlich gern.</t>
  </si>
  <si>
    <t xml:space="preserve">[ʔɪç ˈkɔxə ˈlaɪdənˌʃaftlɪç ˈɡɛʁn]</t>
  </si>
  <si>
    <t xml:space="preserve">Tôi mê nấu ăn lắm.</t>
  </si>
  <si>
    <t xml:space="preserve">leidenschaftlich = đầy đam mê</t>
  </si>
  <si>
    <t xml:space="preserve">S0575</t>
  </si>
  <si>
    <t xml:space="preserve">Perfekt</t>
  </si>
  <si>
    <t xml:space="preserve">Wir haben gestern Karten gespielt.</t>
  </si>
  <si>
    <t xml:space="preserve">[viːɐ̯ ˌhaːbən ˈɡɛstɐn ˈkaʁtən ɡəˈʃpiːlt]</t>
  </si>
  <si>
    <t xml:space="preserve">Hôm qua chúng tôi chơi bài.</t>
  </si>
  <si>
    <t xml:space="preserve">die Karte = lá bài</t>
  </si>
  <si>
    <t xml:space="preserve">S0576</t>
  </si>
  <si>
    <t xml:space="preserve">sammeln + Akkusativ</t>
  </si>
  <si>
    <t xml:space="preserve">Mein Bruder sammelt Schallplatten.</t>
  </si>
  <si>
    <t xml:space="preserve">[maɪn ˈbʁuːdɐ ˈzaməlt ˈʃalplatən]</t>
  </si>
  <si>
    <t xml:space="preserve">Anh tôi sưu tầm đĩa than.</t>
  </si>
  <si>
    <t xml:space="preserve">die Schallplatte = đĩa than</t>
  </si>
  <si>
    <t xml:space="preserve">S0577</t>
  </si>
  <si>
    <t xml:space="preserve">Ich gehe abends oft joggen.</t>
  </si>
  <si>
    <t xml:space="preserve">[ʔɪç ˈɡeːə ˈʔaːbənts ˈʔɔft ˈjɔɡən]</t>
  </si>
  <si>
    <t xml:space="preserve">Tối tôi hay đi chạy bộ.</t>
  </si>
  <si>
    <t xml:space="preserve">joggen = chạy bộ</t>
  </si>
  <si>
    <t xml:space="preserve">S0578</t>
  </si>
  <si>
    <t xml:space="preserve">montags = thứ Hai hằng tuần</t>
  </si>
  <si>
    <t xml:space="preserve">Das Museum ist montags geschlossen.</t>
  </si>
  <si>
    <t xml:space="preserve">[das muːˈzeːʊm ʔɪst ˈmoːntaːks ɡəˈʃlɔsən]</t>
  </si>
  <si>
    <t xml:space="preserve">Bảo tàng đóng cửa thứ Hai.</t>
  </si>
  <si>
    <t xml:space="preserve">das Museum = bảo tàng</t>
  </si>
  <si>
    <t xml:space="preserve">S0579</t>
  </si>
  <si>
    <t xml:space="preserve">Lust auf + Akkusativ</t>
  </si>
  <si>
    <t xml:space="preserve">Hast du Lust auf einen Kaffee?</t>
  </si>
  <si>
    <t xml:space="preserve">[hast duː ˈlʊst ʔaʊf ˌʔaɪnən ˈkafeː]</t>
  </si>
  <si>
    <t xml:space="preserve">Bạn muốn uống cà phê không?</t>
  </si>
  <si>
    <t xml:space="preserve">die Lust = hứng</t>
  </si>
  <si>
    <t xml:space="preserve">S0580</t>
  </si>
  <si>
    <t xml:space="preserve">beim + Infinitiv danh hóa</t>
  </si>
  <si>
    <t xml:space="preserve">Ich entspanne mich am besten beim Lesen.</t>
  </si>
  <si>
    <t xml:space="preserve">[ʔɪç ʔɛntˈʃpanə mɪç ʔam ˈbɛstən baɪm ˈleːzən]</t>
  </si>
  <si>
    <t xml:space="preserve">Tôi thư giãn tốt nhất khi đọc sách.</t>
  </si>
  <si>
    <t xml:space="preserve">sich entspannen = thư giãn</t>
  </si>
  <si>
    <t xml:space="preserve">S0581</t>
  </si>
  <si>
    <t xml:space="preserve">Cuộc hẹn &amp; Sắp xếp lịch</t>
  </si>
  <si>
    <t xml:space="preserve">Hast du am Dienstag Zeit?</t>
  </si>
  <si>
    <t xml:space="preserve">[hast duː ʔam ˈdiːnstaːk ˈtsaɪt]</t>
  </si>
  <si>
    <t xml:space="preserve">Thứ Ba bạn rảnh không?</t>
  </si>
  <si>
    <t xml:space="preserve">der Dienstag = thứ Ba</t>
  </si>
  <si>
    <t xml:space="preserve">S0582</t>
  </si>
  <si>
    <t xml:space="preserve">Passt dir der Termin um drei?</t>
  </si>
  <si>
    <t xml:space="preserve">[ˈpast diːɐ̯ dɛɐ̯ tɛʁˈmiːn ʔʊm ˈdʁaɪ]</t>
  </si>
  <si>
    <t xml:space="preserve">Hẹn lúc ba giờ bạn tiện không?</t>
  </si>
  <si>
    <t xml:space="preserve">passen = tiện/hợp</t>
  </si>
  <si>
    <t xml:space="preserve">S0583</t>
  </si>
  <si>
    <t xml:space="preserve">an dem Tag = Dativ</t>
  </si>
  <si>
    <t xml:space="preserve">Leider kann ich an dem Tag nicht.</t>
  </si>
  <si>
    <t xml:space="preserve">[ˈlaɪdɐ ˌkan ʔɪç ʔan deːm ˈtaːk ˈnɪçt]</t>
  </si>
  <si>
    <t xml:space="preserve">Tiếc là hôm đó tôi không được.</t>
  </si>
  <si>
    <t xml:space="preserve">S0584</t>
  </si>
  <si>
    <t xml:space="preserve">Wie wäre es mit + Dativ</t>
  </si>
  <si>
    <t xml:space="preserve">Wie wäre es mit Donnerstagabend?</t>
  </si>
  <si>
    <t xml:space="preserve">[viː ˈvɛːʁə ʔɛs mɪt ˈdɔnɐˌstaɡaːbənt]</t>
  </si>
  <si>
    <t xml:space="preserve">Tối thứ Năm thì sao?</t>
  </si>
  <si>
    <t xml:space="preserve">der Donnerstag = thứ Năm</t>
  </si>
  <si>
    <t xml:space="preserve">S0585</t>
  </si>
  <si>
    <t xml:space="preserve">klingen + Adjektiv</t>
  </si>
  <si>
    <t xml:space="preserve">Das klingt gut, machen wir das.</t>
  </si>
  <si>
    <t xml:space="preserve">[das ˈklɪŋt ˈɡuːt, ˈmaxən viːɐ̯ das]</t>
  </si>
  <si>
    <t xml:space="preserve">Nghe hay đấy, làm thế đi.</t>
  </si>
  <si>
    <t xml:space="preserve">klingen = nghe có vẻ</t>
  </si>
  <si>
    <t xml:space="preserve">S0586</t>
  </si>
  <si>
    <t xml:space="preserve">müssen + Infinitiv</t>
  </si>
  <si>
    <t xml:space="preserve">Ich muss den Termin leider verschieben.</t>
  </si>
  <si>
    <t xml:space="preserve">[ʔɪç ˈmʊs deːn tɛʁˈmiːn ˈlaɪdɐ fɛʁˈʃiːbən]</t>
  </si>
  <si>
    <t xml:space="preserve">Tiếc là tôi phải dời cuộc hẹn.</t>
  </si>
  <si>
    <t xml:space="preserve">verschieben = dời lại</t>
  </si>
  <si>
    <t xml:space="preserve">S0587</t>
  </si>
  <si>
    <t xml:space="preserve">Akkusativ thời lượng</t>
  </si>
  <si>
    <t xml:space="preserve">Können wir uns eine Stunde später treffen?</t>
  </si>
  <si>
    <t xml:space="preserve">[ˌkœnən viːɐ̯ ʔʊns ˌʔaɪnə ˈʃtʊndə ˈʃpɛːtɐ ˈtʁɛfən]</t>
  </si>
  <si>
    <t xml:space="preserve">Chúng ta gặp muộn hơn một tiếng được không?</t>
  </si>
  <si>
    <t xml:space="preserve">die Stunde = giờ</t>
  </si>
  <si>
    <t xml:space="preserve">S0588</t>
  </si>
  <si>
    <t xml:space="preserve">Bescheid sagen + Dativ</t>
  </si>
  <si>
    <t xml:space="preserve">Ich sage dir bis morgen Bescheid.</t>
  </si>
  <si>
    <t xml:space="preserve">[ʔɪç ˈzaːɡə diːɐ̯ bɪs ˈmɔʁɡən bəˈʃaɪt]</t>
  </si>
  <si>
    <t xml:space="preserve">Chậm nhất mai tôi báo bạn.</t>
  </si>
  <si>
    <t xml:space="preserve">Bescheid sagen = báo tin</t>
  </si>
  <si>
    <t xml:space="preserve">S0589</t>
  </si>
  <si>
    <t xml:space="preserve">Wo wollen wir uns treffen?</t>
  </si>
  <si>
    <t xml:space="preserve">[ˌvoː vɔlən viːɐ̯ ʔʊns ˈtʁɛfən]</t>
  </si>
  <si>
    <t xml:space="preserve">Chúng ta gặp nhau ở đâu?</t>
  </si>
  <si>
    <t xml:space="preserve">S0590</t>
  </si>
  <si>
    <t xml:space="preserve">Treffen wir uns vor dem Kino.</t>
  </si>
  <si>
    <t xml:space="preserve">[ˈtʁɛfən viːɐ̯ ʔʊns ˌfɔɐ̯ deːm ˈkiːnoː]</t>
  </si>
  <si>
    <t xml:space="preserve">Gặp nhau trước rạp phim nhé.</t>
  </si>
  <si>
    <t xml:space="preserve">S0591</t>
  </si>
  <si>
    <t xml:space="preserve">um Punkt = đúng giờ</t>
  </si>
  <si>
    <t xml:space="preserve">Ich bin um Punkt sieben da.</t>
  </si>
  <si>
    <t xml:space="preserve">[ʔɪç bɪn ʔʊm ˈpʊŋkt ˈziːbən ˈdaː]</t>
  </si>
  <si>
    <t xml:space="preserve">Tôi có mặt đúng bảy giờ.</t>
  </si>
  <si>
    <t xml:space="preserve">der Punkt = điểm/đúng</t>
  </si>
  <si>
    <t xml:space="preserve">S0592</t>
  </si>
  <si>
    <t xml:space="preserve">Imperativ du của entschuldigen</t>
  </si>
  <si>
    <t xml:space="preserve">Entschuldige die Verspätung!</t>
  </si>
  <si>
    <t xml:space="preserve">[ʔɛntˈʃʊldɪɡə diː fɛʁˈʃpɛːtʊŋ]</t>
  </si>
  <si>
    <t xml:space="preserve">Xin lỗi vì đến muộn!</t>
  </si>
  <si>
    <t xml:space="preserve">S0593</t>
  </si>
  <si>
    <t xml:space="preserve">sich irren reflexiv</t>
  </si>
  <si>
    <t xml:space="preserve">Ich habe mich im Datum geirrt.</t>
  </si>
  <si>
    <t xml:space="preserve">[ʔɪç haːbə mɪç ʔɪm ˈdatuːm ˈɡaɪʁt]</t>
  </si>
  <si>
    <t xml:space="preserve">Tôi nhầm ngày rồi.</t>
  </si>
  <si>
    <t xml:space="preserve">sich irren = nhầm; das Datum = ngày tháng</t>
  </si>
  <si>
    <t xml:space="preserve">S0594</t>
  </si>
  <si>
    <t xml:space="preserve">wenn đẩy Verb xuống cuối</t>
  </si>
  <si>
    <t xml:space="preserve">Schreib mir, wenn du angekommen bist.</t>
  </si>
  <si>
    <t xml:space="preserve">[ˈʃʁaɪp ˈmiːɐ̯, ˌvɛn duː ˈʔanɡəˌkɔmən bɪst]</t>
  </si>
  <si>
    <t xml:space="preserve">Đến nơi thì nhắn tôi nhé.</t>
  </si>
  <si>
    <t xml:space="preserve">wenn = khi/nếu</t>
  </si>
  <si>
    <t xml:space="preserve">S0595</t>
  </si>
  <si>
    <t xml:space="preserve">Câu bị động</t>
  </si>
  <si>
    <t xml:space="preserve">Passiv Präteritum: wurde + Partizip</t>
  </si>
  <si>
    <t xml:space="preserve">Der Termin wurde auf Freitag verlegt.</t>
  </si>
  <si>
    <t xml:space="preserve">[dɛɐ̯ tɛʁˈmiːn ˌvʊʁdə ʔaʊf ˈfʁaɪtaːk fɛʁˈleːkt]</t>
  </si>
  <si>
    <t xml:space="preserve">Cuộc hẹn đã dời sang thứ Sáu.</t>
  </si>
  <si>
    <t xml:space="preserve">verlegen = dời; werden = bị/được</t>
  </si>
  <si>
    <t xml:space="preserve">S0596</t>
  </si>
  <si>
    <t xml:space="preserve">sich freuen auf + Akkusativ</t>
  </si>
  <si>
    <t xml:space="preserve">Ich freue mich schon auf unser Treffen.</t>
  </si>
  <si>
    <t xml:space="preserve">[ʔɪç ˈfʁɔøə mɪç ˌʃoːn ʔaʊf ˌʔʊnzɐ ˈtʁɛfən]</t>
  </si>
  <si>
    <t xml:space="preserve">Tôi đang mong buổi gặp của chúng ta.</t>
  </si>
  <si>
    <t xml:space="preserve">sich freuen auf = mong chờ</t>
  </si>
  <si>
    <t xml:space="preserve">S0597</t>
  </si>
  <si>
    <t xml:space="preserve">lassen + uns = rủ rê</t>
  </si>
  <si>
    <t xml:space="preserve">Lass uns um zwölf Uhr essen gehen.</t>
  </si>
  <si>
    <t xml:space="preserve">[ˈlas ʔʊns ʔʊm ˈtsvœlf ˈʔuːɐ̯ ˈʔɛsən ˈɡeːən]</t>
  </si>
  <si>
    <t xml:space="preserve">Mười hai giờ đi ăn nhé.</t>
  </si>
  <si>
    <t xml:space="preserve">lassen = để/hãy</t>
  </si>
  <si>
    <t xml:space="preserve">S0598</t>
  </si>
  <si>
    <t xml:space="preserve">absagen sau Modalverb</t>
  </si>
  <si>
    <t xml:space="preserve">Ich muss den Termin absagen.</t>
  </si>
  <si>
    <t xml:space="preserve">[ʔɪç ˈmʊs deːn tɛʁˈmiːn ˈʔapˌzaːɡən]</t>
  </si>
  <si>
    <t xml:space="preserve">Tôi phải hủy cuộc hẹn.</t>
  </si>
  <si>
    <t xml:space="preserve">absagen = hủy</t>
  </si>
  <si>
    <t xml:space="preserve">S0599</t>
  </si>
  <si>
    <t xml:space="preserve">Geht es auch nächste Woche?</t>
  </si>
  <si>
    <t xml:space="preserve">[ˈɡeːt ʔɛs ˌʔaʊx ˈnɛçstə ˈvɔxə]</t>
  </si>
  <si>
    <t xml:space="preserve">Tuần sau có được không?</t>
  </si>
  <si>
    <t xml:space="preserve">nächste Woche = tuần sau</t>
  </si>
  <si>
    <t xml:space="preserve">S0600</t>
  </si>
  <si>
    <t xml:space="preserve">bis dann = cụm cố định</t>
  </si>
  <si>
    <t xml:space="preserve">Bis dann, ich freue mich!</t>
  </si>
  <si>
    <t xml:space="preserve">[ˈbɪs dan, ʔɪç ˈfʁɔøə mɪç]</t>
  </si>
  <si>
    <t xml:space="preserve">Hẹn gặp, tôi rất mong!</t>
  </si>
  <si>
    <t xml:space="preserve">bis dann = hẹn gặp khi đó</t>
  </si>
  <si>
    <t xml:space="preserve">S0601</t>
  </si>
  <si>
    <t xml:space="preserve">B1</t>
  </si>
  <si>
    <t xml:space="preserve">Mệnh đề phụ với dass</t>
  </si>
  <si>
    <t xml:space="preserve">Mệnh đề phụ</t>
  </si>
  <si>
    <t xml:space="preserve">dass đẩy động từ xuống cuối mệnh đề</t>
  </si>
  <si>
    <t xml:space="preserve">Ich glaube, dass er recht hat.</t>
  </si>
  <si>
    <t xml:space="preserve">[ʔɪç ˈɡlaʊbə, das ʔɛɐ̯ ˈʁɛçt hat]</t>
  </si>
  <si>
    <t xml:space="preserve">Tôi tin là anh ấy có lý.</t>
  </si>
  <si>
    <t xml:space="preserve">dass = rằng; recht haben = có lý</t>
  </si>
  <si>
    <t xml:space="preserve">S0602</t>
  </si>
  <si>
    <t xml:space="preserve">Perfekt trong mệnh đề dass: trợ động từ đứng cuối</t>
  </si>
  <si>
    <t xml:space="preserve">Es freut mich, dass du gekommen bist.</t>
  </si>
  <si>
    <t xml:space="preserve">[ʔɛs ˈfʁɔøt mɪç, das duː ɡəˈkɔmən bɪst]</t>
  </si>
  <si>
    <t xml:space="preserve">Tôi vui vì bạn đã đến.</t>
  </si>
  <si>
    <t xml:space="preserve">sich freuen = vui mừng</t>
  </si>
  <si>
    <t xml:space="preserve">S0603</t>
  </si>
  <si>
    <t xml:space="preserve">dass + Präsens</t>
  </si>
  <si>
    <t xml:space="preserve">Ich hoffe, dass alles gut geht.</t>
  </si>
  <si>
    <t xml:space="preserve">[ʔɪç ˈhɔfə, das ˈʔaləs ˈɡuːt ˈɡeːt]</t>
  </si>
  <si>
    <t xml:space="preserve">Tôi mong mọi chuyện ổn.</t>
  </si>
  <si>
    <t xml:space="preserve">hoffen = hy vọng</t>
  </si>
  <si>
    <t xml:space="preserve">S0604</t>
  </si>
  <si>
    <t xml:space="preserve">Lời nói gián tiếp với dass</t>
  </si>
  <si>
    <t xml:space="preserve">Sie sagt, dass sie keine Zeit hat.</t>
  </si>
  <si>
    <t xml:space="preserve">[ziː ˈzaːkt, das ziː ˈkaɪnə ˈtsaɪt hat]</t>
  </si>
  <si>
    <t xml:space="preserve">Cô ấy nói là cô ấy không có thời gian.</t>
  </si>
  <si>
    <t xml:space="preserve">sagen = nói</t>
  </si>
  <si>
    <t xml:space="preserve">S0605</t>
  </si>
  <si>
    <t xml:space="preserve">Es ist + Adjektiv + dass</t>
  </si>
  <si>
    <t xml:space="preserve">Es ist wichtig, dass du regelmäßig übst.</t>
  </si>
  <si>
    <t xml:space="preserve">[ʔɛsɪst ˈvɪçtɪç, das duː ˈʁeːɡəlˌmɛːsɪç ˈʔyːpst]</t>
  </si>
  <si>
    <t xml:space="preserve">Việc bạn luyện tập đều đặn là quan trọng.</t>
  </si>
  <si>
    <t xml:space="preserve">regelmäßig = đều đặn</t>
  </si>
  <si>
    <t xml:space="preserve">S0606</t>
  </si>
  <si>
    <t xml:space="preserve">sicher sein + dass</t>
  </si>
  <si>
    <t xml:space="preserve">Ich bin sicher, dass wir das schaffen.</t>
  </si>
  <si>
    <t xml:space="preserve">[ʔɪç bɪn ˈzɪçɐ, das viːɐ̯ das ˈʃafən]</t>
  </si>
  <si>
    <t xml:space="preserve">Tôi chắc chắn chúng ta làm được.</t>
  </si>
  <si>
    <t xml:space="preserve">schaffen = làm được</t>
  </si>
  <si>
    <t xml:space="preserve">S0607</t>
  </si>
  <si>
    <t xml:space="preserve">Modalverb đứng cuối mệnh đề phụ</t>
  </si>
  <si>
    <t xml:space="preserve">Der Arzt meint, dass ich mich schonen soll.</t>
  </si>
  <si>
    <t xml:space="preserve">[dɛɐ̯ ˈʔaʁtst ˈmaɪnt, das ʔɪç mɪç ˈʃoːnən ˌzɔl]</t>
  </si>
  <si>
    <t xml:space="preserve">Bác sĩ cho rằng tôi nên giữ sức.</t>
  </si>
  <si>
    <t xml:space="preserve">meinen = cho rằng; sich schonen = giữ sức</t>
  </si>
  <si>
    <t xml:space="preserve">S0608</t>
  </si>
  <si>
    <t xml:space="preserve">Động từ tách KHÔNG tách trong mệnh đề phụ</t>
  </si>
  <si>
    <t xml:space="preserve">Ich habe gehört, dass du umziehst.</t>
  </si>
  <si>
    <t xml:space="preserve">[ʔɪç haːbə ɡəˈhœʁt, das duː ˈʔʊmˌtsiːst]</t>
  </si>
  <si>
    <t xml:space="preserve">Tôi nghe nói bạn chuyển nhà.</t>
  </si>
  <si>
    <t xml:space="preserve">S0609</t>
  </si>
  <si>
    <t xml:space="preserve">leidtun + dass</t>
  </si>
  <si>
    <t xml:space="preserve">Es tut mir leid, dass ich zu spät bin.</t>
  </si>
  <si>
    <t xml:space="preserve">[ʔɛs ˈtuːt miːɐ̯ ˈlaɪt, das ʔɪç tsuː ˈʃpɛːt bɪn]</t>
  </si>
  <si>
    <t xml:space="preserve">Tôi xin lỗi vì đến muộn.</t>
  </si>
  <si>
    <t xml:space="preserve">zu spät = quá muộn</t>
  </si>
  <si>
    <t xml:space="preserve">S0610</t>
  </si>
  <si>
    <t xml:space="preserve">Präteritum trong mệnh đề phụ</t>
  </si>
  <si>
    <t xml:space="preserve">Ich weiß nicht, dass das verboten war.</t>
  </si>
  <si>
    <t xml:space="preserve">[ʔɪç ˈvaɪs ˈnɪçt, das das fɛʁˈboːtən vaːɐ̯]</t>
  </si>
  <si>
    <t xml:space="preserve">Tôi không biết là chuyện đó bị cấm.</t>
  </si>
  <si>
    <t xml:space="preserve">verboten = bị cấm</t>
  </si>
  <si>
    <t xml:space="preserve">S0611</t>
  </si>
  <si>
    <t xml:space="preserve">Reflexiv trong mệnh đề phụ</t>
  </si>
  <si>
    <t xml:space="preserve">Wir hoffen, dass sich die Lage bald verbessert.</t>
  </si>
  <si>
    <t xml:space="preserve">[viːɐ̯ ˈhɔfən, das zɪç diː ˈlaːɡə ˈbalt fɛʁˈbɛsɐt]</t>
  </si>
  <si>
    <t xml:space="preserve">Chúng tôi mong tình hình sớm khá hơn.</t>
  </si>
  <si>
    <t xml:space="preserve">die Lage = tình hình; sich verbessern = cải thiện</t>
  </si>
  <si>
    <t xml:space="preserve">S0612</t>
  </si>
  <si>
    <t xml:space="preserve">auffallen + Dativ</t>
  </si>
  <si>
    <t xml:space="preserve">Mir ist aufgefallen, dass du müde aussiehst.</t>
  </si>
  <si>
    <t xml:space="preserve">[miːɐ̯ ʔɪst ˈʔaʊfɡəˌfalən, das duː ˈmyːdə ˈʔaʊsˌziːst]</t>
  </si>
  <si>
    <t xml:space="preserve">Tôi để ý thấy trông bạn mệt.</t>
  </si>
  <si>
    <t xml:space="preserve">auffallen = gây chú ý</t>
  </si>
  <si>
    <t xml:space="preserve">S0613</t>
  </si>
  <si>
    <t xml:space="preserve">Es stimmt, dass...</t>
  </si>
  <si>
    <t xml:space="preserve">Es stimmt, dass Deutsch schwierige Fälle hat.</t>
  </si>
  <si>
    <t xml:space="preserve">[ʔɛs ˈʃtɪmt, das ˈdɔøtʃ ˈʃviːʁɪɡə ˈfɛlə hat]</t>
  </si>
  <si>
    <t xml:space="preserve">Đúng là tiếng Đức có các cách khó.</t>
  </si>
  <si>
    <t xml:space="preserve">der Fall = cách (ngữ pháp); schwierig = khó</t>
  </si>
  <si>
    <t xml:space="preserve">S0614</t>
  </si>
  <si>
    <t xml:space="preserve">es đón trước mệnh đề dass</t>
  </si>
  <si>
    <t xml:space="preserve">Ich finde es gut, dass du dich bewirbst.</t>
  </si>
  <si>
    <t xml:space="preserve">[ʔɪç ˈfɪndə ʔɛs ˈɡuːt, das duː dɪç bəˈvɪʁpst]</t>
  </si>
  <si>
    <t xml:space="preserve">Tôi thấy hay là bạn nộp đơn.</t>
  </si>
  <si>
    <t xml:space="preserve">sich bewerben = nộp đơn</t>
  </si>
  <si>
    <t xml:space="preserve">S0615</t>
  </si>
  <si>
    <t xml:space="preserve">vergessen + dass</t>
  </si>
  <si>
    <t xml:space="preserve">Sie hat vergessen, dass heute Feiertag ist.</t>
  </si>
  <si>
    <t xml:space="preserve">[ziː hat fɛʁˈɡɛsən, das ˈhɔøtə ˈfaɪɐˌtaːk ʔɪst]</t>
  </si>
  <si>
    <t xml:space="preserve">Cô ấy quên hôm nay là ngày lễ.</t>
  </si>
  <si>
    <t xml:space="preserve">der Feiertag = ngày lễ</t>
  </si>
  <si>
    <t xml:space="preserve">S0616</t>
  </si>
  <si>
    <t xml:space="preserve">ärgern + Akkusativ</t>
  </si>
  <si>
    <t xml:space="preserve">Es ärgert mich, dass niemand Bescheid gesagt hat.</t>
  </si>
  <si>
    <t xml:space="preserve">[ʔɛs ˈʔɛʁɡɐt mɪç, das ˈniːmant bəˈʃaɪt ɡəˈzaːkt hat]</t>
  </si>
  <si>
    <t xml:space="preserve">Tôi bực vì chẳng ai báo cả.</t>
  </si>
  <si>
    <t xml:space="preserve">ärgern = làm bực</t>
  </si>
  <si>
    <t xml:space="preserve">S0617</t>
  </si>
  <si>
    <t xml:space="preserve">bezweifeln + dass</t>
  </si>
  <si>
    <t xml:space="preserve">Ich bezweifle, dass das funktioniert.</t>
  </si>
  <si>
    <t xml:space="preserve">[ʔɪç bəˈtsvaɪflə, das das fʊŋktsˌjoːˈniːɐ̯t]</t>
  </si>
  <si>
    <t xml:space="preserve">Tôi nghi ngờ chuyện đó chạy được.</t>
  </si>
  <si>
    <t xml:space="preserve">bezweifeln = nghi ngờ; funktionieren = hoạt động</t>
  </si>
  <si>
    <t xml:space="preserve">S0618</t>
  </si>
  <si>
    <t xml:space="preserve">wundern + Akkusativ</t>
  </si>
  <si>
    <t xml:space="preserve">Es wundert mich, dass er nichts gesagt hat.</t>
  </si>
  <si>
    <t xml:space="preserve">[ʔɛs ˈvʊndɐt mɪç, das ʔɛɐ̯ ˈnɪçts ɡəˈzaːkt hat]</t>
  </si>
  <si>
    <t xml:space="preserve">Tôi lạ là anh ấy không nói gì.</t>
  </si>
  <si>
    <t xml:space="preserve">wundern = làm ngạc nhiên</t>
  </si>
  <si>
    <t xml:space="preserve">S0619</t>
  </si>
  <si>
    <t xml:space="preserve">froh sein, dass...</t>
  </si>
  <si>
    <t xml:space="preserve">Wir sind froh, dass alles geklappt hat.</t>
  </si>
  <si>
    <t xml:space="preserve">[viːɐ̯ zɪnt ˈfʁoː, das ˈʔaləs ɡəˈklapt hat]</t>
  </si>
  <si>
    <t xml:space="preserve">Chúng tôi mừng vì mọi thứ suôn sẻ.</t>
  </si>
  <si>
    <t xml:space="preserve">klappen = suôn sẻ</t>
  </si>
  <si>
    <t xml:space="preserve">S0620</t>
  </si>
  <si>
    <t xml:space="preserve">daran denken, dass (da-Komposita)</t>
  </si>
  <si>
    <t xml:space="preserve">Denk daran, dass wir morgen früh losfahren.</t>
  </si>
  <si>
    <t xml:space="preserve">[ˈdɛŋk daːˈʁan, das viːɐ̯ ˈmɔʁɡən ˈfʁyː ˈlɔsfaːʁən]</t>
  </si>
  <si>
    <t xml:space="preserve">Nhớ là mai chúng ta đi sớm nhé.</t>
  </si>
  <si>
    <t xml:space="preserve">daran denken = nhớ đến</t>
  </si>
  <si>
    <t xml:space="preserve">S0621</t>
  </si>
  <si>
    <t xml:space="preserve">Nguyên nhân &amp; Nhượng bộ (weil, da, obwohl)</t>
  </si>
  <si>
    <t xml:space="preserve">weil + động từ cuối câu</t>
  </si>
  <si>
    <t xml:space="preserve">Ich bleibe zu Hause, weil ich krank bin.</t>
  </si>
  <si>
    <t xml:space="preserve">[ʔɪç ˈblaɪbə tsuː ˈhaʊzə, ˌvaɪl ʔɪç ˈkʁaŋk bɪn]</t>
  </si>
  <si>
    <t xml:space="preserve">Tôi ở nhà vì tôi bị ốm.</t>
  </si>
  <si>
    <t xml:space="preserve">S0622</t>
  </si>
  <si>
    <t xml:space="preserve">da đứng đầu câu, mệnh đề chính đảo</t>
  </si>
  <si>
    <t xml:space="preserve">Da es stark regnet, nehmen wir ein Taxi.</t>
  </si>
  <si>
    <t xml:space="preserve">[daː ʔɛs ˈʃtaʁk ˈʁɛɡnət, ˈneːmən viːɐ̯ ʔaɪn ˈtaksiː]</t>
  </si>
  <si>
    <t xml:space="preserve">Vì mưa to nên chúng tôi đi taxi.</t>
  </si>
  <si>
    <t xml:space="preserve">da = vì (trang trọng hơn weil)</t>
  </si>
  <si>
    <t xml:space="preserve">S0623</t>
  </si>
  <si>
    <t xml:space="preserve">obwohl = mặc dù</t>
  </si>
  <si>
    <t xml:space="preserve">Obwohl er müde war, hat er weitergearbeitet.</t>
  </si>
  <si>
    <t xml:space="preserve">[ʔɔpˈvoːl ʔɛɐ̯ ˈmyːdə vaːɐ̯, hat ʔɛɐ̯ ˈvaɪtɐɡəˌʔaʁbaɪtət]</t>
  </si>
  <si>
    <t xml:space="preserve">Dù mệt anh ấy vẫn làm tiếp.</t>
  </si>
  <si>
    <t xml:space="preserve">obwohl = mặc dù; weiterarbeiten = làm tiếp</t>
  </si>
  <si>
    <t xml:space="preserve">S0624</t>
  </si>
  <si>
    <t xml:space="preserve">denn là liên từ đẳng lập, KHÔNG đảo trật tự</t>
  </si>
  <si>
    <t xml:space="preserve">Er kam zu spät, denn der Zug hatte Verspätung.</t>
  </si>
  <si>
    <t xml:space="preserve">[ʔɛɐ̯ ˌkaːm tsuː ˈʃpɛːt, dɛn dɛɐ̯ ˈtsuːk ˌhatə fɛʁˈʃpɛːtʊŋ]</t>
  </si>
  <si>
    <t xml:space="preserve">Anh ấy đến muộn, vì tàu bị trễ.</t>
  </si>
  <si>
    <t xml:space="preserve">denn = vì</t>
  </si>
  <si>
    <t xml:space="preserve">S0625</t>
  </si>
  <si>
    <t xml:space="preserve">Modalverb đứng cuối cùng</t>
  </si>
  <si>
    <t xml:space="preserve">Ich kann nicht mitkommen, weil ich arbeiten muss.</t>
  </si>
  <si>
    <t xml:space="preserve">[ʔɪç ˌkan ˈnɪçt ˈmɪtˌkɔmən, ˌvaɪl ʔɪç ˈʔaʁbaɪtən ˈmʊs]</t>
  </si>
  <si>
    <t xml:space="preserve">Tôi không đi cùng được vì phải làm việc.</t>
  </si>
  <si>
    <t xml:space="preserve">mitkommen = đi cùng</t>
  </si>
  <si>
    <t xml:space="preserve">S0626</t>
  </si>
  <si>
    <t xml:space="preserve">trotzdem là trạng từ, đứng vị trí 1 và đảo</t>
  </si>
  <si>
    <t xml:space="preserve">Trotzdem hat er die Prüfung bestanden.</t>
  </si>
  <si>
    <t xml:space="preserve">[ˈtʁɔtsdeːm hat ʔɛɐ̯ diː ˈpʁyːfʊŋ bəˈʃtandən]</t>
  </si>
  <si>
    <t xml:space="preserve">Dù vậy anh ấy vẫn thi đỗ.</t>
  </si>
  <si>
    <t xml:space="preserve">trotzdem = dù vậy</t>
  </si>
  <si>
    <t xml:space="preserve">S0627</t>
  </si>
  <si>
    <t xml:space="preserve">wegen + Genitiv</t>
  </si>
  <si>
    <t xml:space="preserve">Wegen des schlechten Wetters fiel der Flug aus.</t>
  </si>
  <si>
    <t xml:space="preserve">[ˌveːɡən dɛs ˈʃlɛçtən ˈvɛtɐs ˈfiːl dɛɐ̯ ˈfluːk ˈʔaʊs]</t>
  </si>
  <si>
    <t xml:space="preserve">Vì thời tiết xấu nên chuyến bay bị hủy.</t>
  </si>
  <si>
    <t xml:space="preserve">wegen = vì; ausfallen = bị hủy</t>
  </si>
  <si>
    <t xml:space="preserve">S0628</t>
  </si>
  <si>
    <t xml:space="preserve">aufgrund + Genitiv</t>
  </si>
  <si>
    <t xml:space="preserve">Aufgrund der hohen Nachfrage sind die Preise gestiegen.</t>
  </si>
  <si>
    <t xml:space="preserve">[ˈʔaʊfˌɡʁʊnt dɛɐ̯ ˈhoːən ˈnaxfʁaːɡə zɪnt diː ˈpʁaɪzə ɡəˈʃtiːɡən]</t>
  </si>
  <si>
    <t xml:space="preserve">Do nhu cầu cao nên giá đã tăng.</t>
  </si>
  <si>
    <t xml:space="preserve">aufgrund = do; die Nachfrage = nhu cầu</t>
  </si>
  <si>
    <t xml:space="preserve">S0629</t>
  </si>
  <si>
    <t xml:space="preserve">dazwischenkommen + Dativ</t>
  </si>
  <si>
    <t xml:space="preserve">Sie hat abgesagt, weil ihr etwas dazwischengekommen ist.</t>
  </si>
  <si>
    <t xml:space="preserve">[ziː hat ˈʔapɡəˌzaːkt, ˌvaɪl ʔiːɐ̯ ˈʔɛtvaːs ˈdatsvɪˌʃɛnɡeːˌkɔmən ʔɪst]</t>
  </si>
  <si>
    <t xml:space="preserve">Cô ấy hủy vì có việc đột xuất.</t>
  </si>
  <si>
    <t xml:space="preserve">dazwischenkommen = xen vào bất ngờ</t>
  </si>
  <si>
    <t xml:space="preserve">S0630</t>
  </si>
  <si>
    <t xml:space="preserve">obwohl đầu câu, mệnh đề chính đảo</t>
  </si>
  <si>
    <t xml:space="preserve">Obwohl ich wenig Zeit habe, lerne ich täglich.</t>
  </si>
  <si>
    <t xml:space="preserve">[ʔɔpˈvoːl ʔɪç ˈveːnɪç ˈtsaɪt haːbə, ˈlɛʁnə ʔɪç ˈtɛːklɪç]</t>
  </si>
  <si>
    <t xml:space="preserve">Dù ít thời gian tôi vẫn học mỗi ngày.</t>
  </si>
  <si>
    <t xml:space="preserve">S0631</t>
  </si>
  <si>
    <t xml:space="preserve">Plusquamperfekt trong mệnh đề phụ</t>
  </si>
  <si>
    <t xml:space="preserve">Er ist nicht gekommen, obwohl er versprochen hatte.</t>
  </si>
  <si>
    <t xml:space="preserve">[ʔɛɐ̯ ʔɪst ˈnɪçt ɡəˈkɔmən, ʔɔpˈvoːl ʔɛɐ̯ fɛʁˈʃpʁɔxən ˌhatə]</t>
  </si>
  <si>
    <t xml:space="preserve">Anh ấy không đến dù đã hứa.</t>
  </si>
  <si>
    <t xml:space="preserve">versprechen = hứa</t>
  </si>
  <si>
    <t xml:space="preserve">S0632</t>
  </si>
  <si>
    <t xml:space="preserve">da + Präteritum</t>
  </si>
  <si>
    <t xml:space="preserve">Da niemand Einwände hatte, haben wir entschieden.</t>
  </si>
  <si>
    <t xml:space="preserve">[daː ˈniːmant ˈʔaɪnˌvɛndə ˌhatə, ˌhaːbən viːɐ̯ ʔɛntˈʃiːdən]</t>
  </si>
  <si>
    <t xml:space="preserve">Vì không ai phản đối nên chúng tôi đã quyết.</t>
  </si>
  <si>
    <t xml:space="preserve">der Einwand = ý kiến phản đối</t>
  </si>
  <si>
    <t xml:space="preserve">S0633</t>
  </si>
  <si>
    <t xml:space="preserve">obwohl ở giữa câu</t>
  </si>
  <si>
    <t xml:space="preserve">Ich mag ihn, obwohl er manchmal unhöflich ist.</t>
  </si>
  <si>
    <t xml:space="preserve">[ʔɪç ˈmaːk ˈʔiːn, ʔɔpˈvoːl ʔɛɐ̯ ˈmançmaːl ˈʔʊnˌhøːflɪç ʔɪst]</t>
  </si>
  <si>
    <t xml:space="preserve">Tôi quý anh ấy dù đôi khi anh ấy bất lịch sự.</t>
  </si>
  <si>
    <t xml:space="preserve">unhöflich = bất lịch sự</t>
  </si>
  <si>
    <t xml:space="preserve">S0634</t>
  </si>
  <si>
    <t xml:space="preserve">weil + câu không chủ ngữ thật</t>
  </si>
  <si>
    <t xml:space="preserve">Der Laden hat geschlossen, weil Sonntag ist.</t>
  </si>
  <si>
    <t xml:space="preserve">[dɛɐ̯ ˈlaːdən hat ɡəˈʃlɔsən, ˌvaɪl ˈzɔntaːk ʔɪst]</t>
  </si>
  <si>
    <t xml:space="preserve">Cửa hàng đóng vì hôm nay chủ nhật.</t>
  </si>
  <si>
    <t xml:space="preserve">geschlossen = đóng cửa</t>
  </si>
  <si>
    <t xml:space="preserve">S0635</t>
  </si>
  <si>
    <t xml:space="preserve">dank + Dativ/Genitiv</t>
  </si>
  <si>
    <t xml:space="preserve">Dank deiner Hilfe habe ich es geschafft.</t>
  </si>
  <si>
    <t xml:space="preserve">[ˈdaŋk ˌdaɪnɐ ˈhɪlfə haːbə ʔɪç ʔɛs ɡəˈʃaft]</t>
  </si>
  <si>
    <t xml:space="preserve">Nhờ bạn giúp mà tôi làm được.</t>
  </si>
  <si>
    <t xml:space="preserve">dank = nhờ</t>
  </si>
  <si>
    <t xml:space="preserve">S0636</t>
  </si>
  <si>
    <t xml:space="preserve">trotz + Genitiv</t>
  </si>
  <si>
    <t xml:space="preserve">Trotz des Regens sind wir spazieren gegangen.</t>
  </si>
  <si>
    <t xml:space="preserve">[ˈtʁɔts dɛs ˈʁeːɡəns zɪnt viːɐ̯ ʃpaˈtsiːʁən ɡəˈɡaŋən]</t>
  </si>
  <si>
    <t xml:space="preserve">Dù trời mưa chúng tôi vẫn đi dạo.</t>
  </si>
  <si>
    <t xml:space="preserve">trotz = bất chấp</t>
  </si>
  <si>
    <t xml:space="preserve">S0637</t>
  </si>
  <si>
    <t xml:space="preserve">weil đầu câu</t>
  </si>
  <si>
    <t xml:space="preserve">Weil ich kein Auto habe, fahre ich mit dem Rad.</t>
  </si>
  <si>
    <t xml:space="preserve">[ˌvaɪl ʔɪç ˈkaɪn ˈʔaʊtoː haːbə, ˈfaːʁə ʔɪç mɪt deːm ˈʁaːt]</t>
  </si>
  <si>
    <t xml:space="preserve">Vì không có xe hơi nên tôi đi xe đạp.</t>
  </si>
  <si>
    <t xml:space="preserve">das Rad = xe đạp</t>
  </si>
  <si>
    <t xml:space="preserve">S0638</t>
  </si>
  <si>
    <t xml:space="preserve">obwohl + Präsens</t>
  </si>
  <si>
    <t xml:space="preserve">Er schweigt, obwohl er die Wahrheit kennt.</t>
  </si>
  <si>
    <t xml:space="preserve">[ʔɛɐ̯ ˈʃvaɪkt, ʔɔpˈvoːl ʔɛɐ̯ diː ˈvaːɐ̯haɪt ˈkɛnt]</t>
  </si>
  <si>
    <t xml:space="preserve">Anh ấy im lặng dù biết sự thật.</t>
  </si>
  <si>
    <t xml:space="preserve">schweigen = im lặng; die Wahrheit = sự thật</t>
  </si>
  <si>
    <t xml:space="preserve">S0639</t>
  </si>
  <si>
    <t xml:space="preserve">ablehnen + da</t>
  </si>
  <si>
    <t xml:space="preserve">Ich habe abgelehnt, da das Angebot unfair war.</t>
  </si>
  <si>
    <t xml:space="preserve">[ʔɪç haːbə ˈʔapɡəˌleːnt, daː das ˈʔanɡəˌboːt ˈʔʊnˌfɛːɐ̯ vaːɐ̯]</t>
  </si>
  <si>
    <t xml:space="preserve">Tôi từ chối vì lời đề nghị không công bằng.</t>
  </si>
  <si>
    <t xml:space="preserve">ablehnen = từ chối; unfair = không công bằng</t>
  </si>
  <si>
    <t xml:space="preserve">S0640</t>
  </si>
  <si>
    <t xml:space="preserve">deshalb vị trí 1, đảo chủ ngữ</t>
  </si>
  <si>
    <t xml:space="preserve">Deshalb müssen wir eine neue Lösung finden.</t>
  </si>
  <si>
    <t xml:space="preserve">[dɛsˈhalp ˈmysən viːɐ̯ ˌʔaɪnə ˈnɔøə ˈløːzʊŋ ˈfɪndən]</t>
  </si>
  <si>
    <t xml:space="preserve">Vì vậy chúng ta phải tìm giải pháp mới.</t>
  </si>
  <si>
    <t xml:space="preserve">deshalb = vì vậy; die Lösung = giải pháp</t>
  </si>
  <si>
    <t xml:space="preserve">S0641</t>
  </si>
  <si>
    <t xml:space="preserve">Mệnh đề thời gian (wenn, als, während, bevor, nachdem)</t>
  </si>
  <si>
    <t xml:space="preserve">wenn = khi (lặp lại/tương lai)</t>
  </si>
  <si>
    <t xml:space="preserve">Wenn ich Zeit habe, besuche ich dich.</t>
  </si>
  <si>
    <t xml:space="preserve">[ˌvɛn ʔɪç ˈtsaɪt haːbə, bəˈzuːxə ʔɪç ˈdɪç]</t>
  </si>
  <si>
    <t xml:space="preserve">Khi nào có thời gian tôi sẽ thăm bạn.</t>
  </si>
  <si>
    <t xml:space="preserve">S0642</t>
  </si>
  <si>
    <t xml:space="preserve">als = khi (một lần trong quá khứ)</t>
  </si>
  <si>
    <t xml:space="preserve">Als ich Kind war, wohnte ich in Hue.</t>
  </si>
  <si>
    <t xml:space="preserve">[ʔals ʔɪç ˈkɪnt vaːɐ̯, ˈvoːntə ʔɪç ʔɪn ˈhyː]</t>
  </si>
  <si>
    <t xml:space="preserve">Hồi nhỏ tôi sống ở Huế.</t>
  </si>
  <si>
    <t xml:space="preserve">als = khi (quá khứ)</t>
  </si>
  <si>
    <t xml:space="preserve">S0643</t>
  </si>
  <si>
    <t xml:space="preserve">immer wenn = mỗi khi</t>
  </si>
  <si>
    <t xml:space="preserve">Immer wenn er anruft, bin ich beschäftigt.</t>
  </si>
  <si>
    <t xml:space="preserve">[ˈʔɪmɐ ˌvɛn ʔɛɐ̯ ˈʔanˌʁʊft, bɪn ʔɪç bəˈʃɛftɪçt]</t>
  </si>
  <si>
    <t xml:space="preserve">Cứ mỗi lần anh ấy gọi là tôi đang bận.</t>
  </si>
  <si>
    <t xml:space="preserve">beschäftigt = bận</t>
  </si>
  <si>
    <t xml:space="preserve">S0644</t>
  </si>
  <si>
    <t xml:space="preserve">während = trong khi</t>
  </si>
  <si>
    <t xml:space="preserve">Während ich koche, hört sie Musik.</t>
  </si>
  <si>
    <t xml:space="preserve">[ˌvɛːʁənt ʔɪç ˈkɔxə, ˈhœʁt ziː muːˈziːk]</t>
  </si>
  <si>
    <t xml:space="preserve">Trong lúc tôi nấu ăn thì cô ấy nghe nhạc.</t>
  </si>
  <si>
    <t xml:space="preserve">S0645</t>
  </si>
  <si>
    <t xml:space="preserve">bevor = trước khi</t>
  </si>
  <si>
    <t xml:space="preserve">Bevor du gehst, mach bitte das Licht aus.</t>
  </si>
  <si>
    <t xml:space="preserve">[bəˈfoːɐ̯ duː ˈɡeːst, ˈmax ˈbɪtə das ˈlɪçt ˈʔaʊs]</t>
  </si>
  <si>
    <t xml:space="preserve">Trước khi đi thì tắt đèn giúp nhé.</t>
  </si>
  <si>
    <t xml:space="preserve">bevor = trước khi; ausmachen = tắt</t>
  </si>
  <si>
    <t xml:space="preserve">S0646</t>
  </si>
  <si>
    <t xml:space="preserve">nachdem + Plusquamperfekt / chính Präteritum</t>
  </si>
  <si>
    <t xml:space="preserve">Nachdem ich gegessen hatte, ging ich spazieren.</t>
  </si>
  <si>
    <t xml:space="preserve">[naxˈdeːm ʔɪç ɡəˈɡɛsən ˌhatə, ˈɡɪŋ ʔɪç ʃpaˈtsiːʁən]</t>
  </si>
  <si>
    <t xml:space="preserve">Sau khi ăn xong tôi đi dạo.</t>
  </si>
  <si>
    <t xml:space="preserve">nachdem = sau khi</t>
  </si>
  <si>
    <t xml:space="preserve">S0647</t>
  </si>
  <si>
    <t xml:space="preserve">seitdem = kể từ khi</t>
  </si>
  <si>
    <t xml:space="preserve">Seitdem er in Berlin wohnt, sehen wir uns selten.</t>
  </si>
  <si>
    <t xml:space="preserve">[ˈzaɪtdəm ʔɛɐ̯ ʔɪn bɛʁˈliːn ˈvoːnt, ˈzeːən viːɐ̯ ʔʊns ˈzɛltən]</t>
  </si>
  <si>
    <t xml:space="preserve">Từ khi anh ấy ở Berlin chúng tôi ít gặp nhau.</t>
  </si>
  <si>
    <t xml:space="preserve">seitdem = từ khi; selten = hiếm khi</t>
  </si>
  <si>
    <t xml:space="preserve">S0648</t>
  </si>
  <si>
    <t xml:space="preserve">bis = cho đến khi</t>
  </si>
  <si>
    <t xml:space="preserve">Bis der Bus kommt, warten wir im Café.</t>
  </si>
  <si>
    <t xml:space="preserve">[bɪs dɛɐ̯ ˈbʊs ˈkɔmt, ˈvaʁtən viːɐ̯ ʔɪm kaˈfeː]</t>
  </si>
  <si>
    <t xml:space="preserve">Chờ đến lúc xe buýt tới, chúng ta ngồi quán cà phê.</t>
  </si>
  <si>
    <t xml:space="preserve">S0649</t>
  </si>
  <si>
    <t xml:space="preserve">sobald = ngay khi</t>
  </si>
  <si>
    <t xml:space="preserve">Sobald ich angekommen bin, schreibe ich dir.</t>
  </si>
  <si>
    <t xml:space="preserve">[ˈzoːbalt ʔɪç ˈʔanɡəˌkɔmən bɪn, ˈʃʁaɪbə ʔɪç ˈdiːɐ̯]</t>
  </si>
  <si>
    <t xml:space="preserve">Vừa đến nơi tôi sẽ nhắn bạn.</t>
  </si>
  <si>
    <t xml:space="preserve">S0650</t>
  </si>
  <si>
    <t xml:space="preserve">solange = chừng nào</t>
  </si>
  <si>
    <t xml:space="preserve">Solange es regnet, bleiben wir drinnen.</t>
  </si>
  <si>
    <t xml:space="preserve">[ˈzoːlaŋə ʔɛs ˈʁɛɡnət, ˈblaɪbən viːɐ̯ ˈdʁɪnən]</t>
  </si>
  <si>
    <t xml:space="preserve">Chừng nào còn mưa thì chúng ta ở trong nhà.</t>
  </si>
  <si>
    <t xml:space="preserve">S0651</t>
  </si>
  <si>
    <t xml:space="preserve">als + Präteritum</t>
  </si>
  <si>
    <t xml:space="preserve">Als ich ankam, war die Tür schon offen.</t>
  </si>
  <si>
    <t xml:space="preserve">[ʔals ʔɪç ˈʔanˌkaːm, vaːɐ̯ diː ˈtyːɐ̯ ˌʃoːn ˈʔɔfən]</t>
  </si>
  <si>
    <t xml:space="preserve">Khi tôi đến thì cửa đã mở sẵn.</t>
  </si>
  <si>
    <t xml:space="preserve">S0652</t>
  </si>
  <si>
    <t xml:space="preserve">wenn + Imperativ ở mệnh đề chính</t>
  </si>
  <si>
    <t xml:space="preserve">Wenn du fertig bist, sag mir Bescheid.</t>
  </si>
  <si>
    <t xml:space="preserve">[ˌvɛn duː ˈfɛʁtɪç bɪst, ˈzaːk miːɐ̯ bəˈʃaɪt]</t>
  </si>
  <si>
    <t xml:space="preserve">Xong thì báo tôi nhé.</t>
  </si>
  <si>
    <t xml:space="preserve">fertig = xong</t>
  </si>
  <si>
    <t xml:space="preserve">S0653</t>
  </si>
  <si>
    <t xml:space="preserve">während + Genitiv (giới từ)</t>
  </si>
  <si>
    <t xml:space="preserve">Während des Urlaubs habe ich viel gelesen.</t>
  </si>
  <si>
    <t xml:space="preserve">[ˌvɛːʁənt dɛs ˈʔuːɐ̯laʊps haːbə ʔɪç ˈfiːl ɡəˈleːzən]</t>
  </si>
  <si>
    <t xml:space="preserve">Trong kỳ nghỉ tôi đọc nhiều.</t>
  </si>
  <si>
    <t xml:space="preserve">der Urlaub = kỳ nghỉ</t>
  </si>
  <si>
    <t xml:space="preserve">S0654</t>
  </si>
  <si>
    <t xml:space="preserve">bevor + Präteritum</t>
  </si>
  <si>
    <t xml:space="preserve">Bevor ich nach Deutschland kam, lernte ich zwei Jahre.</t>
  </si>
  <si>
    <t xml:space="preserve">[bəˈfoːɐ̯ ʔɪç naːx ˈdɔøtʃlant ˌkaːm, ˈlɛʁntə ʔɪç ˈtsvaɪ ˈjaːʁə]</t>
  </si>
  <si>
    <t xml:space="preserve">Trước khi sang Đức tôi đã học hai năm.</t>
  </si>
  <si>
    <t xml:space="preserve">S0655</t>
  </si>
  <si>
    <t xml:space="preserve">nachdem + bị động quá khứ</t>
  </si>
  <si>
    <t xml:space="preserve">Nachdem der Vertrag unterschrieben war, feierten wir.</t>
  </si>
  <si>
    <t xml:space="preserve">[naxˈdeːm dɛɐ̯ fɛʁˈtʁaːk ˌʔʊntɐˈʃʁiːbən vaːɐ̯, ˈfaɪɐtən viːɐ̯]</t>
  </si>
  <si>
    <t xml:space="preserve">Sau khi ký hợp đồng xong chúng tôi ăn mừng.</t>
  </si>
  <si>
    <t xml:space="preserve">der Vertrag = hợp đồng</t>
  </si>
  <si>
    <t xml:space="preserve">S0656</t>
  </si>
  <si>
    <t xml:space="preserve">jedes Mal, wenn</t>
  </si>
  <si>
    <t xml:space="preserve">Jedes Mal, wenn ich ihn sehe, lacht er.</t>
  </si>
  <si>
    <t xml:space="preserve">[ˈjeːdəs ˈmaːl, ˌvɛn ʔɪç ʔiːn ˈzeːə, ˈlaxt ʔɛɐ̯]</t>
  </si>
  <si>
    <t xml:space="preserve">Lần nào gặp anh ấy cũng cười.</t>
  </si>
  <si>
    <t xml:space="preserve">jedes Mal = mỗi lần</t>
  </si>
  <si>
    <t xml:space="preserve">S0657</t>
  </si>
  <si>
    <t xml:space="preserve">kurz bevor = ngay trước khi</t>
  </si>
  <si>
    <t xml:space="preserve">Kurz bevor der Film begann, kam sie herein.</t>
  </si>
  <si>
    <t xml:space="preserve">[ˈkʊʁts bəˈfoːɐ̯ dɛɐ̯ ˈfɪlm bəˈɡan, ˌkaːm ziː hɛˈʁaɪn]</t>
  </si>
  <si>
    <t xml:space="preserve">Ngay trước khi phim bắt đầu thì cô ấy vào.</t>
  </si>
  <si>
    <t xml:space="preserve">hereinkommen = đi vào</t>
  </si>
  <si>
    <t xml:space="preserve">S0658</t>
  </si>
  <si>
    <t xml:space="preserve">seit + mệnh đề</t>
  </si>
  <si>
    <t xml:space="preserve">Seit ich Sport mache, schlafe ich besser.</t>
  </si>
  <si>
    <t xml:space="preserve">[zaɪt ʔɪç ˈʃpɔʁt ˈmaxə, ˈʃlaːfə ʔɪç ˈbɛsɐ]</t>
  </si>
  <si>
    <t xml:space="preserve">Từ khi tập thể thao tôi ngủ ngon hơn.</t>
  </si>
  <si>
    <t xml:space="preserve">S0659</t>
  </si>
  <si>
    <t xml:space="preserve">wenn + Konjunktiv II (điều kiện không thực)</t>
  </si>
  <si>
    <t xml:space="preserve">Wenn ich reich wäre, würde ich die Welt bereisen.</t>
  </si>
  <si>
    <t xml:space="preserve">[ˌvɛn ʔɪç ˈʁaɪç ˈvɛːʁə, ˈvyʁdə ʔɪç diː ˈvɛlt bəˈʁaɪzən]</t>
  </si>
  <si>
    <t xml:space="preserve">Nếu giàu tôi sẽ đi khắp thế giới.</t>
  </si>
  <si>
    <t xml:space="preserve">bereisen = đi khắp</t>
  </si>
  <si>
    <t xml:space="preserve">S0660</t>
  </si>
  <si>
    <t xml:space="preserve">erst als = mãi đến khi</t>
  </si>
  <si>
    <t xml:space="preserve">Erst als er ging, wurde es still.</t>
  </si>
  <si>
    <t xml:space="preserve">[ˈʔeːɐ̯st ʔals ʔɛɐ̯ ˈɡɪŋ, ˌvʊʁdə ʔɛs ˈʃtɪl]</t>
  </si>
  <si>
    <t xml:space="preserve">Mãi đến khi anh ấy đi thì mới yên tĩnh.</t>
  </si>
  <si>
    <t xml:space="preserve">still = yên tĩnh</t>
  </si>
  <si>
    <t xml:space="preserve">S0661</t>
  </si>
  <si>
    <t xml:space="preserve">Mệnh đề quan hệ (Nominativ &amp; Akkusativ)</t>
  </si>
  <si>
    <t xml:space="preserve">Mệnh đề quan hệ</t>
  </si>
  <si>
    <t xml:space="preserve">Relativpronomen der = Nominativ đực</t>
  </si>
  <si>
    <t xml:space="preserve">Der Mann, der dort steht, ist mein Chef.</t>
  </si>
  <si>
    <t xml:space="preserve">[dɛɐ̯ ˈman, dɛɐ̯ ˈdɔʁt ˈʃteːt, ʔɪst maɪn ˈʃɛf]</t>
  </si>
  <si>
    <t xml:space="preserve">Người đàn ông đứng đằng kia là sếp tôi.</t>
  </si>
  <si>
    <t xml:space="preserve">der Chef = sếp</t>
  </si>
  <si>
    <t xml:space="preserve">S0662</t>
  </si>
  <si>
    <t xml:space="preserve">die = Akkusativ giống cái</t>
  </si>
  <si>
    <t xml:space="preserve">Die Frau, die ich gestern traf, arbeitet hier.</t>
  </si>
  <si>
    <t xml:space="preserve">[diː ˈfʁaʊ, diː ʔɪç ˈɡɛstɐn ˈtʁaːf, ˈʔaʁbaɪtət ˈhiːɐ̯]</t>
  </si>
  <si>
    <t xml:space="preserve">Người phụ nữ tôi gặp hôm qua làm việc ở đây.</t>
  </si>
  <si>
    <t xml:space="preserve">S0663</t>
  </si>
  <si>
    <t xml:space="preserve">das = Akkusativ trung tính</t>
  </si>
  <si>
    <t xml:space="preserve">Das Buch, das ich lese, ist spannend.</t>
  </si>
  <si>
    <t xml:space="preserve">[das ˈbuːx, das ʔɪç ˈleːzə, ʔɪst ˈʃpanənt]</t>
  </si>
  <si>
    <t xml:space="preserve">Quyển sách tôi đang đọc rất hấp dẫn.</t>
  </si>
  <si>
    <t xml:space="preserve">spannend = hấp dẫn</t>
  </si>
  <si>
    <t xml:space="preserve">S0664</t>
  </si>
  <si>
    <t xml:space="preserve">die = Nominativ số nhiều</t>
  </si>
  <si>
    <t xml:space="preserve">Die Leute, die hier wohnen, sind sehr nett.</t>
  </si>
  <si>
    <t xml:space="preserve">[diː ˈlɔøtə, diː ˈhiːɐ̯ ˈvoːnən, zɪnt ˈzeːɐ̯ ˈnɛt]</t>
  </si>
  <si>
    <t xml:space="preserve">Những người sống ở đây rất tử tế.</t>
  </si>
  <si>
    <t xml:space="preserve">die Leute = mọi người</t>
  </si>
  <si>
    <t xml:space="preserve">S0665</t>
  </si>
  <si>
    <t xml:space="preserve">jemand + der</t>
  </si>
  <si>
    <t xml:space="preserve">Ich kenne jemanden, der dir helfen kann.</t>
  </si>
  <si>
    <t xml:space="preserve">[ʔɪç ˈkɛnə ˈjeːmandən, dɛɐ̯ diːɐ̯ ˈhɛlfən ˌkan]</t>
  </si>
  <si>
    <t xml:space="preserve">Tôi biết một người có thể giúp bạn.</t>
  </si>
  <si>
    <t xml:space="preserve">jemand = ai đó</t>
  </si>
  <si>
    <t xml:space="preserve">S0666</t>
  </si>
  <si>
    <t xml:space="preserve">den = Akkusativ đực</t>
  </si>
  <si>
    <t xml:space="preserve">Das ist der Film, den ich empfehlen wollte.</t>
  </si>
  <si>
    <t xml:space="preserve">[das ʔɪst dɛɐ̯ ˈfɪlm, deːn ʔɪç ʔɛmˈpfeːlən vɔltə]</t>
  </si>
  <si>
    <t xml:space="preserve">Đây là bộ phim tôi muốn giới thiệu.</t>
  </si>
  <si>
    <t xml:space="preserve">empfehlen = giới thiệu</t>
  </si>
  <si>
    <t xml:space="preserve">S0667</t>
  </si>
  <si>
    <t xml:space="preserve">den + động từ cuối</t>
  </si>
  <si>
    <t xml:space="preserve">Der Kurs, den ich besuche, dauert drei Monate.</t>
  </si>
  <si>
    <t xml:space="preserve">[dɛɐ̯ ˈkuːɐ̯s, deːn ʔɪç bəˈzuːxə, ˈdaʊɐt ˈdʁaɪ ˈmoːnaːtə]</t>
  </si>
  <si>
    <t xml:space="preserve">Khóa học tôi theo kéo dài ba tháng.</t>
  </si>
  <si>
    <t xml:space="preserve">besuchen = theo học</t>
  </si>
  <si>
    <t xml:space="preserve">S0668</t>
  </si>
  <si>
    <t xml:space="preserve">die + gefallen + Dativ</t>
  </si>
  <si>
    <t xml:space="preserve">Die Stadt, die mir am besten gefällt, ist Dresden.</t>
  </si>
  <si>
    <t xml:space="preserve">[diː ˈʃtat, diː miːɐ̯ ʔam ˈbɛstən ɡəˈfɛlt, ʔɪst ˈdʁɛsdən]</t>
  </si>
  <si>
    <t xml:space="preserve">Thành phố tôi thích nhất là Dresden.</t>
  </si>
  <si>
    <t xml:space="preserve">S0669</t>
  </si>
  <si>
    <t xml:space="preserve">den + Perfekt</t>
  </si>
  <si>
    <t xml:space="preserve">Hier ist der Schlüssel, den du gesucht hast.</t>
  </si>
  <si>
    <t xml:space="preserve">[ˈhiːɐ̯ ʔɪst dɛɐ̯ ˈʃlysəl, deːn duː ɡəˈzuːxt hast]</t>
  </si>
  <si>
    <t xml:space="preserve">Chìa khóa bạn tìm đây này.</t>
  </si>
  <si>
    <t xml:space="preserve">S0670</t>
  </si>
  <si>
    <t xml:space="preserve">alles -&gt; was (không dùng das)</t>
  </si>
  <si>
    <t xml:space="preserve">Alles, was du sagst, ist richtig.</t>
  </si>
  <si>
    <t xml:space="preserve">[ˈʔaləs, ˈvas duː ˈzaːkst, ʔɪst ˈʁɪçtɪç]</t>
  </si>
  <si>
    <t xml:space="preserve">Mọi điều bạn nói đều đúng.</t>
  </si>
  <si>
    <t xml:space="preserve">S0671</t>
  </si>
  <si>
    <t xml:space="preserve">etwas -&gt; was</t>
  </si>
  <si>
    <t xml:space="preserve">Das ist etwas, was ich nicht verstehe.</t>
  </si>
  <si>
    <t xml:space="preserve">[das ʔɪst ˈʔɛtvaːs, ˈvas ʔɪç ˈnɪçt fɛʁˈʃteːə]</t>
  </si>
  <si>
    <t xml:space="preserve">Đó là điều tôi không hiểu.</t>
  </si>
  <si>
    <t xml:space="preserve">etwas = điều gì đó</t>
  </si>
  <si>
    <t xml:space="preserve">S0672</t>
  </si>
  <si>
    <t xml:space="preserve">der = Nominativ đực</t>
  </si>
  <si>
    <t xml:space="preserve">Der Zug, der um acht fährt, ist schneller.</t>
  </si>
  <si>
    <t xml:space="preserve">[dɛɐ̯ ˈtsuːk, dɛɐ̯ ʔʊm ˈʔaxt ˈfɛːɐ̯t, ʔɪst ˈʃnɛlɐ]</t>
  </si>
  <si>
    <t xml:space="preserve">Chuyến tàu chạy lúc tám giờ nhanh hơn.</t>
  </si>
  <si>
    <t xml:space="preserve">der Zug = tàu</t>
  </si>
  <si>
    <t xml:space="preserve">S0673</t>
  </si>
  <si>
    <t xml:space="preserve">die + sein</t>
  </si>
  <si>
    <t xml:space="preserve">Die Kollegin, die neu ist, kommt aus Polen.</t>
  </si>
  <si>
    <t xml:space="preserve">[diː kɔˈleːɡɪn, diː ˈnɔø ʔɪst, ˈkɔmt ˌʔaʊs ˈpoːlən]</t>
  </si>
  <si>
    <t xml:space="preserve">Đồng nghiệp mới đến từ Ba Lan.</t>
  </si>
  <si>
    <t xml:space="preserve">die Kollegin = nữ đồng nghiệp</t>
  </si>
  <si>
    <t xml:space="preserve">S0674</t>
  </si>
  <si>
    <t xml:space="preserve">das + Modalverb cuối</t>
  </si>
  <si>
    <t xml:space="preserve">Ich habe ein Problem, das ich nicht lösen kann.</t>
  </si>
  <si>
    <t xml:space="preserve">[ʔɪç haːbə ʔaɪn pʁoːˈbleːm, das ʔɪç ˈnɪçt ˈløːzən ˌkan]</t>
  </si>
  <si>
    <t xml:space="preserve">Tôi có vấn đề không giải quyết được.</t>
  </si>
  <si>
    <t xml:space="preserve">lösen = giải quyết</t>
  </si>
  <si>
    <t xml:space="preserve">S0675</t>
  </si>
  <si>
    <t xml:space="preserve">das + Perfekt</t>
  </si>
  <si>
    <t xml:space="preserve">Das Restaurant, das du empfohlen hast, war super.</t>
  </si>
  <si>
    <t xml:space="preserve">[das ˌʁɛstoːˈʁã, das duː ʔɛmˈpfoːlən hast, vaːɐ̯ ˈzuːpɐ]</t>
  </si>
  <si>
    <t xml:space="preserve">Nhà hàng bạn giới thiệu rất tuyệt.</t>
  </si>
  <si>
    <t xml:space="preserve">S0676</t>
  </si>
  <si>
    <t xml:space="preserve">Số nhiều không Artikel + die</t>
  </si>
  <si>
    <t xml:space="preserve">Leute, die viel lesen, haben einen großen Wortschatz.</t>
  </si>
  <si>
    <t xml:space="preserve">[ˈlɔøtə, diː ˈfiːl ˈleːzən, ˌhaːbən ˌʔaɪnən ˈɡʁoːsən ˈvɔʁtʃats]</t>
  </si>
  <si>
    <t xml:space="preserve">Người đọc nhiều thì vốn từ rộng.</t>
  </si>
  <si>
    <t xml:space="preserve">der Wortschatz = vốn từ</t>
  </si>
  <si>
    <t xml:space="preserve">S0677</t>
  </si>
  <si>
    <t xml:space="preserve">das Einzige -&gt; was</t>
  </si>
  <si>
    <t xml:space="preserve">Das Einzige, was zählt, ist Ausdauer.</t>
  </si>
  <si>
    <t xml:space="preserve">[das ˈʔaɪntsɪɡə, ˈvas ˈtsɛːlt, ʔɪst ˈʔaʊsˌdaʊɐ]</t>
  </si>
  <si>
    <t xml:space="preserve">Điều duy nhất quan trọng là sự bền bỉ.</t>
  </si>
  <si>
    <t xml:space="preserve">die Ausdauer = sự bền bỉ; zählen = có giá trị</t>
  </si>
  <si>
    <t xml:space="preserve">S0678</t>
  </si>
  <si>
    <t xml:space="preserve">Der Artikel, den ich gelesen habe, war sehr kritisch.</t>
  </si>
  <si>
    <t xml:space="preserve">[dɛɐ̯ ʔaʁˈtiːkəl, deːn ʔɪç ɡəˈleːzən haːbə, vaːɐ̯ ˈzeːɐ̯ ˈkʁiːtɪʃ]</t>
  </si>
  <si>
    <t xml:space="preserve">Bài báo tôi đọc rất phê phán.</t>
  </si>
  <si>
    <t xml:space="preserve">der Artikel = bài báo; kritisch = phê phán</t>
  </si>
  <si>
    <t xml:space="preserve">S0679</t>
  </si>
  <si>
    <t xml:space="preserve">die + Adjektiv</t>
  </si>
  <si>
    <t xml:space="preserve">Wir suchen Mitarbeiter, die flexibel sind.</t>
  </si>
  <si>
    <t xml:space="preserve">[viːɐ̯ ˈzuːxən ˈmɪˌtaʁbaɪtɐ, diː flɛkˈsiːbəl zɪnt]</t>
  </si>
  <si>
    <t xml:space="preserve">Chúng tôi tìm nhân viên linh hoạt.</t>
  </si>
  <si>
    <t xml:space="preserve">flexibel = linh hoạt</t>
  </si>
  <si>
    <t xml:space="preserve">S0680</t>
  </si>
  <si>
    <t xml:space="preserve">das + Präteritum</t>
  </si>
  <si>
    <t xml:space="preserve">Das Gefühl, das ich hatte, war seltsam.</t>
  </si>
  <si>
    <t xml:space="preserve">[das ɡəˈfyːl, das ʔɪç ˈhatə, vaːɐ̯ ˈzɛltzaːm]</t>
  </si>
  <si>
    <t xml:space="preserve">Cảm giác tôi có lúc đó thật lạ.</t>
  </si>
  <si>
    <t xml:space="preserve">das Gefühl = cảm giác; seltsam = kỳ lạ</t>
  </si>
  <si>
    <t xml:space="preserve">S0681</t>
  </si>
  <si>
    <t xml:space="preserve">Mệnh đề quan hệ (Dativ, Genitiv, có giới từ)</t>
  </si>
  <si>
    <t xml:space="preserve">dem = Dativ đực (helfen + Dativ)</t>
  </si>
  <si>
    <t xml:space="preserve">Der Kollege, dem ich geholfen habe, ist umgezogen.</t>
  </si>
  <si>
    <t xml:space="preserve">[dɛɐ̯ kɔˈleːɡə, deːm ʔɪç ɡəˈhɔlfən haːbə, ʔɪst ˈʔʊmɡəˌtsoːɡən]</t>
  </si>
  <si>
    <t xml:space="preserve">Đồng nghiệp tôi từng giúp đã chuyển đi.</t>
  </si>
  <si>
    <t xml:space="preserve">S0682</t>
  </si>
  <si>
    <t xml:space="preserve">der = Dativ giống cái</t>
  </si>
  <si>
    <t xml:space="preserve">Die Frau, der das Auto gehört, wohnt nebenan.</t>
  </si>
  <si>
    <t xml:space="preserve">[diː ˈfʁaʊ, dɛɐ̯ das ˈʔaʊtoː ɡəˈhœʁt, ˈvoːnt ˈneːbəˌnan]</t>
  </si>
  <si>
    <t xml:space="preserve">Người phụ nữ sở hữu chiếc xe ở sát bên.</t>
  </si>
  <si>
    <t xml:space="preserve">gehören = thuộc về; nebenan = sát bên</t>
  </si>
  <si>
    <t xml:space="preserve">S0683</t>
  </si>
  <si>
    <t xml:space="preserve">dem = Dativ trung tính</t>
  </si>
  <si>
    <t xml:space="preserve">Das Kind, dem wir geholfen haben, war verloren.</t>
  </si>
  <si>
    <t xml:space="preserve">[das ˈkɪnt, deːm viːɐ̯ ɡəˈhɔlfən ˈhaːbən, vaːɐ̯ fɛʁˈloːʁən]</t>
  </si>
  <si>
    <t xml:space="preserve">Đứa trẻ chúng tôi giúp đã bị lạc.</t>
  </si>
  <si>
    <t xml:space="preserve">verloren = bị lạc</t>
  </si>
  <si>
    <t xml:space="preserve">S0684</t>
  </si>
  <si>
    <t xml:space="preserve">denen = Dativ số nhiều</t>
  </si>
  <si>
    <t xml:space="preserve">Die Freunde, denen ich vertraue, sind wenige.</t>
  </si>
  <si>
    <t xml:space="preserve">[diː ˈfʁɔøndə, deːnən ʔɪç fɛʁˈtʁaʊə, zɪnt ˈveːnɪɡə]</t>
  </si>
  <si>
    <t xml:space="preserve">Những người bạn tôi tin tưởng thì ít.</t>
  </si>
  <si>
    <t xml:space="preserve">S0685</t>
  </si>
  <si>
    <t xml:space="preserve">dessen = Genitiv đực</t>
  </si>
  <si>
    <t xml:space="preserve">Der Mann, dessen Sohn hier lernt, ist Arzt.</t>
  </si>
  <si>
    <t xml:space="preserve">[dɛɐ̯ ˈman, ˈdɛsən ˈzoːn ˈhiːɐ̯ ˈlɛʁnt, ʔɪst ˈʔaʁtst]</t>
  </si>
  <si>
    <t xml:space="preserve">Người đàn ông có con học ở đây là bác sĩ.</t>
  </si>
  <si>
    <t xml:space="preserve">dessen = mà ... của người đó</t>
  </si>
  <si>
    <t xml:space="preserve">S0686</t>
  </si>
  <si>
    <t xml:space="preserve">deren = Genitiv giống cái</t>
  </si>
  <si>
    <t xml:space="preserve">Die Firma, deren Produkte wir kaufen, sitzt in Köln.</t>
  </si>
  <si>
    <t xml:space="preserve">[diː ˈfɪʁmaː, ˌdeːʁən pʁoːˈdʊktə viːɐ̯ ˈkaʊfən, ˈzɪtst ʔɪn ˈkœln]</t>
  </si>
  <si>
    <t xml:space="preserve">Công ty mà chúng tôi mua sản phẩm đóng ở Köln.</t>
  </si>
  <si>
    <t xml:space="preserve">deren = mà ... của nó</t>
  </si>
  <si>
    <t xml:space="preserve">S0687</t>
  </si>
  <si>
    <t xml:space="preserve">Giới từ + Relativpronomen</t>
  </si>
  <si>
    <t xml:space="preserve">Das ist das Haus, in dem ich aufgewachsen bin.</t>
  </si>
  <si>
    <t xml:space="preserve">[das ʔɪst das ˈhaʊs, ʔɪn deːm ʔɪç ˈʔaʊfɡəˌvaxzən bɪn]</t>
  </si>
  <si>
    <t xml:space="preserve">Đây là ngôi nhà tôi lớn lên.</t>
  </si>
  <si>
    <t xml:space="preserve">aufwachsen = lớn lên</t>
  </si>
  <si>
    <t xml:space="preserve">S0688</t>
  </si>
  <si>
    <t xml:space="preserve">Der Kurs, an dem ich teilnehme, ist anspruchsvoll.</t>
  </si>
  <si>
    <t xml:space="preserve">[dɛɐ̯ ˈkuːɐ̯s, ʔan deːm ʔɪç ˈtaɪlneːmə, ʔɪst ˈʔanˌʃpʁʊxsfɔl]</t>
  </si>
  <si>
    <t xml:space="preserve">Khóa học tôi tham gia khá nặng.</t>
  </si>
  <si>
    <t xml:space="preserve">anspruchsvoll = đòi hỏi cao</t>
  </si>
  <si>
    <t xml:space="preserve">S0689</t>
  </si>
  <si>
    <t xml:space="preserve">mit + der (Dativ giống cái)</t>
  </si>
  <si>
    <t xml:space="preserve">Die Person, mit der ich gesprochen habe, war freundlich.</t>
  </si>
  <si>
    <t xml:space="preserve">[diː pɛʁˈzoːn, mɪt dɛɐ̯ ʔɪç ɡəˈʃpʁɔxən haːbə, vaːɐ̯ ˈfʁɔøntlɪç]</t>
  </si>
  <si>
    <t xml:space="preserve">Người tôi nói chuyện cùng rất thân thiện.</t>
  </si>
  <si>
    <t xml:space="preserve">sprechen mit = nói chuyện với</t>
  </si>
  <si>
    <t xml:space="preserve">S0690</t>
  </si>
  <si>
    <t xml:space="preserve">über + das (Akkusativ)</t>
  </si>
  <si>
    <t xml:space="preserve">Das Thema, über das wir diskutieren, ist komplex.</t>
  </si>
  <si>
    <t xml:space="preserve">[das ˈteːmaː, ˌʔyːbɐ das viːɐ̯ ˌdɪskuːˈtiːʁən, ʔɪst kɔmˈplɛks]</t>
  </si>
  <si>
    <t xml:space="preserve">Chủ đề chúng ta bàn khá phức tạp.</t>
  </si>
  <si>
    <t xml:space="preserve">diskutieren = thảo luận; komplex = phức tạp</t>
  </si>
  <si>
    <t xml:space="preserve">S0691</t>
  </si>
  <si>
    <t xml:space="preserve">aus + dem</t>
  </si>
  <si>
    <t xml:space="preserve">Der Grund, aus dem er ging, bleibt unklar.</t>
  </si>
  <si>
    <t xml:space="preserve">[dɛɐ̯ ˈɡʁʊnt, ˌʔaʊs deːm ʔɛɐ̯ ˈɡɪŋ, ˈblaɪpt ˈʔʊnˌklaːɐ̯]</t>
  </si>
  <si>
    <t xml:space="preserve">Lý do anh ấy đi vẫn chưa rõ.</t>
  </si>
  <si>
    <t xml:space="preserve">der Grund = lý do; unklar = không rõ</t>
  </si>
  <si>
    <t xml:space="preserve">S0692</t>
  </si>
  <si>
    <t xml:space="preserve">in + der</t>
  </si>
  <si>
    <t xml:space="preserve">Die Zeit, in der wir leben, ist unsicher.</t>
  </si>
  <si>
    <t xml:space="preserve">[diː ˈtsaɪt, ʔɪn dɛɐ̯ viːɐ̯ ˈleːbən, ʔɪst ˈʔʊnˌzɪçɐ]</t>
  </si>
  <si>
    <t xml:space="preserve">Thời đại chúng ta sống rất bất định.</t>
  </si>
  <si>
    <t xml:space="preserve">unsicher = bất định</t>
  </si>
  <si>
    <t xml:space="preserve">S0693</t>
  </si>
  <si>
    <t xml:space="preserve">ankommen auf + Akkusativ</t>
  </si>
  <si>
    <t xml:space="preserve">Das ist der Punkt, auf den es ankommt.</t>
  </si>
  <si>
    <t xml:space="preserve">[das ʔɪst dɛɐ̯ ˈpʊŋkt, ʔaʊf deːn ʔɛs ˈʔanˌkɔmt]</t>
  </si>
  <si>
    <t xml:space="preserve">Đó chính là điểm mấu chốt.</t>
  </si>
  <si>
    <t xml:space="preserve">ankommen auf = phụ thuộc vào</t>
  </si>
  <si>
    <t xml:space="preserve">S0694</t>
  </si>
  <si>
    <t xml:space="preserve">dessen + Nomen số nhiều</t>
  </si>
  <si>
    <t xml:space="preserve">Der Autor, dessen Bücher ich liebe, ist gestorben.</t>
  </si>
  <si>
    <t xml:space="preserve">[dɛɐ̯ ˈʔaʊtoːɐ̯, ˈdɛsən ˈbyːçɐ ʔɪç ˈliːbə, ʔɪst ɡəˈʃtɔʁbən]</t>
  </si>
  <si>
    <t xml:space="preserve">Tác giả tôi mê sách đã qua đời.</t>
  </si>
  <si>
    <t xml:space="preserve">S0695</t>
  </si>
  <si>
    <t xml:space="preserve">Die Stadt, in der ich studiere, ist teuer.</t>
  </si>
  <si>
    <t xml:space="preserve">[diː ˈʃtat, ʔɪn dɛɐ̯ ʔɪç ʃtuːˈdiːʁə, ʔɪst ˈtɔøɐ]</t>
  </si>
  <si>
    <t xml:space="preserve">Thành phố tôi học đại học khá đắt đỏ.</t>
  </si>
  <si>
    <t xml:space="preserve">studieren = học đại học</t>
  </si>
  <si>
    <t xml:space="preserve">S0696</t>
  </si>
  <si>
    <t xml:space="preserve">denen + Perfekt</t>
  </si>
  <si>
    <t xml:space="preserve">Die Kollegen, denen ich das erklärt habe, verstehen es jetzt.</t>
  </si>
  <si>
    <t xml:space="preserve">[diː kɔˈleːɡən, deːnən ʔɪç das ʔɛʁˈklɛʁt haːbə, fɛʁˈʃteːən ʔɛs ˈjɛtst]</t>
  </si>
  <si>
    <t xml:space="preserve">Các đồng nghiệp tôi giải thích giờ đã hiểu.</t>
  </si>
  <si>
    <t xml:space="preserve">S0697</t>
  </si>
  <si>
    <t xml:space="preserve">arbeiten an + Dativ</t>
  </si>
  <si>
    <t xml:space="preserve">Das Projekt, an dem wir arbeiten, läuft gut.</t>
  </si>
  <si>
    <t xml:space="preserve">[das pʁoːˈjɛkt, ʔan deːm viːɐ̯ ˈʔaʁbaɪtən, ˈlɔøft ˈɡuːt]</t>
  </si>
  <si>
    <t xml:space="preserve">Dự án chúng tôi đang làm chạy tốt.</t>
  </si>
  <si>
    <t xml:space="preserve">das Projekt = dự án</t>
  </si>
  <si>
    <t xml:space="preserve">S0698</t>
  </si>
  <si>
    <t xml:space="preserve">an dem = vào ngày mà</t>
  </si>
  <si>
    <t xml:space="preserve">Der Tag, an dem wir uns kennenlernten, war ein Dienstag.</t>
  </si>
  <si>
    <t xml:space="preserve">[dɛɐ̯ ˈtaːk, ʔan deːm viːɐ̯ ʔʊns ˈkɛnənˌlɛʁntən, vaːɐ̯ ʔaɪn ˈdiːnstaːk]</t>
  </si>
  <si>
    <t xml:space="preserve">Ngày chúng tôi quen nhau là thứ Ba.</t>
  </si>
  <si>
    <t xml:space="preserve">kennenlernen = làm quen</t>
  </si>
  <si>
    <t xml:space="preserve">S0699</t>
  </si>
  <si>
    <t xml:space="preserve">mit + der</t>
  </si>
  <si>
    <t xml:space="preserve">Die Software, mit der ich arbeite, ist veraltet.</t>
  </si>
  <si>
    <t xml:space="preserve">[diː (en)ˈsɒftweə(de), mɪt dɛɐ̯ ʔɪç ˈʔaʁbaɪtə, ʔɪst fɛˈʁaltət]</t>
  </si>
  <si>
    <t xml:space="preserve">Phần mềm tôi dùng đã lỗi thời.</t>
  </si>
  <si>
    <t xml:space="preserve">veraltet = lỗi thời</t>
  </si>
  <si>
    <t xml:space="preserve">S0700</t>
  </si>
  <si>
    <t xml:space="preserve">worüber cho vật/khái niệm</t>
  </si>
  <si>
    <t xml:space="preserve">Alles, worüber wir gesprochen haben, bleibt vertraulich.</t>
  </si>
  <si>
    <t xml:space="preserve">[ˈʔaləs, ˈvoːʁyːbɐ viːɐ̯ ɡəˈʃpʁɔxən ˈhaːbən, ˈblaɪpt fɛʁˈtʁaʊlɪç]</t>
  </si>
  <si>
    <t xml:space="preserve">Mọi điều chúng ta bàn sẽ được giữ kín.</t>
  </si>
  <si>
    <t xml:space="preserve">vertraulich = bảo mật</t>
  </si>
  <si>
    <t xml:space="preserve">S0701</t>
  </si>
  <si>
    <t xml:space="preserve">Präteritum (thì kể chuyện)</t>
  </si>
  <si>
    <t xml:space="preserve">Präteritum bất quy tắc gehen -&gt; ging</t>
  </si>
  <si>
    <t xml:space="preserve">Er ging langsam durch den Park.</t>
  </si>
  <si>
    <t xml:space="preserve">[ʔɛɐ̯ ˈɡɪŋ ˈlaŋzaːm dʊʁç deːn ˈpaʁk]</t>
  </si>
  <si>
    <t xml:space="preserve">Anh ấy đi chậm qua công viên.</t>
  </si>
  <si>
    <t xml:space="preserve">ging = đã đi</t>
  </si>
  <si>
    <t xml:space="preserve">S0702</t>
  </si>
  <si>
    <t xml:space="preserve">hatte = Präteritum của haben</t>
  </si>
  <si>
    <t xml:space="preserve">Ich hatte damals kein Geld.</t>
  </si>
  <si>
    <t xml:space="preserve">[ʔɪç ˌhatə ˈdamaːls ˈkaɪn ˈɡɛlt]</t>
  </si>
  <si>
    <t xml:space="preserve">Hồi đó tôi không có tiền.</t>
  </si>
  <si>
    <t xml:space="preserve">damals = hồi đó</t>
  </si>
  <si>
    <t xml:space="preserve">S0703</t>
  </si>
  <si>
    <t xml:space="preserve">war = Präteritum của sein</t>
  </si>
  <si>
    <t xml:space="preserve">Sie war sehr überrascht.</t>
  </si>
  <si>
    <t xml:space="preserve">[ziː vaːɐ̯ ˈzeːɐ̯ ˌʔyːbɐˈʁaʃt]</t>
  </si>
  <si>
    <t xml:space="preserve">Cô ấy rất ngạc nhiên.</t>
  </si>
  <si>
    <t xml:space="preserve">überrascht = ngạc nhiên</t>
  </si>
  <si>
    <t xml:space="preserve">S0704</t>
  </si>
  <si>
    <t xml:space="preserve">Präteritum quy tắc: -te</t>
  </si>
  <si>
    <t xml:space="preserve">Wir wohnten zehn Jahre in Hanoi.</t>
  </si>
  <si>
    <t xml:space="preserve">[viːɐ̯ ˈvoːntən ˈtseːn ˈjaːʁə ʔɪn ˈhanoːˌiː]</t>
  </si>
  <si>
    <t xml:space="preserve">Chúng tôi sống mười năm ở Hà Nội.</t>
  </si>
  <si>
    <t xml:space="preserve">wohnen = sống</t>
  </si>
  <si>
    <t xml:space="preserve">S0705</t>
  </si>
  <si>
    <t xml:space="preserve">Präteritum trong văn viết</t>
  </si>
  <si>
    <t xml:space="preserve">Der Krieg dauerte vier Jahre.</t>
  </si>
  <si>
    <t xml:space="preserve">[dɛɐ̯ ˈkʁiːk ˈdaʊɐtə ˈfiːɐ̯ ˈjaːʁə]</t>
  </si>
  <si>
    <t xml:space="preserve">Cuộc chiến kéo dài bốn năm.</t>
  </si>
  <si>
    <t xml:space="preserve">der Krieg = chiến tranh</t>
  </si>
  <si>
    <t xml:space="preserve">S0706</t>
  </si>
  <si>
    <t xml:space="preserve">wusste + Plusquamperfekt</t>
  </si>
  <si>
    <t xml:space="preserve">Niemand wusste, was passiert war.</t>
  </si>
  <si>
    <t xml:space="preserve">[ˈniːmant ˈvʊstə, ˈvas paˈsiːɐ̯t vaːɐ̯]</t>
  </si>
  <si>
    <t xml:space="preserve">Không ai biết chuyện gì đã xảy ra.</t>
  </si>
  <si>
    <t xml:space="preserve">S0707</t>
  </si>
  <si>
    <t xml:space="preserve">nehmen -&gt; nahm, lesen -&gt; las</t>
  </si>
  <si>
    <t xml:space="preserve">Er nahm den Brief und las ihn.</t>
  </si>
  <si>
    <t xml:space="preserve">[ʔɛɐ̯ ˈnaːm deːn ˈbʁiːf ʔʊnt ˈlaːs ˈʔiːn]</t>
  </si>
  <si>
    <t xml:space="preserve">Anh ấy cầm lá thư lên và đọc.</t>
  </si>
  <si>
    <t xml:space="preserve">nahm = đã cầm; las = đã đọc</t>
  </si>
  <si>
    <t xml:space="preserve">S0708</t>
  </si>
  <si>
    <t xml:space="preserve">schreiben -&gt; schrieb</t>
  </si>
  <si>
    <t xml:space="preserve">Sie schrieb ihm jeden Tag.</t>
  </si>
  <si>
    <t xml:space="preserve">[ziː ˈʃʁiːp ʔiːm ˈjeːdən ˈtaːk]</t>
  </si>
  <si>
    <t xml:space="preserve">Cô ấy viết thư cho anh ta mỗi ngày.</t>
  </si>
  <si>
    <t xml:space="preserve">schrieb = đã viết</t>
  </si>
  <si>
    <t xml:space="preserve">S0709</t>
  </si>
  <si>
    <t xml:space="preserve">hinfallen tách ở Präteritum</t>
  </si>
  <si>
    <t xml:space="preserve">Das Kind fiel hin und weinte.</t>
  </si>
  <si>
    <t xml:space="preserve">[das ˈkɪnt ˈfiːl ˈhɪn ʔʊnt ˈvaɪntə]</t>
  </si>
  <si>
    <t xml:space="preserve">Đứa trẻ ngã và khóc.</t>
  </si>
  <si>
    <t xml:space="preserve">hinfallen = ngã</t>
  </si>
  <si>
    <t xml:space="preserve">S0710</t>
  </si>
  <si>
    <t xml:space="preserve">konnte = Präteritum của können</t>
  </si>
  <si>
    <t xml:space="preserve">Ich konnte ihn nicht erreichen.</t>
  </si>
  <si>
    <t xml:space="preserve">[ʔɪç ˈkɔntə ʔiːn ˈnɪçt ʔɛʁˈʁaɪçən]</t>
  </si>
  <si>
    <t xml:space="preserve">Tôi không liên lạc được với anh ấy.</t>
  </si>
  <si>
    <t xml:space="preserve">erreichen = liên lạc được</t>
  </si>
  <si>
    <t xml:space="preserve">S0711</t>
  </si>
  <si>
    <t xml:space="preserve">es gab = đã có</t>
  </si>
  <si>
    <t xml:space="preserve">Damals gab es noch keine Handys.</t>
  </si>
  <si>
    <t xml:space="preserve">[ˈdamaːls ˈɡaːp ʔɛs nɔx ˈkaɪnə ˈhandyːs]</t>
  </si>
  <si>
    <t xml:space="preserve">Hồi đó chưa có điện thoại di động.</t>
  </si>
  <si>
    <t xml:space="preserve">S0712</t>
  </si>
  <si>
    <t xml:space="preserve">aufstehen -&gt; stand ... auf</t>
  </si>
  <si>
    <t xml:space="preserve">Er stand früh auf und machte Kaffee.</t>
  </si>
  <si>
    <t xml:space="preserve">[ʔɛɐ̯ ˈʃtant ˈfʁyː ʔaʊf ʔʊnt ˈmaxtə ˈkafeː]</t>
  </si>
  <si>
    <t xml:space="preserve">Anh ấy dậy sớm và pha cà phê.</t>
  </si>
  <si>
    <t xml:space="preserve">S0713</t>
  </si>
  <si>
    <t xml:space="preserve">wurde + Partizip II = bị động quá khứ</t>
  </si>
  <si>
    <t xml:space="preserve">Die Firma wurde 1990 gegründet.</t>
  </si>
  <si>
    <t xml:space="preserve">[diː ˈfɪʁmaː ˌvʊʁdə ˈʔaɪn ˈtaʊzənt ˈnɔønˈhʊndɐt ˈnɔøntsɪç ɡəˈɡʁyndət]</t>
  </si>
  <si>
    <t xml:space="preserve">Công ty được thành lập năm 1990.</t>
  </si>
  <si>
    <t xml:space="preserve">gründen = thành lập</t>
  </si>
  <si>
    <t xml:space="preserve">S0714</t>
  </si>
  <si>
    <t xml:space="preserve">bleiben -&gt; blieb</t>
  </si>
  <si>
    <t xml:space="preserve">Sie blieb bis zum Schluss.</t>
  </si>
  <si>
    <t xml:space="preserve">[ziː ˈbliːp bɪs tsʊm ˈʃlʊs]</t>
  </si>
  <si>
    <t xml:space="preserve">Cô ấy ở lại đến cuối.</t>
  </si>
  <si>
    <t xml:space="preserve">der Schluss = kết thúc</t>
  </si>
  <si>
    <t xml:space="preserve">S0715</t>
  </si>
  <si>
    <t xml:space="preserve">mussten = Präteritum của müssen</t>
  </si>
  <si>
    <t xml:space="preserve">Wir mussten lange auf ihn warten.</t>
  </si>
  <si>
    <t xml:space="preserve">[viːɐ̯ ˈmʊstən ˈlaŋə ʔaʊf ʔiːn ˈvaʁtən]</t>
  </si>
  <si>
    <t xml:space="preserve">Chúng tôi đã phải chờ anh ấy lâu.</t>
  </si>
  <si>
    <t xml:space="preserve">warten auf = chờ</t>
  </si>
  <si>
    <t xml:space="preserve">S0716</t>
  </si>
  <si>
    <t xml:space="preserve">damit = để mà</t>
  </si>
  <si>
    <t xml:space="preserve">Er sprach leise, damit niemand ihn hörte.</t>
  </si>
  <si>
    <t xml:space="preserve">[ʔɛɐ̯ ˈʃpʁaːx ˈlaɪzə, daːˈmɪt ˈniːmant ʔiːn ˈhœʁtə]</t>
  </si>
  <si>
    <t xml:space="preserve">Anh ấy nói khẽ để không ai nghe thấy.</t>
  </si>
  <si>
    <t xml:space="preserve">leise = khẽ; damit = để</t>
  </si>
  <si>
    <t xml:space="preserve">S0717</t>
  </si>
  <si>
    <t xml:space="preserve">stattfinden -&gt; fand ... statt</t>
  </si>
  <si>
    <t xml:space="preserve">Das Fest fand im Garten statt.</t>
  </si>
  <si>
    <t xml:space="preserve">[das ˈfɛst ˈfant ʔɪm ˈɡaʁtən ˈʃtat]</t>
  </si>
  <si>
    <t xml:space="preserve">Buổi lễ diễn ra trong vườn.</t>
  </si>
  <si>
    <t xml:space="preserve">das Fest = lễ hội</t>
  </si>
  <si>
    <t xml:space="preserve">S0718</t>
  </si>
  <si>
    <t xml:space="preserve">denken -&gt; dachte; wärst = Konjunktiv II</t>
  </si>
  <si>
    <t xml:space="preserve">Ich dachte, du wärst schon weg.</t>
  </si>
  <si>
    <t xml:space="preserve">[ʔɪç ˈdaxtə, duː ˈvɛːɐ̯st ˌʃoːn ˈvɛk]</t>
  </si>
  <si>
    <t xml:space="preserve">Tôi tưởng bạn đi rồi.</t>
  </si>
  <si>
    <t xml:space="preserve">dachte = đã nghĩ</t>
  </si>
  <si>
    <t xml:space="preserve">S0719</t>
  </si>
  <si>
    <t xml:space="preserve">ziehen -&gt; zog; beginnen -&gt; begann</t>
  </si>
  <si>
    <t xml:space="preserve">Sie zog nach München und begann ein Studium.</t>
  </si>
  <si>
    <t xml:space="preserve">[ziː ˈtsoːk naːx ˈmynçən ʔʊnt bəˈɡan ʔaɪn ˈʃtuːdiːˌʊm]</t>
  </si>
  <si>
    <t xml:space="preserve">Cô ấy chuyển đến München và bắt đầu học đại học.</t>
  </si>
  <si>
    <t xml:space="preserve">das Studium = việc học đại học</t>
  </si>
  <si>
    <t xml:space="preserve">S0720</t>
  </si>
  <si>
    <t xml:space="preserve">helfen -&gt; half + Dativ</t>
  </si>
  <si>
    <t xml:space="preserve">Niemand half ihm in dieser Situation.</t>
  </si>
  <si>
    <t xml:space="preserve">[ˈniːmant ˈhalf ʔiːm ʔɪn ˌdiːzɐ ˌziːtuːatsˈjoːn]</t>
  </si>
  <si>
    <t xml:space="preserve">Không ai giúp anh ấy trong tình huống đó.</t>
  </si>
  <si>
    <t xml:space="preserve">die Situation = tình huống</t>
  </si>
  <si>
    <t xml:space="preserve">S0721</t>
  </si>
  <si>
    <t xml:space="preserve">Plusquamperfekt &amp; trình tự thời gian</t>
  </si>
  <si>
    <t xml:space="preserve">hatte + Partizip II = việc xảy ra trước</t>
  </si>
  <si>
    <t xml:space="preserve">Ich hatte schon gegessen, als er kam.</t>
  </si>
  <si>
    <t xml:space="preserve">[ʔɪç ˌhatə ˌʃoːn ɡəˈɡɛsən, ʔals ʔɛɐ̯ ˈkaːm]</t>
  </si>
  <si>
    <t xml:space="preserve">Tôi đã ăn xong trước khi anh ấy đến.</t>
  </si>
  <si>
    <t xml:space="preserve">hatte gegessen = đã ăn rồi</t>
  </si>
  <si>
    <t xml:space="preserve">S0722</t>
  </si>
  <si>
    <t xml:space="preserve">waren + Partizip II (động từ chuyển động)</t>
  </si>
  <si>
    <t xml:space="preserve">Nachdem wir angekommen waren, ruhten wir uns aus.</t>
  </si>
  <si>
    <t xml:space="preserve">[naxˈdeːm viːɐ̯ ˈʔanɡəˌkɔmən vaːʁən, ˈʁuːtən viːɐ̯ ʔʊns ˈʔaʊs]</t>
  </si>
  <si>
    <t xml:space="preserve">Sau khi đến nơi chúng tôi nghỉ ngơi.</t>
  </si>
  <si>
    <t xml:space="preserve">sich ausruhen = nghỉ ngơi</t>
  </si>
  <si>
    <t xml:space="preserve">S0723</t>
  </si>
  <si>
    <t xml:space="preserve">Plusquamperfekt trong mệnh đề weil</t>
  </si>
  <si>
    <t xml:space="preserve">Er war traurig, weil er die Prüfung nicht bestanden hatte.</t>
  </si>
  <si>
    <t xml:space="preserve">[ʔɛɐ̯ vaːɐ̯ ˈtʁaʊʁɪç, ˌvaɪl ʔɛɐ̯ diː ˈpʁyːfʊŋ ˈnɪçt bəˈʃtandən ˌhatə]</t>
  </si>
  <si>
    <t xml:space="preserve">Anh ấy buồn vì đã trượt kỳ thi.</t>
  </si>
  <si>
    <t xml:space="preserve">bestehen = thi đỗ</t>
  </si>
  <si>
    <t xml:space="preserve">S0724</t>
  </si>
  <si>
    <t xml:space="preserve">Plusquamperfekt + Präteritum</t>
  </si>
  <si>
    <t xml:space="preserve">Sie hatte den Schlüssel vergessen und kam nicht hinein.</t>
  </si>
  <si>
    <t xml:space="preserve">[ziː ˌhatə deːn ˈʃlysəl fɛʁˈɡɛsən ʔʊnt ˌkaːm ˈnɪçt hɪˈnaɪn]</t>
  </si>
  <si>
    <t xml:space="preserve">Cô ấy quên chìa khóa nên không vào được.</t>
  </si>
  <si>
    <t xml:space="preserve">hineinkommen = vào được</t>
  </si>
  <si>
    <t xml:space="preserve">S0725</t>
  </si>
  <si>
    <t xml:space="preserve">bevor + Präteritum, chính Plusquamperfekt</t>
  </si>
  <si>
    <t xml:space="preserve">Bevor ich nach Deutschland zog, hatte ich nie Schnee gesehen.</t>
  </si>
  <si>
    <t xml:space="preserve">[bəˈfoːɐ̯ ʔɪç naːx ˈdɔøtʃlant ˈtsoːk, ˌhatə ʔɪç ˈniː ˈʃneː ɡəˈzeːən]</t>
  </si>
  <si>
    <t xml:space="preserve">Trước khi sang Đức tôi chưa từng thấy tuyết.</t>
  </si>
  <si>
    <t xml:space="preserve">der Schnee = tuyết</t>
  </si>
  <si>
    <t xml:space="preserve">S0726</t>
  </si>
  <si>
    <t xml:space="preserve">zu Ende sein</t>
  </si>
  <si>
    <t xml:space="preserve">Als wir ankamen, war das Konzert schon zu Ende.</t>
  </si>
  <si>
    <t xml:space="preserve">[ʔals viːɐ̯ ˈʔanˌkaːmən, vaːɐ̯ das kɔnˈtsɛʁt ˌʃoːn tsuː ˈʔɛndə]</t>
  </si>
  <si>
    <t xml:space="preserve">Khi chúng tôi đến thì buổi hòa nhạc đã kết thúc.</t>
  </si>
  <si>
    <t xml:space="preserve">zu Ende = kết thúc</t>
  </si>
  <si>
    <t xml:space="preserve">S0727</t>
  </si>
  <si>
    <t xml:space="preserve">sparen = tiết kiệm</t>
  </si>
  <si>
    <t xml:space="preserve">Er hatte lange gespart, bevor er das Auto kaufte.</t>
  </si>
  <si>
    <t xml:space="preserve">[ʔɛɐ̯ ˌhatə ˈlaŋə ɡəˈʃpaʁt, bəˈfoːɐ̯ ʔɛɐ̯ das ˈʔaʊtoː ˈkaʊftə]</t>
  </si>
  <si>
    <t xml:space="preserve">Anh ấy tiết kiệm lâu rồi mới mua xe.</t>
  </si>
  <si>
    <t xml:space="preserve">S0728</t>
  </si>
  <si>
    <t xml:space="preserve">nachdem + Plusquamperfekt</t>
  </si>
  <si>
    <t xml:space="preserve">Nachdem sie geheiratet hatten, zogen sie aufs Land.</t>
  </si>
  <si>
    <t xml:space="preserve">[naxˈdeːm ziː ɡəhaɪˈʁaːtət ˌhatən, ˈtsoːɡən ziː ʔaʊfs ˈlant]</t>
  </si>
  <si>
    <t xml:space="preserve">Sau khi cưới họ chuyển về quê.</t>
  </si>
  <si>
    <t xml:space="preserve">heiraten = cưới</t>
  </si>
  <si>
    <t xml:space="preserve">S0729</t>
  </si>
  <si>
    <t xml:space="preserve">Plusquamperfekt với sein</t>
  </si>
  <si>
    <t xml:space="preserve">Ich wusste nicht, dass du schon abgereist warst.</t>
  </si>
  <si>
    <t xml:space="preserve">[ʔɪç ˈvʊstə ˈnɪçt, das duː ˌʃoːn ˈʔapɡəˌʁaɪst vaːɐ̯st]</t>
  </si>
  <si>
    <t xml:space="preserve">Tôi không biết là bạn đã lên đường rồi.</t>
  </si>
  <si>
    <t xml:space="preserve">abreisen = lên đường</t>
  </si>
  <si>
    <t xml:space="preserve">S0730</t>
  </si>
  <si>
    <t xml:space="preserve">längst = từ lâu</t>
  </si>
  <si>
    <t xml:space="preserve">Der Dieb war längst verschwunden, als die Polizei kam.</t>
  </si>
  <si>
    <t xml:space="preserve">[dɛɐ̯ ˈdiːp vaːɐ̯ ˈlɛŋst fɛʁˈʃvʊndən, ʔals diː ˌpoːliːˈtsaɪ ˌkaːm]</t>
  </si>
  <si>
    <t xml:space="preserve">Tên trộm đã biến mất từ lâu khi cảnh sát đến.</t>
  </si>
  <si>
    <t xml:space="preserve">der Dieb = tên trộm; verschwinden = biến mất</t>
  </si>
  <si>
    <t xml:space="preserve">S0731</t>
  </si>
  <si>
    <t xml:space="preserve">Plusquamperfekt làm nguyên nhân</t>
  </si>
  <si>
    <t xml:space="preserve">Weil es geregnet hatte, war die Straße nass.</t>
  </si>
  <si>
    <t xml:space="preserve">[ˌvaɪl ʔɛs ɡəˈʁɛɡnət ˌhatə, vaːɐ̯ diː ˈʃtʁaːsə ˈnas]</t>
  </si>
  <si>
    <t xml:space="preserve">Vì đã mưa nên đường ướt.</t>
  </si>
  <si>
    <t xml:space="preserve">nass = ướt</t>
  </si>
  <si>
    <t xml:space="preserve">S0732</t>
  </si>
  <si>
    <t xml:space="preserve">was + Plusquamperfekt</t>
  </si>
  <si>
    <t xml:space="preserve">Sie erzählte, was sie erlebt hatte.</t>
  </si>
  <si>
    <t xml:space="preserve">[ziː ʔɛʁˈtsɛːltə, ˈvas ziː ʔɛʁˈleːpt ˌhatə]</t>
  </si>
  <si>
    <t xml:space="preserve">Cô ấy kể lại những gì đã trải qua.</t>
  </si>
  <si>
    <t xml:space="preserve">erleben = trải qua</t>
  </si>
  <si>
    <t xml:space="preserve">S0733</t>
  </si>
  <si>
    <t xml:space="preserve">kündigen = nghỉ việc</t>
  </si>
  <si>
    <t xml:space="preserve">Nachdem er gekündigt hatte, suchte er sofort etwas Neues.</t>
  </si>
  <si>
    <t xml:space="preserve">[naxˈdeːm ʔɛɐ̯ ɡəˈkyndɪçt ˌhatə, ˈzuːxtə ʔɛɐ̯ zoːˈfɔʁt ˈʔɛtvaːs ˈnɔøəs]</t>
  </si>
  <si>
    <t xml:space="preserve">Sau khi nghỉ việc anh ấy tìm ngay việc mới.</t>
  </si>
  <si>
    <t xml:space="preserve">kündigen = nghỉ việc; sofort = ngay</t>
  </si>
  <si>
    <t xml:space="preserve">S0734</t>
  </si>
  <si>
    <t xml:space="preserve">sich sehen + Plusquamperfekt</t>
  </si>
  <si>
    <t xml:space="preserve">Wir hatten uns jahrelang nicht gesehen.</t>
  </si>
  <si>
    <t xml:space="preserve">[viːɐ̯ ˌhatən ʔʊns ˈjaːʁəˌlaŋ ˈnɪçt ɡəˈzeːən]</t>
  </si>
  <si>
    <t xml:space="preserve">Chúng tôi đã nhiều năm không gặp nhau.</t>
  </si>
  <si>
    <t xml:space="preserve">jahrelang = nhiều năm liền</t>
  </si>
  <si>
    <t xml:space="preserve">S0735</t>
  </si>
  <si>
    <t xml:space="preserve">sich lösen reflexiv</t>
  </si>
  <si>
    <t xml:space="preserve">Das Problem hatte sich von selbst gelöst.</t>
  </si>
  <si>
    <t xml:space="preserve">[das pʁoːˈbleːm ˌhatə zɪç fɔn ˈzɛlpst ɡəˈlœst]</t>
  </si>
  <si>
    <t xml:space="preserve">Vấn đề đã tự giải quyết.</t>
  </si>
  <si>
    <t xml:space="preserve">von selbst = tự nó</t>
  </si>
  <si>
    <t xml:space="preserve">S0736</t>
  </si>
  <si>
    <t xml:space="preserve">Konjunktiv của Plusquamperfekt</t>
  </si>
  <si>
    <t xml:space="preserve">Er behauptete, er hätte nichts gewusst.</t>
  </si>
  <si>
    <t xml:space="preserve">[ʔɛɐ̯ bəˈhaʊptətə, ʔɛɐ̯ ˌhɛtə ˈnɪçts ɡəˈvʊst]</t>
  </si>
  <si>
    <t xml:space="preserve">Anh ta khẳng định mình không biết gì.</t>
  </si>
  <si>
    <t xml:space="preserve">behaupten = khẳng định</t>
  </si>
  <si>
    <t xml:space="preserve">S0737</t>
  </si>
  <si>
    <t xml:space="preserve">nachdem + sein</t>
  </si>
  <si>
    <t xml:space="preserve">Nachdem alle gegangen waren, wurde es still.</t>
  </si>
  <si>
    <t xml:space="preserve">[naxˈdeːm ˈʔalə ɡəˈɡaŋən vaːʁən, ˌvʊʁdə ʔɛs ˈʃtɪl]</t>
  </si>
  <si>
    <t xml:space="preserve">Sau khi mọi người đi thì yên tĩnh hẳn.</t>
  </si>
  <si>
    <t xml:space="preserve">S0738</t>
  </si>
  <si>
    <t xml:space="preserve">hoffen + Plusquamperfekt</t>
  </si>
  <si>
    <t xml:space="preserve">Ich hatte gehofft, dass du anrufst.</t>
  </si>
  <si>
    <t xml:space="preserve">[ʔɪç ˌhatə ɡəˈhɔft, das duː ˈʔanˌʁuːfst]</t>
  </si>
  <si>
    <t xml:space="preserve">Tôi đã hy vọng bạn sẽ gọi.</t>
  </si>
  <si>
    <t xml:space="preserve">S0739</t>
  </si>
  <si>
    <t xml:space="preserve">sein + gewesen</t>
  </si>
  <si>
    <t xml:space="preserve">Die Preise waren vorher deutlich niedriger gewesen.</t>
  </si>
  <si>
    <t xml:space="preserve">[diː ˈpʁaɪzə vaːʁən foːɐ̯ˈheːɐ̯ ˈdɔøtlɪç ˈniːdʁɪɡɐ ɡəˈveːzən]</t>
  </si>
  <si>
    <t xml:space="preserve">Giá trước đó thấp hơn rõ rệt.</t>
  </si>
  <si>
    <t xml:space="preserve">deutlich = rõ rệt; niedrig = thấp</t>
  </si>
  <si>
    <t xml:space="preserve">S0740</t>
  </si>
  <si>
    <t xml:space="preserve">bereits = đã rồi</t>
  </si>
  <si>
    <t xml:space="preserve">Als ich es merkte, war es bereits zu spät.</t>
  </si>
  <si>
    <t xml:space="preserve">[ʔals ʔɪç ʔɛs ˈmɛʁktə, vaːɐ̯ ʔɛs bəˈʁaɪts tsuː ˈʃpɛːt]</t>
  </si>
  <si>
    <t xml:space="preserve">Khi tôi nhận ra thì đã quá muộn.</t>
  </si>
  <si>
    <t xml:space="preserve">merken = nhận ra; bereits = đã</t>
  </si>
  <si>
    <t xml:space="preserve">S0741</t>
  </si>
  <si>
    <t xml:space="preserve">Futur I &amp; phỏng đoán</t>
  </si>
  <si>
    <t xml:space="preserve">werden + Infinitiv cuối câu</t>
  </si>
  <si>
    <t xml:space="preserve">Ich werde nächstes Jahr nach Deutschland ziehen.</t>
  </si>
  <si>
    <t xml:space="preserve">[ʔɪç ˌvɛʁdə ˈnɛçstəs ˈjaːɐ̯ naːx ˈdɔøtʃlant ˈtsiːən]</t>
  </si>
  <si>
    <t xml:space="preserve">Năm tới tôi sẽ chuyển sang Đức.</t>
  </si>
  <si>
    <t xml:space="preserve">werden = sẽ</t>
  </si>
  <si>
    <t xml:space="preserve">S0742</t>
  </si>
  <si>
    <t xml:space="preserve">Futur I diễn tả dự đoán</t>
  </si>
  <si>
    <t xml:space="preserve">Es wird bald regnen.</t>
  </si>
  <si>
    <t xml:space="preserve">[ʔɛs ˌvɪʁt ˈbalt ˈʁɛɡnən]</t>
  </si>
  <si>
    <t xml:space="preserve">Trời sắp mưa.</t>
  </si>
  <si>
    <t xml:space="preserve">bald = sắp</t>
  </si>
  <si>
    <t xml:space="preserve">S0743</t>
  </si>
  <si>
    <t xml:space="preserve">wohl = có lẽ (phỏng đoán)</t>
  </si>
  <si>
    <t xml:space="preserve">Er wird wohl im Stau stehen.</t>
  </si>
  <si>
    <t xml:space="preserve">[ʔɛɐ̯ ˌvɪʁt ˈvoːl ʔɪm ˈʃtaʊ ˈʃteːən]</t>
  </si>
  <si>
    <t xml:space="preserve">Chắc anh ấy đang kẹt xe.</t>
  </si>
  <si>
    <t xml:space="preserve">der Stau = kẹt xe; wohl = chắc là</t>
  </si>
  <si>
    <t xml:space="preserve">S0744</t>
  </si>
  <si>
    <t xml:space="preserve">Futur I nhấn mạnh cam kết</t>
  </si>
  <si>
    <t xml:space="preserve">Wir werden das Projekt rechtzeitig abschließen.</t>
  </si>
  <si>
    <t xml:space="preserve">[viːɐ̯ ˌvɛʁdən das pʁoːˈjɛkt ˈʁɛçtsaɪˌtɪç ˈʔapˌʃliːsən]</t>
  </si>
  <si>
    <t xml:space="preserve">Chúng tôi sẽ hoàn thành dự án đúng hạn.</t>
  </si>
  <si>
    <t xml:space="preserve">abschließen = hoàn tất; rechtzeitig = đúng hạn</t>
  </si>
  <si>
    <t xml:space="preserve">S0745</t>
  </si>
  <si>
    <t xml:space="preserve">Futur I mang sắc thái cảnh báo</t>
  </si>
  <si>
    <t xml:space="preserve">Das wirst du bereuen.</t>
  </si>
  <si>
    <t xml:space="preserve">[das ˌvɪʁst duː bəˈʁɔøən]</t>
  </si>
  <si>
    <t xml:space="preserve">Rồi bạn sẽ hối hận.</t>
  </si>
  <si>
    <t xml:space="preserve">bereuen = hối hận</t>
  </si>
  <si>
    <t xml:space="preserve">S0746</t>
  </si>
  <si>
    <t xml:space="preserve">wahrscheinlich = nhiều khả năng</t>
  </si>
  <si>
    <t xml:space="preserve">Sie wird wahrscheinlich zu spät kommen.</t>
  </si>
  <si>
    <t xml:space="preserve">[ziː ˌvɪʁt vaːɐ̯ˈʃaɪnlɪç tsuː ˈʃpɛːt ˈkɔmən]</t>
  </si>
  <si>
    <t xml:space="preserve">Chắc cô ấy sẽ đến muộn.</t>
  </si>
  <si>
    <t xml:space="preserve">S0747</t>
  </si>
  <si>
    <t xml:space="preserve">Präsens thay Futur khi có trạng ngữ</t>
  </si>
  <si>
    <t xml:space="preserve">Morgen fahre ich nach Hamburg.</t>
  </si>
  <si>
    <t xml:space="preserve">[ˈmɔʁɡən ˈfaːʁə ʔɪç naːx ˈhambʊʁk]</t>
  </si>
  <si>
    <t xml:space="preserve">Mai tôi đi Hamburg.</t>
  </si>
  <si>
    <t xml:space="preserve">fahren = đi</t>
  </si>
  <si>
    <t xml:space="preserve">S0748</t>
  </si>
  <si>
    <t xml:space="preserve">nicht trước Infinitiv</t>
  </si>
  <si>
    <t xml:space="preserve">Ich werde dich nicht enttäuschen.</t>
  </si>
  <si>
    <t xml:space="preserve">[ʔɪç ˌvɛʁdə dɪç ˈnɪçt ʔɛntˈtɔøʃən]</t>
  </si>
  <si>
    <t xml:space="preserve">Tôi sẽ không làm bạn thất vọng.</t>
  </si>
  <si>
    <t xml:space="preserve">enttäuschen = làm thất vọng</t>
  </si>
  <si>
    <t xml:space="preserve">S0749</t>
  </si>
  <si>
    <t xml:space="preserve">Reflexiv + Futur I</t>
  </si>
  <si>
    <t xml:space="preserve">Bis 2030 wird sich vieles verändern.</t>
  </si>
  <si>
    <t xml:space="preserve">[bɪs ˈtsvaɪ ˈtaʊzənt ˈdʁaɪsɪç ˌvɪʁt zɪç ˈfiːləs fɛˈʁɛndɐn]</t>
  </si>
  <si>
    <t xml:space="preserve">Đến năm 2030 nhiều thứ sẽ thay đổi.</t>
  </si>
  <si>
    <t xml:space="preserve">sich verändern = thay đổi</t>
  </si>
  <si>
    <t xml:space="preserve">S0750</t>
  </si>
  <si>
    <t xml:space="preserve">Futur I chỉ phỏng đoán hiện tại</t>
  </si>
  <si>
    <t xml:space="preserve">Er wird jetzt schon zu Hause sein.</t>
  </si>
  <si>
    <t xml:space="preserve">[ʔɛɐ̯ ˌvɪʁt ˌjɛtst ˌʃoːn tsuː ˈhaʊzə zaɪn]</t>
  </si>
  <si>
    <t xml:space="preserve">Giờ chắc anh ấy ở nhà rồi.</t>
  </si>
  <si>
    <t xml:space="preserve">S0751</t>
  </si>
  <si>
    <t xml:space="preserve">W-Frage + Futur I</t>
  </si>
  <si>
    <t xml:space="preserve">Was wirst du nach dem Abschluss machen?</t>
  </si>
  <si>
    <t xml:space="preserve">[ˈvas ˌvɪʁst duː naːx deːm ˈʔapˌʃlʊs ˈmaxən]</t>
  </si>
  <si>
    <t xml:space="preserve">Tốt nghiệp xong bạn sẽ làm gì?</t>
  </si>
  <si>
    <t xml:space="preserve">der Abschluss = bằng tốt nghiệp</t>
  </si>
  <si>
    <t xml:space="preserve">S0752</t>
  </si>
  <si>
    <t xml:space="preserve">voraussichtlich = dự kiến</t>
  </si>
  <si>
    <t xml:space="preserve">Die Lage wird sich voraussichtlich entspannen.</t>
  </si>
  <si>
    <t xml:space="preserve">[diː ˈlaːɡə ˌvɪʁt zɪç foːˈʁaʊsˌzɪçtlɪç ʔɛntˈʃpanən]</t>
  </si>
  <si>
    <t xml:space="preserve">Tình hình dự kiến sẽ dịu đi.</t>
  </si>
  <si>
    <t xml:space="preserve">sich entspannen = dịu đi</t>
  </si>
  <si>
    <t xml:space="preserve">S0753</t>
  </si>
  <si>
    <t xml:space="preserve">sich etwas überlegen + Dativ</t>
  </si>
  <si>
    <t xml:space="preserve">Ich werde es mir überlegen.</t>
  </si>
  <si>
    <t xml:space="preserve">[ʔɪç ˌvɛʁdə ʔɛs miːɐ̯ ˌʔyːbɐˈleːɡən]</t>
  </si>
  <si>
    <t xml:space="preserve">Tôi sẽ cân nhắc.</t>
  </si>
  <si>
    <t xml:space="preserve">sich überlegen = cân nhắc</t>
  </si>
  <si>
    <t xml:space="preserve">S0754</t>
  </si>
  <si>
    <t xml:space="preserve">Futur I + dass</t>
  </si>
  <si>
    <t xml:space="preserve">Du wirst sehen, dass ich recht habe.</t>
  </si>
  <si>
    <t xml:space="preserve">[duː ˌvɪʁst ˈzeːən, das ʔɪç ˈʁɛçt haːbə]</t>
  </si>
  <si>
    <t xml:space="preserve">Rồi bạn sẽ thấy tôi đúng.</t>
  </si>
  <si>
    <t xml:space="preserve">sehen = thấy</t>
  </si>
  <si>
    <t xml:space="preserve">S0755</t>
  </si>
  <si>
    <t xml:space="preserve">stattfinden làm Infinitiv</t>
  </si>
  <si>
    <t xml:space="preserve">Das Treffen wird um zehn Uhr stattfinden.</t>
  </si>
  <si>
    <t xml:space="preserve">[das ˈtʁɛfən ˌvɪʁt ʔʊm ˈtseːn ˈʔuːɐ̯ ˈʃtatfɪndən]</t>
  </si>
  <si>
    <t xml:space="preserve">Cuộc gặp sẽ diễn ra lúc mười giờ.</t>
  </si>
  <si>
    <t xml:space="preserve">stattfinden = diễn ra</t>
  </si>
  <si>
    <t xml:space="preserve">S0756</t>
  </si>
  <si>
    <t xml:space="preserve">Futur II: phỏng đoán về quá khứ</t>
  </si>
  <si>
    <t xml:space="preserve">Er wird vermutlich abgelehnt haben.</t>
  </si>
  <si>
    <t xml:space="preserve">[ʔɛɐ̯ ˌvɪʁt fɛʁˈmuːtlɪç ˈʔapɡəˌleːnt ˈhaːbən]</t>
  </si>
  <si>
    <t xml:space="preserve">Chắc anh ấy đã từ chối rồi.</t>
  </si>
  <si>
    <t xml:space="preserve">vermutlich = có lẽ</t>
  </si>
  <si>
    <t xml:space="preserve">S0757</t>
  </si>
  <si>
    <t xml:space="preserve">bestimmt = chắc chắn</t>
  </si>
  <si>
    <t xml:space="preserve">Wir werden uns bestimmt wiedersehen.</t>
  </si>
  <si>
    <t xml:space="preserve">[viːɐ̯ ˌvɛʁdən ʔʊns bəˈʃtɪmt viːdɐˈzeːən]</t>
  </si>
  <si>
    <t xml:space="preserve">Nhất định chúng ta sẽ gặp lại.</t>
  </si>
  <si>
    <t xml:space="preserve">wiedersehen = gặp lại</t>
  </si>
  <si>
    <t xml:space="preserve">S0758</t>
  </si>
  <si>
    <t xml:space="preserve">in + Dativ chỉ tương lai</t>
  </si>
  <si>
    <t xml:space="preserve">In zehn Jahren werde ich fließend Deutsch sprechen.</t>
  </si>
  <si>
    <t xml:space="preserve">[ʔɪn ˈtseːn ˈjaːʁən ˌvɛʁdə ʔɪç ˈfliːsənt ˈdɔøtʃ ˈʃpʁɛçən]</t>
  </si>
  <si>
    <t xml:space="preserve">Mười năm nữa tôi sẽ nói tiếng Đức trôi chảy.</t>
  </si>
  <si>
    <t xml:space="preserve">fließend = trôi chảy</t>
  </si>
  <si>
    <t xml:space="preserve">S0759</t>
  </si>
  <si>
    <t xml:space="preserve">schaffen = tạo ra</t>
  </si>
  <si>
    <t xml:space="preserve">Die Firma wird neue Stellen schaffen.</t>
  </si>
  <si>
    <t xml:space="preserve">[diː ˈfɪʁmaː ˌvɪʁt ˈnɔøə ˈʃtɛlən ˈʃafən]</t>
  </si>
  <si>
    <t xml:space="preserve">Công ty sẽ tạo thêm việc làm.</t>
  </si>
  <si>
    <t xml:space="preserve">die Stelle = vị trí việc làm</t>
  </si>
  <si>
    <t xml:space="preserve">S0760</t>
  </si>
  <si>
    <t xml:space="preserve">ob = liệu có; sich zeigen</t>
  </si>
  <si>
    <t xml:space="preserve">Ob er kommt, wird sich zeigen.</t>
  </si>
  <si>
    <t xml:space="preserve">[ˌʔɔp ʔɛɐ̯ ˈkɔmt, ˌvɪʁt zɪç ˈtsaɪɡən]</t>
  </si>
  <si>
    <t xml:space="preserve">Anh ấy có đến hay không rồi sẽ rõ.</t>
  </si>
  <si>
    <t xml:space="preserve">ob = liệu; sich zeigen = sẽ lộ ra</t>
  </si>
  <si>
    <t xml:space="preserve">S0761</t>
  </si>
  <si>
    <t xml:space="preserve">Câu bị động thì hiện tại (Passiv)</t>
  </si>
  <si>
    <t xml:space="preserve">werden + Partizip II</t>
  </si>
  <si>
    <t xml:space="preserve">Das Problem wird sofort gelöst.</t>
  </si>
  <si>
    <t xml:space="preserve">[das pʁoːˈbleːm ˌvɪʁt zoːˈfɔʁt ɡəˈlœst]</t>
  </si>
  <si>
    <t xml:space="preserve">Vấn đề được giải quyết ngay.</t>
  </si>
  <si>
    <t xml:space="preserve">S0762</t>
  </si>
  <si>
    <t xml:space="preserve">Bị động không chủ thể</t>
  </si>
  <si>
    <t xml:space="preserve">Hier wird Deutsch gesprochen.</t>
  </si>
  <si>
    <t xml:space="preserve">[ˈhiːɐ̯ ˌvɪʁt ˈdɔøtʃ ɡəˈʃpʁɔxən]</t>
  </si>
  <si>
    <t xml:space="preserve">Ở đây nói tiếng Đức.</t>
  </si>
  <si>
    <t xml:space="preserve">sprechen = nói</t>
  </si>
  <si>
    <t xml:space="preserve">S0763</t>
  </si>
  <si>
    <t xml:space="preserve">per + Nomen</t>
  </si>
  <si>
    <t xml:space="preserve">Die Rechnung wird per E-Mail geschickt.</t>
  </si>
  <si>
    <t xml:space="preserve">[diː ˈʁɛçnʊŋ ˌvɪʁt pɛɐ̯ ˈʔeː(en)ˈmeɪl(de) ɡəˈʃɪkt]</t>
  </si>
  <si>
    <t xml:space="preserve">Hóa đơn được gửi qua email.</t>
  </si>
  <si>
    <t xml:space="preserve">S0764</t>
  </si>
  <si>
    <t xml:space="preserve">unterschreiben không thêm ge-</t>
  </si>
  <si>
    <t xml:space="preserve">Der Vertrag wird morgen unterschrieben.</t>
  </si>
  <si>
    <t xml:space="preserve">[dɛɐ̯ fɛʁˈtʁaːk ˌvɪʁt ˈmɔʁɡən ˌʔʊntɐˈʃʁiːbən]</t>
  </si>
  <si>
    <t xml:space="preserve">Hợp đồng sẽ được ký vào mai.</t>
  </si>
  <si>
    <t xml:space="preserve">unterschreiben = ký</t>
  </si>
  <si>
    <t xml:space="preserve">S0765</t>
  </si>
  <si>
    <t xml:space="preserve">gerade = đang</t>
  </si>
  <si>
    <t xml:space="preserve">Die Straße wird gerade repariert.</t>
  </si>
  <si>
    <t xml:space="preserve">[diː ˈʃtʁaːsə ˌvɪʁt ɡəˈʁaːdə ˌʁeːpaˈʁiːɐ̯t]</t>
  </si>
  <si>
    <t xml:space="preserve">Đường đang được sửa.</t>
  </si>
  <si>
    <t xml:space="preserve">reparieren = sửa</t>
  </si>
  <si>
    <t xml:space="preserve">S0766</t>
  </si>
  <si>
    <t xml:space="preserve">von + Dativ chỉ tác nhân</t>
  </si>
  <si>
    <t xml:space="preserve">Das Paket wird von der Post zugestellt.</t>
  </si>
  <si>
    <t xml:space="preserve">[das paˈkeːt ˌvɪʁt fɔn dɛɐ̯ ˈpɔst ˈtsuːɡɛˌʃtɛlt]</t>
  </si>
  <si>
    <t xml:space="preserve">Bưu kiện do bưu điện giao.</t>
  </si>
  <si>
    <t xml:space="preserve">zustellen = giao hàng</t>
  </si>
  <si>
    <t xml:space="preserve">S0767</t>
  </si>
  <si>
    <t xml:space="preserve">Die Entscheidung wird vom Chef getroffen.</t>
  </si>
  <si>
    <t xml:space="preserve">[diː ʔɛntˈʃaɪdʊŋ ˌvɪʁt fɔm ˈʃɛf ɡəˈtʁɔfən]</t>
  </si>
  <si>
    <t xml:space="preserve">Quyết định do sếp đưa ra.</t>
  </si>
  <si>
    <t xml:space="preserve">eine Entscheidung treffen = ra quyết định</t>
  </si>
  <si>
    <t xml:space="preserve">S0768</t>
  </si>
  <si>
    <t xml:space="preserve">Số nhiều: werden</t>
  </si>
  <si>
    <t xml:space="preserve">Alle Mitarbeiter werden rechtzeitig informiert.</t>
  </si>
  <si>
    <t xml:space="preserve">[ˈʔalə ˈmɪˌtaʁbaɪtɐ ˌvɛʁdən ˈʁɛçtsaɪˌtɪç ˌʔɪnfɔʁˈmiːɐ̯t]</t>
  </si>
  <si>
    <t xml:space="preserve">Toàn bộ nhân viên sẽ được báo đúng lúc.</t>
  </si>
  <si>
    <t xml:space="preserve">informieren = thông báo</t>
  </si>
  <si>
    <t xml:space="preserve">S0769</t>
  </si>
  <si>
    <t xml:space="preserve">Modalverb + Partizip II + werden</t>
  </si>
  <si>
    <t xml:space="preserve">Das Formular muss ausgefüllt werden.</t>
  </si>
  <si>
    <t xml:space="preserve">[das ˌfɔʁmuːˈlaːɐ̯ ˈmʊs ˈʔaʊsɡəˌfylt ˌvɛʁdən]</t>
  </si>
  <si>
    <t xml:space="preserve">Biểu mẫu phải được điền.</t>
  </si>
  <si>
    <t xml:space="preserve">ausfüllen = điền; das Formular = biểu mẫu</t>
  </si>
  <si>
    <t xml:space="preserve">S0770</t>
  </si>
  <si>
    <t xml:space="preserve">dürfen + Passiv</t>
  </si>
  <si>
    <t xml:space="preserve">Hier darf nicht geraucht werden.</t>
  </si>
  <si>
    <t xml:space="preserve">[ˈhiːɐ̯ ˈdaʁf ˈnɪçt ɡəˈʁaʊxt ˌvɛʁdən]</t>
  </si>
  <si>
    <t xml:space="preserve">Ở đây cấm hút thuốc.</t>
  </si>
  <si>
    <t xml:space="preserve">rauchen = hút thuốc</t>
  </si>
  <si>
    <t xml:space="preserve">S0771</t>
  </si>
  <si>
    <t xml:space="preserve">behandeln = xử lý</t>
  </si>
  <si>
    <t xml:space="preserve">Die Daten werden vertraulich behandelt.</t>
  </si>
  <si>
    <t xml:space="preserve">[diː ˈdaːtən ˌvɛʁdən fɛʁˈtʁaʊlɪç bəˈhandəlt]</t>
  </si>
  <si>
    <t xml:space="preserve">Dữ liệu được xử lý bảo mật.</t>
  </si>
  <si>
    <t xml:space="preserve">die Daten = dữ liệu</t>
  </si>
  <si>
    <t xml:space="preserve">S0772</t>
  </si>
  <si>
    <t xml:space="preserve">durch + Akkusativ chỉ nguyên nhân</t>
  </si>
  <si>
    <t xml:space="preserve">Das Gebäude wird durch ein Erdbeben beschädigt.</t>
  </si>
  <si>
    <t xml:space="preserve">[das ɡəˈbɔødə ˌvɪʁt dʊʁç ʔaɪn ʔɛʁdˈbeːbən bəˈʃɛːdɪçt]</t>
  </si>
  <si>
    <t xml:space="preserve">Tòa nhà bị hư hại do động đất.</t>
  </si>
  <si>
    <t xml:space="preserve">das Erdbeben = động đất; beschädigen = làm hỏng</t>
  </si>
  <si>
    <t xml:space="preserve">S0773</t>
  </si>
  <si>
    <t xml:space="preserve">es làm chủ ngữ hình thức</t>
  </si>
  <si>
    <t xml:space="preserve">Es wird viel über das Thema diskutiert.</t>
  </si>
  <si>
    <t xml:space="preserve">[ʔɛs ˌvɪʁt ˈfiːl ˌʔyːbɐ das ˈteːmaː ˌdɪskuːˈtiːɐ̯t]</t>
  </si>
  <si>
    <t xml:space="preserve">Người ta bàn nhiều về chủ đề đó.</t>
  </si>
  <si>
    <t xml:space="preserve">diskutieren über = bàn về</t>
  </si>
  <si>
    <t xml:space="preserve">S0774</t>
  </si>
  <si>
    <t xml:space="preserve">helfen + Dativ giữ Dativ ở bị động</t>
  </si>
  <si>
    <t xml:space="preserve">Mir wird oft geholfen.</t>
  </si>
  <si>
    <t xml:space="preserve">[miːɐ̯ ˌvɪʁt ˈʔɔft ɡəˈhɔlfən]</t>
  </si>
  <si>
    <t xml:space="preserve">Tôi thường được giúp đỡ.</t>
  </si>
  <si>
    <t xml:space="preserve">S0775</t>
  </si>
  <si>
    <t xml:space="preserve">anbieten = cung cấp</t>
  </si>
  <si>
    <t xml:space="preserve">Die Prüfung wird jedes Jahr angeboten.</t>
  </si>
  <si>
    <t xml:space="preserve">[diː ˈpʁyːfʊŋ ˌvɪʁt ˈjeːdəs ˈjaːɐ̯ ˈʔanɡəˌboːtən]</t>
  </si>
  <si>
    <t xml:space="preserve">Kỳ thi được tổ chức hằng năm.</t>
  </si>
  <si>
    <t xml:space="preserve">S0776</t>
  </si>
  <si>
    <t xml:space="preserve">bestätigen = xác nhận</t>
  </si>
  <si>
    <t xml:space="preserve">Der Termin wird noch bestätigt.</t>
  </si>
  <si>
    <t xml:space="preserve">[dɛɐ̯ tɛʁˈmiːn ˌvɪʁt nɔx bəˈʃtɛːtɪçt]</t>
  </si>
  <si>
    <t xml:space="preserve">Lịch hẹn sẽ được xác nhận.</t>
  </si>
  <si>
    <t xml:space="preserve">S0777</t>
  </si>
  <si>
    <t xml:space="preserve">selten = hiếm khi</t>
  </si>
  <si>
    <t xml:space="preserve">Dieses Wort wird selten benutzt.</t>
  </si>
  <si>
    <t xml:space="preserve">[ˌdiːzəs ˈvɔʁt ˌvɪʁt ˈzɛltən bəˈnʊtst]</t>
  </si>
  <si>
    <t xml:space="preserve">Từ này ít được dùng.</t>
  </si>
  <si>
    <t xml:space="preserve">benutzen = sử dụng</t>
  </si>
  <si>
    <t xml:space="preserve">S0778</t>
  </si>
  <si>
    <t xml:space="preserve">übernehmen = gánh</t>
  </si>
  <si>
    <t xml:space="preserve">Die Kosten werden von der Versicherung übernommen.</t>
  </si>
  <si>
    <t xml:space="preserve">[diː ˈkɔstən ˌvɛʁdən fɔn dɛɐ̯ fɛʁˈzɪçəˌʁʊŋ ˌʔyːbɐˈnɔmən]</t>
  </si>
  <si>
    <t xml:space="preserve">Chi phí do bảo hiểm chi trả.</t>
  </si>
  <si>
    <t xml:space="preserve">die Kosten = chi phí; übernehmen = gánh</t>
  </si>
  <si>
    <t xml:space="preserve">S0779</t>
  </si>
  <si>
    <t xml:space="preserve">Passiv + Infinitivsatz</t>
  </si>
  <si>
    <t xml:space="preserve">Es wird empfohlen, früh zu buchen.</t>
  </si>
  <si>
    <t xml:space="preserve">[ʔɛs ˌvɪʁt ʔɛmˈpfoːlən, ˈfʁyː tsuː ˈbuːxən]</t>
  </si>
  <si>
    <t xml:space="preserve">Người ta khuyên nên đặt sớm.</t>
  </si>
  <si>
    <t xml:space="preserve">buchen = đặt chỗ</t>
  </si>
  <si>
    <t xml:space="preserve">S0780</t>
  </si>
  <si>
    <t xml:space="preserve">Passiv trong câu hỏi</t>
  </si>
  <si>
    <t xml:space="preserve">Wann wird das Ergebnis veröffentlicht?</t>
  </si>
  <si>
    <t xml:space="preserve">[ˈvan ˌvɪʁt das ʔɛʁˈɡeːbnɪs fɛˈʁœfəntlɪçt]</t>
  </si>
  <si>
    <t xml:space="preserve">Khi nào kết quả được công bố?</t>
  </si>
  <si>
    <t xml:space="preserve">veröffentlichen = công bố; das Ergebnis = kết quả</t>
  </si>
  <si>
    <t xml:space="preserve">S0781</t>
  </si>
  <si>
    <t xml:space="preserve">Bị động các thì khác &amp; Zustandspassiv</t>
  </si>
  <si>
    <t xml:space="preserve">wurde + Partizip II (Präteritum Passiv)</t>
  </si>
  <si>
    <t xml:space="preserve">Das Haus wurde letztes Jahr gebaut.</t>
  </si>
  <si>
    <t xml:space="preserve">[das ˈhaʊs ˌvʊʁdə ˈlɛtstəs ˈjaːɐ̯ ɡəˈbaʊt]</t>
  </si>
  <si>
    <t xml:space="preserve">Ngôi nhà được xây năm ngoái.</t>
  </si>
  <si>
    <t xml:space="preserve">bauen = xây</t>
  </si>
  <si>
    <t xml:space="preserve">S0782</t>
  </si>
  <si>
    <t xml:space="preserve">sein + Partizip II = trạng thái</t>
  </si>
  <si>
    <t xml:space="preserve">Die Tür ist schon geschlossen.</t>
  </si>
  <si>
    <t xml:space="preserve">[diː ˈtyːɐ̯ ʔɪst ˌʃoːn ɡəˈʃlɔsən]</t>
  </si>
  <si>
    <t xml:space="preserve">Cửa đã đóng rồi.</t>
  </si>
  <si>
    <t xml:space="preserve">schließen = đóng</t>
  </si>
  <si>
    <t xml:space="preserve">S0783</t>
  </si>
  <si>
    <t xml:space="preserve">Perfekt Passiv: ist ... worden</t>
  </si>
  <si>
    <t xml:space="preserve">Der Brief ist bereits abgeschickt worden.</t>
  </si>
  <si>
    <t xml:space="preserve">[dɛɐ̯ ˈbʁiːf ʔɪst bəˈʁaɪts ˈʔapɡəˌʃɪkt ˌvɔʁdən]</t>
  </si>
  <si>
    <t xml:space="preserve">Lá thư đã được gửi đi.</t>
  </si>
  <si>
    <t xml:space="preserve">abschicken = gửi đi</t>
  </si>
  <si>
    <t xml:space="preserve">S0784</t>
  </si>
  <si>
    <t xml:space="preserve">Plusquamperfekt Passiv</t>
  </si>
  <si>
    <t xml:space="preserve">Das Gesetz war schon verabschiedet worden.</t>
  </si>
  <si>
    <t xml:space="preserve">[das ɡəˈzɛts vaːɐ̯ ˌʃoːn fɛˈʁapˌʃiːdət ˌvɔʁdən]</t>
  </si>
  <si>
    <t xml:space="preserve">Đạo luật đã được thông qua.</t>
  </si>
  <si>
    <t xml:space="preserve">das Gesetz = đạo luật; verabschieden = thông qua</t>
  </si>
  <si>
    <t xml:space="preserve">S0785</t>
  </si>
  <si>
    <t xml:space="preserve">Zustandspassiv với seit</t>
  </si>
  <si>
    <t xml:space="preserve">Der Laden ist seit Montag geschlossen.</t>
  </si>
  <si>
    <t xml:space="preserve">[dɛɐ̯ ˈlaːdən ʔɪst zaɪt ˈmoːntaːk ɡəˈʃlɔsən]</t>
  </si>
  <si>
    <t xml:space="preserve">Cửa hàng đóng cửa từ thứ Hai.</t>
  </si>
  <si>
    <t xml:space="preserve">geschlossen = đóng</t>
  </si>
  <si>
    <t xml:space="preserve">S0786</t>
  </si>
  <si>
    <t xml:space="preserve">wurden số nhiều</t>
  </si>
  <si>
    <t xml:space="preserve">Die Fenster wurden gestern geputzt.</t>
  </si>
  <si>
    <t xml:space="preserve">[diː ˈfɛnstɐ ˌvʊʁdən ˈɡɛstɐn ɡəˈpʊtst]</t>
  </si>
  <si>
    <t xml:space="preserve">Cửa sổ được lau hôm qua.</t>
  </si>
  <si>
    <t xml:space="preserve">putzen = lau</t>
  </si>
  <si>
    <t xml:space="preserve">S0787</t>
  </si>
  <si>
    <t xml:space="preserve">Perfekt Passiv số nhiều</t>
  </si>
  <si>
    <t xml:space="preserve">Alle Fragen sind beantwortet worden.</t>
  </si>
  <si>
    <t xml:space="preserve">[ˈʔalə ˈfʁaːɡən zɪnt bəˈʔantvɔʁtət ˌvɔʁdən]</t>
  </si>
  <si>
    <t xml:space="preserve">Mọi câu hỏi đã được trả lời.</t>
  </si>
  <si>
    <t xml:space="preserve">beantworten = trả lời</t>
  </si>
  <si>
    <t xml:space="preserve">S0788</t>
  </si>
  <si>
    <t xml:space="preserve">Modalverb + Passiv Infinitiv</t>
  </si>
  <si>
    <t xml:space="preserve">Das Auto muss noch gewaschen werden.</t>
  </si>
  <si>
    <t xml:space="preserve">[das ˈʔaʊtoː ˈmʊs nɔx ɡəˈvaʃən ˌvɛʁdən]</t>
  </si>
  <si>
    <t xml:space="preserve">Xe còn phải được rửa.</t>
  </si>
  <si>
    <t xml:space="preserve">waschen = rửa</t>
  </si>
  <si>
    <t xml:space="preserve">S0789</t>
  </si>
  <si>
    <t xml:space="preserve">konnte + Passiv Infinitiv</t>
  </si>
  <si>
    <t xml:space="preserve">Die Stelle konnte nicht besetzt werden.</t>
  </si>
  <si>
    <t xml:space="preserve">[diː ˈʃtɛlə ˈkɔntə ˈnɪçt bəˈzɛtst ˌvɛʁdən]</t>
  </si>
  <si>
    <t xml:space="preserve">Vị trí đó đã không tuyển được người.</t>
  </si>
  <si>
    <t xml:space="preserve">besetzen = lấp chỗ</t>
  </si>
  <si>
    <t xml:space="preserve">S0790</t>
  </si>
  <si>
    <t xml:space="preserve">operieren = phẫu thuật</t>
  </si>
  <si>
    <t xml:space="preserve">Der Patient wird gerade operiert.</t>
  </si>
  <si>
    <t xml:space="preserve">[dɛɐ̯ patsˈjɛnt ˌvɪʁt ɡəˈʁaːdə ˌʔoːpeːˈʁiːɐ̯t]</t>
  </si>
  <si>
    <t xml:space="preserve">Bệnh nhân đang được phẫu thuật.</t>
  </si>
  <si>
    <t xml:space="preserve">der Patient = bệnh nhân</t>
  </si>
  <si>
    <t xml:space="preserve">S0791</t>
  </si>
  <si>
    <t xml:space="preserve">missverstehen không thêm ge-</t>
  </si>
  <si>
    <t xml:space="preserve">Dieses Thema ist oft missverstanden worden.</t>
  </si>
  <si>
    <t xml:space="preserve">[ˌdiːzəs ˈteːmaː ʔɪst ˈʔɔft ˈmɪsfɐˌstandən ˌvɔʁdən]</t>
  </si>
  <si>
    <t xml:space="preserve">Chủ đề này thường bị hiểu sai.</t>
  </si>
  <si>
    <t xml:space="preserve">missverstehen = hiểu sai</t>
  </si>
  <si>
    <t xml:space="preserve">S0792</t>
  </si>
  <si>
    <t xml:space="preserve">Zustandspassiv</t>
  </si>
  <si>
    <t xml:space="preserve">Die Regeln sind klar formuliert.</t>
  </si>
  <si>
    <t xml:space="preserve">[diː ˈʁeːɡəln zɪnt ˈklaːɐ̯ ˌfɔʁmuːˈliːɐ̯t]</t>
  </si>
  <si>
    <t xml:space="preserve">Quy định được diễn đạt rõ ràng.</t>
  </si>
  <si>
    <t xml:space="preserve">formulieren = diễn đạt</t>
  </si>
  <si>
    <t xml:space="preserve">S0793</t>
  </si>
  <si>
    <t xml:space="preserve">musste + Passiv</t>
  </si>
  <si>
    <t xml:space="preserve">Das Konzert musste abgesagt werden.</t>
  </si>
  <si>
    <t xml:space="preserve">[das kɔnˈtsɛʁt ˈmʊstə ˈʔapɡəˌzaːkt ˌvɛʁdən]</t>
  </si>
  <si>
    <t xml:space="preserve">Buổi hòa nhạc đã phải bị hủy.</t>
  </si>
  <si>
    <t xml:space="preserve">S0794</t>
  </si>
  <si>
    <t xml:space="preserve">stehlen -&gt; gestohlen</t>
  </si>
  <si>
    <t xml:space="preserve">Mein Fahrrad ist gestohlen worden.</t>
  </si>
  <si>
    <t xml:space="preserve">[maɪn ˈfaːʁaːt ʔɪst ɡəˈʃtoːlən ˌvɔʁdən]</t>
  </si>
  <si>
    <t xml:space="preserve">Xe đạp của tôi bị trộm mất.</t>
  </si>
  <si>
    <t xml:space="preserve">stehlen = trộm</t>
  </si>
  <si>
    <t xml:space="preserve">S0795</t>
  </si>
  <si>
    <t xml:space="preserve">bekannt geben = công bố</t>
  </si>
  <si>
    <t xml:space="preserve">Die Ergebnisse werden morgen bekannt gegeben.</t>
  </si>
  <si>
    <t xml:space="preserve">[diː ʔɛʁˈɡeːbnɪsə ˌvɛʁdən ˈmɔʁɡən bəˈkant ɡəˈɡeːbən]</t>
  </si>
  <si>
    <t xml:space="preserve">Kết quả sẽ được công bố vào mai.</t>
  </si>
  <si>
    <t xml:space="preserve">S0796</t>
  </si>
  <si>
    <t xml:space="preserve">es wurde + beschließen</t>
  </si>
  <si>
    <t xml:space="preserve">Es wurde beschlossen, das Projekt zu stoppen.</t>
  </si>
  <si>
    <t xml:space="preserve">[ʔɛs ˌvʊʁdə bəˈʃlɔsən, das pʁoːˈjɛkt tsuː ˈʃtɔpən]</t>
  </si>
  <si>
    <t xml:space="preserve">Người ta đã quyết định dừng dự án.</t>
  </si>
  <si>
    <t xml:space="preserve">beschließen = quyết định</t>
  </si>
  <si>
    <t xml:space="preserve">S0797</t>
  </si>
  <si>
    <t xml:space="preserve">Die Wohnung ist bereits vermietet.</t>
  </si>
  <si>
    <t xml:space="preserve">[diː ˈvoːnʊŋ ʔɪst bəˈʁaɪts fɛʁˈmiːtət]</t>
  </si>
  <si>
    <t xml:space="preserve">Căn hộ đã cho thuê rồi.</t>
  </si>
  <si>
    <t xml:space="preserve">vermieten = cho thuê</t>
  </si>
  <si>
    <t xml:space="preserve">S0798</t>
  </si>
  <si>
    <t xml:space="preserve">prüfen = xét duyệt</t>
  </si>
  <si>
    <t xml:space="preserve">Der Antrag wird noch geprüft.</t>
  </si>
  <si>
    <t xml:space="preserve">[dɛɐ̯ ˈʔanˌtʁaːk ˌvɪʁt nɔx ɡəˈpʁyːft]</t>
  </si>
  <si>
    <t xml:space="preserve">Đơn còn đang được xét.</t>
  </si>
  <si>
    <t xml:space="preserve">der Antrag = đơn; prüfen = xét</t>
  </si>
  <si>
    <t xml:space="preserve">S0799</t>
  </si>
  <si>
    <t xml:space="preserve">wurde + sofort</t>
  </si>
  <si>
    <t xml:space="preserve">Nach dem Unfall wurde er sofort behandelt.</t>
  </si>
  <si>
    <t xml:space="preserve">[naːx deːm ˈʔʊnˌfal ˌvʊʁdə ʔɛɐ̯ zoːˈfɔʁt bəˈhandəlt]</t>
  </si>
  <si>
    <t xml:space="preserve">Sau tai nạn anh ấy được chữa trị ngay.</t>
  </si>
  <si>
    <t xml:space="preserve">der Unfall = tai nạn; behandeln = chữa trị</t>
  </si>
  <si>
    <t xml:space="preserve">S0800</t>
  </si>
  <si>
    <t xml:space="preserve">noch nicht + Perfekt Passiv</t>
  </si>
  <si>
    <t xml:space="preserve">Die Software ist noch nicht installiert worden.</t>
  </si>
  <si>
    <t xml:space="preserve">[diː (en)ˈsɒftweə(de) ʔɪst ˈnɔx ˈnɪçt ˌʔɪnstaˈliːɐ̯t ˌvɔʁdən]</t>
  </si>
  <si>
    <t xml:space="preserve">Phần mềm vẫn chưa được cài.</t>
  </si>
  <si>
    <t xml:space="preserve">installieren = cài đặt</t>
  </si>
  <si>
    <t xml:space="preserve">S0801</t>
  </si>
  <si>
    <t xml:space="preserve">Konjunktiv II: điều ước &amp; giả định</t>
  </si>
  <si>
    <t xml:space="preserve">wenn + hätte / würde + Infinitiv</t>
  </si>
  <si>
    <t xml:space="preserve">Wenn ich mehr Zeit hätte, würde ich reisen.</t>
  </si>
  <si>
    <t xml:space="preserve">[ˌvɛn ʔɪç ˈmeːɐ̯ ˈtsaɪt ˌhɛtə, ˈvyʁdə ʔɪç ˈʁaɪzən]</t>
  </si>
  <si>
    <t xml:space="preserve">Nếu có nhiều thời gian hơn tôi sẽ đi du lịch.</t>
  </si>
  <si>
    <t xml:space="preserve">hätte = sẽ có; würde = sẽ</t>
  </si>
  <si>
    <t xml:space="preserve">S0802</t>
  </si>
  <si>
    <t xml:space="preserve">wäre + Partizip II = giả định quá khứ</t>
  </si>
  <si>
    <t xml:space="preserve">Ich wäre gern Arzt geworden.</t>
  </si>
  <si>
    <t xml:space="preserve">[ʔɪç ˈvɛːʁə ˈɡɛʁn ˈʔaʁtst ɡəˌvɔʁdən]</t>
  </si>
  <si>
    <t xml:space="preserve">Tôi đã muốn trở thành bác sĩ.</t>
  </si>
  <si>
    <t xml:space="preserve">wäre = sẽ là</t>
  </si>
  <si>
    <t xml:space="preserve">S0803</t>
  </si>
  <si>
    <t xml:space="preserve">an deiner Stelle = nếu ở vị trí bạn</t>
  </si>
  <si>
    <t xml:space="preserve">An deiner Stelle würde ich ablehnen.</t>
  </si>
  <si>
    <t xml:space="preserve">[ʔan ˌdaɪnɐ ˈʃtɛlə ˈvyʁdə ʔɪç ˈʔaˌpleːnən]</t>
  </si>
  <si>
    <t xml:space="preserve">Nếu là bạn tôi sẽ từ chối.</t>
  </si>
  <si>
    <t xml:space="preserve">die Stelle = vị trí; ablehnen = từ chối</t>
  </si>
  <si>
    <t xml:space="preserve">S0804</t>
  </si>
  <si>
    <t xml:space="preserve">Bỏ wenn, động từ đứng đầu</t>
  </si>
  <si>
    <t xml:space="preserve">Hätte ich das gewusst, wäre ich nicht gekommen.</t>
  </si>
  <si>
    <t xml:space="preserve">[ˌhɛtə ʔɪç das ɡəˈvʊst, ˈvɛːʁə ʔɪç ˈnɪçt ɡəˈkɔmən]</t>
  </si>
  <si>
    <t xml:space="preserve">Biết vậy thì tôi đã không đến.</t>
  </si>
  <si>
    <t xml:space="preserve">gewusst = đã biết</t>
  </si>
  <si>
    <t xml:space="preserve">S0805</t>
  </si>
  <si>
    <t xml:space="preserve">Es wäre besser, wenn...</t>
  </si>
  <si>
    <t xml:space="preserve">Es wäre besser, wenn du dich entschuldigst.</t>
  </si>
  <si>
    <t xml:space="preserve">[ʔɛs ˈvɛːʁə ˈbɛsɐ, ˌvɛn duː dɪç ʔɛntˈʃʊldɪçst]</t>
  </si>
  <si>
    <t xml:space="preserve">Sẽ tốt hơn nếu bạn xin lỗi.</t>
  </si>
  <si>
    <t xml:space="preserve">sich entschuldigen = xin lỗi</t>
  </si>
  <si>
    <t xml:space="preserve">S0806</t>
  </si>
  <si>
    <t xml:space="preserve">ich wünschte + Konjunktiv II</t>
  </si>
  <si>
    <t xml:space="preserve">Ich wünschte, ich könnte fliegen.</t>
  </si>
  <si>
    <t xml:space="preserve">[ʔɪç ˈvynʃtə, ʔɪç ˈkœntə ˈfliːɡən]</t>
  </si>
  <si>
    <t xml:space="preserve">Ước gì tôi bay được.</t>
  </si>
  <si>
    <t xml:space="preserve">wünschen = ước; fliegen = bay</t>
  </si>
  <si>
    <t xml:space="preserve">S0807</t>
  </si>
  <si>
    <t xml:space="preserve">wenn + wäre</t>
  </si>
  <si>
    <t xml:space="preserve">Wenn es nicht so teuer wäre, würde ich es kaufen.</t>
  </si>
  <si>
    <t xml:space="preserve">[ˌvɛn ʔɛs ˈnɪçt zoː ˈtɔøɐ ˈvɛːʁə, ˈvyʁdə ʔɪç ʔɛs ˈkaʊfən]</t>
  </si>
  <si>
    <t xml:space="preserve">Nếu không đắt thế tôi đã mua.</t>
  </si>
  <si>
    <t xml:space="preserve">S0808</t>
  </si>
  <si>
    <t xml:space="preserve">fast + Konjunktiv II quá khứ</t>
  </si>
  <si>
    <t xml:space="preserve">Fast hätte ich den Zug verpasst.</t>
  </si>
  <si>
    <t xml:space="preserve">[ˈfast ˌhɛtə ʔɪç deːn ˈtsuːk fɛʁˈpast]</t>
  </si>
  <si>
    <t xml:space="preserve">Suýt nữa tôi lỡ tàu.</t>
  </si>
  <si>
    <t xml:space="preserve">fast = suýt; verpassen = lỡ</t>
  </si>
  <si>
    <t xml:space="preserve">S0809</t>
  </si>
  <si>
    <t xml:space="preserve">ohne + Akkusativ + Konjunktiv II</t>
  </si>
  <si>
    <t xml:space="preserve">Ohne deine Hilfe hätte ich es nicht geschafft.</t>
  </si>
  <si>
    <t xml:space="preserve">[ˈʔoːnə ˌdaɪnə ˈhɪlfə ˌhɛtə ʔɪç ʔɛs ˈnɪçt ɡəˈʃaft]</t>
  </si>
  <si>
    <t xml:space="preserve">Không có bạn giúp thì tôi đã không làm nổi.</t>
  </si>
  <si>
    <t xml:space="preserve">S0810</t>
  </si>
  <si>
    <t xml:space="preserve">als ob + Konjunktiv II</t>
  </si>
  <si>
    <t xml:space="preserve">Er tut so, als ob er alles wüsste.</t>
  </si>
  <si>
    <t xml:space="preserve">[ʔɛɐ̯ ˈtuːt ˈzoː, ʔals ˌʔɔp ʔɛɐ̯ ˈʔaləs ˈvystə]</t>
  </si>
  <si>
    <t xml:space="preserve">Anh ta làm như thể biết tất.</t>
  </si>
  <si>
    <t xml:space="preserve">als ob = như thể</t>
  </si>
  <si>
    <t xml:space="preserve">S0811</t>
  </si>
  <si>
    <t xml:space="preserve">Mẫu câu khuyên bảo</t>
  </si>
  <si>
    <t xml:space="preserve">Wenn ich du wäre, würde ich kündigen.</t>
  </si>
  <si>
    <t xml:space="preserve">[ˌvɛn ʔɪç duː ˈvɛːʁə, ˈvyʁdə ʔɪç ˈkyndɪɡən]</t>
  </si>
  <si>
    <t xml:space="preserve">Nếu tôi là bạn tôi sẽ nghỉ việc.</t>
  </si>
  <si>
    <t xml:space="preserve">S0812</t>
  </si>
  <si>
    <t xml:space="preserve">hätte + Partizip II</t>
  </si>
  <si>
    <t xml:space="preserve">Das hätte ich nie gedacht.</t>
  </si>
  <si>
    <t xml:space="preserve">[das ˌhɛtə ʔɪç ˈniː ɡəˈdaxt]</t>
  </si>
  <si>
    <t xml:space="preserve">Tôi chưa bao giờ nghĩ vậy.</t>
  </si>
  <si>
    <t xml:space="preserve">denken = nghĩ</t>
  </si>
  <si>
    <t xml:space="preserve">S0813</t>
  </si>
  <si>
    <t xml:space="preserve">beinahe = suýt</t>
  </si>
  <si>
    <t xml:space="preserve">Beinahe wäre ein Unfall passiert.</t>
  </si>
  <si>
    <t xml:space="preserve">[ˈbaɪnaːə ˈvɛːʁə ʔaɪn ˈʔʊnˌfal paˈsiːɐ̯t]</t>
  </si>
  <si>
    <t xml:space="preserve">Suýt nữa thì có tai nạn.</t>
  </si>
  <si>
    <t xml:space="preserve">beinahe = suýt; der Unfall = tai nạn</t>
  </si>
  <si>
    <t xml:space="preserve">S0814</t>
  </si>
  <si>
    <t xml:space="preserve">Konjunktiv II quá khứ cả hai vế</t>
  </si>
  <si>
    <t xml:space="preserve">Wenn du früher gekommen wärst, hättest du ihn getroffen.</t>
  </si>
  <si>
    <t xml:space="preserve">[ˌvɛn duː ˈfʁyːɐ ɡəˈkɔmən ˈvɛːɐ̯st, ˌhɛtəst duː ʔiːn ɡəˈtʁɔfən]</t>
  </si>
  <si>
    <t xml:space="preserve">Nếu bạn đến sớm hơn thì đã gặp được anh ấy.</t>
  </si>
  <si>
    <t xml:space="preserve">S0815</t>
  </si>
  <si>
    <t xml:space="preserve">anders = khác</t>
  </si>
  <si>
    <t xml:space="preserve">Ich an seiner Stelle hätte anders reagiert.</t>
  </si>
  <si>
    <t xml:space="preserve">[ʔɪç ʔan ˌzaɪnɐ ˈʃtɛlə ˌhɛtə ˈʔandɐs ˌʁeːaˈɡiːɐ̯t]</t>
  </si>
  <si>
    <t xml:space="preserve">Nếu là anh ấy tôi đã phản ứng khác.</t>
  </si>
  <si>
    <t xml:space="preserve">reagieren = phản ứng</t>
  </si>
  <si>
    <t xml:space="preserve">S0816</t>
  </si>
  <si>
    <t xml:space="preserve">aussehen -&gt; sähe aus</t>
  </si>
  <si>
    <t xml:space="preserve">Es sähe besser aus, wenn du lächeln würdest.</t>
  </si>
  <si>
    <t xml:space="preserve">[ʔɛs ˈzɛːə ˈbɛsɐ ˈʔaʊs, ˌvɛn duː ˈlɛçəln ˈvyʁdəst]</t>
  </si>
  <si>
    <t xml:space="preserve">Trông sẽ đẹp hơn nếu bạn mỉm cười.</t>
  </si>
  <si>
    <t xml:space="preserve">aussehen = trông</t>
  </si>
  <si>
    <t xml:space="preserve">S0817</t>
  </si>
  <si>
    <t xml:space="preserve">Ohne das Internet wäre mein Leben anders.</t>
  </si>
  <si>
    <t xml:space="preserve">[ˈʔoːnə das ˈʔɪntɐˌnɛt ˈvɛːʁə maɪn ˈleːbən ˈʔandɐs]</t>
  </si>
  <si>
    <t xml:space="preserve">Không có Internet thì đời tôi đã khác.</t>
  </si>
  <si>
    <t xml:space="preserve">das Leben = cuộc sống</t>
  </si>
  <si>
    <t xml:space="preserve">S0818</t>
  </si>
  <si>
    <t xml:space="preserve">sich erkennen reflexiv</t>
  </si>
  <si>
    <t xml:space="preserve">Wir hätten uns fast nicht erkannt.</t>
  </si>
  <si>
    <t xml:space="preserve">[viːɐ̯ ˌhɛtən ʔʊns ˈfast ˈnɪçt ʔɛʁˈkant]</t>
  </si>
  <si>
    <t xml:space="preserve">Suýt nữa chúng tôi không nhận ra nhau.</t>
  </si>
  <si>
    <t xml:space="preserve">erkennen = nhận ra</t>
  </si>
  <si>
    <t xml:space="preserve">S0819</t>
  </si>
  <si>
    <t xml:space="preserve">würde + Infinitiv cho động từ thường</t>
  </si>
  <si>
    <t xml:space="preserve">Wenn das stimmen würde, wäre es ein Skandal.</t>
  </si>
  <si>
    <t xml:space="preserve">[ˌvɛn das ˈʃtɪmən ˈvyʁdə, ˈvɛːʁə ʔɛs ʔaɪn ˈskandaːl]</t>
  </si>
  <si>
    <t xml:space="preserve">Nếu đúng thế thì đó là một vụ bê bối.</t>
  </si>
  <si>
    <t xml:space="preserve">der Skandal = vụ bê bối</t>
  </si>
  <si>
    <t xml:space="preserve">S0820</t>
  </si>
  <si>
    <t xml:space="preserve">hätte + Infinitiv + sollen (hối tiếc)</t>
  </si>
  <si>
    <t xml:space="preserve">Ich hätte lieber zu Hause bleiben sollen.</t>
  </si>
  <si>
    <t xml:space="preserve">[ʔɪç ˌhɛtə ˈliːbɐ tsuː ˈhaʊzə ˈblaɪbən ˌzɔlən]</t>
  </si>
  <si>
    <t xml:space="preserve">Lẽ ra tôi nên ở nhà.</t>
  </si>
  <si>
    <t xml:space="preserve">S0821</t>
  </si>
  <si>
    <t xml:space="preserve">Konjunktiv II: lịch sự &amp; lời khuyên</t>
  </si>
  <si>
    <t xml:space="preserve">könnten lịch sự hơn können</t>
  </si>
  <si>
    <t xml:space="preserve">Könnten Sie mir bitte helfen?</t>
  </si>
  <si>
    <t xml:space="preserve">[ˈkœntən ziː miːɐ̯ ˈbɪtə ˈhɛlfən]</t>
  </si>
  <si>
    <t xml:space="preserve">Ông/bà giúp tôi được không ạ?</t>
  </si>
  <si>
    <t xml:space="preserve">könnten = có thể (lịch sự)</t>
  </si>
  <si>
    <t xml:space="preserve">S0822</t>
  </si>
  <si>
    <t xml:space="preserve">hätte gern = muốn (lịch sự)</t>
  </si>
  <si>
    <t xml:space="preserve">Ich hätte gern einen Termin am Montag.</t>
  </si>
  <si>
    <t xml:space="preserve">[ʔɪç ˌhɛtə ˈɡɛʁn ˌʔaɪnən tɛʁˈmiːn ʔam ˈmoːntaːk]</t>
  </si>
  <si>
    <t xml:space="preserve">Tôi muốn hẹn vào thứ Hai.</t>
  </si>
  <si>
    <t xml:space="preserve">S0823</t>
  </si>
  <si>
    <t xml:space="preserve">würden + Infinitiv</t>
  </si>
  <si>
    <t xml:space="preserve">Würden Sie bitte kurz warten?</t>
  </si>
  <si>
    <t xml:space="preserve">[ˈvyʁdən ziː ˈbɪtə ˈkʊʁts ˈvaʁtən]</t>
  </si>
  <si>
    <t xml:space="preserve">Ông/bà đợi một chút được không ạ?</t>
  </si>
  <si>
    <t xml:space="preserve">warten = chờ</t>
  </si>
  <si>
    <t xml:space="preserve">S0824</t>
  </si>
  <si>
    <t xml:space="preserve">solltest = lời khuyên</t>
  </si>
  <si>
    <t xml:space="preserve">Du solltest mehr schlafen.</t>
  </si>
  <si>
    <t xml:space="preserve">[duː ˈzɔltəst ˈmeːɐ̯ ˈʃlaːfən]</t>
  </si>
  <si>
    <t xml:space="preserve">Bạn nên ngủ nhiều hơn.</t>
  </si>
  <si>
    <t xml:space="preserve">sollten = nên</t>
  </si>
  <si>
    <t xml:space="preserve">S0825</t>
  </si>
  <si>
    <t xml:space="preserve">dürfte = rất lịch sự</t>
  </si>
  <si>
    <t xml:space="preserve">Dürfte ich Sie etwas fragen?</t>
  </si>
  <si>
    <t xml:space="preserve">[ˈdyʁftə ʔɪç ziː ˈʔɛtvaːs ˈfʁaːɡən]</t>
  </si>
  <si>
    <t xml:space="preserve">Tôi hỏi ông/bà một chút được không ạ?</t>
  </si>
  <si>
    <t xml:space="preserve">dürfte = được phép (lịch sự)</t>
  </si>
  <si>
    <t xml:space="preserve">S0826</t>
  </si>
  <si>
    <t xml:space="preserve">Wäre es möglich + zu-Infinitiv</t>
  </si>
  <si>
    <t xml:space="preserve">Wäre es möglich, den Termin zu verschieben?</t>
  </si>
  <si>
    <t xml:space="preserve">[ˈvɛːʁə ʔɛs ˈmøːklɪç, deːn tɛʁˈmiːn tsuː fɛʁˈʃiːbən]</t>
  </si>
  <si>
    <t xml:space="preserve">Có thể dời lịch hẹn không ạ?</t>
  </si>
  <si>
    <t xml:space="preserve">möglich = khả thi; verschieben = dời</t>
  </si>
  <si>
    <t xml:space="preserve">S0827</t>
  </si>
  <si>
    <t xml:space="preserve">würde + empfehlen + zu-Infinitiv</t>
  </si>
  <si>
    <t xml:space="preserve">Ich würde Ihnen empfehlen, früher zu buchen.</t>
  </si>
  <si>
    <t xml:space="preserve">[ʔɪç ˈvyʁdə ˌʔiːnən ʔɛmˈpfeːlən, ˈfʁyːɐ tsuː ˈbuːxən]</t>
  </si>
  <si>
    <t xml:space="preserve">Tôi khuyên ông/bà nên đặt sớm.</t>
  </si>
  <si>
    <t xml:space="preserve">empfehlen = khuyên</t>
  </si>
  <si>
    <t xml:space="preserve">S0828</t>
  </si>
  <si>
    <t xml:space="preserve">An Ihrer Stelle</t>
  </si>
  <si>
    <t xml:space="preserve">An Ihrer Stelle würde ich noch überlegen.</t>
  </si>
  <si>
    <t xml:space="preserve">[ʔan ˌʔiːʁɐ ˈʃtɛlə ˈvyʁdə ʔɪç nɔx ˌʔyːbɐˈleːɡən]</t>
  </si>
  <si>
    <t xml:space="preserve">Nếu là ông/bà tôi sẽ cân nhắc thêm.</t>
  </si>
  <si>
    <t xml:space="preserve">überlegen = cân nhắc</t>
  </si>
  <si>
    <t xml:space="preserve">S0829</t>
  </si>
  <si>
    <t xml:space="preserve">Konjunktiv II hai tầng</t>
  </si>
  <si>
    <t xml:space="preserve">Es wäre nett, wenn Sie mir Bescheid geben könnten.</t>
  </si>
  <si>
    <t xml:space="preserve">[ʔɛs ˈvɛːʁə ˈnɛt, ˌvɛn ziː miːɐ̯ bəˈʃaɪt ˈɡeːbən ˈkœntən]</t>
  </si>
  <si>
    <t xml:space="preserve">Sẽ rất tốt nếu ông/bà báo cho tôi.</t>
  </si>
  <si>
    <t xml:space="preserve">Bescheid geben = báo tin</t>
  </si>
  <si>
    <t xml:space="preserve">S0830</t>
  </si>
  <si>
    <t xml:space="preserve">Hätten Sie + Nomen</t>
  </si>
  <si>
    <t xml:space="preserve">Hätten Sie vielleicht fünf Minuten Zeit?</t>
  </si>
  <si>
    <t xml:space="preserve">[ˌhɛtən ziː fɪˈlaɪçt ˈfynf miːˈnuːtən ˈtsaɪt]</t>
  </si>
  <si>
    <t xml:space="preserve">Ông/bà có rảnh năm phút không ạ?</t>
  </si>
  <si>
    <t xml:space="preserve">vielleicht = có lẽ</t>
  </si>
  <si>
    <t xml:space="preserve">S0831</t>
  </si>
  <si>
    <t xml:space="preserve">müsste = mềm hơn muss</t>
  </si>
  <si>
    <t xml:space="preserve">Ich müsste das erst mit meinem Chef klären.</t>
  </si>
  <si>
    <t xml:space="preserve">[ʔɪç ˈmystə das ˈʔeːɐ̯st mɪt ˌmaɪnəm ˈʃɛf ˈklɛːʁən]</t>
  </si>
  <si>
    <t xml:space="preserve">Tôi phải làm rõ chuyện này với sếp đã.</t>
  </si>
  <si>
    <t xml:space="preserve">klären = làm rõ</t>
  </si>
  <si>
    <t xml:space="preserve">S0832</t>
  </si>
  <si>
    <t xml:space="preserve">könnte + bekommen</t>
  </si>
  <si>
    <t xml:space="preserve">Könnte ich bitte die Rechnung bekommen?</t>
  </si>
  <si>
    <t xml:space="preserve">[ˈkœntə ʔɪç ˈbɪtə diː ˈʁɛçnʊŋ bəˈkɔmən]</t>
  </si>
  <si>
    <t xml:space="preserve">Cho tôi xin hóa đơn được không ạ?</t>
  </si>
  <si>
    <t xml:space="preserve">S0833</t>
  </si>
  <si>
    <t xml:space="preserve">Du solltest dir das noch einmal überlegen.</t>
  </si>
  <si>
    <t xml:space="preserve">[duː ˈzɔltəst diːɐ̯ das nɔx ˈʔaɪnˌmaːl ˌʔyːbɐˈleːɡən]</t>
  </si>
  <si>
    <t xml:space="preserve">Bạn nên cân nhắc lại chuyện đó.</t>
  </si>
  <si>
    <t xml:space="preserve">noch einmal = lần nữa</t>
  </si>
  <si>
    <t xml:space="preserve">S0834</t>
  </si>
  <si>
    <t xml:space="preserve">sich freuen über + Akkusativ</t>
  </si>
  <si>
    <t xml:space="preserve">Wir würden uns über eine Rückmeldung freuen.</t>
  </si>
  <si>
    <t xml:space="preserve">[viːɐ̯ ˈvyʁdən ʔʊns ˌʔyːbɐ ˌʔaɪnə ˈʁykˌmɛldʊŋ ˈfʁɔøən]</t>
  </si>
  <si>
    <t xml:space="preserve">Chúng tôi rất mong nhận được phản hồi.</t>
  </si>
  <si>
    <t xml:space="preserve">die Rückmeldung = phản hồi</t>
  </si>
  <si>
    <t xml:space="preserve">S0835</t>
  </si>
  <si>
    <t xml:space="preserve">schade = đáng tiếc</t>
  </si>
  <si>
    <t xml:space="preserve">Es wäre schade, wenn du nicht kommen würdest.</t>
  </si>
  <si>
    <t xml:space="preserve">[ʔɛs ˈvɛːʁə ˈʃaːdə, ˌvɛn duː ˈnɪçt ˈkɔmən ˈvyʁdəst]</t>
  </si>
  <si>
    <t xml:space="preserve">Sẽ tiếc lắm nếu bạn không đến.</t>
  </si>
  <si>
    <t xml:space="preserve">schade = tiếc</t>
  </si>
  <si>
    <t xml:space="preserve">S0836</t>
  </si>
  <si>
    <t xml:space="preserve">ich würde sagen = cách nói mềm</t>
  </si>
  <si>
    <t xml:space="preserve">Ich würde sagen, wir machen eine Pause.</t>
  </si>
  <si>
    <t xml:space="preserve">[ʔɪç ˈvyʁdə ˈzaːɡən, viːɐ̯ ˈmaxən ˌʔaɪnə ˈpaʊzə]</t>
  </si>
  <si>
    <t xml:space="preserve">Tôi nghĩ là chúng ta nghỉ một lát.</t>
  </si>
  <si>
    <t xml:space="preserve">die Pause = giờ nghỉ</t>
  </si>
  <si>
    <t xml:space="preserve">S0837</t>
  </si>
  <si>
    <t xml:space="preserve">unbedingt nhấn mạnh</t>
  </si>
  <si>
    <t xml:space="preserve">Sie sollten unbedingt zum Arzt gehen.</t>
  </si>
  <si>
    <t xml:space="preserve">[ziː ˌzɔltən ˈʔʊnbəˌdɪŋt tsʊm ˈʔaʁtst ˈɡeːən]</t>
  </si>
  <si>
    <t xml:space="preserve">Ông/bà nhất định nên đi khám.</t>
  </si>
  <si>
    <t xml:space="preserve">unbedingt = nhất thiết</t>
  </si>
  <si>
    <t xml:space="preserve">S0838</t>
  </si>
  <si>
    <t xml:space="preserve">bitten um + Akkusativ</t>
  </si>
  <si>
    <t xml:space="preserve">Dürfte ich Sie um einen Gefallen bitten?</t>
  </si>
  <si>
    <t xml:space="preserve">[ˈdyʁftə ʔɪç ziː ʔʊm ˌʔaɪnən ɡəˈfalən ˈbɪtən]</t>
  </si>
  <si>
    <t xml:space="preserve">Tôi nhờ ông/bà một việc được không?</t>
  </si>
  <si>
    <t xml:space="preserve">der Gefallen = sự giúp đỡ</t>
  </si>
  <si>
    <t xml:space="preserve">S0839</t>
  </si>
  <si>
    <t xml:space="preserve">hilfreich = hữu ích</t>
  </si>
  <si>
    <t xml:space="preserve">Es wäre hilfreich, wenn Sie die Unterlagen schicken.</t>
  </si>
  <si>
    <t xml:space="preserve">[ʔɛs ˈvɛːʁə ˈhɪlˌfʁaɪç, ˌvɛn ziː diː ˌʔʊntɐˈlaːɡən ˈʃɪkən]</t>
  </si>
  <si>
    <t xml:space="preserve">Sẽ hữu ích nếu ông/bà gửi hồ sơ.</t>
  </si>
  <si>
    <t xml:space="preserve">die Unterlagen = hồ sơ</t>
  </si>
  <si>
    <t xml:space="preserve">S0840</t>
  </si>
  <si>
    <t xml:space="preserve">könnten + anders</t>
  </si>
  <si>
    <t xml:space="preserve">Könnten wir das vielleicht anders lösen?</t>
  </si>
  <si>
    <t xml:space="preserve">[ˈkœntən viːɐ̯ das fɪˈlaɪçt ˈʔandɐs ˈløːzən]</t>
  </si>
  <si>
    <t xml:space="preserve">Hay là mình giải quyết cách khác?</t>
  </si>
  <si>
    <t xml:space="preserve">S0841</t>
  </si>
  <si>
    <t xml:space="preserve">Biến cách tính từ (Adjektivdeklination)</t>
  </si>
  <si>
    <t xml:space="preserve">eine + Adjektiv -e (Akkusativ cái)</t>
  </si>
  <si>
    <t xml:space="preserve">Ich suche eine ruhige Wohnung.</t>
  </si>
  <si>
    <t xml:space="preserve">[ʔɪç ˈzuːxə ˌʔaɪnə ˈʁuːɪɡə ˈvoːnʊŋ]</t>
  </si>
  <si>
    <t xml:space="preserve">Tôi tìm một căn hộ yên tĩnh.</t>
  </si>
  <si>
    <t xml:space="preserve">ruhig = yên tĩnh</t>
  </si>
  <si>
    <t xml:space="preserve">S0842</t>
  </si>
  <si>
    <t xml:space="preserve">der + Adjektiv -e (Nominativ đực)</t>
  </si>
  <si>
    <t xml:space="preserve">Der neue Kollege ist sehr kompetent.</t>
  </si>
  <si>
    <t xml:space="preserve">[dɛɐ̯ ˈnɔøə kɔˈleːɡə ʔɪst ˈzeːɐ̯ kɔmpeːˈtɛnt]</t>
  </si>
  <si>
    <t xml:space="preserve">Đồng nghiệp mới rất giỏi.</t>
  </si>
  <si>
    <t xml:space="preserve">kompetent = có năng lực</t>
  </si>
  <si>
    <t xml:space="preserve">S0843</t>
  </si>
  <si>
    <t xml:space="preserve">einen + Adjektiv -en</t>
  </si>
  <si>
    <t xml:space="preserve">Wir haben einen guten Eindruck bekommen.</t>
  </si>
  <si>
    <t xml:space="preserve">[viːɐ̯ ˌhaːbən ˌʔaɪnən ˈɡuːtən ˈʔaɪnˌdʁʊk bəˈkɔmən]</t>
  </si>
  <si>
    <t xml:space="preserve">Chúng tôi có ấn tượng tốt.</t>
  </si>
  <si>
    <t xml:space="preserve">der Eindruck = ấn tượng</t>
  </si>
  <si>
    <t xml:space="preserve">S0844</t>
  </si>
  <si>
    <t xml:space="preserve">einem + Adjektiv -en (Dativ)</t>
  </si>
  <si>
    <t xml:space="preserve">In einem kleinen Dorf gibt es wenig Arbeit.</t>
  </si>
  <si>
    <t xml:space="preserve">[ʔɪn ˌʔaɪnəm ˈklaɪnən ˈdɔʁf ˈɡiːpt ʔɛs ˈveːnɪç ˈʔaʁbaɪt]</t>
  </si>
  <si>
    <t xml:space="preserve">Ở làng nhỏ thì ít việc làm.</t>
  </si>
  <si>
    <t xml:space="preserve">das Dorf = ngôi làng</t>
  </si>
  <si>
    <t xml:space="preserve">S0845</t>
  </si>
  <si>
    <t xml:space="preserve">Hai tính từ cùng đuôi -es</t>
  </si>
  <si>
    <t xml:space="preserve">Sie trägt ein elegantes schwarzes Kleid.</t>
  </si>
  <si>
    <t xml:space="preserve">[ziː ˈtʁɛːkt ʔaɪn ˌʔeːleːˈɡantəs ˈʃvaʁtsəs ˈklaɪt]</t>
  </si>
  <si>
    <t xml:space="preserve">Cô ấy mặc một chiếc váy đen thanh lịch.</t>
  </si>
  <si>
    <t xml:space="preserve">elegant = thanh lịch</t>
  </si>
  <si>
    <t xml:space="preserve">S0846</t>
  </si>
  <si>
    <t xml:space="preserve">Genitiv không Artikel: -er</t>
  </si>
  <si>
    <t xml:space="preserve">Das ist das Ergebnis harter Arbeit.</t>
  </si>
  <si>
    <t xml:space="preserve">[das ʔɪst das ʔɛʁˈɡeːbnɪs ˈhaʁtɐ ˈʔaʁbaɪt]</t>
  </si>
  <si>
    <t xml:space="preserve">Đó là kết quả của sự lao động vất vả.</t>
  </si>
  <si>
    <t xml:space="preserve">S0847</t>
  </si>
  <si>
    <t xml:space="preserve">mit + Dativ số nhiều: -en</t>
  </si>
  <si>
    <t xml:space="preserve">Mit freundlichen Grüßen.</t>
  </si>
  <si>
    <t xml:space="preserve">[mɪt ˈfʁɔøntlɪçən ˈɡʁyːsən]</t>
  </si>
  <si>
    <t xml:space="preserve">Trân trọng. (kết thư)</t>
  </si>
  <si>
    <t xml:space="preserve">der Gruß = lời chào</t>
  </si>
  <si>
    <t xml:space="preserve">S0848</t>
  </si>
  <si>
    <t xml:space="preserve">Không Artikel, trung tính: -es</t>
  </si>
  <si>
    <t xml:space="preserve">Frisches Obst ist gesünder als Süßigkeiten.</t>
  </si>
  <si>
    <t xml:space="preserve">[ˈfʁɪʃəs ˈʔoːpst ʔɪst ɡəˈzyndɐ ʔals ˈzyːsɪçˌkaɪtən]</t>
  </si>
  <si>
    <t xml:space="preserve">Trái cây tươi tốt hơn đồ ngọt.</t>
  </si>
  <si>
    <t xml:space="preserve">das Obst = trái cây; die Süßigkeiten = đồ ngọt</t>
  </si>
  <si>
    <t xml:space="preserve">S0849</t>
  </si>
  <si>
    <t xml:space="preserve">keine + Adjektiv -en (số nhiều)</t>
  </si>
  <si>
    <t xml:space="preserve">Er hat keine guten Argumente.</t>
  </si>
  <si>
    <t xml:space="preserve">[ʔɛɐ̯ hat ˈkaɪnə ˈɡuːtən ˌʔaʁɡuːˈmɛntə]</t>
  </si>
  <si>
    <t xml:space="preserve">Anh ta không có lập luận tốt nào.</t>
  </si>
  <si>
    <t xml:space="preserve">das Argument = lập luận</t>
  </si>
  <si>
    <t xml:space="preserve">S0850</t>
  </si>
  <si>
    <t xml:space="preserve">dieser + -e; số nhiều không Artikel: -e</t>
  </si>
  <si>
    <t xml:space="preserve">Dieser alte Mann erzählt spannende Geschichten.</t>
  </si>
  <si>
    <t xml:space="preserve">[ˌdiːzɐ ˈʔaltə ˈman ʔɛʁˈtsɛːlt ˈʃpanəndə ɡəˈʃɪçtən]</t>
  </si>
  <si>
    <t xml:space="preserve">Ông già này kể chuyện hấp dẫn.</t>
  </si>
  <si>
    <t xml:space="preserve">S0851</t>
  </si>
  <si>
    <t xml:space="preserve">für + Akkusativ không Artikel</t>
  </si>
  <si>
    <t xml:space="preserve">Ich interessiere mich für moderne Kunst.</t>
  </si>
  <si>
    <t xml:space="preserve">[ʔɪç ˌʔɪntəʁɛˈsiːʁə mɪç fyːɐ̯ moːˈdɛʁnə ˈkʊnst]</t>
  </si>
  <si>
    <t xml:space="preserve">Tôi quan tâm đến nghệ thuật hiện đại.</t>
  </si>
  <si>
    <t xml:space="preserve">die Kunst = nghệ thuật; modern = hiện đại</t>
  </si>
  <si>
    <t xml:space="preserve">S0852</t>
  </si>
  <si>
    <t xml:space="preserve">nach + Dativ cái không Artikel: -er</t>
  </si>
  <si>
    <t xml:space="preserve">Nach langer Diskussion fanden wir eine Lösung.</t>
  </si>
  <si>
    <t xml:space="preserve">[naːx ˈlaŋɐ ˌdɪskʊsˈjoːn ˈfandən viːɐ̯ ˌʔaɪnə ˈløːzʊŋ]</t>
  </si>
  <si>
    <t xml:space="preserve">Sau cuộc thảo luận dài chúng tôi tìm ra giải pháp.</t>
  </si>
  <si>
    <t xml:space="preserve">die Diskussion = thảo luận</t>
  </si>
  <si>
    <t xml:space="preserve">S0853</t>
  </si>
  <si>
    <t xml:space="preserve">eine + -e</t>
  </si>
  <si>
    <t xml:space="preserve">Das war eine große Überraschung für alle.</t>
  </si>
  <si>
    <t xml:space="preserve">[das vaːɐ̯ ˌʔaɪnə ˈɡʁoːsə ˌʔyːbɐˈʁaʃʊŋ fyːɐ̯ ˈʔalə]</t>
  </si>
  <si>
    <t xml:space="preserve">Đó là bất ngờ lớn với mọi người.</t>
  </si>
  <si>
    <t xml:space="preserve">die Überraschung = bất ngờ</t>
  </si>
  <si>
    <t xml:space="preserve">S0854</t>
  </si>
  <si>
    <t xml:space="preserve">Số nhiều không Artikel: -e</t>
  </si>
  <si>
    <t xml:space="preserve">Wir brauchen qualifizierte Fachkräfte.</t>
  </si>
  <si>
    <t xml:space="preserve">[viːɐ̯ ˈbʁaʊxən ˌkvaliːfiːˈtsiːɐ̯tə ˈfaxkʁɛftə]</t>
  </si>
  <si>
    <t xml:space="preserve">Chúng tôi cần nhân lực có chuyên môn.</t>
  </si>
  <si>
    <t xml:space="preserve">die Fachkraft = nhân lực chuyên môn</t>
  </si>
  <si>
    <t xml:space="preserve">S0855</t>
  </si>
  <si>
    <t xml:space="preserve">dem + -en</t>
  </si>
  <si>
    <t xml:space="preserve">Mit dem neuen System geht alles schneller.</t>
  </si>
  <si>
    <t xml:space="preserve">[mɪt deːm ˈnɔøən zyˈsteːm ˈɡeːt ˈʔaləs ˈʃnɛlɐ]</t>
  </si>
  <si>
    <t xml:space="preserve">Với hệ thống mới mọi thứ nhanh hơn.</t>
  </si>
  <si>
    <t xml:space="preserve">das System = hệ thống</t>
  </si>
  <si>
    <t xml:space="preserve">S0856</t>
  </si>
  <si>
    <t xml:space="preserve">einem + -en</t>
  </si>
  <si>
    <t xml:space="preserve">Er wohnt in einem renovierten Altbau.</t>
  </si>
  <si>
    <t xml:space="preserve">[ʔɛɐ̯ ˈvoːnt ʔɪn ˌʔaɪnəm ˌʁeːnoːˈviːɐ̯tən ˈʔaltbaʊ]</t>
  </si>
  <si>
    <t xml:space="preserve">Anh ấy sống trong một tòa nhà cổ đã cải tạo.</t>
  </si>
  <si>
    <t xml:space="preserve">der Altbau = nhà cổ; renovieren = cải tạo</t>
  </si>
  <si>
    <t xml:space="preserve">S0857</t>
  </si>
  <si>
    <t xml:space="preserve">Guten Appetit und einen schönen Abend!</t>
  </si>
  <si>
    <t xml:space="preserve">[ˈɡuːtən ˌʔapeːˈtɪt ʔʊnt ˌʔaɪnən ˈʃøːnən ˈʔaːbənt]</t>
  </si>
  <si>
    <t xml:space="preserve">Chúc ngon miệng và buổi tối vui vẻ!</t>
  </si>
  <si>
    <t xml:space="preserve">S0858</t>
  </si>
  <si>
    <t xml:space="preserve">die meisten + -en</t>
  </si>
  <si>
    <t xml:space="preserve">Die meisten deutschen Studenten arbeiten nebenbei.</t>
  </si>
  <si>
    <t xml:space="preserve">[diː ˈmaɪstən ˈdɔøtʃən ʃtuːˈdɛntən ˈʔaʁbaɪtən ˈneːbənˌbaɪ]</t>
  </si>
  <si>
    <t xml:space="preserve">Phần lớn sinh viên Đức có làm thêm.</t>
  </si>
  <si>
    <t xml:space="preserve">nebenbei = làm thêm</t>
  </si>
  <si>
    <t xml:space="preserve">S0859</t>
  </si>
  <si>
    <t xml:space="preserve">wenig + -e</t>
  </si>
  <si>
    <t xml:space="preserve">Ich habe wenig freie Zeit.</t>
  </si>
  <si>
    <t xml:space="preserve">[ʔɪç haːbə ˈveːnɪç ˈfʁaɪə ˈtsaɪt]</t>
  </si>
  <si>
    <t xml:space="preserve">Tôi có ít thời gian rảnh.</t>
  </si>
  <si>
    <t xml:space="preserve">frei = rảnh/tự do</t>
  </si>
  <si>
    <t xml:space="preserve">S0860</t>
  </si>
  <si>
    <t xml:space="preserve">trotz + Genitiv không Artikel</t>
  </si>
  <si>
    <t xml:space="preserve">Trotz schlechten Wetters fand das Fest statt.</t>
  </si>
  <si>
    <t xml:space="preserve">[ˈtʁɔts ˈʃlɛçtən ˈvɛtɐs ˈfant das ˈfɛst ˈʃtat]</t>
  </si>
  <si>
    <t xml:space="preserve">Dù thời tiết xấu lễ hội vẫn diễn ra.</t>
  </si>
  <si>
    <t xml:space="preserve">S0861</t>
  </si>
  <si>
    <t xml:space="preserve">So sánh hơn &amp; so sánh nhất</t>
  </si>
  <si>
    <t xml:space="preserve">Komparativ + als</t>
  </si>
  <si>
    <t xml:space="preserve">Dieses Buch ist interessanter als das andere.</t>
  </si>
  <si>
    <t xml:space="preserve">[ˌdiːzəs ˈbuːx ʔɪst ˌʔɪntəʁɛˈsantɐ ʔals das ˈʔandəʁə]</t>
  </si>
  <si>
    <t xml:space="preserve">Quyển sách này thú vị hơn quyển kia.</t>
  </si>
  <si>
    <t xml:space="preserve">interessant = thú vị</t>
  </si>
  <si>
    <t xml:space="preserve">S0862</t>
  </si>
  <si>
    <t xml:space="preserve">am + -sten (Superlativ trạng từ)</t>
  </si>
  <si>
    <t xml:space="preserve">Er läuft am schnellsten in der Klasse.</t>
  </si>
  <si>
    <t xml:space="preserve">[ʔɛɐ̯ ˈlɔøft ʔam ˈʃnɛlstən ʔɪn dɛɐ̯ ˈklasə]</t>
  </si>
  <si>
    <t xml:space="preserve">Anh ấy chạy nhanh nhất lớp.</t>
  </si>
  <si>
    <t xml:space="preserve">schnell = nhanh</t>
  </si>
  <si>
    <t xml:space="preserve">S0863</t>
  </si>
  <si>
    <t xml:space="preserve">je ... desto (desto đảo trật tự)</t>
  </si>
  <si>
    <t xml:space="preserve">Je mehr ich lerne, desto besser verstehe ich.</t>
  </si>
  <si>
    <t xml:space="preserve">[jeː ˈmeːɐ̯ ʔɪç ˈlɛʁnə, ˈdɛstoː ˈbɛsɐ fɛʁˈʃteːə ʔɪç]</t>
  </si>
  <si>
    <t xml:space="preserve">Càng học tôi càng hiểu hơn.</t>
  </si>
  <si>
    <t xml:space="preserve">je ... desto = càng ... càng</t>
  </si>
  <si>
    <t xml:space="preserve">S0864</t>
  </si>
  <si>
    <t xml:space="preserve">als + mệnh đề</t>
  </si>
  <si>
    <t xml:space="preserve">Deutsch ist schwieriger, als ich dachte.</t>
  </si>
  <si>
    <t xml:space="preserve">[ˈdɔøtʃ ʔɪst ˈʃviːʁɪɡɐ, ʔals ʔɪç ˈdaxtə]</t>
  </si>
  <si>
    <t xml:space="preserve">Tiếng Đức khó hơn tôi tưởng.</t>
  </si>
  <si>
    <t xml:space="preserve">schwierig = khó</t>
  </si>
  <si>
    <t xml:space="preserve">S0865</t>
  </si>
  <si>
    <t xml:space="preserve">genauso ... wie = ngang bằng</t>
  </si>
  <si>
    <t xml:space="preserve">Sie ist genauso fleißig wie ihr Bruder.</t>
  </si>
  <si>
    <t xml:space="preserve">[ziː ʔɪst ɡəˈnaʊzoː ˈflaɪsɪç viː ʔiːɐ̯ ˈbʁuːdɐ]</t>
  </si>
  <si>
    <t xml:space="preserve">Cô ấy chăm chỉ y như anh trai.</t>
  </si>
  <si>
    <t xml:space="preserve">fleißig = chăm chỉ</t>
  </si>
  <si>
    <t xml:space="preserve">S0866</t>
  </si>
  <si>
    <t xml:space="preserve">gut -&gt; best- (bất quy tắc)</t>
  </si>
  <si>
    <t xml:space="preserve">Das ist die beste Entscheidung meines Lebens.</t>
  </si>
  <si>
    <t xml:space="preserve">[das ʔɪst diː ˈbɛstə ʔɛntˈʃaɪdʊŋ ˌmaɪnəs ˈleːbəns]</t>
  </si>
  <si>
    <t xml:space="preserve">Đó là quyết định tốt nhất đời tôi.</t>
  </si>
  <si>
    <t xml:space="preserve">die Entscheidung = quyết định</t>
  </si>
  <si>
    <t xml:space="preserve">S0867</t>
  </si>
  <si>
    <t xml:space="preserve">eher = sớm hơn</t>
  </si>
  <si>
    <t xml:space="preserve">Je früher wir anfangen, desto eher sind wir fertig.</t>
  </si>
  <si>
    <t xml:space="preserve">[jeː ˈfʁyːɐ viːɐ̯ ˈʔanˌfaŋən, ˈdɛstoː ˈʔeːɐ zɪnt viːɐ̯ ˈfɛʁtɪç]</t>
  </si>
  <si>
    <t xml:space="preserve">Càng bắt đầu sớm càng xong sớm.</t>
  </si>
  <si>
    <t xml:space="preserve">S0868</t>
  </si>
  <si>
    <t xml:space="preserve">nichts + Komparativ</t>
  </si>
  <si>
    <t xml:space="preserve">Nichts ist wichtiger als Gesundheit.</t>
  </si>
  <si>
    <t xml:space="preserve">[ˈnɪçts ʔɪst ˈvɪçtɪɡɐ ʔals ɡəˈzʊnthaɪt]</t>
  </si>
  <si>
    <t xml:space="preserve">Không gì quan trọng hơn sức khỏe.</t>
  </si>
  <si>
    <t xml:space="preserve">die Gesundheit = sức khỏe</t>
  </si>
  <si>
    <t xml:space="preserve">S0869</t>
  </si>
  <si>
    <t xml:space="preserve">dreimal so viel wie</t>
  </si>
  <si>
    <t xml:space="preserve">Er verdient dreimal so viel wie ich.</t>
  </si>
  <si>
    <t xml:space="preserve">[ʔɛɐ̯ fɛʁˈdiːnt ˈdʁaɪmaːl zoː ˈfiːl viː ʔɪç]</t>
  </si>
  <si>
    <t xml:space="preserve">Anh ấy kiếm gấp ba lần tôi.</t>
  </si>
  <si>
    <t xml:space="preserve">verdienen = kiếm tiền</t>
  </si>
  <si>
    <t xml:space="preserve">S0870</t>
  </si>
  <si>
    <t xml:space="preserve">immer + Komparativ = ngày càng</t>
  </si>
  <si>
    <t xml:space="preserve">Das Wetter wird immer schlechter.</t>
  </si>
  <si>
    <t xml:space="preserve">[das ˈvɛtɐ ˌvɪʁt ˈʔɪmɐ ˈʃlɛçtɐ]</t>
  </si>
  <si>
    <t xml:space="preserve">Thời tiết ngày càng tệ.</t>
  </si>
  <si>
    <t xml:space="preserve">S0871</t>
  </si>
  <si>
    <t xml:space="preserve">teuer -&gt; teurer (mất e)</t>
  </si>
  <si>
    <t xml:space="preserve">München ist teurer als Leipzig.</t>
  </si>
  <si>
    <t xml:space="preserve">[ˈmynçən ʔɪst ˈtɔøʁɐ ʔals ˈlaɪptsɪç]</t>
  </si>
  <si>
    <t xml:space="preserve">München đắt hơn Leipzig.</t>
  </si>
  <si>
    <t xml:space="preserve">S0872</t>
  </si>
  <si>
    <t xml:space="preserve">bei weitem nhấn mạnh Superlativ</t>
  </si>
  <si>
    <t xml:space="preserve">Das ist bei weitem die größte Herausforderung.</t>
  </si>
  <si>
    <t xml:space="preserve">[das ʔɪst baɪ ˈvaɪtəm diː ˈɡʁœstə hɛˈʁaʊsˌfɔʁdəˌʁʊŋ]</t>
  </si>
  <si>
    <t xml:space="preserve">Đó là thử thách lớn nhất, vượt xa phần còn lại.</t>
  </si>
  <si>
    <t xml:space="preserve">die Herausforderung = thử thách</t>
  </si>
  <si>
    <t xml:space="preserve">S0873</t>
  </si>
  <si>
    <t xml:space="preserve">gern -&gt; lieber</t>
  </si>
  <si>
    <t xml:space="preserve">Ich mag Tee lieber als Kaffee.</t>
  </si>
  <si>
    <t xml:space="preserve">[ʔɪç ˈmaːk ˈteː ˈliːbɐ ʔals ˈkafeː]</t>
  </si>
  <si>
    <t xml:space="preserve">Tôi thích trà hơn cà phê.</t>
  </si>
  <si>
    <t xml:space="preserve">S0874</t>
  </si>
  <si>
    <t xml:space="preserve">am liebsten + Konjunktiv II</t>
  </si>
  <si>
    <t xml:space="preserve">Am liebsten würde ich jetzt schlafen.</t>
  </si>
  <si>
    <t xml:space="preserve">[ʔam ˈliːbstən ˈvyʁdə ʔɪç ˌjɛtst ˈʃlaːfən]</t>
  </si>
  <si>
    <t xml:space="preserve">Tôi thích nhất là đi ngủ ngay bây giờ.</t>
  </si>
  <si>
    <t xml:space="preserve">S0875</t>
  </si>
  <si>
    <t xml:space="preserve">kurz -&gt; kürzer (biến âm)</t>
  </si>
  <si>
    <t xml:space="preserve">Dieser Weg ist kürzer, aber gefährlicher.</t>
  </si>
  <si>
    <t xml:space="preserve">[ˌdiːzɐ ˈveːk ʔɪst ˈkyʁtsɐ, ˌʔaːbɐ ɡəˈfɛːɐ̯lɪçɐ]</t>
  </si>
  <si>
    <t xml:space="preserve">Đường này ngắn hơn nhưng nguy hiểm hơn.</t>
  </si>
  <si>
    <t xml:space="preserve">gefährlich = nguy hiểm</t>
  </si>
  <si>
    <t xml:space="preserve">S0876</t>
  </si>
  <si>
    <t xml:space="preserve">man làm chủ ngữ</t>
  </si>
  <si>
    <t xml:space="preserve">Je älter man wird, desto schneller vergeht die Zeit.</t>
  </si>
  <si>
    <t xml:space="preserve">[jeː ˈʔɛltɐ man ˌvɪʁt, ˈdɛstoː ˈʃnɛlɐ fɛʁˈɡeːt diː ˈtsaɪt]</t>
  </si>
  <si>
    <t xml:space="preserve">Càng già thời gian càng trôi nhanh.</t>
  </si>
  <si>
    <t xml:space="preserve">S0877</t>
  </si>
  <si>
    <t xml:space="preserve">weniger + Adjektiv</t>
  </si>
  <si>
    <t xml:space="preserve">Das Ergebnis ist weniger gut als erwartet.</t>
  </si>
  <si>
    <t xml:space="preserve">[das ʔɛʁˈɡeːbnɪs ʔɪst ˈveːnɪɡɐ ˈɡuːt ʔals ʔɛʁˈvaʁtət]</t>
  </si>
  <si>
    <t xml:space="preserve">Kết quả kém hơn mong đợi.</t>
  </si>
  <si>
    <t xml:space="preserve">erwarten = mong đợi</t>
  </si>
  <si>
    <t xml:space="preserve">S0878</t>
  </si>
  <si>
    <t xml:space="preserve">von allen + am besten</t>
  </si>
  <si>
    <t xml:space="preserve">Von allen Städten gefällt mir Hamburg am besten.</t>
  </si>
  <si>
    <t xml:space="preserve">[fɔn ˈʔalən ˈʃtɛtən ɡəˈfɛlt miːɐ̯ ˈhambʊʁk ʔam ˈbɛstən]</t>
  </si>
  <si>
    <t xml:space="preserve">Trong các thành phố tôi thích Hamburg nhất.</t>
  </si>
  <si>
    <t xml:space="preserve">S0879</t>
  </si>
  <si>
    <t xml:space="preserve">der + -ste</t>
  </si>
  <si>
    <t xml:space="preserve">Er ist der erfahrenste Mitarbeiter im Team.</t>
  </si>
  <si>
    <t xml:space="preserve">[ʔɛɐ̯ ʔɪst dɛɐ̯ ʔɛʁˈfaːʁənstə ˈmɪˌtaʁbaɪtɐ ʔɪm (en)ˈtiːm(de)]</t>
  </si>
  <si>
    <t xml:space="preserve">Anh ấy là nhân viên nhiều kinh nghiệm nhất nhóm.</t>
  </si>
  <si>
    <t xml:space="preserve">erfahren = có kinh nghiệm</t>
  </si>
  <si>
    <t xml:space="preserve">S0880</t>
  </si>
  <si>
    <t xml:space="preserve">so + Adjektiv + nirgendwo</t>
  </si>
  <si>
    <t xml:space="preserve">So billig wirst du das nirgendwo finden.</t>
  </si>
  <si>
    <t xml:space="preserve">[zoː ˈbɪlɪç ˌvɪʁst duː das nɪʁˈɡɛndvoː ˈfɪndən]</t>
  </si>
  <si>
    <t xml:space="preserve">Rẻ thế thì chẳng đâu tìm được.</t>
  </si>
  <si>
    <t xml:space="preserve">nirgendwo = chẳng đâu; billig = rẻ</t>
  </si>
  <si>
    <t xml:space="preserve">S0881</t>
  </si>
  <si>
    <t xml:space="preserve">Genitiv &amp; giới từ đi với Genitiv</t>
  </si>
  <si>
    <t xml:space="preserve">Genitiv đực: -es + meines</t>
  </si>
  <si>
    <t xml:space="preserve">Das Auto meines Vaters ist alt.</t>
  </si>
  <si>
    <t xml:space="preserve">[das ˈʔaʊtoː ˌmaɪnəs ˈfaːtɐs ʔɪst ˈʔalt]</t>
  </si>
  <si>
    <t xml:space="preserve">Xe của bố tôi cũ rồi.</t>
  </si>
  <si>
    <t xml:space="preserve">der Vater = bố</t>
  </si>
  <si>
    <t xml:space="preserve">S0882</t>
  </si>
  <si>
    <t xml:space="preserve">Die Farbe der Wand gefällt mir nicht.</t>
  </si>
  <si>
    <t xml:space="preserve">[diː ˈfaʁbə dɛɐ̯ ˈvant ɡəˈfɛlt miːɐ̯ ˈnɪçt]</t>
  </si>
  <si>
    <t xml:space="preserve">Tôi không thích màu bức tường.</t>
  </si>
  <si>
    <t xml:space="preserve">die Wand = bức tường</t>
  </si>
  <si>
    <t xml:space="preserve">S0883</t>
  </si>
  <si>
    <t xml:space="preserve">Wegen des Streiks fuhr kein Zug.</t>
  </si>
  <si>
    <t xml:space="preserve">[ˌveːɡən dɛs ˈʃtʁaɪks ˈfuːɐ̯ ˈkaɪn ˈtsuːk]</t>
  </si>
  <si>
    <t xml:space="preserve">Vì đình công nên không có tàu nào chạy.</t>
  </si>
  <si>
    <t xml:space="preserve">der Streik = cuộc đình công</t>
  </si>
  <si>
    <t xml:space="preserve">S0884</t>
  </si>
  <si>
    <t xml:space="preserve">während + Genitiv</t>
  </si>
  <si>
    <t xml:space="preserve">Während der Ferien arbeite ich.</t>
  </si>
  <si>
    <t xml:space="preserve">[ˌvɛːʁənt dɛɐ̯ ˈfeːʁiːən ˈʔaʁbaɪtə ʔɪç]</t>
  </si>
  <si>
    <t xml:space="preserve">Trong kỳ nghỉ tôi đi làm.</t>
  </si>
  <si>
    <t xml:space="preserve">die Ferien = kỳ nghỉ</t>
  </si>
  <si>
    <t xml:space="preserve">S0885</t>
  </si>
  <si>
    <t xml:space="preserve">Trotz des Lärms konnte ich schlafen.</t>
  </si>
  <si>
    <t xml:space="preserve">[ˈtʁɔts dɛs ˈlɛʁms ˈkɔntə ʔɪç ˈʃlaːfən]</t>
  </si>
  <si>
    <t xml:space="preserve">Dù ồn tôi vẫn ngủ được.</t>
  </si>
  <si>
    <t xml:space="preserve">der Lärm = tiếng ồn</t>
  </si>
  <si>
    <t xml:space="preserve">S0886</t>
  </si>
  <si>
    <t xml:space="preserve">innerhalb + Genitiv</t>
  </si>
  <si>
    <t xml:space="preserve">Innerhalb einer Woche bekommen Sie Antwort.</t>
  </si>
  <si>
    <t xml:space="preserve">[ˈʔɪnɐˌhalp ˌʔaɪnɐ ˈvɔxə bəˈkɔmən ziː ˈʔantvɔʁt]</t>
  </si>
  <si>
    <t xml:space="preserve">Trong vòng một tuần ông/bà sẽ có trả lời.</t>
  </si>
  <si>
    <t xml:space="preserve">innerhalb = trong vòng</t>
  </si>
  <si>
    <t xml:space="preserve">S0887</t>
  </si>
  <si>
    <t xml:space="preserve">außerhalb + Genitiv</t>
  </si>
  <si>
    <t xml:space="preserve">Außerhalb der Öffnungszeiten ist geschlossen.</t>
  </si>
  <si>
    <t xml:space="preserve">[ˈʔaʊsɐˌhalp dɛɐ̯ ˈʔœfnʊŋsˌtsaɪtən ʔɪst ɡəˈʃlɔsən]</t>
  </si>
  <si>
    <t xml:space="preserve">Ngoài giờ mở cửa thì đóng.</t>
  </si>
  <si>
    <t xml:space="preserve">die Öffnungszeit = giờ mở cửa</t>
  </si>
  <si>
    <t xml:space="preserve">S0888</t>
  </si>
  <si>
    <t xml:space="preserve">anstatt + Genitiv</t>
  </si>
  <si>
    <t xml:space="preserve">Anstatt eines Briefes schickte er eine Mail.</t>
  </si>
  <si>
    <t xml:space="preserve">[ˈʔanˌʃtat ˌʔaɪnəs ˈbʁiːfəs ˈʃɪktə ʔɛɐ̯ ˌʔaɪnə (en)ˈmeɪl(de)]</t>
  </si>
  <si>
    <t xml:space="preserve">Thay vì thư anh ấy gửi email.</t>
  </si>
  <si>
    <t xml:space="preserve">anstatt = thay vì</t>
  </si>
  <si>
    <t xml:space="preserve">S0889</t>
  </si>
  <si>
    <t xml:space="preserve">Genitiv số nhiều: der</t>
  </si>
  <si>
    <t xml:space="preserve">Die Rechte der Arbeitnehmer sind geschützt.</t>
  </si>
  <si>
    <t xml:space="preserve">[diː ˈʁɛçtə dɛɐ̯ ˈʔaʁbaɪtˌneːmɐ zɪnt ɡəˈʃytst]</t>
  </si>
  <si>
    <t xml:space="preserve">Quyền của người lao động được bảo vệ.</t>
  </si>
  <si>
    <t xml:space="preserve">das Recht = quyền; der Arbeitnehmer = người lao động</t>
  </si>
  <si>
    <t xml:space="preserve">S0890</t>
  </si>
  <si>
    <t xml:space="preserve">aufgrund + Genitiv không Artikel</t>
  </si>
  <si>
    <t xml:space="preserve">Aufgrund technischer Probleme fiel die Show aus.</t>
  </si>
  <si>
    <t xml:space="preserve">[ˈʔaʊfˌɡʁʊnt ˈtɛçnɪʃɐ pʁoːˈbleːmə ˈfiːl diː (en)ˈʃəʊ(de) ˈʔaʊs]</t>
  </si>
  <si>
    <t xml:space="preserve">Do sự cố kỹ thuật buổi diễn bị hủy.</t>
  </si>
  <si>
    <t xml:space="preserve">technisch = kỹ thuật</t>
  </si>
  <si>
    <t xml:space="preserve">S0891</t>
  </si>
  <si>
    <t xml:space="preserve">des + -s</t>
  </si>
  <si>
    <t xml:space="preserve">Der Anfang des Films war langweilig.</t>
  </si>
  <si>
    <t xml:space="preserve">[dɛɐ̯ ˈʔanˌfaŋ dɛs ˈfɪlms vaːɐ̯ ˈlaŋˌvaɪlɪç]</t>
  </si>
  <si>
    <t xml:space="preserve">Đoạn đầu phim chán.</t>
  </si>
  <si>
    <t xml:space="preserve">der Anfang = khởi đầu</t>
  </si>
  <si>
    <t xml:space="preserve">S0892</t>
  </si>
  <si>
    <t xml:space="preserve">der Geschichte = Genitiv</t>
  </si>
  <si>
    <t xml:space="preserve">Das Ende der Geschichte überraschte alle.</t>
  </si>
  <si>
    <t xml:space="preserve">[das ˈʔɛndə dɛɐ̯ ɡəˈʃɪçtə ˌʔyːbɐˈʁaʃtə ˈʔalə]</t>
  </si>
  <si>
    <t xml:space="preserve">Kết thúc câu chuyện khiến mọi người bất ngờ.</t>
  </si>
  <si>
    <t xml:space="preserve">das Ende = kết thúc</t>
  </si>
  <si>
    <t xml:space="preserve">S0893</t>
  </si>
  <si>
    <t xml:space="preserve">statt + Genitiv</t>
  </si>
  <si>
    <t xml:space="preserve">Statt eines Autos kaufte sie ein Fahrrad.</t>
  </si>
  <si>
    <t xml:space="preserve">[ˈʃtat ˌʔaɪnəs ˈʔaʊtoːs ˈkaʊftə ziː ʔaɪn ˈfaːʁaːt]</t>
  </si>
  <si>
    <t xml:space="preserve">Thay vì xe hơi cô ấy mua xe đạp.</t>
  </si>
  <si>
    <t xml:space="preserve">statt = thay vì</t>
  </si>
  <si>
    <t xml:space="preserve">S0894</t>
  </si>
  <si>
    <t xml:space="preserve">nachlassen = suy giảm</t>
  </si>
  <si>
    <t xml:space="preserve">Die Qualität der Produkte hat nachgelassen.</t>
  </si>
  <si>
    <t xml:space="preserve">[diː ˌkvaːliːˈtɛːt dɛɐ̯ pʁoːˈdʊktə hat ˈnaxɡəˌlasən]</t>
  </si>
  <si>
    <t xml:space="preserve">Chất lượng sản phẩm đã giảm.</t>
  </si>
  <si>
    <t xml:space="preserve">die Qualität = chất lượng; nachlassen = suy giảm</t>
  </si>
  <si>
    <t xml:space="preserve">S0895</t>
  </si>
  <si>
    <t xml:space="preserve">im Laufe + Genitiv</t>
  </si>
  <si>
    <t xml:space="preserve">Im Laufe des Jahres wurde es besser.</t>
  </si>
  <si>
    <t xml:space="preserve">[ʔɪm ˈlaʊfə dɛs ˈjaːʁəs ˌvʊʁdə ʔɛs ˈbɛsɐ]</t>
  </si>
  <si>
    <t xml:space="preserve">Trong năm thì tình hình khá lên.</t>
  </si>
  <si>
    <t xml:space="preserve">im Laufe = trong quá trình</t>
  </si>
  <si>
    <t xml:space="preserve">S0896</t>
  </si>
  <si>
    <t xml:space="preserve">n-Deklination: Kollegen</t>
  </si>
  <si>
    <t xml:space="preserve">Das ist der Wagen eines Kollegen.</t>
  </si>
  <si>
    <t xml:space="preserve">[das ʔɪst dɛɐ̯ ˈvaːɡən ˌʔaɪnəs kɔˈleːɡən]</t>
  </si>
  <si>
    <t xml:space="preserve">Đó là xe của một đồng nghiệp.</t>
  </si>
  <si>
    <t xml:space="preserve">der Wagen = xe; der Kollege = đồng nghiệp</t>
  </si>
  <si>
    <t xml:space="preserve">S0897</t>
  </si>
  <si>
    <t xml:space="preserve">die Zahl + Genitiv</t>
  </si>
  <si>
    <t xml:space="preserve">Die Zahl der Teilnehmer steigt jedes Jahr.</t>
  </si>
  <si>
    <t xml:space="preserve">[diː ˈtsaːl dɛɐ̯ ˈtaɪlneːmɐ ˈʃtaɪkt ˈjeːdəs ˈjaːɐ̯]</t>
  </si>
  <si>
    <t xml:space="preserve">Số người tham gia tăng mỗi năm.</t>
  </si>
  <si>
    <t xml:space="preserve">der Teilnehmer = người tham gia</t>
  </si>
  <si>
    <t xml:space="preserve">S0898</t>
  </si>
  <si>
    <t xml:space="preserve">dank + Genitiv/Dativ</t>
  </si>
  <si>
    <t xml:space="preserve">Dank seiner Erfahrung lief alles glatt.</t>
  </si>
  <si>
    <t xml:space="preserve">[ˈdaŋk ˌzaɪnɐ ʔɛʁˈfaːʁʊŋ ˈliːf ˈʔaləs ˈɡlat]</t>
  </si>
  <si>
    <t xml:space="preserve">Nhờ kinh nghiệm của anh ấy mọi thứ trôi chảy.</t>
  </si>
  <si>
    <t xml:space="preserve">die Erfahrung = kinh nghiệm; glatt = trơn tru</t>
  </si>
  <si>
    <t xml:space="preserve">S0899</t>
  </si>
  <si>
    <t xml:space="preserve">sich bewusst sein + Genitiv</t>
  </si>
  <si>
    <t xml:space="preserve">Er ist sich seiner Verantwortung bewusst.</t>
  </si>
  <si>
    <t xml:space="preserve">[ʔɛɐ̯ ʔɪst zɪç ˌzaɪnɐ fɛˈʁantvɔʁˌtʊŋ bəˈvʊst]</t>
  </si>
  <si>
    <t xml:space="preserve">Anh ấy ý thức được trách nhiệm của mình.</t>
  </si>
  <si>
    <t xml:space="preserve">die Verantwortung = trách nhiệm; bewusst = ý thức</t>
  </si>
  <si>
    <t xml:space="preserve">S0900</t>
  </si>
  <si>
    <t xml:space="preserve">jenseits + Genitiv</t>
  </si>
  <si>
    <t xml:space="preserve">Jenseits der Grenze spricht man Polnisch.</t>
  </si>
  <si>
    <t xml:space="preserve">[ˈjɛnzaɪts dɛɐ̯ ˈɡʁɛntsə ˈʃpʁɪçt man ˈpɔlnɪʃ]</t>
  </si>
  <si>
    <t xml:space="preserve">Bên kia biên giới người ta nói tiếng Ba Lan.</t>
  </si>
  <si>
    <t xml:space="preserve">die Grenze = biên giới</t>
  </si>
  <si>
    <t xml:space="preserve">S0901</t>
  </si>
  <si>
    <t xml:space="preserve">Động từ phản thân &amp; tương hỗ</t>
  </si>
  <si>
    <t xml:space="preserve">sich erinnern an + Akkusativ</t>
  </si>
  <si>
    <t xml:space="preserve">Ich erinnere mich gut an den Tag.</t>
  </si>
  <si>
    <t xml:space="preserve">[ʔɪç ʔɛˈʁɪnəʁə mɪç ˈɡuːt ʔan deːn ˈtaːk]</t>
  </si>
  <si>
    <t xml:space="preserve">Tôi nhớ rõ ngày hôm đó.</t>
  </si>
  <si>
    <t xml:space="preserve">sich erinnern = nhớ</t>
  </si>
  <si>
    <t xml:space="preserve">S0902</t>
  </si>
  <si>
    <t xml:space="preserve">sich beeilen trong Imperativ</t>
  </si>
  <si>
    <t xml:space="preserve">Beeil dich, wir haben keine Zeit!</t>
  </si>
  <si>
    <t xml:space="preserve">[bəˈʔaɪl ˈdɪç, viːɐ̯ ˌhaːbən ˈkaɪnə ˈtsaɪt]</t>
  </si>
  <si>
    <t xml:space="preserve">Nhanh lên, không còn thời gian!</t>
  </si>
  <si>
    <t xml:space="preserve">S0903</t>
  </si>
  <si>
    <t xml:space="preserve">uns = tương hỗ (lẫn nhau)</t>
  </si>
  <si>
    <t xml:space="preserve">Wir treffen uns jeden Freitag.</t>
  </si>
  <si>
    <t xml:space="preserve">[viːɐ̯ ˈtʁɛfən ʔʊns ˈjeːdən ˈfʁaɪtaːk]</t>
  </si>
  <si>
    <t xml:space="preserve">Chúng tôi gặp nhau mỗi thứ Sáu.</t>
  </si>
  <si>
    <t xml:space="preserve">S0904</t>
  </si>
  <si>
    <t xml:space="preserve">sich freuen über + Akkusativ (quá khứ)</t>
  </si>
  <si>
    <t xml:space="preserve">Sie hat sich über das Geschenk gefreut.</t>
  </si>
  <si>
    <t xml:space="preserve">[ziː hat zɪç ˌʔyːbɐ das ɡəˈʃɛŋk ɡəˈfʁɔøt]</t>
  </si>
  <si>
    <t xml:space="preserve">Cô ấy vui vì món quà.</t>
  </si>
  <si>
    <t xml:space="preserve">sich freuen über = vui vì</t>
  </si>
  <si>
    <t xml:space="preserve">S0905</t>
  </si>
  <si>
    <t xml:space="preserve">sich freuen auf = mong chờ (tương lai)</t>
  </si>
  <si>
    <t xml:space="preserve">Ich freue mich auf das Wochenende.</t>
  </si>
  <si>
    <t xml:space="preserve">[ʔɪç ˈfʁɔøə mɪç ʔaʊf das ˈvɔxənəndə]</t>
  </si>
  <si>
    <t xml:space="preserve">Tôi háo hức chờ cuối tuần.</t>
  </si>
  <si>
    <t xml:space="preserve">S0906</t>
  </si>
  <si>
    <t xml:space="preserve">Er hat sich beim Kochen verbrannt.</t>
  </si>
  <si>
    <t xml:space="preserve">[ʔɛɐ̯ hat zɪç baɪm ˈkɔxən fɛʁˈbʁant]</t>
  </si>
  <si>
    <t xml:space="preserve">Anh ấy bị bỏng lúc nấu ăn.</t>
  </si>
  <si>
    <t xml:space="preserve">sich verbrennen = bị bỏng</t>
  </si>
  <si>
    <t xml:space="preserve">S0907</t>
  </si>
  <si>
    <t xml:space="preserve">sich verstehen tương hỗ</t>
  </si>
  <si>
    <t xml:space="preserve">Wir verstehen uns ohne Worte.</t>
  </si>
  <si>
    <t xml:space="preserve">[viːɐ̯ fɛʁˈʃteːən ʔʊns ˈʔoːnə ˈvɔʁtə]</t>
  </si>
  <si>
    <t xml:space="preserve">Chúng tôi hiểu nhau không cần lời.</t>
  </si>
  <si>
    <t xml:space="preserve">das Wort = lời/từ</t>
  </si>
  <si>
    <t xml:space="preserve">S0908</t>
  </si>
  <si>
    <t xml:space="preserve">sich hinsetzen tách</t>
  </si>
  <si>
    <t xml:space="preserve">Setz dich bitte hin!</t>
  </si>
  <si>
    <t xml:space="preserve">[ˈzɛts dɪç ˈbɪtə ˈhɪn]</t>
  </si>
  <si>
    <t xml:space="preserve">Ngồi xuống đi!</t>
  </si>
  <si>
    <t xml:space="preserve">sich hinsetzen = ngồi xuống</t>
  </si>
  <si>
    <t xml:space="preserve">S0909</t>
  </si>
  <si>
    <t xml:space="preserve">sich leisten + Dativ phản thân</t>
  </si>
  <si>
    <t xml:space="preserve">Ich kann mir das nicht leisten.</t>
  </si>
  <si>
    <t xml:space="preserve">[ʔɪç ˌkan miːɐ̯ das ˈnɪçt ˈlaɪstən]</t>
  </si>
  <si>
    <t xml:space="preserve">Tôi không kham nổi khoản đó.</t>
  </si>
  <si>
    <t xml:space="preserve">sich leisten = kham nổi</t>
  </si>
  <si>
    <t xml:space="preserve">S0910</t>
  </si>
  <si>
    <t xml:space="preserve">sich bewerben um + Akkusativ</t>
  </si>
  <si>
    <t xml:space="preserve">Sie bewirbt sich um eine Stelle.</t>
  </si>
  <si>
    <t xml:space="preserve">[ziː bəˈvɪʁpt zɪç ʔʊm ˌʔaɪnə ˈʃtɛlə]</t>
  </si>
  <si>
    <t xml:space="preserve">Cô ấy nộp đơn xin một vị trí.</t>
  </si>
  <si>
    <t xml:space="preserve">S0911</t>
  </si>
  <si>
    <t xml:space="preserve">uns tương hỗ + Perfekt</t>
  </si>
  <si>
    <t xml:space="preserve">Wir haben uns lange nicht gesehen.</t>
  </si>
  <si>
    <t xml:space="preserve">[viːɐ̯ ˌhaːbən ʔʊns ˈlaŋə ˈnɪçt ɡəˈzeːən]</t>
  </si>
  <si>
    <t xml:space="preserve">Lâu rồi chúng tôi không gặp nhau.</t>
  </si>
  <si>
    <t xml:space="preserve">sich sehen = gặp nhau</t>
  </si>
  <si>
    <t xml:space="preserve">S0912</t>
  </si>
  <si>
    <t xml:space="preserve">sich ärgern über + Akkusativ</t>
  </si>
  <si>
    <t xml:space="preserve">Er ärgert sich über seinen Fehler.</t>
  </si>
  <si>
    <t xml:space="preserve">[ʔɛɐ̯ ˈʔɛʁɡɐt zɪç ˌʔyːbɐ ˌzaɪnən ˈfeːlɐ]</t>
  </si>
  <si>
    <t xml:space="preserve">Anh ấy bực vì lỗi của mình.</t>
  </si>
  <si>
    <t xml:space="preserve">sich ärgern = bực mình; der Fehler = lỗi</t>
  </si>
  <si>
    <t xml:space="preserve">S0913</t>
  </si>
  <si>
    <t xml:space="preserve">sich interessieren für</t>
  </si>
  <si>
    <t xml:space="preserve">Ich interessiere mich nicht für Politik.</t>
  </si>
  <si>
    <t xml:space="preserve">[ʔɪç ˌʔɪntəʁɛˈsiːʁə mɪç ˈnɪçt fyːɐ̯ poːliːˈtiːk]</t>
  </si>
  <si>
    <t xml:space="preserve">Tôi không quan tâm chính trị.</t>
  </si>
  <si>
    <t xml:space="preserve">die Politik = chính trị</t>
  </si>
  <si>
    <t xml:space="preserve">S0914</t>
  </si>
  <si>
    <t xml:space="preserve">sich anmelden tách</t>
  </si>
  <si>
    <t xml:space="preserve">Bitte melden Sie sich bis Freitag an.</t>
  </si>
  <si>
    <t xml:space="preserve">[ˈbɪtə ˈmɛldən ziː zɪç bɪs ˈfʁaɪtaːk ˈʔan]</t>
  </si>
  <si>
    <t xml:space="preserve">Xin đăng ký trước thứ Sáu.</t>
  </si>
  <si>
    <t xml:space="preserve">sich anmelden = đăng ký</t>
  </si>
  <si>
    <t xml:space="preserve">S0915</t>
  </si>
  <si>
    <t xml:space="preserve">sich kümmern um + Akkusativ</t>
  </si>
  <si>
    <t xml:space="preserve">Sie kümmert sich um ihre Eltern.</t>
  </si>
  <si>
    <t xml:space="preserve">[ziː ˈkymɐt zɪç ʔʊm ˌʔiːʁə ˈʔɛltɐn]</t>
  </si>
  <si>
    <t xml:space="preserve">Cô ấy chăm sóc bố mẹ.</t>
  </si>
  <si>
    <t xml:space="preserve">sich kümmern = chăm lo</t>
  </si>
  <si>
    <t xml:space="preserve">S0916</t>
  </si>
  <si>
    <t xml:space="preserve">sich gewöhnen an + da-Komposita</t>
  </si>
  <si>
    <t xml:space="preserve">Ich habe mich daran gewöhnt.</t>
  </si>
  <si>
    <t xml:space="preserve">[ʔɪç haːbə mɪç daːˈʁan ɡəˈvøːnt]</t>
  </si>
  <si>
    <t xml:space="preserve">Tôi đã quen với chuyện đó.</t>
  </si>
  <si>
    <t xml:space="preserve">sich gewöhnen = làm quen</t>
  </si>
  <si>
    <t xml:space="preserve">S0917</t>
  </si>
  <si>
    <t xml:space="preserve">sich verabreden tương hỗ</t>
  </si>
  <si>
    <t xml:space="preserve">Wir haben uns verabredet.</t>
  </si>
  <si>
    <t xml:space="preserve">[viːɐ̯ ˌhaːbən ʔʊns fɛˈʁaˌpʁeːdət]</t>
  </si>
  <si>
    <t xml:space="preserve">Chúng tôi đã hẹn nhau.</t>
  </si>
  <si>
    <t xml:space="preserve">sich verabreden = hẹn nhau</t>
  </si>
  <si>
    <t xml:space="preserve">S0918</t>
  </si>
  <si>
    <t xml:space="preserve">sich entschuldigen für</t>
  </si>
  <si>
    <t xml:space="preserve">Er entschuldigte sich für die Verspätung.</t>
  </si>
  <si>
    <t xml:space="preserve">[ʔɛɐ̯ ʔɛntˈʃʊldɪçtə zɪç fyːɐ̯ diː fɛʁˈʃpɛːtʊŋ]</t>
  </si>
  <si>
    <t xml:space="preserve">Anh ấy xin lỗi vì đến muộn.</t>
  </si>
  <si>
    <t xml:space="preserve">S0919</t>
  </si>
  <si>
    <t xml:space="preserve">sich lohnen = đáng công</t>
  </si>
  <si>
    <t xml:space="preserve">Das lohnt sich wirklich nicht.</t>
  </si>
  <si>
    <t xml:space="preserve">[das ˈloːnt zɪç ˈvɪʁklɪç ˈnɪçt]</t>
  </si>
  <si>
    <t xml:space="preserve">Cái đó thật sự không đáng.</t>
  </si>
  <si>
    <t xml:space="preserve">sich lohnen = đáng</t>
  </si>
  <si>
    <t xml:space="preserve">S0920</t>
  </si>
  <si>
    <t xml:space="preserve">sich vorstellen + Dativ = tưởng tượng</t>
  </si>
  <si>
    <t xml:space="preserve">Stell dir vor, was dann passierte!</t>
  </si>
  <si>
    <t xml:space="preserve">[ˈʃtɛl diːɐ̯ ˈfɔɐ̯, ˈvas dan paˈsiːɐ̯tə]</t>
  </si>
  <si>
    <t xml:space="preserve">Bạn thử tưởng tượng rồi chuyện gì xảy ra!</t>
  </si>
  <si>
    <t xml:space="preserve">sich vorstellen = tưởng tượng</t>
  </si>
  <si>
    <t xml:space="preserve">S0921</t>
  </si>
  <si>
    <t xml:space="preserve">Động từ + giới từ &amp; da-/wo-Komposita</t>
  </si>
  <si>
    <t xml:space="preserve">denken an + Akkusativ</t>
  </si>
  <si>
    <t xml:space="preserve">Ich denke oft an meine Familie.</t>
  </si>
  <si>
    <t xml:space="preserve">[ʔɪç ˈdɛŋkə ˈʔɔft ʔan ˌmaɪnə faˈmiːlɪə]</t>
  </si>
  <si>
    <t xml:space="preserve">Tôi hay nghĩ về gia đình.</t>
  </si>
  <si>
    <t xml:space="preserve">denken an = nghĩ về</t>
  </si>
  <si>
    <t xml:space="preserve">S0922</t>
  </si>
  <si>
    <t xml:space="preserve">woran cho vật/khái niệm</t>
  </si>
  <si>
    <t xml:space="preserve">Woran denkst du gerade?</t>
  </si>
  <si>
    <t xml:space="preserve">[voːˈʁan ˈdɛŋkst duː ɡəˈʁaːdə]</t>
  </si>
  <si>
    <t xml:space="preserve">Bạn đang nghĩ gì vậy?</t>
  </si>
  <si>
    <t xml:space="preserve">woran = về cái gì</t>
  </si>
  <si>
    <t xml:space="preserve">S0923</t>
  </si>
  <si>
    <t xml:space="preserve">Ich warte auf deine Antwort.</t>
  </si>
  <si>
    <t xml:space="preserve">[ʔɪç ˈvaʁtə ʔaʊf ˌdaɪnə ˈʔantvɔʁt]</t>
  </si>
  <si>
    <t xml:space="preserve">Tôi chờ câu trả lời của bạn.</t>
  </si>
  <si>
    <t xml:space="preserve">S0924</t>
  </si>
  <si>
    <t xml:space="preserve">darauf thay thế cho vật</t>
  </si>
  <si>
    <t xml:space="preserve">Darauf habe ich lange gewartet.</t>
  </si>
  <si>
    <t xml:space="preserve">[daːˈʁaʊf haːbə ʔɪç ˈlaŋə ɡəˈvaʁtət]</t>
  </si>
  <si>
    <t xml:space="preserve">Tôi đã chờ điều đó từ lâu.</t>
  </si>
  <si>
    <t xml:space="preserve">darauf = về/vào điều đó</t>
  </si>
  <si>
    <t xml:space="preserve">S0925</t>
  </si>
  <si>
    <t xml:space="preserve">hängen an + Dativ</t>
  </si>
  <si>
    <t xml:space="preserve">Er hängt sehr an seiner Heimat.</t>
  </si>
  <si>
    <t xml:space="preserve">[ʔɛɐ̯ ˈhɛŋt ˈzeːɐ̯ ʔan ˌzaɪnɐ ˈhaɪmaːt]</t>
  </si>
  <si>
    <t xml:space="preserve">Anh ấy rất gắn bó với quê hương.</t>
  </si>
  <si>
    <t xml:space="preserve">die Heimat = quê hương</t>
  </si>
  <si>
    <t xml:space="preserve">S0926</t>
  </si>
  <si>
    <t xml:space="preserve">worüber = về cái gì</t>
  </si>
  <si>
    <t xml:space="preserve">Worüber habt ihr gesprochen?</t>
  </si>
  <si>
    <t xml:space="preserve">[ˈvoːʁyːbɐ ˈhaːpt ʔiːɐ̯ ɡəˈʃpʁɔxən]</t>
  </si>
  <si>
    <t xml:space="preserve">Các bạn đã nói về chuyện gì?</t>
  </si>
  <si>
    <t xml:space="preserve">sprechen über = nói về</t>
  </si>
  <si>
    <t xml:space="preserve">S0927</t>
  </si>
  <si>
    <t xml:space="preserve">leiden unter + Dativ</t>
  </si>
  <si>
    <t xml:space="preserve">Sie leidet unter dem Stress.</t>
  </si>
  <si>
    <t xml:space="preserve">[ziː ˈlaɪdət ˌʔʊntɐ deːm ˈʃtʁɛs]</t>
  </si>
  <si>
    <t xml:space="preserve">Cô ấy khổ vì căng thẳng.</t>
  </si>
  <si>
    <t xml:space="preserve">leiden unter = chịu đựng</t>
  </si>
  <si>
    <t xml:space="preserve">S0928</t>
  </si>
  <si>
    <t xml:space="preserve">Es kommt auf die Umstände an.</t>
  </si>
  <si>
    <t xml:space="preserve">[ʔɛs ˈkɔmt ʔaʊf diː ˈʔʊmˌʃtɛndə ˈʔan]</t>
  </si>
  <si>
    <t xml:space="preserve">Còn tùy hoàn cảnh.</t>
  </si>
  <si>
    <t xml:space="preserve">die Umstände = hoàn cảnh</t>
  </si>
  <si>
    <t xml:space="preserve">S0929</t>
  </si>
  <si>
    <t xml:space="preserve">stolz auf + Akkusativ</t>
  </si>
  <si>
    <t xml:space="preserve">Ich bin stolz auf dich.</t>
  </si>
  <si>
    <t xml:space="preserve">[ʔɪç bɪn ˈʃtɔlts ʔaʊf ˈdɪç]</t>
  </si>
  <si>
    <t xml:space="preserve">Tôi tự hào về bạn.</t>
  </si>
  <si>
    <t xml:space="preserve">stolz = tự hào</t>
  </si>
  <si>
    <t xml:space="preserve">S0930</t>
  </si>
  <si>
    <t xml:space="preserve">rechnen mit + Dativ</t>
  </si>
  <si>
    <t xml:space="preserve">Wir rechnen mit Verzögerungen.</t>
  </si>
  <si>
    <t xml:space="preserve">[viːɐ̯ ˈʁɛçnən mɪt fɛʁˈtsøːɡəˌʁʊŋən]</t>
  </si>
  <si>
    <t xml:space="preserve">Chúng tôi tính đến khả năng chậm trễ.</t>
  </si>
  <si>
    <t xml:space="preserve">rechnen mit = tính đến; die Verzögerung = sự chậm trễ</t>
  </si>
  <si>
    <t xml:space="preserve">S0931</t>
  </si>
  <si>
    <t xml:space="preserve">sich beschweren bei + Dativ</t>
  </si>
  <si>
    <t xml:space="preserve">Er hat sich bei mir beschwert.</t>
  </si>
  <si>
    <t xml:space="preserve">[ʔɛɐ̯ hat zɪç baɪ miːɐ̯ bəˈʃveːɐ̯t]</t>
  </si>
  <si>
    <t xml:space="preserve">Anh ấy đã phàn nàn với tôi.</t>
  </si>
  <si>
    <t xml:space="preserve">sich beschweren = phàn nàn</t>
  </si>
  <si>
    <t xml:space="preserve">S0932</t>
  </si>
  <si>
    <t xml:space="preserve">abhängen von + davon ... wie</t>
  </si>
  <si>
    <t xml:space="preserve">Das hängt davon ab, wie viel Zeit wir haben.</t>
  </si>
  <si>
    <t xml:space="preserve">[das ˈhɛŋt daːˈfɔn ˈʔap, viː ˈfiːl ˈtsaɪt viːɐ̯ ˈhaːbən]</t>
  </si>
  <si>
    <t xml:space="preserve">Chuyện đó tùy vào việc chúng ta có bao nhiêu thời gian.</t>
  </si>
  <si>
    <t xml:space="preserve">abhängen von = phụ thuộc vào</t>
  </si>
  <si>
    <t xml:space="preserve">S0933</t>
  </si>
  <si>
    <t xml:space="preserve">zweifeln an + Dativ</t>
  </si>
  <si>
    <t xml:space="preserve">Ich zweifle nicht an deiner Ehrlichkeit.</t>
  </si>
  <si>
    <t xml:space="preserve">[ʔɪç ˈtsvaɪflə ˈnɪçt ʔan ˌdaɪnɐ ˈʔeːɐ̯lɪçˌkaɪt]</t>
  </si>
  <si>
    <t xml:space="preserve">Tôi không nghi ngờ sự thành thật của bạn.</t>
  </si>
  <si>
    <t xml:space="preserve">die Ehrlichkeit = sự thành thật</t>
  </si>
  <si>
    <t xml:space="preserve">S0934</t>
  </si>
  <si>
    <t xml:space="preserve">Sie bittet um mehr Bedenkzeit.</t>
  </si>
  <si>
    <t xml:space="preserve">[ziː ˈbɪtət ʔʊm ˈmeːɐ̯ bəˈdɛŋktsaɪt]</t>
  </si>
  <si>
    <t xml:space="preserve">Cô ấy xin thêm thời gian suy nghĩ.</t>
  </si>
  <si>
    <t xml:space="preserve">bitten um = xin; die Bedenkzeit = thời gian suy nghĩ</t>
  </si>
  <si>
    <t xml:space="preserve">S0935</t>
  </si>
  <si>
    <t xml:space="preserve">wofür = cho/về cái gì</t>
  </si>
  <si>
    <t xml:space="preserve">Wofür interessierst du dich?</t>
  </si>
  <si>
    <t xml:space="preserve">[ˈvoːfyːɐ̯ ˌʔɪntəʁɛˈsiːɐ̯st duː ˈdɪç]</t>
  </si>
  <si>
    <t xml:space="preserve">Bạn quan tâm đến cái gì?</t>
  </si>
  <si>
    <t xml:space="preserve">S0936</t>
  </si>
  <si>
    <t xml:space="preserve">daran thay vật</t>
  </si>
  <si>
    <t xml:space="preserve">Ich erinnere mich nicht daran.</t>
  </si>
  <si>
    <t xml:space="preserve">[ʔɪç ʔɛˈʁɪnəʁə mɪç ˈnɪçt daːˈʁan]</t>
  </si>
  <si>
    <t xml:space="preserve">Tôi không nhớ chuyện đó.</t>
  </si>
  <si>
    <t xml:space="preserve">daran = về điều đó</t>
  </si>
  <si>
    <t xml:space="preserve">S0937</t>
  </si>
  <si>
    <t xml:space="preserve">sich beschäftigen mit + Dativ</t>
  </si>
  <si>
    <t xml:space="preserve">Er beschäftigt sich mit künstlicher Intelligenz.</t>
  </si>
  <si>
    <t xml:space="preserve">[ʔɛɐ̯ bəˈʃɛftɪçt zɪç mɪt ˈkynstlɪçɐ ˌʔɪntəlɪˈɡɛnts]</t>
  </si>
  <si>
    <t xml:space="preserve">Anh ấy nghiên cứu trí tuệ nhân tạo.</t>
  </si>
  <si>
    <t xml:space="preserve">die künstliche Intelligenz = trí tuệ nhân tạo</t>
  </si>
  <si>
    <t xml:space="preserve">S0938</t>
  </si>
  <si>
    <t xml:space="preserve">hoffen auf + Akkusativ</t>
  </si>
  <si>
    <t xml:space="preserve">Wir hoffen auf eine schnelle Lösung.</t>
  </si>
  <si>
    <t xml:space="preserve">[viːɐ̯ ˈhɔfən ʔaʊf ˌʔaɪnə ˈʃnɛlə ˈløːzʊŋ]</t>
  </si>
  <si>
    <t xml:space="preserve">Chúng tôi mong có giải pháp nhanh.</t>
  </si>
  <si>
    <t xml:space="preserve">hoffen auf = hy vọng vào</t>
  </si>
  <si>
    <t xml:space="preserve">S0939</t>
  </si>
  <si>
    <t xml:space="preserve">es handelt sich um = đây là</t>
  </si>
  <si>
    <t xml:space="preserve">Es handelt sich um ein Missverständnis.</t>
  </si>
  <si>
    <t xml:space="preserve">[ʔɛs ˈhandəlt zɪç ʔʊm ʔaɪn ˈmɪsfɐˌʃtɛndnɪs]</t>
  </si>
  <si>
    <t xml:space="preserve">Đây là một sự hiểu lầm.</t>
  </si>
  <si>
    <t xml:space="preserve">das Missverständnis = hiểu lầm</t>
  </si>
  <si>
    <t xml:space="preserve">S0940</t>
  </si>
  <si>
    <t xml:space="preserve">womit = bằng cái gì</t>
  </si>
  <si>
    <t xml:space="preserve">Womit kann ich Ihnen helfen?</t>
  </si>
  <si>
    <t xml:space="preserve">[voːˈmɪt ˌkan ʔɪç ˌʔiːnən ˈhɛlfən]</t>
  </si>
  <si>
    <t xml:space="preserve">womit = với cái gì</t>
  </si>
  <si>
    <t xml:space="preserve">S0941</t>
  </si>
  <si>
    <t xml:space="preserve">Mệnh đề nguyên mẫu với zu</t>
  </si>
  <si>
    <t xml:space="preserve">Mệnh đề nguyên mẫu</t>
  </si>
  <si>
    <t xml:space="preserve">vorhaben + zu-Infinitiv</t>
  </si>
  <si>
    <t xml:space="preserve">Ich habe vor, nächstes Jahr zu heiraten.</t>
  </si>
  <si>
    <t xml:space="preserve">[ʔɪç haːbə ˈfɔɐ̯, ˈnɛçstəs ˈjaːɐ̯ tsuː haɪˈʁaːtən]</t>
  </si>
  <si>
    <t xml:space="preserve">Tôi dự định năm sau kết hôn.</t>
  </si>
  <si>
    <t xml:space="preserve">vorhaben = dự định</t>
  </si>
  <si>
    <t xml:space="preserve">S0942</t>
  </si>
  <si>
    <t xml:space="preserve">Es ist + Adjektiv + zu-Infinitiv</t>
  </si>
  <si>
    <t xml:space="preserve">Es ist nicht leicht, eine Sprache zu lernen.</t>
  </si>
  <si>
    <t xml:space="preserve">[ʔɛsɪst ˈnɪçt ˈlaɪçt, ˌʔaɪnə ˈʃpʁaːxə tsuː ˈlɛʁnən]</t>
  </si>
  <si>
    <t xml:space="preserve">Học một ngôn ngữ không dễ.</t>
  </si>
  <si>
    <t xml:space="preserve">leicht = dễ</t>
  </si>
  <si>
    <t xml:space="preserve">S0943</t>
  </si>
  <si>
    <t xml:space="preserve">um ... zu = để</t>
  </si>
  <si>
    <t xml:space="preserve">Ich lerne Deutsch, um in Deutschland zu studieren.</t>
  </si>
  <si>
    <t xml:space="preserve">[ʔɪç ˈlɛʁnə ˈdɔøtʃ, ʔʊm ʔɪn ˈdɔøtʃlant tsuː ʃtuːˈdiːʁən]</t>
  </si>
  <si>
    <t xml:space="preserve">Tôi học tiếng Đức để du học ở Đức.</t>
  </si>
  <si>
    <t xml:space="preserve">um ... zu = để mà</t>
  </si>
  <si>
    <t xml:space="preserve">S0944</t>
  </si>
  <si>
    <t xml:space="preserve">ohne ... zu = mà không</t>
  </si>
  <si>
    <t xml:space="preserve">Er ging weg, ohne etwas zu sagen.</t>
  </si>
  <si>
    <t xml:space="preserve">[ʔɛɐ̯ ˈɡɪŋ ˈvɛk, ˈʔoːnə ˈʔɛtvaːs tsuː ˈzaːɡən]</t>
  </si>
  <si>
    <t xml:space="preserve">Anh ấy bỏ đi mà không nói gì.</t>
  </si>
  <si>
    <t xml:space="preserve">S0945</t>
  </si>
  <si>
    <t xml:space="preserve">statt ... zu = thay vì</t>
  </si>
  <si>
    <t xml:space="preserve">Statt zu arbeiten, schaut er Serien.</t>
  </si>
  <si>
    <t xml:space="preserve">[ˈʃtat tsuː ˈʔaʁbaɪtən, ˈʃaʊt ʔɛɐ̯ zeːˈʁiːən]</t>
  </si>
  <si>
    <t xml:space="preserve">Thay vì làm việc anh ta xem phim bộ.</t>
  </si>
  <si>
    <t xml:space="preserve">S0946</t>
  </si>
  <si>
    <t xml:space="preserve">zu chèn giữa động từ tách: ab-zu-schließen</t>
  </si>
  <si>
    <t xml:space="preserve">Ich habe vergessen, die Tür abzuschließen.</t>
  </si>
  <si>
    <t xml:space="preserve">[ʔɪç haːbə fɛʁˈɡɛsən, diː ˈtyːɐ̯ ˈʔaptsuːˌʃliːsən]</t>
  </si>
  <si>
    <t xml:space="preserve">Tôi quên khóa cửa.</t>
  </si>
  <si>
    <t xml:space="preserve">abschließen = khóa</t>
  </si>
  <si>
    <t xml:space="preserve">S0947</t>
  </si>
  <si>
    <t xml:space="preserve">versuchen + zu</t>
  </si>
  <si>
    <t xml:space="preserve">Sie versucht, pünktlich zu sein.</t>
  </si>
  <si>
    <t xml:space="preserve">[ziː fɛʁˈzuːxt, ˈpyŋktlɪç tsuː zaɪn]</t>
  </si>
  <si>
    <t xml:space="preserve">Cô ấy cố gắng đúng giờ.</t>
  </si>
  <si>
    <t xml:space="preserve">versuchen = cố gắng</t>
  </si>
  <si>
    <t xml:space="preserve">S0948</t>
  </si>
  <si>
    <t xml:space="preserve">Spaß machen + zu</t>
  </si>
  <si>
    <t xml:space="preserve">Es macht Spaß, mit dir zu reden.</t>
  </si>
  <si>
    <t xml:space="preserve">[ʔɛs ˈmaxt ˈʃpaːs, mɪt diːɐ̯ tsuː ˈʁeːdən]</t>
  </si>
  <si>
    <t xml:space="preserve">Nói chuyện với bạn rất vui.</t>
  </si>
  <si>
    <t xml:space="preserve">reden = nói chuyện</t>
  </si>
  <si>
    <t xml:space="preserve">S0949</t>
  </si>
  <si>
    <t xml:space="preserve">Lust haben + zu</t>
  </si>
  <si>
    <t xml:space="preserve">Ich habe keine Lust, heute auszugehen.</t>
  </si>
  <si>
    <t xml:space="preserve">[ʔɪç haːbə ˈkaɪnə ˈlʊst, ˈhɔøtə ˈʔaʊsˌtsuːɡeːən]</t>
  </si>
  <si>
    <t xml:space="preserve">Hôm nay tôi không có hứng ra ngoài.</t>
  </si>
  <si>
    <t xml:space="preserve">S0950</t>
  </si>
  <si>
    <t xml:space="preserve">hoffen + zu (cùng chủ ngữ)</t>
  </si>
  <si>
    <t xml:space="preserve">Er hofft, bald eine Stelle zu finden.</t>
  </si>
  <si>
    <t xml:space="preserve">[ʔɛɐ̯ ˈhɔft, ˈbalt ˌʔaɪnə ˈʃtɛlə tsuː ˈfɪndən]</t>
  </si>
  <si>
    <t xml:space="preserve">Anh ấy mong sớm tìm được việc.</t>
  </si>
  <si>
    <t xml:space="preserve">S0951</t>
  </si>
  <si>
    <t xml:space="preserve">bitten + Akkusativ + zu</t>
  </si>
  <si>
    <t xml:space="preserve">Ich bitte Sie, das Formular auszufüllen.</t>
  </si>
  <si>
    <t xml:space="preserve">[ʔɪç ˈbɪtə ziː, das ˌfɔʁmuːˈlaːɐ̯ ˈʔaʊstsuːˌfylən]</t>
  </si>
  <si>
    <t xml:space="preserve">Tôi đề nghị ông/bà điền biểu mẫu.</t>
  </si>
  <si>
    <t xml:space="preserve">ausfüllen = điền</t>
  </si>
  <si>
    <t xml:space="preserve">S0952</t>
  </si>
  <si>
    <t xml:space="preserve">verboten + zu</t>
  </si>
  <si>
    <t xml:space="preserve">Es ist verboten, hier zu parken.</t>
  </si>
  <si>
    <t xml:space="preserve">[ʔɛsɪst fɛʁˈboːtən, ˈhiːɐ̯ tsuː ˈpaʁkən]</t>
  </si>
  <si>
    <t xml:space="preserve">Cấm đỗ xe ở đây.</t>
  </si>
  <si>
    <t xml:space="preserve">S0953</t>
  </si>
  <si>
    <t xml:space="preserve">annehmen -&gt; anzunehmen</t>
  </si>
  <si>
    <t xml:space="preserve">Sie beschloss, das Angebot anzunehmen.</t>
  </si>
  <si>
    <t xml:space="preserve">[ziː bəˈʃlɔs, das ˈʔanɡəˌboːt ˈʔantsuːˌneːmən]</t>
  </si>
  <si>
    <t xml:space="preserve">Cô ấy quyết định nhận lời đề nghị.</t>
  </si>
  <si>
    <t xml:space="preserve">annehmen = chấp nhận</t>
  </si>
  <si>
    <t xml:space="preserve">S0954</t>
  </si>
  <si>
    <t xml:space="preserve">darauf + zu-Infinitiv</t>
  </si>
  <si>
    <t xml:space="preserve">Ich freue mich darauf, dich zu sehen.</t>
  </si>
  <si>
    <t xml:space="preserve">[ʔɪç ˈfʁɔøə mɪç daːˈʁaʊf, dɪç tsuː ˈzeːən]</t>
  </si>
  <si>
    <t xml:space="preserve">Tôi mong được gặp bạn.</t>
  </si>
  <si>
    <t xml:space="preserve">sich freuen darauf = mong chờ</t>
  </si>
  <si>
    <t xml:space="preserve">S0955</t>
  </si>
  <si>
    <t xml:space="preserve">anstatt ... zu + reflexiv</t>
  </si>
  <si>
    <t xml:space="preserve">Anstatt sich zu beschweren, sollte er handeln.</t>
  </si>
  <si>
    <t xml:space="preserve">[ˈʔanˌʃtat zɪç tsuː bəˈʃveːʁən, ˌzɔltə ʔɛɐ̯ ˈhandəln]</t>
  </si>
  <si>
    <t xml:space="preserve">Thay vì phàn nàn anh ta nên hành động.</t>
  </si>
  <si>
    <t xml:space="preserve">handeln = hành động</t>
  </si>
  <si>
    <t xml:space="preserve">S0956</t>
  </si>
  <si>
    <t xml:space="preserve">ohne zu + Infinitiv đầu câu</t>
  </si>
  <si>
    <t xml:space="preserve">Ohne zu zögern sagte sie Ja.</t>
  </si>
  <si>
    <t xml:space="preserve">[ˈʔoːnə tsuː ˈtsøːɡɐn ˈzaːɡtə ziː ˈjaː]</t>
  </si>
  <si>
    <t xml:space="preserve">Không chút do dự cô ấy nói đồng ý.</t>
  </si>
  <si>
    <t xml:space="preserve">zögern = do dự</t>
  </si>
  <si>
    <t xml:space="preserve">S0957</t>
  </si>
  <si>
    <t xml:space="preserve">sich lohnen + zu</t>
  </si>
  <si>
    <t xml:space="preserve">Es lohnt sich, früh zu buchen.</t>
  </si>
  <si>
    <t xml:space="preserve">[ʔɛs ˈloːnt zɪç, ˈfʁyː tsuː ˈbuːxən]</t>
  </si>
  <si>
    <t xml:space="preserve">Đặt sớm thì đáng.</t>
  </si>
  <si>
    <t xml:space="preserve">S0958</t>
  </si>
  <si>
    <t xml:space="preserve">bereit sein + zu</t>
  </si>
  <si>
    <t xml:space="preserve">Ich bin bereit, mehr zu lernen.</t>
  </si>
  <si>
    <t xml:space="preserve">[ʔɪç bɪn bəˈʁaɪt, ˈmeːɐ̯ tsuː ˈlɛʁnən]</t>
  </si>
  <si>
    <t xml:space="preserve">Tôi sẵn sàng học thêm.</t>
  </si>
  <si>
    <t xml:space="preserve">S0959</t>
  </si>
  <si>
    <t xml:space="preserve">zu + Perfekt Infinitiv</t>
  </si>
  <si>
    <t xml:space="preserve">Er behauptet, nichts davon gewusst zu haben.</t>
  </si>
  <si>
    <t xml:space="preserve">[ʔɛɐ̯ bəˈhaʊptət, ˈnɪçts daːˈfɔn ɡəˈvʊst tsuː ˈhaːbən]</t>
  </si>
  <si>
    <t xml:space="preserve">Anh ta khẳng định không biết gì về chuyện đó.</t>
  </si>
  <si>
    <t xml:space="preserve">S0960</t>
  </si>
  <si>
    <t xml:space="preserve">Imperativ + zu-Infinitiv</t>
  </si>
  <si>
    <t xml:space="preserve">Vergiss nicht, mir Bescheid zu sagen.</t>
  </si>
  <si>
    <t xml:space="preserve">[fɛʁˈɡɪs ˈnɪçt, miːɐ̯ bəˈʃaɪt tsuː ˈzaːɡən]</t>
  </si>
  <si>
    <t xml:space="preserve">Đừng quên báo tôi nhé.</t>
  </si>
  <si>
    <t xml:space="preserve">S0961</t>
  </si>
  <si>
    <t xml:space="preserve">Mục đích &amp; kết quả (damit, so dass)</t>
  </si>
  <si>
    <t xml:space="preserve">damit khi hai chủ ngữ khác nhau</t>
  </si>
  <si>
    <t xml:space="preserve">Ich spreche langsam, damit du mich verstehst.</t>
  </si>
  <si>
    <t xml:space="preserve">[ʔɪç ˈʃpʁɛçə ˈlaŋzaːm, daːˈmɪt duː mɪç fɛʁˈʃteːst]</t>
  </si>
  <si>
    <t xml:space="preserve">Tôi nói chậm để bạn hiểu tôi.</t>
  </si>
  <si>
    <t xml:space="preserve">damit = để</t>
  </si>
  <si>
    <t xml:space="preserve">S0962</t>
  </si>
  <si>
    <t xml:space="preserve">um ... zu khi cùng chủ ngữ</t>
  </si>
  <si>
    <t xml:space="preserve">Er spart Geld, um ein Haus zu kaufen.</t>
  </si>
  <si>
    <t xml:space="preserve">[ʔɛɐ̯ ˈʃpaʁt ˈɡɛlt, ʔʊm ʔaɪn ˈhaʊs tsuː ˈkaʊfən]</t>
  </si>
  <si>
    <t xml:space="preserve">Anh ấy tiết kiệm để mua nhà.</t>
  </si>
  <si>
    <t xml:space="preserve">S0963</t>
  </si>
  <si>
    <t xml:space="preserve">so ... dass = đến mức</t>
  </si>
  <si>
    <t xml:space="preserve">Es regnete so stark, dass wir blieben.</t>
  </si>
  <si>
    <t xml:space="preserve">[ʔɛs ˈʁɛɡnətə zoː ˈʃtaʁk, das viːɐ̯ ˈbliːbən]</t>
  </si>
  <si>
    <t xml:space="preserve">Mưa to đến mức chúng tôi ở lại.</t>
  </si>
  <si>
    <t xml:space="preserve">so dass = đến nỗi</t>
  </si>
  <si>
    <t xml:space="preserve">S0964</t>
  </si>
  <si>
    <t xml:space="preserve">sodass chỉ kết quả</t>
  </si>
  <si>
    <t xml:space="preserve">Sie arbeitet hart, sodass sie erschöpft ist.</t>
  </si>
  <si>
    <t xml:space="preserve">[ziː ˈʔaʁbaɪtət ˈhaʁt, zoːˌdas ziː ʔɛʁˈʃœpft ʔɪst]</t>
  </si>
  <si>
    <t xml:space="preserve">Cô ấy làm việc vất vả nên kiệt sức.</t>
  </si>
  <si>
    <t xml:space="preserve">erschöpft = kiệt sức</t>
  </si>
  <si>
    <t xml:space="preserve">S0965</t>
  </si>
  <si>
    <t xml:space="preserve">damit + nicht</t>
  </si>
  <si>
    <t xml:space="preserve">Ich schreibe es auf, damit ich es nicht vergesse.</t>
  </si>
  <si>
    <t xml:space="preserve">[ʔɪç ˈʃʁaɪbə ʔɛs ˈʔaʊf, daːˈmɪt ʔɪç ʔɛs ˈnɪçt fɛʁɡəˈseː]</t>
  </si>
  <si>
    <t xml:space="preserve">Tôi ghi ra để khỏi quên.</t>
  </si>
  <si>
    <t xml:space="preserve">S0966</t>
  </si>
  <si>
    <t xml:space="preserve">einschlafen -&gt; schlief ein</t>
  </si>
  <si>
    <t xml:space="preserve">Der Film war so lang, dass ich einschlief.</t>
  </si>
  <si>
    <t xml:space="preserve">[dɛɐ̯ ˈfɪlm vaːɐ̯ zoː ˈlaŋ, das ʔɪç ˈʔaɪnˌʃliːf]</t>
  </si>
  <si>
    <t xml:space="preserve">Phim dài đến mức tôi ngủ gật.</t>
  </si>
  <si>
    <t xml:space="preserve">einschlafen = ngủ thiếp</t>
  </si>
  <si>
    <t xml:space="preserve">S0967</t>
  </si>
  <si>
    <t xml:space="preserve">vermeiden = tránh</t>
  </si>
  <si>
    <t xml:space="preserve">Wir gehen früh los, um den Stau zu vermeiden.</t>
  </si>
  <si>
    <t xml:space="preserve">[viːɐ̯ ˈɡeːən ˈfʁyː ˈloːs, ʔʊm deːn ˈʃtaʊ tsuː fɛʁˈmaɪdən]</t>
  </si>
  <si>
    <t xml:space="preserve">Chúng ta đi sớm để tránh kẹt xe.</t>
  </si>
  <si>
    <t xml:space="preserve">S0968</t>
  </si>
  <si>
    <t xml:space="preserve">damit + Präteritum</t>
  </si>
  <si>
    <t xml:space="preserve">Er redete leise, damit niemand ihn hörte.</t>
  </si>
  <si>
    <t xml:space="preserve">[ʔɛɐ̯ ˈʁeːdətə ˈlaɪzə, daːˈmɪt ˈniːmant ʔiːn ˈhœʁtə]</t>
  </si>
  <si>
    <t xml:space="preserve">Anh ấy nói khẽ để không ai nghe.</t>
  </si>
  <si>
    <t xml:space="preserve">leise = khẽ</t>
  </si>
  <si>
    <t xml:space="preserve">S0969</t>
  </si>
  <si>
    <t xml:space="preserve">zu ... als dass</t>
  </si>
  <si>
    <t xml:space="preserve">Die Aufgabe war zu schwer, als dass ich sie lösen konnte.</t>
  </si>
  <si>
    <t xml:space="preserve">[diː ˈʔaʊfˌɡaːbə vaːɐ̯ tsuː ˈʃveːɐ̯, ʔals das ʔɪç ziː ˈløːzən ˈkɔntə]</t>
  </si>
  <si>
    <t xml:space="preserve">Bài tập quá khó để tôi giải được.</t>
  </si>
  <si>
    <t xml:space="preserve">die Aufgabe = bài tập</t>
  </si>
  <si>
    <t xml:space="preserve">S0970</t>
  </si>
  <si>
    <t xml:space="preserve">um zu + sein</t>
  </si>
  <si>
    <t xml:space="preserve">Sie nahm ein Taxi, um pünktlich zu sein.</t>
  </si>
  <si>
    <t xml:space="preserve">[ziː ˈnaːm ʔaɪn ˈtaksiː, ʔʊm ˈpyŋktlɪç tsuː zaɪn]</t>
  </si>
  <si>
    <t xml:space="preserve">Cô ấy bắt taxi để kịp giờ.</t>
  </si>
  <si>
    <t xml:space="preserve">pünktlich = đúng giờ</t>
  </si>
  <si>
    <t xml:space="preserve">S0971</t>
  </si>
  <si>
    <t xml:space="preserve">damit + es gibt</t>
  </si>
  <si>
    <t xml:space="preserve">Ich habe alles erklärt, damit es keine Missverständnisse gibt.</t>
  </si>
  <si>
    <t xml:space="preserve">[ʔɪç haːbə ˈʔaləs ʔɛʁˈklɛʁt, daːˈmɪt ʔɛs ˈkaɪnə ˈmɪsfɐˌʃtɛndnɪsə ˈɡiːpt]</t>
  </si>
  <si>
    <t xml:space="preserve">Tôi giải thích hết để không có hiểu lầm.</t>
  </si>
  <si>
    <t xml:space="preserve">S0972</t>
  </si>
  <si>
    <t xml:space="preserve">so gut, dass</t>
  </si>
  <si>
    <t xml:space="preserve">Das Essen war so gut, dass wir zweimal bestellten.</t>
  </si>
  <si>
    <t xml:space="preserve">[das ˈʔɛsən vaːɐ̯ zoː ˈɡuːt, das viːɐ̯ ˈtsvaɪmaːl bəˈʃtɛltən]</t>
  </si>
  <si>
    <t xml:space="preserve">Món ăn ngon đến mức chúng tôi gọi hai lần.</t>
  </si>
  <si>
    <t xml:space="preserve">S0973</t>
  </si>
  <si>
    <t xml:space="preserve">fit bleiben</t>
  </si>
  <si>
    <t xml:space="preserve">Er trainiert täglich, um fit zu bleiben.</t>
  </si>
  <si>
    <t xml:space="preserve">[ʔɛɐ̯ tʁɛˈniːɐ̯t ˈtɛːklɪç, ʔʊm ˈfiːt tsuː ˈblaɪbən]</t>
  </si>
  <si>
    <t xml:space="preserve">Anh ấy tập mỗi ngày để giữ dáng.</t>
  </si>
  <si>
    <t xml:space="preserve">fit = khỏe/sung sức</t>
  </si>
  <si>
    <t xml:space="preserve">S0974</t>
  </si>
  <si>
    <t xml:space="preserve">es zieht = có gió lùa</t>
  </si>
  <si>
    <t xml:space="preserve">Ich schließe das Fenster, damit es nicht zieht.</t>
  </si>
  <si>
    <t xml:space="preserve">[ʔɪç ˈʃliːsə das ˈfɛnstɐ, daːˈmɪt ʔɛs ˈnɪçt ˈtsiːt]</t>
  </si>
  <si>
    <t xml:space="preserve">Tôi đóng cửa sổ để khỏi lùa gió.</t>
  </si>
  <si>
    <t xml:space="preserve">ziehen = lùa gió</t>
  </si>
  <si>
    <t xml:space="preserve">S0975</t>
  </si>
  <si>
    <t xml:space="preserve">um zu + prüfen</t>
  </si>
  <si>
    <t xml:space="preserve">Wir brauchen mehr Zeit, um das zu prüfen.</t>
  </si>
  <si>
    <t xml:space="preserve">[viːɐ̯ ˈbʁaʊxən ˈmeːɐ̯ ˈtsaɪt, ʔʊm das tsuː ˈpʁyːfən]</t>
  </si>
  <si>
    <t xml:space="preserve">Chúng tôi cần thêm thời gian để kiểm tra.</t>
  </si>
  <si>
    <t xml:space="preserve">prüfen = kiểm tra</t>
  </si>
  <si>
    <t xml:space="preserve">S0976</t>
  </si>
  <si>
    <t xml:space="preserve">so laut, dass</t>
  </si>
  <si>
    <t xml:space="preserve">Der Lärm war so laut, dass ich nichts hörte.</t>
  </si>
  <si>
    <t xml:space="preserve">[dɛɐ̯ ˈlɛʁm vaːɐ̯ zoː ˈlaʊt, das ʔɪç ˈnɪçts ˈhœʁtə]</t>
  </si>
  <si>
    <t xml:space="preserve">Tiếng ồn to đến mức tôi chẳng nghe thấy gì.</t>
  </si>
  <si>
    <t xml:space="preserve">S0977</t>
  </si>
  <si>
    <t xml:space="preserve">damit + chủ ngữ khác</t>
  </si>
  <si>
    <t xml:space="preserve">Sie lernt Deutsch, damit ihre Kinder es auch lernen.</t>
  </si>
  <si>
    <t xml:space="preserve">[ziː ˈlɛʁnt ˈdɔøtʃ, daːˈmɪt ˌʔiːʁə ˈkɪndɐ ʔɛs ˌʔaʊx ˈlɛʁnən]</t>
  </si>
  <si>
    <t xml:space="preserve">Cô ấy học tiếng Đức để các con cũng học theo.</t>
  </si>
  <si>
    <t xml:space="preserve">S0978</t>
  </si>
  <si>
    <t xml:space="preserve">um nicht zu</t>
  </si>
  <si>
    <t xml:space="preserve">Ich stelle den Wecker, um nicht zu verschlafen.</t>
  </si>
  <si>
    <t xml:space="preserve">[ʔɪç ˈʃtɛlə deːn ˈvɛkɐ, ʔʊm ˈnɪçt tsuː fɛʁˈʃlaːfən]</t>
  </si>
  <si>
    <t xml:space="preserve">Tôi đặt báo thức để khỏi ngủ quên.</t>
  </si>
  <si>
    <t xml:space="preserve">der Wecker = đồng hồ báo thức; verschlafen = ngủ quên</t>
  </si>
  <si>
    <t xml:space="preserve">S0979</t>
  </si>
  <si>
    <t xml:space="preserve">zufrieren -&gt; fror zu</t>
  </si>
  <si>
    <t xml:space="preserve">Es war so kalt, dass der See zufror.</t>
  </si>
  <si>
    <t xml:space="preserve">[ʔɛs vaːɐ̯ zoː ˈkalt, das dɛɐ̯ ˈzeː tsuːˈfʁoːɐ̯]</t>
  </si>
  <si>
    <t xml:space="preserve">Lạnh đến mức hồ đóng băng.</t>
  </si>
  <si>
    <t xml:space="preserve">der See = hồ; zufrieren = đóng băng</t>
  </si>
  <si>
    <t xml:space="preserve">S0980</t>
  </si>
  <si>
    <t xml:space="preserve">zum + Nomen hóa chỉ mục đích</t>
  </si>
  <si>
    <t xml:space="preserve">Zum besseren Verständnis gebe ich ein Beispiel.</t>
  </si>
  <si>
    <t xml:space="preserve">[tsʊm ˈbɛsəʁən fɛʁˈʃtɛndnɪs ˈɡeːbə ʔɪç ʔaɪn ˈbaɪʃpiːl]</t>
  </si>
  <si>
    <t xml:space="preserve">Để dễ hiểu hơn tôi đưa một ví dụ.</t>
  </si>
  <si>
    <t xml:space="preserve">das Verständnis = sự hiểu; das Beispiel = ví dụ</t>
  </si>
  <si>
    <t xml:space="preserve">S0981</t>
  </si>
  <si>
    <t xml:space="preserve">Điều kiện &amp; nhượng bộ (falls, sofern, trotzdem)</t>
  </si>
  <si>
    <t xml:space="preserve">falls = trong trường hợp</t>
  </si>
  <si>
    <t xml:space="preserve">Falls es regnet, bleiben wir zu Hause.</t>
  </si>
  <si>
    <t xml:space="preserve">[ˈfals ʔɛs ˈʁɛɡnət, ˈblaɪbən viːɐ̯ tsuː ˈhaʊzə]</t>
  </si>
  <si>
    <t xml:space="preserve">Nếu mưa thì chúng ta ở nhà.</t>
  </si>
  <si>
    <t xml:space="preserve">falls = nếu như</t>
  </si>
  <si>
    <t xml:space="preserve">S0982</t>
  </si>
  <si>
    <t xml:space="preserve">sofern = miễn là</t>
  </si>
  <si>
    <t xml:space="preserve">Sofern nichts dazwischenkommt, komme ich.</t>
  </si>
  <si>
    <t xml:space="preserve">[ˈzoːfɐn ˈnɪçts ˈdatsvɪˌʃɛŋkɔmt, ˈkɔmə ʔɪç]</t>
  </si>
  <si>
    <t xml:space="preserve">Nếu không có gì bất ngờ thì tôi đến.</t>
  </si>
  <si>
    <t xml:space="preserve">S0983</t>
  </si>
  <si>
    <t xml:space="preserve">wenn + Modalverb</t>
  </si>
  <si>
    <t xml:space="preserve">Wenn du willst, können wir früher gehen.</t>
  </si>
  <si>
    <t xml:space="preserve">[ˈvɛn duː vɪlst, ˌkœnən viːɐ̯ ˈfʁyːɐ ˈɡeːən]</t>
  </si>
  <si>
    <t xml:space="preserve">Nếu bạn muốn thì mình đi sớm hơn.</t>
  </si>
  <si>
    <t xml:space="preserve">wollen = muốn</t>
  </si>
  <si>
    <t xml:space="preserve">S0984</t>
  </si>
  <si>
    <t xml:space="preserve">trotzdem đảo chủ ngữ</t>
  </si>
  <si>
    <t xml:space="preserve">Er ist arm, trotzdem hilft er anderen.</t>
  </si>
  <si>
    <t xml:space="preserve">[ʔɛɐ̯ ʔɪst ˈʔaʁm, ˈtʁɔtsdeːm ˈhɪlft ʔɛɐ̯ ˈʔandəʁən]</t>
  </si>
  <si>
    <t xml:space="preserve">Anh ấy nghèo nhưng vẫn giúp người khác.</t>
  </si>
  <si>
    <t xml:space="preserve">trotzdem = dù vậy; arm = nghèo</t>
  </si>
  <si>
    <t xml:space="preserve">S0985</t>
  </si>
  <si>
    <t xml:space="preserve">selbst wenn = ngay cả khi</t>
  </si>
  <si>
    <t xml:space="preserve">Selbst wenn es schwer ist, gebe ich nicht auf.</t>
  </si>
  <si>
    <t xml:space="preserve">[ˈzɛlpst ˌvɛn ʔɛs ˈʃveːɐ̯ ʔɪst, ˈɡeːbə ʔɪç ˈnɪçt ˈʔaʊf]</t>
  </si>
  <si>
    <t xml:space="preserve">Dù khó tôi cũng không bỏ cuộc.</t>
  </si>
  <si>
    <t xml:space="preserve">aufgeben = bỏ cuộc</t>
  </si>
  <si>
    <t xml:space="preserve">S0986</t>
  </si>
  <si>
    <t xml:space="preserve">ohne + Nomen = điều kiện ngầm</t>
  </si>
  <si>
    <t xml:space="preserve">Ohne Visum darf man nicht einreisen.</t>
  </si>
  <si>
    <t xml:space="preserve">[ˈʔoːnə ˈviːzʊm ˈdaʁf man ˈnɪçt ˈʔaɪnˌʁaɪzən]</t>
  </si>
  <si>
    <t xml:space="preserve">Không có visa thì không được nhập cảnh.</t>
  </si>
  <si>
    <t xml:space="preserve">das Visum = thị thực; einreisen = nhập cảnh</t>
  </si>
  <si>
    <t xml:space="preserve">S0987</t>
  </si>
  <si>
    <t xml:space="preserve">angenommen = giả sử</t>
  </si>
  <si>
    <t xml:space="preserve">Angenommen, du bekommst den Job, ziehst du um?</t>
  </si>
  <si>
    <t xml:space="preserve">[ˈʔanɡəˌnɔmən, duː bəˈkɔmst deːn (en)dˈʒɒb(de), ˈtsiːst duː ˈʔʊm]</t>
  </si>
  <si>
    <t xml:space="preserve">Giả sử bạn được nhận việc, bạn sẽ chuyển nhà chứ?</t>
  </si>
  <si>
    <t xml:space="preserve">S0988</t>
  </si>
  <si>
    <t xml:space="preserve">es sei denn = trừ khi</t>
  </si>
  <si>
    <t xml:space="preserve">Es sei denn, du hast eine bessere Idee.</t>
  </si>
  <si>
    <t xml:space="preserve">[ʔɛs ˈzaɪ ˈdɛn, duː hast ˌʔaɪnə ˈbɛsəʁə ʔiːˈdeː]</t>
  </si>
  <si>
    <t xml:space="preserve">Trừ khi bạn có ý hay hơn.</t>
  </si>
  <si>
    <t xml:space="preserve">S0989</t>
  </si>
  <si>
    <t xml:space="preserve">auch wenn = ngay cả khi</t>
  </si>
  <si>
    <t xml:space="preserve">Auch wenn ich müde bin, lerne ich weiter.</t>
  </si>
  <si>
    <t xml:space="preserve">[ˌʔaʊx ˌvɛn ʔɪç ˈmyːdə bɪn, ˈlɛʁnə ʔɪç ˈvaɪtɐ]</t>
  </si>
  <si>
    <t xml:space="preserve">Dù mệt tôi vẫn học tiếp.</t>
  </si>
  <si>
    <t xml:space="preserve">weiterlernen = học tiếp</t>
  </si>
  <si>
    <t xml:space="preserve">S0990</t>
  </si>
  <si>
    <t xml:space="preserve">nur wenn = chỉ khi</t>
  </si>
  <si>
    <t xml:space="preserve">Nur wenn alle zustimmen, machen wir das.</t>
  </si>
  <si>
    <t xml:space="preserve">[ˈnuːɐ̯ ˌvɛn ˈʔalə tsuːˈʃtɪmən, ˈmaxən viːɐ̯ das]</t>
  </si>
  <si>
    <t xml:space="preserve">Chỉ khi mọi người đồng ý thì mình làm.</t>
  </si>
  <si>
    <t xml:space="preserve">zustimmen = đồng ý</t>
  </si>
  <si>
    <t xml:space="preserve">S0991</t>
  </si>
  <si>
    <t xml:space="preserve">im Falle + Genitiv</t>
  </si>
  <si>
    <t xml:space="preserve">Im Falle einer Absage bekommen Sie das Geld zurück.</t>
  </si>
  <si>
    <t xml:space="preserve">[ʔɪm ˈfalə ˌʔaɪnɐ ˈʔapˌzaːɡə bəˈkɔmən ziː das ˈɡɛlt tsuːˈʁyk]</t>
  </si>
  <si>
    <t xml:space="preserve">Trong trường hợp hủy ông/bà sẽ được hoàn tiền.</t>
  </si>
  <si>
    <t xml:space="preserve">die Absage = sự hủy bỏ</t>
  </si>
  <si>
    <t xml:space="preserve">S0992</t>
  </si>
  <si>
    <t xml:space="preserve">sollte đầu câu = điều kiện lịch sự</t>
  </si>
  <si>
    <t xml:space="preserve">Solltest du Fragen haben, melde dich.</t>
  </si>
  <si>
    <t xml:space="preserve">[ˈzɔltəst duː ˈfʁaːɡən ˈhaːbən, ˈmɛldə ˈdɪç]</t>
  </si>
  <si>
    <t xml:space="preserve">Nếu có thắc mắc thì liên hệ nhé.</t>
  </si>
  <si>
    <t xml:space="preserve">sich melden = liên hệ</t>
  </si>
  <si>
    <t xml:space="preserve">S0993</t>
  </si>
  <si>
    <t xml:space="preserve">egal was = bất kể gì</t>
  </si>
  <si>
    <t xml:space="preserve">Ich gehe hin, egal was passiert.</t>
  </si>
  <si>
    <t xml:space="preserve">[ʔɪç ˈɡeːə ˈhɪn, ʔeːˈɡaːl ˈvas paˈsiːɐ̯t]</t>
  </si>
  <si>
    <t xml:space="preserve">Tôi sẽ đến, bất kể chuyện gì xảy ra.</t>
  </si>
  <si>
    <t xml:space="preserve">egal = bất kể</t>
  </si>
  <si>
    <t xml:space="preserve">S0994</t>
  </si>
  <si>
    <t xml:space="preserve">wie auch immer</t>
  </si>
  <si>
    <t xml:space="preserve">Wie auch immer du dich entscheidest, ich unterstütze dich.</t>
  </si>
  <si>
    <t xml:space="preserve">[viː ˌʔaʊx ˈʔɪmɐ duː dɪç ʔɛntˈʃaɪdəst, ʔɪç ˌʔʊntɐˈʃtytsə ˈdɪç]</t>
  </si>
  <si>
    <t xml:space="preserve">Dù bạn quyết thế nào tôi cũng ủng hộ.</t>
  </si>
  <si>
    <t xml:space="preserve">unterstützen = ủng hộ</t>
  </si>
  <si>
    <t xml:space="preserve">S0995</t>
  </si>
  <si>
    <t xml:space="preserve">vorausgesetzt = với điều kiện</t>
  </si>
  <si>
    <t xml:space="preserve">Vorausgesetzt, das Wetter bleibt gut, grillen wir.</t>
  </si>
  <si>
    <t xml:space="preserve">[foːˈʁaʊsɡəˌzɛtst, das ˈvɛtɐ ˈblaɪpt ˈɡuːt, ˈɡʁɪlən viːɐ̯]</t>
  </si>
  <si>
    <t xml:space="preserve">Với điều kiện trời đẹp thì mình nướng thịt.</t>
  </si>
  <si>
    <t xml:space="preserve">grillen = nướng thịt</t>
  </si>
  <si>
    <t xml:space="preserve">S0996</t>
  </si>
  <si>
    <t xml:space="preserve">zwar ... aber</t>
  </si>
  <si>
    <t xml:space="preserve">Zwar ist es teuer, aber es lohnt sich.</t>
  </si>
  <si>
    <t xml:space="preserve">[tsvaːɐ̯ ʔɪst ʔɛs ˈtɔøɐ, ˌʔaːbɐ ʔɛs ˈloːnt zɪç]</t>
  </si>
  <si>
    <t xml:space="preserve">Đúng là đắt, nhưng đáng.</t>
  </si>
  <si>
    <t xml:space="preserve">zwar = đúng là</t>
  </si>
  <si>
    <t xml:space="preserve">S0997</t>
  </si>
  <si>
    <t xml:space="preserve">sonst + Konjunktiv II</t>
  </si>
  <si>
    <t xml:space="preserve">Sonst hätte ich dir geschrieben.</t>
  </si>
  <si>
    <t xml:space="preserve">[ˈzɔnst ˌhɛtə ʔɪç diːɐ̯ ɡəˈʃʁiːbən]</t>
  </si>
  <si>
    <t xml:space="preserve">Không thì tôi đã viết cho bạn rồi.</t>
  </si>
  <si>
    <t xml:space="preserve">sonst = nếu không</t>
  </si>
  <si>
    <t xml:space="preserve">S0998</t>
  </si>
  <si>
    <t xml:space="preserve">ansonsten = ngoài ra</t>
  </si>
  <si>
    <t xml:space="preserve">Ansonsten ist alles in Ordnung.</t>
  </si>
  <si>
    <t xml:space="preserve">[ˈʔanˌzoːnstən ʔɪst ˈʔaləs ʔɪn ˈʔɔʁdnʊŋ]</t>
  </si>
  <si>
    <t xml:space="preserve">Ngoài ra thì mọi thứ ổn.</t>
  </si>
  <si>
    <t xml:space="preserve">S0999</t>
  </si>
  <si>
    <t xml:space="preserve">je nachdem = tùy theo</t>
  </si>
  <si>
    <t xml:space="preserve">Je nachdem, wie viel Zeit bleibt, entscheiden wir.</t>
  </si>
  <si>
    <t xml:space="preserve">[jeː naxˈdeːm, viː ˈfiːl ˈtsaɪt ˈblaɪpt, ʔɛntˈʃaɪdən viːɐ̯]</t>
  </si>
  <si>
    <t xml:space="preserve">Tùy xem còn bao nhiêu thời gian mà quyết.</t>
  </si>
  <si>
    <t xml:space="preserve">S1000</t>
  </si>
  <si>
    <t xml:space="preserve">Unter diesen Umständen sage ich ab.</t>
  </si>
  <si>
    <t xml:space="preserve">[ˌʔʊntɐ ˌdiːzən ˈʔʊmˌʃtɛndən ˈzaːɡə ʔɪç ˈʔap]</t>
  </si>
  <si>
    <t xml:space="preserve">Trong hoàn cảnh này tôi xin hủy.</t>
  </si>
  <si>
    <t xml:space="preserve">die Umstände = hoàn cảnh; absagen = hủy</t>
  </si>
  <si>
    <t xml:space="preserve">S1001</t>
  </si>
  <si>
    <t xml:space="preserve">Cụm danh từ - động từ cố định</t>
  </si>
  <si>
    <t xml:space="preserve">eine Entscheidung treffen (không machen)</t>
  </si>
  <si>
    <t xml:space="preserve">Ich muss eine Entscheidung treffen.</t>
  </si>
  <si>
    <t xml:space="preserve">[ʔɪç ˈmʊs ˌʔaɪnə ʔɛntˈʃaɪdʊŋ ˈtʁɛfən]</t>
  </si>
  <si>
    <t xml:space="preserve">Tôi phải đưa ra một quyết định.</t>
  </si>
  <si>
    <t xml:space="preserve">S1002</t>
  </si>
  <si>
    <t xml:space="preserve">in Angriff nehmen = bắt tay làm</t>
  </si>
  <si>
    <t xml:space="preserve">Wir müssen das Problem in Angriff nehmen.</t>
  </si>
  <si>
    <t xml:space="preserve">[viːɐ̯ ˈmysən das pʁoːˈbleːm ʔɪn ˈʔanˌɡʁɪf ˈneːmən]</t>
  </si>
  <si>
    <t xml:space="preserve">Chúng ta phải bắt tay vào vấn đề.</t>
  </si>
  <si>
    <t xml:space="preserve">in Angriff nehmen = khởi sự</t>
  </si>
  <si>
    <t xml:space="preserve">S1003</t>
  </si>
  <si>
    <t xml:space="preserve">eine Frage stellen (không machen)</t>
  </si>
  <si>
    <t xml:space="preserve">Er hat eine Frage gestellt.</t>
  </si>
  <si>
    <t xml:space="preserve">[ʔɛɐ̯ hat ˌʔaɪnə ˈfʁaːɡə ɡəˈʃtɛlt]</t>
  </si>
  <si>
    <t xml:space="preserve">Anh ấy đã đặt một câu hỏi.</t>
  </si>
  <si>
    <t xml:space="preserve">eine Frage stellen = đặt câu hỏi</t>
  </si>
  <si>
    <t xml:space="preserve">S1004</t>
  </si>
  <si>
    <t xml:space="preserve">in Frage kommen = khả thi</t>
  </si>
  <si>
    <t xml:space="preserve">Das kommt überhaupt nicht in Frage.</t>
  </si>
  <si>
    <t xml:space="preserve">[das ˈkɔmt ˌʔyːbɐˈhaʊpt ˈnɪçt ʔɪn ˈfʁaːɡə]</t>
  </si>
  <si>
    <t xml:space="preserve">Chuyện đó hoàn toàn không thể.</t>
  </si>
  <si>
    <t xml:space="preserve">in Frage kommen = được tính đến</t>
  </si>
  <si>
    <t xml:space="preserve">S1005</t>
  </si>
  <si>
    <t xml:space="preserve">eine Prüfung bestehen</t>
  </si>
  <si>
    <t xml:space="preserve">Sie hat die Prüfung bestanden.</t>
  </si>
  <si>
    <t xml:space="preserve">[ziː hat diː ˈpʁyːfʊŋ bəˈʃtandən]</t>
  </si>
  <si>
    <t xml:space="preserve">Cô ấy đã thi đỗ.</t>
  </si>
  <si>
    <t xml:space="preserve">eine Prüfung bestehen = thi đỗ</t>
  </si>
  <si>
    <t xml:space="preserve">S1006</t>
  </si>
  <si>
    <t xml:space="preserve">Rücksicht nehmen auf + Akkusativ</t>
  </si>
  <si>
    <t xml:space="preserve">Wir nehmen Rücksicht auf die Nachbarn.</t>
  </si>
  <si>
    <t xml:space="preserve">[viːɐ̯ ˈneːmən ˈʁyksɪçt ʔaʊf diː ˈnaxbaʁn]</t>
  </si>
  <si>
    <t xml:space="preserve">Chúng tôi để ý đến hàng xóm.</t>
  </si>
  <si>
    <t xml:space="preserve">Rücksicht nehmen = quan tâm/nể</t>
  </si>
  <si>
    <t xml:space="preserve">S1007</t>
  </si>
  <si>
    <t xml:space="preserve">einen Fehler machen</t>
  </si>
  <si>
    <t xml:space="preserve">Er hat einen Fehler gemacht.</t>
  </si>
  <si>
    <t xml:space="preserve">[ʔɛɐ̯ hat ˌʔaɪnən ˈfeːlɐ ɡəˈmaxt]</t>
  </si>
  <si>
    <t xml:space="preserve">Anh ấy đã phạm lỗi.</t>
  </si>
  <si>
    <t xml:space="preserve">einen Fehler machen = phạm lỗi</t>
  </si>
  <si>
    <t xml:space="preserve">S1008</t>
  </si>
  <si>
    <t xml:space="preserve">eine Rolle spielen = có vai trò</t>
  </si>
  <si>
    <t xml:space="preserve">Das spielt keine Rolle.</t>
  </si>
  <si>
    <t xml:space="preserve">[das ˈʃpiːlt ˈkaɪnə ˈʁɔlə]</t>
  </si>
  <si>
    <t xml:space="preserve">Chuyện đó không quan trọng.</t>
  </si>
  <si>
    <t xml:space="preserve">S1009</t>
  </si>
  <si>
    <t xml:space="preserve">Ich nehme an dem Kurs teil.</t>
  </si>
  <si>
    <t xml:space="preserve">[ʔɪç ˈneːmə ʔan deːm ˈkuːɐ̯s ˈtaɪl]</t>
  </si>
  <si>
    <t xml:space="preserve">Tôi tham gia khóa học.</t>
  </si>
  <si>
    <t xml:space="preserve">teilnehmen an = tham gia</t>
  </si>
  <si>
    <t xml:space="preserve">S1010</t>
  </si>
  <si>
    <t xml:space="preserve">eine Vereinbarung treffen</t>
  </si>
  <si>
    <t xml:space="preserve">Wir haben eine Vereinbarung getroffen.</t>
  </si>
  <si>
    <t xml:space="preserve">[viːɐ̯ ˌhaːbən ˌʔaɪnə fɛˈʁaɪnˌbaʁʊŋ ɡəˈtʁɔfən]</t>
  </si>
  <si>
    <t xml:space="preserve">Chúng tôi đã đạt thỏa thuận.</t>
  </si>
  <si>
    <t xml:space="preserve">die Vereinbarung = thỏa thuận</t>
  </si>
  <si>
    <t xml:space="preserve">S1011</t>
  </si>
  <si>
    <t xml:space="preserve">sich Zeit nehmen</t>
  </si>
  <si>
    <t xml:space="preserve">Bitte nimm dir Zeit dafür.</t>
  </si>
  <si>
    <t xml:space="preserve">[ˈbɪtə ˈnɪm diːɐ̯ ˈtsaɪt daːˈfyːɐ̯]</t>
  </si>
  <si>
    <t xml:space="preserve">Hãy dành thời gian cho việc đó.</t>
  </si>
  <si>
    <t xml:space="preserve">sich Zeit nehmen = dành thời gian</t>
  </si>
  <si>
    <t xml:space="preserve">S1012</t>
  </si>
  <si>
    <t xml:space="preserve">auf Kritik stoßen</t>
  </si>
  <si>
    <t xml:space="preserve">Der Vorschlag stieß auf Kritik.</t>
  </si>
  <si>
    <t xml:space="preserve">[dɛɐ̯ ˈfoːɐ̯ˌʃlaːk ˈʃtiːs ʔaʊf ˈkʁiːtiːk]</t>
  </si>
  <si>
    <t xml:space="preserve">Đề xuất vấp phải chỉ trích.</t>
  </si>
  <si>
    <t xml:space="preserve">auf Kritik stoßen = vấp phản ứng; die Kritik = chỉ trích</t>
  </si>
  <si>
    <t xml:space="preserve">S1013</t>
  </si>
  <si>
    <t xml:space="preserve">unter Druck stehen</t>
  </si>
  <si>
    <t xml:space="preserve">Ich stehe unter großem Druck.</t>
  </si>
  <si>
    <t xml:space="preserve">[ʔɪç ˈʃteːə ˌʔʊntɐ ˈɡʁoːsəm ˈdʁʊk]</t>
  </si>
  <si>
    <t xml:space="preserve">Tôi đang chịu áp lực lớn.</t>
  </si>
  <si>
    <t xml:space="preserve">der Druck = áp lực</t>
  </si>
  <si>
    <t xml:space="preserve">S1014</t>
  </si>
  <si>
    <t xml:space="preserve">Verantwortung übernehmen</t>
  </si>
  <si>
    <t xml:space="preserve">Sie hat die Verantwortung übernommen.</t>
  </si>
  <si>
    <t xml:space="preserve">[ziː hat diː fɛˈʁantvɔʁˌtʊŋ ˌʔyːbɐˈnɔmən]</t>
  </si>
  <si>
    <t xml:space="preserve">Cô ấy đã nhận trách nhiệm.</t>
  </si>
  <si>
    <t xml:space="preserve">die Verantwortung übernehmen = nhận trách nhiệm</t>
  </si>
  <si>
    <t xml:space="preserve">S1015</t>
  </si>
  <si>
    <t xml:space="preserve">zur Sprache kommen</t>
  </si>
  <si>
    <t xml:space="preserve">Das Thema ist zur Sprache gekommen.</t>
  </si>
  <si>
    <t xml:space="preserve">[das ˈteːmaː ʔɪst tsuːɐ̯ ˈʃpʁaːxə ɡəˈkɔmən]</t>
  </si>
  <si>
    <t xml:space="preserve">Chủ đề đó đã được nhắc tới.</t>
  </si>
  <si>
    <t xml:space="preserve">zur Sprache kommen = được đề cập</t>
  </si>
  <si>
    <t xml:space="preserve">S1016</t>
  </si>
  <si>
    <t xml:space="preserve">eine Lösung finden</t>
  </si>
  <si>
    <t xml:space="preserve">Wir müssen eine Lösung finden.</t>
  </si>
  <si>
    <t xml:space="preserve">[viːɐ̯ ˈmysən ˌʔaɪnə ˈløːzʊŋ ˈfɪndən]</t>
  </si>
  <si>
    <t xml:space="preserve">Chúng ta phải tìm giải pháp.</t>
  </si>
  <si>
    <t xml:space="preserve">die Lösung = giải pháp</t>
  </si>
  <si>
    <t xml:space="preserve">S1017</t>
  </si>
  <si>
    <t xml:space="preserve">sein Wort halten</t>
  </si>
  <si>
    <t xml:space="preserve">Er hat sein Wort gehalten.</t>
  </si>
  <si>
    <t xml:space="preserve">[ʔɛɐ̯ hat zaɪn ˈvɔʁt ɡəˈhaltən]</t>
  </si>
  <si>
    <t xml:space="preserve">Anh ấy đã giữ lời.</t>
  </si>
  <si>
    <t xml:space="preserve">sein Wort halten = giữ lời</t>
  </si>
  <si>
    <t xml:space="preserve">S1018</t>
  </si>
  <si>
    <t xml:space="preserve">stattfinden</t>
  </si>
  <si>
    <t xml:space="preserve">Das Gespräch fand gestern statt.</t>
  </si>
  <si>
    <t xml:space="preserve">[das ɡəˈʃpʁɛːç ˈfant ˈɡɛstɐn ˈʃtat]</t>
  </si>
  <si>
    <t xml:space="preserve">Cuộc nói chuyện diễn ra hôm qua.</t>
  </si>
  <si>
    <t xml:space="preserve">das Gespräch = cuộc nói chuyện</t>
  </si>
  <si>
    <t xml:space="preserve">S1019</t>
  </si>
  <si>
    <t xml:space="preserve">Wert legen auf + Akkusativ</t>
  </si>
  <si>
    <t xml:space="preserve">Ich lege großen Wert auf Pünktlichkeit.</t>
  </si>
  <si>
    <t xml:space="preserve">[ʔɪç ˈleːɡə ˈɡʁoːsən ˈvɛʁt ʔaʊf ˈpyŋktlɪçˌkaɪt]</t>
  </si>
  <si>
    <t xml:space="preserve">Tôi coi trọng sự đúng giờ.</t>
  </si>
  <si>
    <t xml:space="preserve">Wert legen auf = coi trọng</t>
  </si>
  <si>
    <t xml:space="preserve">S1020</t>
  </si>
  <si>
    <t xml:space="preserve">beachten + Akkusativ</t>
  </si>
  <si>
    <t xml:space="preserve">Bitte beachten Sie die Hinweise.</t>
  </si>
  <si>
    <t xml:space="preserve">[ˈbɪtə bəˈʔaxtən ziː diː ˈhɪnvaɪzə]</t>
  </si>
  <si>
    <t xml:space="preserve">Xin lưu ý các chỉ dẫn.</t>
  </si>
  <si>
    <t xml:space="preserve">beachten = lưu ý; der Hinweis = chỉ dẫn</t>
  </si>
  <si>
    <t xml:space="preserve">S1021</t>
  </si>
  <si>
    <t xml:space="preserve">Ngân hàng, tiền bạc &amp; bảo hiểm</t>
  </si>
  <si>
    <t xml:space="preserve">ein Konto eröffnen</t>
  </si>
  <si>
    <t xml:space="preserve">Ich möchte ein Konto eröffnen.</t>
  </si>
  <si>
    <t xml:space="preserve">[ʔɪç ˈmœçtə ʔaɪn ˈkɔntoː ʔɛˈʁœfnən]</t>
  </si>
  <si>
    <t xml:space="preserve">Tôi muốn mở tài khoản.</t>
  </si>
  <si>
    <t xml:space="preserve">das Konto = tài khoản; eröffnen = mở</t>
  </si>
  <si>
    <t xml:space="preserve">S1022</t>
  </si>
  <si>
    <t xml:space="preserve">wie hoch + Nomen số nhiều</t>
  </si>
  <si>
    <t xml:space="preserve">Wie hoch sind die Kontoführungsgebühren?</t>
  </si>
  <si>
    <t xml:space="preserve">[viː ˈhoːx zɪnt diː kɔnˈtoːfyːˌʁʊŋsɡəˌbyːʁən]</t>
  </si>
  <si>
    <t xml:space="preserve">Phí quản lý tài khoản bao nhiêu?</t>
  </si>
  <si>
    <t xml:space="preserve">die Gebühr = phí</t>
  </si>
  <si>
    <t xml:space="preserve">S1023</t>
  </si>
  <si>
    <t xml:space="preserve">überweisen = chuyển khoản</t>
  </si>
  <si>
    <t xml:space="preserve">Das Geld wird monatlich überwiesen.</t>
  </si>
  <si>
    <t xml:space="preserve">[das ˈɡɛlt ˌvɪʁt ˈmoːnaːtˌlɪç ˌʔyːbɐˈviːzən]</t>
  </si>
  <si>
    <t xml:space="preserve">Tiền được chuyển khoản hằng tháng.</t>
  </si>
  <si>
    <t xml:space="preserve">S1024</t>
  </si>
  <si>
    <t xml:space="preserve">überziehen = rút quá</t>
  </si>
  <si>
    <t xml:space="preserve">Mein Konto ist überzogen.</t>
  </si>
  <si>
    <t xml:space="preserve">[maɪn ˈkɔntoː ʔɪst ˌʔyːbɐˈtsoːɡən]</t>
  </si>
  <si>
    <t xml:space="preserve">Tài khoản của tôi bị âm.</t>
  </si>
  <si>
    <t xml:space="preserve">überziehen = rút quá hạn mức</t>
  </si>
  <si>
    <t xml:space="preserve">S1025</t>
  </si>
  <si>
    <t xml:space="preserve">Perfekt của verlieren</t>
  </si>
  <si>
    <t xml:space="preserve">Ich habe meine EC-Karte verloren.</t>
  </si>
  <si>
    <t xml:space="preserve">[ʔɪç haːbə ˌmaɪnə ˌʔeːˈtseːˈkaʁtə fɛʁˈloːʁən]</t>
  </si>
  <si>
    <t xml:space="preserve">Tôi làm mất thẻ ngân hàng.</t>
  </si>
  <si>
    <t xml:space="preserve">die EC-Karte = thẻ ghi nợ</t>
  </si>
  <si>
    <t xml:space="preserve">S1026</t>
  </si>
  <si>
    <t xml:space="preserve">sperren = khóa</t>
  </si>
  <si>
    <t xml:space="preserve">Können Sie die Karte bitte sperren?</t>
  </si>
  <si>
    <t xml:space="preserve">[ˌkœnən ziː diː ˈkaʁtə ˈbɪtə ˈʃpɛʁən]</t>
  </si>
  <si>
    <t xml:space="preserve">Ông/bà khóa thẻ giúp tôi được không?</t>
  </si>
  <si>
    <t xml:space="preserve">sperren = khóa/chặn</t>
  </si>
  <si>
    <t xml:space="preserve">S1027</t>
  </si>
  <si>
    <t xml:space="preserve">Die Miete wird per Dauerauftrag bezahlt.</t>
  </si>
  <si>
    <t xml:space="preserve">[diː ˈmiːtə ˌvɪʁt pɛɐ̯ ˈdaʊəˌʁaʊftʁaːk bəˈtsaːlt]</t>
  </si>
  <si>
    <t xml:space="preserve">Tiền thuê trả bằng lệnh chuyển định kỳ.</t>
  </si>
  <si>
    <t xml:space="preserve">der Dauerauftrag = lệnh chuyển định kỳ</t>
  </si>
  <si>
    <t xml:space="preserve">S1028</t>
  </si>
  <si>
    <t xml:space="preserve">lieber ... als</t>
  </si>
  <si>
    <t xml:space="preserve">Ich zahle lieber mit Karte als bar.</t>
  </si>
  <si>
    <t xml:space="preserve">[ʔɪç ˈtsaːlə ˈliːbɐ mɪt ˈkaʁtə ʔals ˈbaːɐ̯]</t>
  </si>
  <si>
    <t xml:space="preserve">Tôi thích trả thẻ hơn tiền mặt.</t>
  </si>
  <si>
    <t xml:space="preserve">bar = tiền mặt</t>
  </si>
  <si>
    <t xml:space="preserve">S1029</t>
  </si>
  <si>
    <t xml:space="preserve">Pflicht sein</t>
  </si>
  <si>
    <t xml:space="preserve">Die Krankenversicherung ist in Deutschland Pflicht.</t>
  </si>
  <si>
    <t xml:space="preserve">[diː ˌkʁankənfɛʁˈzɪçəˌʁʊŋ ʔɪst ʔɪn ˈdɔøtʃlant ˈpflɪçt]</t>
  </si>
  <si>
    <t xml:space="preserve">Bảo hiểm y tế ở Đức là bắt buộc.</t>
  </si>
  <si>
    <t xml:space="preserve">die Krankenversicherung = bảo hiểm y tế; die Pflicht = nghĩa vụ</t>
  </si>
  <si>
    <t xml:space="preserve">S1030</t>
  </si>
  <si>
    <t xml:space="preserve">am Monatsende</t>
  </si>
  <si>
    <t xml:space="preserve">Mein Gehalt wird am Monatsende überwiesen.</t>
  </si>
  <si>
    <t xml:space="preserve">[maɪn ɡəˈhalt ˌvɪʁt ʔam ˈmoːnatzəndə ˌʔyːbɐˈviːzən]</t>
  </si>
  <si>
    <t xml:space="preserve">Lương tôi được chuyển cuối tháng.</t>
  </si>
  <si>
    <t xml:space="preserve">das Gehalt = lương</t>
  </si>
  <si>
    <t xml:space="preserve">S1031</t>
  </si>
  <si>
    <t xml:space="preserve">sparen + Akkusativ</t>
  </si>
  <si>
    <t xml:space="preserve">Ich spare jeden Monat etwas Geld.</t>
  </si>
  <si>
    <t xml:space="preserve">[ʔɪç ˈʃpaːʁə ˈjeːdən ˈmoːnaːt ˈʔɛtvaːs ˈɡɛlt]</t>
  </si>
  <si>
    <t xml:space="preserve">Tháng nào tôi cũng để dành chút tiền.</t>
  </si>
  <si>
    <t xml:space="preserve">S1032</t>
  </si>
  <si>
    <t xml:space="preserve">im Moment = hiện tại</t>
  </si>
  <si>
    <t xml:space="preserve">Die Zinsen sind im Moment sehr niedrig.</t>
  </si>
  <si>
    <t xml:space="preserve">[diː ˈtsɪnzən zɪnt ʔɪm moːˈmɛnt ˈzeːɐ̯ ˈniːdʁɪç]</t>
  </si>
  <si>
    <t xml:space="preserve">Lãi suất hiện rất thấp.</t>
  </si>
  <si>
    <t xml:space="preserve">die Zinsen = lãi suất; niedrig = thấp</t>
  </si>
  <si>
    <t xml:space="preserve">S1033</t>
  </si>
  <si>
    <t xml:space="preserve">einen Kredit brauchen</t>
  </si>
  <si>
    <t xml:space="preserve">Ich brauche einen Kredit für die Wohnung.</t>
  </si>
  <si>
    <t xml:space="preserve">[ʔɪç ˈbʁaʊxə ˌʔaɪnən kʁeːˈdɪt fyːɐ̯ diː ˈvoːnʊŋ]</t>
  </si>
  <si>
    <t xml:space="preserve">Tôi cần vay tiền mua căn hộ.</t>
  </si>
  <si>
    <t xml:space="preserve">der Kredit = khoản vay</t>
  </si>
  <si>
    <t xml:space="preserve">S1034</t>
  </si>
  <si>
    <t xml:space="preserve">überfällig = quá hạn</t>
  </si>
  <si>
    <t xml:space="preserve">Die Rechnung ist bereits überfällig.</t>
  </si>
  <si>
    <t xml:space="preserve">[diː ˈʁɛçnʊŋ ʔɪst bəˈʁaɪts ˌʔyːbɐˈfɛlɪç]</t>
  </si>
  <si>
    <t xml:space="preserve">Hóa đơn đã quá hạn.</t>
  </si>
  <si>
    <t xml:space="preserve">S1035</t>
  </si>
  <si>
    <t xml:space="preserve">angeben tách</t>
  </si>
  <si>
    <t xml:space="preserve">Bitte geben Sie Ihre IBAN an.</t>
  </si>
  <si>
    <t xml:space="preserve">[ˈbɪtə ˈɡeːbən ziː ˌʔiːʁə ʔiːˈbaːn ˈʔan]</t>
  </si>
  <si>
    <t xml:space="preserve">Xin cung cấp số IBAN của ông/bà.</t>
  </si>
  <si>
    <t xml:space="preserve">angeben = khai/cung cấp</t>
  </si>
  <si>
    <t xml:space="preserve">S1036</t>
  </si>
  <si>
    <t xml:space="preserve">Die Versicherung übernimmt die Kosten.</t>
  </si>
  <si>
    <t xml:space="preserve">[diː fɛʁˈzɪçəˌʁʊŋ ˌʔyːbɐˈnɪmt diː ˈkɔstən]</t>
  </si>
  <si>
    <t xml:space="preserve">Bảo hiểm chi trả chi phí.</t>
  </si>
  <si>
    <t xml:space="preserve">S1037</t>
  </si>
  <si>
    <t xml:space="preserve">einen Vertrag kündigen</t>
  </si>
  <si>
    <t xml:space="preserve">Ich habe den Vertrag gekündigt.</t>
  </si>
  <si>
    <t xml:space="preserve">[ʔɪç haːbə deːn fɛʁˈtʁaːk ɡəˈkyndɪçt]</t>
  </si>
  <si>
    <t xml:space="preserve">Tôi đã hủy hợp đồng.</t>
  </si>
  <si>
    <t xml:space="preserve">kündigen = chấm dứt</t>
  </si>
  <si>
    <t xml:space="preserve">S1038</t>
  </si>
  <si>
    <t xml:space="preserve">Akkusativ đầu câu để nhấn mạnh</t>
  </si>
  <si>
    <t xml:space="preserve">Steuern muss jeder zahlen.</t>
  </si>
  <si>
    <t xml:space="preserve">[ˈʃtɔøɐn ˈmʊs ˈjeːdɐ ˈtsaːlən]</t>
  </si>
  <si>
    <t xml:space="preserve">Ai cũng phải đóng thuế.</t>
  </si>
  <si>
    <t xml:space="preserve">die Steuer = thuế</t>
  </si>
  <si>
    <t xml:space="preserve">S1039</t>
  </si>
  <si>
    <t xml:space="preserve">gelten für + Akkusativ</t>
  </si>
  <si>
    <t xml:space="preserve">Das Angebot gilt nur für Neukunden.</t>
  </si>
  <si>
    <t xml:space="preserve">[das ˈʔanɡəˌboːt ˈɡɪlt ˈnuːɐ̯ fyːɐ̯ ˈnɔøkʊndən]</t>
  </si>
  <si>
    <t xml:space="preserve">Ưu đãi chỉ áp dụng cho khách mới.</t>
  </si>
  <si>
    <t xml:space="preserve">der Neukunde = khách hàng mới</t>
  </si>
  <si>
    <t xml:space="preserve">S1040</t>
  </si>
  <si>
    <t xml:space="preserve">in Raten zahlen</t>
  </si>
  <si>
    <t xml:space="preserve">Kann ich das in Raten bezahlen?</t>
  </si>
  <si>
    <t xml:space="preserve">[ˌkan ʔɪç das ʔɪn ˈʁaːtən bəˈtsaːlən]</t>
  </si>
  <si>
    <t xml:space="preserve">Tôi trả góp được không?</t>
  </si>
  <si>
    <t xml:space="preserve">die Rate = kỳ trả góp</t>
  </si>
  <si>
    <t xml:space="preserve">S1041</t>
  </si>
  <si>
    <t xml:space="preserve">Cơ quan hành chính &amp; giấy tờ</t>
  </si>
  <si>
    <t xml:space="preserve">sich anmelden bei + Dativ</t>
  </si>
  <si>
    <t xml:space="preserve">Ich muss mich beim Einwohnermeldeamt anmelden.</t>
  </si>
  <si>
    <t xml:space="preserve">[ʔɪç ˈmʊs mɪç baɪm ˈʔaɪnˌvoːnɐˌmɛldeːˌamt ˈʔanˌmɛldən]</t>
  </si>
  <si>
    <t xml:space="preserve">Tôi phải đăng ký cư trú ở cơ quan hộ tịch.</t>
  </si>
  <si>
    <t xml:space="preserve">das Einwohnermeldeamt = cơ quan đăng ký cư trú</t>
  </si>
  <si>
    <t xml:space="preserve">S1042</t>
  </si>
  <si>
    <t xml:space="preserve">wo + bekommen</t>
  </si>
  <si>
    <t xml:space="preserve">Wo bekomme ich eine Meldebescheinigung?</t>
  </si>
  <si>
    <t xml:space="preserve">[ˌvoː bəˈkɔmə ʔɪç ˌʔaɪnə ˈmɛldeːˌbɛʃaɪˌnɪɡʊŋ]</t>
  </si>
  <si>
    <t xml:space="preserve">Tôi lấy giấy xác nhận cư trú ở đâu?</t>
  </si>
  <si>
    <t xml:space="preserve">die Bescheinigung = giấy xác nhận</t>
  </si>
  <si>
    <t xml:space="preserve">S1043</t>
  </si>
  <si>
    <t xml:space="preserve">ablaufen = hết hạn</t>
  </si>
  <si>
    <t xml:space="preserve">Mein Visum läuft nächsten Monat ab.</t>
  </si>
  <si>
    <t xml:space="preserve">[maɪn ˈviːzʊm ˈlɔøft ˈnɛçstən ˈmoːnaːt ˈʔap]</t>
  </si>
  <si>
    <t xml:space="preserve">Visa của tôi hết hạn tháng sau.</t>
  </si>
  <si>
    <t xml:space="preserve">S1044</t>
  </si>
  <si>
    <t xml:space="preserve">verlängern = gia hạn</t>
  </si>
  <si>
    <t xml:space="preserve">Ich möchte meine Aufenthaltserlaubnis verlängern.</t>
  </si>
  <si>
    <t xml:space="preserve">[ʔɪç ˈmœçtə ˌmaɪnə ˈʔaʊfəntˌhaltzɐˌlaʊbnɪs fɛʁˈlɛŋɐn]</t>
  </si>
  <si>
    <t xml:space="preserve">Tôi muốn gia hạn giấy phép cư trú.</t>
  </si>
  <si>
    <t xml:space="preserve">die Aufenthaltserlaubnis = giấy phép cư trú</t>
  </si>
  <si>
    <t xml:space="preserve">S1045</t>
  </si>
  <si>
    <t xml:space="preserve">welche + số nhiều</t>
  </si>
  <si>
    <t xml:space="preserve">Welche Unterlagen muss ich mitbringen?</t>
  </si>
  <si>
    <t xml:space="preserve">[ˈvɛlçə ˌʔʊntɐˈlaːɡən ˈmʊs ʔɪç ˈmɪtˌbʁɪŋən]</t>
  </si>
  <si>
    <t xml:space="preserve">Tôi phải mang theo hồ sơ gì?</t>
  </si>
  <si>
    <t xml:space="preserve">S1046</t>
  </si>
  <si>
    <t xml:space="preserve">ausfüllen tách</t>
  </si>
  <si>
    <t xml:space="preserve">Bitte füllen Sie das Formular vollständig aus.</t>
  </si>
  <si>
    <t xml:space="preserve">[ˈbɪtə ˈfylən ziː das ˌfɔʁmuːˈlaːɐ̯ ˈfɔlˌʃtɛndɪç ˈʔaʊs]</t>
  </si>
  <si>
    <t xml:space="preserve">Xin điền biểu mẫu đầy đủ.</t>
  </si>
  <si>
    <t xml:space="preserve">vollständig = đầy đủ</t>
  </si>
  <si>
    <t xml:space="preserve">S1047</t>
  </si>
  <si>
    <t xml:space="preserve">ablehnen -&gt; abgelehnt</t>
  </si>
  <si>
    <t xml:space="preserve">Der Antrag wurde leider abgelehnt.</t>
  </si>
  <si>
    <t xml:space="preserve">[dɛɐ̯ ˈʔanˌtʁaːk ˌvʊʁdə ˈlaɪdɐ ˈʔapɡəˌleːnt]</t>
  </si>
  <si>
    <t xml:space="preserve">Tiếc là đơn đã bị từ chối.</t>
  </si>
  <si>
    <t xml:space="preserve">der Antrag = đơn; ablehnen = từ chối</t>
  </si>
  <si>
    <t xml:space="preserve">S1048</t>
  </si>
  <si>
    <t xml:space="preserve">Ich habe einen Termin beim Ausländeramt.</t>
  </si>
  <si>
    <t xml:space="preserve">[ʔɪç haːbə ˌʔaɪnən tɛʁˈmiːn baɪm ˈʔaʊsˌlɛndeːˌʁamt]</t>
  </si>
  <si>
    <t xml:space="preserve">Tôi có hẹn ở sở ngoại kiều.</t>
  </si>
  <si>
    <t xml:space="preserve">das Ausländeramt = sở ngoại kiều</t>
  </si>
  <si>
    <t xml:space="preserve">S1049</t>
  </si>
  <si>
    <t xml:space="preserve">die Bearbeitung = việc xử lý</t>
  </si>
  <si>
    <t xml:space="preserve">Die Bearbeitung dauert etwa sechs Wochen.</t>
  </si>
  <si>
    <t xml:space="preserve">[diː bəˈʔaʁbaɪˌtʊŋ ˈdaʊɐt ˌʔɛtvaː ˈzɛks ˈvɔxən]</t>
  </si>
  <si>
    <t xml:space="preserve">Việc xử lý mất khoảng sáu tuần.</t>
  </si>
  <si>
    <t xml:space="preserve">die Bearbeitung = xử lý hồ sơ</t>
  </si>
  <si>
    <t xml:space="preserve">S1050</t>
  </si>
  <si>
    <t xml:space="preserve">Brauche ich eine beglaubigte Übersetzung?</t>
  </si>
  <si>
    <t xml:space="preserve">[ˈbʁaʊxə ʔɪç ˌʔaɪnə bəˈɡlaʊbɪçtə ˌʔyːbɐˈzɛtsʊŋ]</t>
  </si>
  <si>
    <t xml:space="preserve">Tôi có cần bản dịch công chứng không?</t>
  </si>
  <si>
    <t xml:space="preserve">beglaubigt = công chứng; die Übersetzung = bản dịch</t>
  </si>
  <si>
    <t xml:space="preserve">S1051</t>
  </si>
  <si>
    <t xml:space="preserve">gültig sein</t>
  </si>
  <si>
    <t xml:space="preserve">Mein Reisepass ist noch zwei Jahre gültig.</t>
  </si>
  <si>
    <t xml:space="preserve">[maɪn ˈʁaɪzeːˌpas ʔɪst nɔx ˈtsvaɪ ˈjaːʁə ˈɡyltɪç]</t>
  </si>
  <si>
    <t xml:space="preserve">Hộ chiếu tôi còn hạn hai năm.</t>
  </si>
  <si>
    <t xml:space="preserve">der Reisepass = hộ chiếu; gültig = có hiệu lực</t>
  </si>
  <si>
    <t xml:space="preserve">S1052</t>
  </si>
  <si>
    <t xml:space="preserve">ummelden tách</t>
  </si>
  <si>
    <t xml:space="preserve">Ich muss meinen Wohnsitz ummelden.</t>
  </si>
  <si>
    <t xml:space="preserve">[ʔɪç ˈmʊs ˌmaɪnən ˈvoːnzɪts ˈʔʊmˌmɛldən]</t>
  </si>
  <si>
    <t xml:space="preserve">Tôi phải khai báo đổi nơi cư trú.</t>
  </si>
  <si>
    <t xml:space="preserve">der Wohnsitz = nơi cư trú; ummelden = đổi đăng ký</t>
  </si>
  <si>
    <t xml:space="preserve">S1053</t>
  </si>
  <si>
    <t xml:space="preserve">Die Behörde hat sich noch nicht gemeldet.</t>
  </si>
  <si>
    <t xml:space="preserve">[diː bəˈhœʁdə hat zɪç ˈnɔx ˈnɪçt ɡəˈmɛldət]</t>
  </si>
  <si>
    <t xml:space="preserve">Cơ quan vẫn chưa phản hồi.</t>
  </si>
  <si>
    <t xml:space="preserve">die Behörde = cơ quan nhà nước</t>
  </si>
  <si>
    <t xml:space="preserve">S1054</t>
  </si>
  <si>
    <t xml:space="preserve">zuständig sein für</t>
  </si>
  <si>
    <t xml:space="preserve">Können Sie mir sagen, welcher Schalter zuständig ist?</t>
  </si>
  <si>
    <t xml:space="preserve">[ˌkœnən ziː miːɐ̯ ˈzaːɡən, ˈvɛlçɐ ˈʃaltɐ tsuːˈʃtɛndɪç ʔɪst]</t>
  </si>
  <si>
    <t xml:space="preserve">Ông/bà cho tôi biết quầy nào phụ trách?</t>
  </si>
  <si>
    <t xml:space="preserve">der Schalter = quầy; zuständig = phụ trách</t>
  </si>
  <si>
    <t xml:space="preserve">S1055</t>
  </si>
  <si>
    <t xml:space="preserve">Perfekt của überweisen</t>
  </si>
  <si>
    <t xml:space="preserve">Ich habe die Gebühr bereits überwiesen.</t>
  </si>
  <si>
    <t xml:space="preserve">[ʔɪç haːbə diː ɡəˈbyːɐ̯ bəˈʁaɪts ˌʔyːbɐˈviːzən]</t>
  </si>
  <si>
    <t xml:space="preserve">Tôi đã chuyển phí rồi.</t>
  </si>
  <si>
    <t xml:space="preserve">die Gebühr = lệ phí</t>
  </si>
  <si>
    <t xml:space="preserve">S1056</t>
  </si>
  <si>
    <t xml:space="preserve">erscheinen = có mặt</t>
  </si>
  <si>
    <t xml:space="preserve">Sie müssen persönlich erscheinen.</t>
  </si>
  <si>
    <t xml:space="preserve">[ziː ˈmysən pɛʁˈzøːnlɪç ʔɛʁˈʃaɪnən]</t>
  </si>
  <si>
    <t xml:space="preserve">Ông/bà phải đến trực tiếp.</t>
  </si>
  <si>
    <t xml:space="preserve">erscheinen = xuất hiện/có mặt</t>
  </si>
  <si>
    <t xml:space="preserve">S1057</t>
  </si>
  <si>
    <t xml:space="preserve">per Post</t>
  </si>
  <si>
    <t xml:space="preserve">Der Bescheid kommt per Post.</t>
  </si>
  <si>
    <t xml:space="preserve">[dɛɐ̯ bəˈʃaɪt ˈkɔmt pɛɐ̯ ˈpɔst]</t>
  </si>
  <si>
    <t xml:space="preserve">Thông báo sẽ gửi qua bưu điện.</t>
  </si>
  <si>
    <t xml:space="preserve">der Bescheid = thông báo chính thức</t>
  </si>
  <si>
    <t xml:space="preserve">S1058</t>
  </si>
  <si>
    <t xml:space="preserve">Widerspruch einlegen gegen</t>
  </si>
  <si>
    <t xml:space="preserve">Gegen die Entscheidung kann man Widerspruch einlegen.</t>
  </si>
  <si>
    <t xml:space="preserve">[ˌɡeːɡən diː ʔɛntˈʃaɪdʊŋ ˌkan man ˈviːdɐˌʃpʁʊx ˈʔaɪnˌleːɡən]</t>
  </si>
  <si>
    <t xml:space="preserve">Có thể khiếu nại quyết định này.</t>
  </si>
  <si>
    <t xml:space="preserve">der Widerspruch = khiếu nại</t>
  </si>
  <si>
    <t xml:space="preserve">S1059</t>
  </si>
  <si>
    <t xml:space="preserve">abgeben = nộp</t>
  </si>
  <si>
    <t xml:space="preserve">Ich habe meine Steuererklärung abgegeben.</t>
  </si>
  <si>
    <t xml:space="preserve">[ʔɪç haːbə ˌmaɪnə ˈʃtɔøeːʁɐˌklɛːʁʊŋ ˈʔapɡəˌɡeːbən]</t>
  </si>
  <si>
    <t xml:space="preserve">Tôi đã nộp tờ khai thuế.</t>
  </si>
  <si>
    <t xml:space="preserve">die Steuererklärung = tờ khai thuế</t>
  </si>
  <si>
    <t xml:space="preserve">S1060</t>
  </si>
  <si>
    <t xml:space="preserve">Bitte bringen Sie eine Kopie und das Original mit.</t>
  </si>
  <si>
    <t xml:space="preserve">[ˈbɪtə ˈbʁɪŋən ziː ˌʔaɪnə koːˈpiː ʔʊnt das ˌʔoːʁɪɡiːˈnaːl ˈmɪt]</t>
  </si>
  <si>
    <t xml:space="preserve">Xin mang theo bản sao và bản gốc.</t>
  </si>
  <si>
    <t xml:space="preserve">die Kopie = bản sao; das Original = bản gốc</t>
  </si>
  <si>
    <t xml:space="preserve">S1061</t>
  </si>
  <si>
    <t xml:space="preserve">Điện thoại &amp; email trang trọng</t>
  </si>
  <si>
    <t xml:space="preserve">hier spricht = cách xưng khi gọi</t>
  </si>
  <si>
    <t xml:space="preserve">Guten Tag, hier spricht Minh Nguyen.</t>
  </si>
  <si>
    <t xml:space="preserve">[ˈɡuːtən ˈtaːk, ˈhiːɐ̯ ˈʃpʁɪçt ˈmɪnh ˈʔɛnˈɡuːiːən]</t>
  </si>
  <si>
    <t xml:space="preserve">Xin chào, Minh Nguyen đây ạ.</t>
  </si>
  <si>
    <t xml:space="preserve">S1062</t>
  </si>
  <si>
    <t xml:space="preserve">jemanden sprechen = gặp nói chuyện</t>
  </si>
  <si>
    <t xml:space="preserve">Könnte ich bitte Herrn Müller sprechen?</t>
  </si>
  <si>
    <t xml:space="preserve">[ˈkœntə ʔɪç ˈbɪtə ˈhɛʁn ˈmylɐ ˈʃpʁɛçən]</t>
  </si>
  <si>
    <t xml:space="preserve">Cho tôi gặp ông Müller được không ạ?</t>
  </si>
  <si>
    <t xml:space="preserve">der Herr = ông</t>
  </si>
  <si>
    <t xml:space="preserve">S1063</t>
  </si>
  <si>
    <t xml:space="preserve">verbinden = nối máy</t>
  </si>
  <si>
    <t xml:space="preserve">Einen Moment bitte, ich verbinde Sie.</t>
  </si>
  <si>
    <t xml:space="preserve">[ˌʔaɪnən moːˈmɛnt ˈbɪtə, ʔɪç fɛʁˈbɪndə ziː]</t>
  </si>
  <si>
    <t xml:space="preserve">Xin chờ chút, tôi nối máy.</t>
  </si>
  <si>
    <t xml:space="preserve">S1064</t>
  </si>
  <si>
    <t xml:space="preserve">am Platz sein</t>
  </si>
  <si>
    <t xml:space="preserve">Er ist gerade nicht am Platz.</t>
  </si>
  <si>
    <t xml:space="preserve">[ʔɛɐ̯ ʔɪst ɡəˈʁaːdə ˈnɪçt ʔam ˈplats]</t>
  </si>
  <si>
    <t xml:space="preserve">Hiện anh ấy không có ở chỗ.</t>
  </si>
  <si>
    <t xml:space="preserve">der Platz = chỗ ngồi</t>
  </si>
  <si>
    <t xml:space="preserve">S1065</t>
  </si>
  <si>
    <t xml:space="preserve">ausrichten = nhắn lại</t>
  </si>
  <si>
    <t xml:space="preserve">Kann ich ihm etwas ausrichten?</t>
  </si>
  <si>
    <t xml:space="preserve">[ˌkan ʔɪç ʔiːm ˈʔɛtvaːs ˈʔaʊsˌʁɪçtən]</t>
  </si>
  <si>
    <t xml:space="preserve">Tôi nhắn lại gì cho anh ấy không?</t>
  </si>
  <si>
    <t xml:space="preserve">ausrichten = chuyển lời</t>
  </si>
  <si>
    <t xml:space="preserve">S1066</t>
  </si>
  <si>
    <t xml:space="preserve">Ich rufe später noch einmal an.</t>
  </si>
  <si>
    <t xml:space="preserve">[ʔɪç ˈʁuːfə ˈʃpɛːtɐ nɔx ˈʔaɪnˌmaːl ˈʔan]</t>
  </si>
  <si>
    <t xml:space="preserve">Lát nữa tôi gọi lại.</t>
  </si>
  <si>
    <t xml:space="preserve">S1067</t>
  </si>
  <si>
    <t xml:space="preserve">Mở đầu thư trang trọng</t>
  </si>
  <si>
    <t xml:space="preserve">Sehr geehrte Damen und Herren,</t>
  </si>
  <si>
    <t xml:space="preserve">[ˈzeːɐ̯ ɡəˈʔeːɐ̯tə ˈdaːmən ʔʊnt ˈhɛʁən]</t>
  </si>
  <si>
    <t xml:space="preserve">Kính gửi quý ông/quý bà,</t>
  </si>
  <si>
    <t xml:space="preserve">geehrt = kính trọng</t>
  </si>
  <si>
    <t xml:space="preserve">S1068</t>
  </si>
  <si>
    <t xml:space="preserve">bezüglich + Genitiv</t>
  </si>
  <si>
    <t xml:space="preserve">Ich schreibe Ihnen bezüglich Ihrer Anzeige.</t>
  </si>
  <si>
    <t xml:space="preserve">[ʔɪç ˈʃʁaɪbə ˌʔiːnən bəˈtsyːklɪç ˌʔiːʁɐ ˈʔanˌtsaɪɡə]</t>
  </si>
  <si>
    <t xml:space="preserve">Tôi viết thư liên quan đến mẩu tin của ông/bà.</t>
  </si>
  <si>
    <t xml:space="preserve">bezüglich = liên quan đến; die Anzeige = mẩu tin</t>
  </si>
  <si>
    <t xml:space="preserve">S1069</t>
  </si>
  <si>
    <t xml:space="preserve">anbei = đính kèm</t>
  </si>
  <si>
    <t xml:space="preserve">Anbei finden Sie meine Unterlagen.</t>
  </si>
  <si>
    <t xml:space="preserve">[ˈʔanˌbaɪ ˈfɪndən ziː ˌmaɪnə ˌʔʊntɐˈlaːɡən]</t>
  </si>
  <si>
    <t xml:space="preserve">Đính kèm là hồ sơ của tôi.</t>
  </si>
  <si>
    <t xml:space="preserve">anbei = kèm theo</t>
  </si>
  <si>
    <t xml:space="preserve">S1070</t>
  </si>
  <si>
    <t xml:space="preserve">sich freuen über + Konjunktiv II</t>
  </si>
  <si>
    <t xml:space="preserve">Über eine baldige Rückmeldung würde ich mich freuen.</t>
  </si>
  <si>
    <t xml:space="preserve">[ˌʔyːbɐ ˌʔaɪnə ˈbaldɪɡə ˈʁykˌmɛldʊŋ ˈvyʁdə ʔɪç mɪç ˈfʁɔøən]</t>
  </si>
  <si>
    <t xml:space="preserve">Tôi rất mong sớm nhận phản hồi.</t>
  </si>
  <si>
    <t xml:space="preserve">S1071</t>
  </si>
  <si>
    <t xml:space="preserve">zur Verfügung stehen</t>
  </si>
  <si>
    <t xml:space="preserve">Für Rückfragen stehe ich gern zur Verfügung.</t>
  </si>
  <si>
    <t xml:space="preserve">[fyːɐ̯ ˈʁykfʁaːɡən ˈʃteːə ʔɪç ˈɡɛʁn tsuːɐ̯ fɛʁˈfyːɡʊŋ]</t>
  </si>
  <si>
    <t xml:space="preserve">Tôi sẵn sàng giải đáp thắc mắc.</t>
  </si>
  <si>
    <t xml:space="preserve">zur Verfügung stehen = sẵn sàng phục vụ</t>
  </si>
  <si>
    <t xml:space="preserve">S1072</t>
  </si>
  <si>
    <t xml:space="preserve">Kết thư chuẩn</t>
  </si>
  <si>
    <t xml:space="preserve">Mit freundlichen Grüßen, Minh Nguyen</t>
  </si>
  <si>
    <t xml:space="preserve">[mɪt ˈfʁɔøntlɪçən ˈɡʁyːsən, ˈmɪnh ˈʔɛnˈɡuːiːən]</t>
  </si>
  <si>
    <t xml:space="preserve">Trân trọng, Minh Nguyen</t>
  </si>
  <si>
    <t xml:space="preserve">S1073</t>
  </si>
  <si>
    <t xml:space="preserve">entschuldigen + Akkusativ</t>
  </si>
  <si>
    <t xml:space="preserve">Entschuldigen Sie die späte Antwort.</t>
  </si>
  <si>
    <t xml:space="preserve">[ʔɛntˈʃʊldɪɡən ziː diː ˈʃpɛːtə ˈʔantvɔʁt]</t>
  </si>
  <si>
    <t xml:space="preserve">Xin lỗi vì trả lời muộn.</t>
  </si>
  <si>
    <t xml:space="preserve">die Antwort = câu trả lời</t>
  </si>
  <si>
    <t xml:space="preserve">S1074</t>
  </si>
  <si>
    <t xml:space="preserve">eine Frage zu + Dativ</t>
  </si>
  <si>
    <t xml:space="preserve">Ich hätte eine Frage zu Ihrem Angebot.</t>
  </si>
  <si>
    <t xml:space="preserve">[ʔɪç ˌhɛtə ˌʔaɪnə ˈfʁaːɡə tsuː ˌʔiːʁəm ˈʔanɡəˌboːt]</t>
  </si>
  <si>
    <t xml:space="preserve">Tôi có một câu hỏi về báo giá của ông/bà.</t>
  </si>
  <si>
    <t xml:space="preserve">das Angebot = báo giá</t>
  </si>
  <si>
    <t xml:space="preserve">S1075</t>
  </si>
  <si>
    <t xml:space="preserve">schriftlich = bằng văn bản</t>
  </si>
  <si>
    <t xml:space="preserve">Könnten Sie mir das bitte schriftlich bestätigen?</t>
  </si>
  <si>
    <t xml:space="preserve">[ˈkœntən ziː miːɐ̯ das ˈbɪtə ˈʃʁɪftlɪç bəˈʃtɛːtɪɡən]</t>
  </si>
  <si>
    <t xml:space="preserve">Ông/bà xác nhận bằng văn bản giúp tôi được không?</t>
  </si>
  <si>
    <t xml:space="preserve">S1076</t>
  </si>
  <si>
    <t xml:space="preserve">absagen tách sau Modalverb</t>
  </si>
  <si>
    <t xml:space="preserve">Leider muss ich den Termin absagen.</t>
  </si>
  <si>
    <t xml:space="preserve">[ˈlaɪdɐ ˈmʊs ʔɪç deːn tɛʁˈmiːn ˈʔapˌzaːɡən]</t>
  </si>
  <si>
    <t xml:space="preserve">Tiếc là tôi phải hủy cuộc hẹn.</t>
  </si>
  <si>
    <t xml:space="preserve">S1077</t>
  </si>
  <si>
    <t xml:space="preserve">im Voraus = trước</t>
  </si>
  <si>
    <t xml:space="preserve">Vielen Dank im Voraus für Ihre Mühe.</t>
  </si>
  <si>
    <t xml:space="preserve">[ˈfiːlən ˈdaŋk ʔɪm foːˈʁaʊs fyːɐ̯ ˌʔiːʁə ˈmyːə]</t>
  </si>
  <si>
    <t xml:space="preserve">Cảm ơn trước vì sự vất vả của ông/bà.</t>
  </si>
  <si>
    <t xml:space="preserve">im Voraus = trước; die Mühe = công sức</t>
  </si>
  <si>
    <t xml:space="preserve">S1078</t>
  </si>
  <si>
    <t xml:space="preserve">sich beziehen auf + Akkusativ</t>
  </si>
  <si>
    <t xml:space="preserve">Ich beziehe mich auf unser Telefonat.</t>
  </si>
  <si>
    <t xml:space="preserve">[ʔɪç bəˈtsiːə mɪç ʔaʊf ˌʔʊnzɐ ˌteːleːfoːˈnaːt]</t>
  </si>
  <si>
    <t xml:space="preserve">Tôi xin nhắc lại cuộc gọi của chúng ta.</t>
  </si>
  <si>
    <t xml:space="preserve">sich beziehen auf = dẫn chiếu; das Telefonat = cuộc gọi</t>
  </si>
  <si>
    <t xml:space="preserve">S1079</t>
  </si>
  <si>
    <t xml:space="preserve">die Verbindung = kết nối</t>
  </si>
  <si>
    <t xml:space="preserve">Die Verbindung ist sehr schlecht.</t>
  </si>
  <si>
    <t xml:space="preserve">[diː fɛʁˈbɪndʊŋ ʔɪst ˈzeːɐ̯ ˈʃlɛçt]</t>
  </si>
  <si>
    <t xml:space="preserve">Đường truyền rất tệ.</t>
  </si>
  <si>
    <t xml:space="preserve">S1080</t>
  </si>
  <si>
    <t xml:space="preserve">sobald + mệnh đề phụ</t>
  </si>
  <si>
    <t xml:space="preserve">Ich melde mich bei Ihnen, sobald ich Neues weiß.</t>
  </si>
  <si>
    <t xml:space="preserve">[ʔɪç ˈmɛldə mɪç baɪ ˈʔiːnən, ˈzoːbalt ʔɪç ˈnɔøəs ˈvaɪs]</t>
  </si>
  <si>
    <t xml:space="preserve">Có tin mới tôi sẽ báo ông/bà ngay.</t>
  </si>
  <si>
    <t xml:space="preserve">S1081</t>
  </si>
  <si>
    <t xml:space="preserve">Hồ sơ xin việc &amp; CV</t>
  </si>
  <si>
    <t xml:space="preserve">Ich bewerbe mich um die ausgeschriebene Stelle.</t>
  </si>
  <si>
    <t xml:space="preserve">[ʔɪç bəˈvɛʁbə mɪç ʔʊm diː ˈʔaʊsɡəˌʃʁiːbənə ˈʃtɛlə]</t>
  </si>
  <si>
    <t xml:space="preserve">Tôi ứng tuyển vị trí đã đăng tuyển.</t>
  </si>
  <si>
    <t xml:space="preserve">ausgeschrieben = được đăng tuyển</t>
  </si>
  <si>
    <t xml:space="preserve">S1082</t>
  </si>
  <si>
    <t xml:space="preserve">Ich habe fünf Jahre Berufserfahrung.</t>
  </si>
  <si>
    <t xml:space="preserve">[ʔɪç haːbə ˈfynf ˈjaːʁə bəˈʁʊfzɐˌfaːʁʊŋ]</t>
  </si>
  <si>
    <t xml:space="preserve">Tôi có năm năm kinh nghiệm làm việc.</t>
  </si>
  <si>
    <t xml:space="preserve">die Berufserfahrung = kinh nghiệm nghề</t>
  </si>
  <si>
    <t xml:space="preserve">S1083</t>
  </si>
  <si>
    <t xml:space="preserve">Liệt kê bằng und</t>
  </si>
  <si>
    <t xml:space="preserve">Meine Stärken sind Teamfähigkeit und Genauigkeit.</t>
  </si>
  <si>
    <t xml:space="preserve">[ˌmaɪnə ˈʃtɛʁkən zɪnt ˈteːamˌfɛːɪçˌkaɪt ʔʊnt ɡəˈnaʊɪçˌkaɪt]</t>
  </si>
  <si>
    <t xml:space="preserve">Điểm mạnh của tôi là làm việc nhóm và sự tỉ mỉ.</t>
  </si>
  <si>
    <t xml:space="preserve">die Stärke = điểm mạnh; die Genauigkeit = sự chính xác</t>
  </si>
  <si>
    <t xml:space="preserve">S1084</t>
  </si>
  <si>
    <t xml:space="preserve">gern + Adverb</t>
  </si>
  <si>
    <t xml:space="preserve">Ich arbeite gern selbstständig.</t>
  </si>
  <si>
    <t xml:space="preserve">[ʔɪç ˈʔaʁbaɪtə ˈɡɛʁn ˈzɛlpstˌʃtɛndɪç]</t>
  </si>
  <si>
    <t xml:space="preserve">Tôi thích làm việc độc lập.</t>
  </si>
  <si>
    <t xml:space="preserve">selbstständig = độc lập</t>
  </si>
  <si>
    <t xml:space="preserve">S1085</t>
  </si>
  <si>
    <t xml:space="preserve">Warum möchten Sie bei uns arbeiten?</t>
  </si>
  <si>
    <t xml:space="preserve">[vaːˈʁʊm ˈmœçtən ziː baɪ ʔʊns ˈʔaʁbaɪtən]</t>
  </si>
  <si>
    <t xml:space="preserve">Vì sao ông/bà muốn làm ở chỗ chúng tôi?</t>
  </si>
  <si>
    <t xml:space="preserve">S1086</t>
  </si>
  <si>
    <t xml:space="preserve">ab sofort = từ ngay bây giờ</t>
  </si>
  <si>
    <t xml:space="preserve">Ich bin ab sofort verfügbar.</t>
  </si>
  <si>
    <t xml:space="preserve">[ʔɪç bɪn ʔap zoːˈfɔʁt fɛʁˈfyːkbaːɐ̯]</t>
  </si>
  <si>
    <t xml:space="preserve">Tôi có thể bắt đầu ngay.</t>
  </si>
  <si>
    <t xml:space="preserve">verfügbar = sẵn sàng</t>
  </si>
  <si>
    <t xml:space="preserve">S1087</t>
  </si>
  <si>
    <t xml:space="preserve">beiliegen tách</t>
  </si>
  <si>
    <t xml:space="preserve">Mein Lebenslauf liegt bei.</t>
  </si>
  <si>
    <t xml:space="preserve">[maɪn ˈleːbənsˌlaʊf ˈliːkt ˈbaɪ]</t>
  </si>
  <si>
    <t xml:space="preserve">Sơ yếu lý lịch được đính kèm.</t>
  </si>
  <si>
    <t xml:space="preserve">der Lebenslauf = sơ yếu lý lịch</t>
  </si>
  <si>
    <t xml:space="preserve">S1088</t>
  </si>
  <si>
    <t xml:space="preserve">in + Dativ chỉ ngành</t>
  </si>
  <si>
    <t xml:space="preserve">Ich habe einen Bachelorabschluss in Informatik.</t>
  </si>
  <si>
    <t xml:space="preserve">[ʔɪç haːbə ˌʔaɪnən ˈbaxəˌloːʁapˌʃlʊs ʔɪn ˌʔɪnfɔʁˈmatiːk]</t>
  </si>
  <si>
    <t xml:space="preserve">Tôi có bằng cử nhân công nghệ thông tin.</t>
  </si>
  <si>
    <t xml:space="preserve">der Abschluss = bằng cấp; die Informatik = tin học</t>
  </si>
  <si>
    <t xml:space="preserve">S1089</t>
  </si>
  <si>
    <t xml:space="preserve">welche + Nomen cái</t>
  </si>
  <si>
    <t xml:space="preserve">Welche Gehaltsvorstellung haben Sie?</t>
  </si>
  <si>
    <t xml:space="preserve">[ˈvɛlçə ɡəˈhaltsfoːɐ̯ˌʃtɛlʊŋ ˈhaːbən ziː]</t>
  </si>
  <si>
    <t xml:space="preserve">Mức lương ông/bà mong muốn là bao nhiêu?</t>
  </si>
  <si>
    <t xml:space="preserve">die Gehaltsvorstellung = mức lương mong muốn</t>
  </si>
  <si>
    <t xml:space="preserve">S1090</t>
  </si>
  <si>
    <t xml:space="preserve">unter Druck = dưới áp lực</t>
  </si>
  <si>
    <t xml:space="preserve">Ich kann gut unter Druck arbeiten.</t>
  </si>
  <si>
    <t xml:space="preserve">[ʔɪç ˌkan ˈɡuːt ˌʔʊntɐ ˈdʁʊk ˈʔaʁbaɪtən]</t>
  </si>
  <si>
    <t xml:space="preserve">Tôi làm việc tốt dưới áp lực.</t>
  </si>
  <si>
    <t xml:space="preserve">S1091</t>
  </si>
  <si>
    <t xml:space="preserve">sich sehen reflexiv</t>
  </si>
  <si>
    <t xml:space="preserve">Wo sehen Sie sich in fünf Jahren?</t>
  </si>
  <si>
    <t xml:space="preserve">[ˌvoː ˈzeːən ziː zɪç ʔɪn ˈfynf ˈjaːʁən]</t>
  </si>
  <si>
    <t xml:space="preserve">Năm năm nữa ông/bà thấy mình ở đâu?</t>
  </si>
  <si>
    <t xml:space="preserve">sich sehen = hình dung bản thân</t>
  </si>
  <si>
    <t xml:space="preserve">S1092</t>
  </si>
  <si>
    <t xml:space="preserve">sich einarbeiten in + Akkusativ</t>
  </si>
  <si>
    <t xml:space="preserve">Ich habe mich schnell in neue Aufgaben eingearbeitet.</t>
  </si>
  <si>
    <t xml:space="preserve">[ʔɪç haːbə mɪç ˈʃnɛl ʔɪn ˈnɔøə ˈʔaʊfˌɡaːbən ˈʔaɪnɡəˌʔaʁbaɪtət]</t>
  </si>
  <si>
    <t xml:space="preserve">Tôi làm quen nhanh với công việc mới.</t>
  </si>
  <si>
    <t xml:space="preserve">sich einarbeiten = làm quen việc</t>
  </si>
  <si>
    <t xml:space="preserve">S1093</t>
  </si>
  <si>
    <t xml:space="preserve">befristet = có thời hạn</t>
  </si>
  <si>
    <t xml:space="preserve">Die Stelle ist zunächst befristet.</t>
  </si>
  <si>
    <t xml:space="preserve">[diː ˈʃtɛlə ʔɪst tsuːˈnɛçst bəˈfʁɪstət]</t>
  </si>
  <si>
    <t xml:space="preserve">Vị trí này ban đầu có thời hạn.</t>
  </si>
  <si>
    <t xml:space="preserve">befristet = có thời hạn; zunächst = ban đầu</t>
  </si>
  <si>
    <t xml:space="preserve">S1094</t>
  </si>
  <si>
    <t xml:space="preserve">unbefristet = vô thời hạn</t>
  </si>
  <si>
    <t xml:space="preserve">Ich suche eine unbefristete Festanstellung.</t>
  </si>
  <si>
    <t xml:space="preserve">[ʔɪç ˈzuːxə ˌʔaɪnə ˈʔʊnbəˌfʁɪstətə ˈfɛˌstanˌʃtɛlʊŋ]</t>
  </si>
  <si>
    <t xml:space="preserve">Tôi tìm công việc chính thức vô thời hạn.</t>
  </si>
  <si>
    <t xml:space="preserve">die Festanstellung = việc làm chính thức</t>
  </si>
  <si>
    <t xml:space="preserve">S1095</t>
  </si>
  <si>
    <t xml:space="preserve">ausstellen = cấp phát</t>
  </si>
  <si>
    <t xml:space="preserve">Könnten Sie mir ein Zeugnis ausstellen?</t>
  </si>
  <si>
    <t xml:space="preserve">[ˈkœntən ziː miːɐ̯ ʔaɪn ˈtsɔøɡnɪs ˈʔaʊsˌʃtɛlən]</t>
  </si>
  <si>
    <t xml:space="preserve">Ông/bà cấp cho tôi giấy chứng nhận được không?</t>
  </si>
  <si>
    <t xml:space="preserve">das Zeugnis = giấy chứng nhận</t>
  </si>
  <si>
    <t xml:space="preserve">S1096</t>
  </si>
  <si>
    <t xml:space="preserve">sich bewerben auf + Akkusativ</t>
  </si>
  <si>
    <t xml:space="preserve">Ich habe mich auf mehrere Stellen beworben.</t>
  </si>
  <si>
    <t xml:space="preserve">[ʔɪç haːbə mɪç ʔaʊf ˈmeːʁəʁə ˈʃtɛlən bəˈvɔʁbən]</t>
  </si>
  <si>
    <t xml:space="preserve">Tôi đã nộp đơn cho nhiều vị trí.</t>
  </si>
  <si>
    <t xml:space="preserve">mehrere = nhiều</t>
  </si>
  <si>
    <t xml:space="preserve">S1097</t>
  </si>
  <si>
    <t xml:space="preserve">verlaufen = diễn ra</t>
  </si>
  <si>
    <t xml:space="preserve">Das Vorstellungsgespräch verlief sehr gut.</t>
  </si>
  <si>
    <t xml:space="preserve">[das ˈfoːɐ̯ˌʃtɛlʊŋsɡəˌʃpʁɛːç fɛʁˈliːf ˈzeːɐ̯ ˈɡuːt]</t>
  </si>
  <si>
    <t xml:space="preserve">Buổi phỏng vấn diễn ra rất tốt.</t>
  </si>
  <si>
    <t xml:space="preserve">S1098</t>
  </si>
  <si>
    <t xml:space="preserve">Wir melden uns innerhalb einer Woche.</t>
  </si>
  <si>
    <t xml:space="preserve">[viːɐ̯ ˈmɛldən ʔʊns ˈʔɪnɐˌhalp ˌʔaɪnɐ ˈvɔxə]</t>
  </si>
  <si>
    <t xml:space="preserve">Chúng tôi sẽ liên hệ trong vòng một tuần.</t>
  </si>
  <si>
    <t xml:space="preserve">S1099</t>
  </si>
  <si>
    <t xml:space="preserve">sich weiterbilden + zu</t>
  </si>
  <si>
    <t xml:space="preserve">Ich bin bereit, mich weiterzubilden.</t>
  </si>
  <si>
    <t xml:space="preserve">[ʔɪç bɪn bəˈʁaɪt, mɪç ˈvaɪtɐtsuːˌbɪldən]</t>
  </si>
  <si>
    <t xml:space="preserve">Tôi sẵn sàng học thêm nâng cao.</t>
  </si>
  <si>
    <t xml:space="preserve">sich weiterbilden = học nâng cao</t>
  </si>
  <si>
    <t xml:space="preserve">S1100</t>
  </si>
  <si>
    <t xml:space="preserve">absagen + Dativ</t>
  </si>
  <si>
    <t xml:space="preserve">Leider müssen wir Ihnen absagen.</t>
  </si>
  <si>
    <t xml:space="preserve">[ˈlaɪdɐ ˈmysən viːɐ̯ ˌʔiːnən ˈʔapˌzaːɡən]</t>
  </si>
  <si>
    <t xml:space="preserve">Rất tiếc chúng tôi phải từ chối ông/bà.</t>
  </si>
  <si>
    <t xml:space="preserve">absagen = từ chối</t>
  </si>
  <si>
    <t xml:space="preserve">S1101</t>
  </si>
  <si>
    <t xml:space="preserve">Văn phòng &amp; làm việc nhóm</t>
  </si>
  <si>
    <t xml:space="preserve">besprechen = thảo luận</t>
  </si>
  <si>
    <t xml:space="preserve">Können wir das kurz im Team besprechen?</t>
  </si>
  <si>
    <t xml:space="preserve">[ˌkœnən viːɐ̯ das ˈkʊʁts ʔɪm (en)ˈtiːm(de) bəˈʃpʁɛçən]</t>
  </si>
  <si>
    <t xml:space="preserve">Mình bàn nhanh trong nhóm được không?</t>
  </si>
  <si>
    <t xml:space="preserve">besprechen = bàn bạc</t>
  </si>
  <si>
    <t xml:space="preserve">S1102</t>
  </si>
  <si>
    <t xml:space="preserve">sich kümmern um</t>
  </si>
  <si>
    <t xml:space="preserve">Ich kümmere mich um die Präsentation.</t>
  </si>
  <si>
    <t xml:space="preserve">[ʔɪç ˈkyməʁə mɪç ʔʊm diː ˌpʁɛːzəntatsˈjoːn]</t>
  </si>
  <si>
    <t xml:space="preserve">Tôi lo phần thuyết trình.</t>
  </si>
  <si>
    <t xml:space="preserve">die Präsentation = bài thuyết trình</t>
  </si>
  <si>
    <t xml:space="preserve">S1103</t>
  </si>
  <si>
    <t xml:space="preserve">Die Deadline ist am Freitag.</t>
  </si>
  <si>
    <t xml:space="preserve">[diː ˌdeːadˈliːnə ʔɪst ʔam ˈfʁaɪtaːk]</t>
  </si>
  <si>
    <t xml:space="preserve">Hạn chót là thứ Sáu.</t>
  </si>
  <si>
    <t xml:space="preserve">die Deadline = hạn chót</t>
  </si>
  <si>
    <t xml:space="preserve">S1104</t>
  </si>
  <si>
    <t xml:space="preserve">übernehmen = đảm nhận</t>
  </si>
  <si>
    <t xml:space="preserve">Wer übernimmt die Protokollführung?</t>
  </si>
  <si>
    <t xml:space="preserve">[ˈveːɐ̯ ˌʔyːbɐˈnɪmt diː pʁoːˈtoːkɔlˌfyːʁʊŋ]</t>
  </si>
  <si>
    <t xml:space="preserve">Ai ghi biên bản?</t>
  </si>
  <si>
    <t xml:space="preserve">das Protokoll = biên bản</t>
  </si>
  <si>
    <t xml:space="preserve">S1105</t>
  </si>
  <si>
    <t xml:space="preserve">weiterleiten tách</t>
  </si>
  <si>
    <t xml:space="preserve">Ich habe die Datei an alle weitergeleitet.</t>
  </si>
  <si>
    <t xml:space="preserve">[ʔɪç haːbə diː daˈtaɪ ʔan ˈʔalə ˈvaɪtɐɡəˌlaɪtət]</t>
  </si>
  <si>
    <t xml:space="preserve">Tôi đã chuyển tiếp tệp cho tất cả.</t>
  </si>
  <si>
    <t xml:space="preserve">die Datei = tệp; weiterleiten = chuyển tiếp</t>
  </si>
  <si>
    <t xml:space="preserve">S1106</t>
  </si>
  <si>
    <t xml:space="preserve">lassen + uns</t>
  </si>
  <si>
    <t xml:space="preserve">Lass uns das Meeting verschieben.</t>
  </si>
  <si>
    <t xml:space="preserve">[ˈlas ʔʊns das ˈmeːtɪŋ fɛʁˈʃiːbən]</t>
  </si>
  <si>
    <t xml:space="preserve">Mình dời cuộc họp đi.</t>
  </si>
  <si>
    <t xml:space="preserve">verschieben = dời</t>
  </si>
  <si>
    <t xml:space="preserve">S1107</t>
  </si>
  <si>
    <t xml:space="preserve">verteilen = phân chia</t>
  </si>
  <si>
    <t xml:space="preserve">Die Aufgaben sind klar verteilt.</t>
  </si>
  <si>
    <t xml:space="preserve">[diː ˈʔaʊfˌɡaːbən zɪnt ˈklaːɐ̯ fɛʁˈtaɪlt]</t>
  </si>
  <si>
    <t xml:space="preserve">Công việc được phân chia rõ ràng.</t>
  </si>
  <si>
    <t xml:space="preserve">S1108</t>
  </si>
  <si>
    <t xml:space="preserve">zuständig für + Akkusativ</t>
  </si>
  <si>
    <t xml:space="preserve">Ich bin für den Vertrieb zuständig.</t>
  </si>
  <si>
    <t xml:space="preserve">[ʔɪç bɪn fyːɐ̯ deːn fɛʁˈtʁiːp tsuːˈʃtɛndɪç]</t>
  </si>
  <si>
    <t xml:space="preserve">Tôi phụ trách mảng kinh doanh.</t>
  </si>
  <si>
    <t xml:space="preserve">der Vertrieb = bộ phận kinh doanh</t>
  </si>
  <si>
    <t xml:space="preserve">S1109</t>
  </si>
  <si>
    <t xml:space="preserve">Feedback geben</t>
  </si>
  <si>
    <t xml:space="preserve">Könnten Sie mir kurz Feedback geben?</t>
  </si>
  <si>
    <t xml:space="preserve">[ˈkœntən ziː miːɐ̯ ˈkʊʁts ˈfeːdbak ˈɡeːbən]</t>
  </si>
  <si>
    <t xml:space="preserve">Ông/bà cho tôi chút phản hồi được không?</t>
  </si>
  <si>
    <t xml:space="preserve">das Feedback = phản hồi</t>
  </si>
  <si>
    <t xml:space="preserve">S1110</t>
  </si>
  <si>
    <t xml:space="preserve">im Zeitplan liegen</t>
  </si>
  <si>
    <t xml:space="preserve">Wir liegen gut im Zeitplan.</t>
  </si>
  <si>
    <t xml:space="preserve">[viːɐ̯ ˈliːɡən ˈɡuːt ʔɪm ˈtsaɪtˌplaːn]</t>
  </si>
  <si>
    <t xml:space="preserve">Chúng ta đang đúng tiến độ.</t>
  </si>
  <si>
    <t xml:space="preserve">der Zeitplan = kế hoạch thời gian</t>
  </si>
  <si>
    <t xml:space="preserve">S1111</t>
  </si>
  <si>
    <t xml:space="preserve">sich verzögern reflexiv</t>
  </si>
  <si>
    <t xml:space="preserve">Das Projekt hat sich verzögert.</t>
  </si>
  <si>
    <t xml:space="preserve">[das pʁoːˈjɛkt hat zɪç fɛʁˈtsøːɡɐt]</t>
  </si>
  <si>
    <t xml:space="preserve">Dự án bị chậm.</t>
  </si>
  <si>
    <t xml:space="preserve">sich verzögern = chậm trễ</t>
  </si>
  <si>
    <t xml:space="preserve">S1112</t>
  </si>
  <si>
    <t xml:space="preserve">zustimmen + Dativ</t>
  </si>
  <si>
    <t xml:space="preserve">Ich stimme dir in diesem Punkt zu.</t>
  </si>
  <si>
    <t xml:space="preserve">[ʔɪç ˈʃtɪmə diːɐ̯ ʔɪn ˌdiːzəm ˈpʊŋkt ˈtsuː]</t>
  </si>
  <si>
    <t xml:space="preserve">Ở điểm này tôi đồng ý với bạn.</t>
  </si>
  <si>
    <t xml:space="preserve">S1113</t>
  </si>
  <si>
    <t xml:space="preserve">dringend = gấp</t>
  </si>
  <si>
    <t xml:space="preserve">Wir brauchen dringend mehr Ressourcen.</t>
  </si>
  <si>
    <t xml:space="preserve">[viːɐ̯ ˈbʁaʊxən ˈdʁɪŋənt ˈmeːɐ̯ ʁɛˈsʊʁsən]</t>
  </si>
  <si>
    <t xml:space="preserve">Chúng ta cần thêm nguồn lực gấp.</t>
  </si>
  <si>
    <t xml:space="preserve">die Ressource = nguồn lực; dringend = khẩn</t>
  </si>
  <si>
    <t xml:space="preserve">S1114</t>
  </si>
  <si>
    <t xml:space="preserve">auf dem Laufenden halten</t>
  </si>
  <si>
    <t xml:space="preserve">Bitte halte mich auf dem Laufenden.</t>
  </si>
  <si>
    <t xml:space="preserve">[ˈbɪtə ˈhaltə mɪç ʔaʊf deːm ˈlaʊfəndən]</t>
  </si>
  <si>
    <t xml:space="preserve">Nhớ cập nhật cho tôi nhé.</t>
  </si>
  <si>
    <t xml:space="preserve">auf dem Laufenden = cập nhật</t>
  </si>
  <si>
    <t xml:space="preserve">S1115</t>
  </si>
  <si>
    <t xml:space="preserve">reibungslos = trơn tru</t>
  </si>
  <si>
    <t xml:space="preserve">Die Zusammenarbeit funktioniert reibungslos.</t>
  </si>
  <si>
    <t xml:space="preserve">[diː tsuːˈzaməˌnaʁbaɪt fʊŋktsˌjoːˈniːɐ̯t ˈʁaɪbʊŋsˌloːs]</t>
  </si>
  <si>
    <t xml:space="preserve">Việc hợp tác diễn ra trơn tru.</t>
  </si>
  <si>
    <t xml:space="preserve">die Zusammenarbeit = hợp tác; reibungslos = suôn sẻ</t>
  </si>
  <si>
    <t xml:space="preserve">S1116</t>
  </si>
  <si>
    <t xml:space="preserve">Homeoffice haben</t>
  </si>
  <si>
    <t xml:space="preserve">Ich habe heute Homeoffice.</t>
  </si>
  <si>
    <t xml:space="preserve">[ʔɪç haːbə ˈhɔøtə ˈhoːmeːˌɔfiːkə]</t>
  </si>
  <si>
    <t xml:space="preserve">Hôm nay tôi làm việc tại nhà.</t>
  </si>
  <si>
    <t xml:space="preserve">S1117</t>
  </si>
  <si>
    <t xml:space="preserve">vertagen = hoãn lại</t>
  </si>
  <si>
    <t xml:space="preserve">Können wir den Punkt auf morgen vertagen?</t>
  </si>
  <si>
    <t xml:space="preserve">[ˌkœnən viːɐ̯ deːn ˈpʊŋkt ʔaʊf ˈmɔʁɡən fɛʁˈtaːɡən]</t>
  </si>
  <si>
    <t xml:space="preserve">Mình dời mục này sang mai được không?</t>
  </si>
  <si>
    <t xml:space="preserve">vertagen = hoãn</t>
  </si>
  <si>
    <t xml:space="preserve">S1118</t>
  </si>
  <si>
    <t xml:space="preserve">länger als geplant</t>
  </si>
  <si>
    <t xml:space="preserve">Die Besprechung dauerte länger als geplant.</t>
  </si>
  <si>
    <t xml:space="preserve">[diː bəˈʃpʁɛçʊŋ ˈdaʊɐtə ˈlɛŋɐ ʔals ɡəˈplant]</t>
  </si>
  <si>
    <t xml:space="preserve">Cuộc họp kéo dài hơn dự kiến.</t>
  </si>
  <si>
    <t xml:space="preserve">geplant = đã lên kế hoạch</t>
  </si>
  <si>
    <t xml:space="preserve">S1119</t>
  </si>
  <si>
    <t xml:space="preserve">leiten = lãnh đạo</t>
  </si>
  <si>
    <t xml:space="preserve">Ich leite die Abteilung seit zwei Jahren.</t>
  </si>
  <si>
    <t xml:space="preserve">[ʔɪç ˈlaɪtə diː ˈʔapˌtaɪlʊŋ zaɪt ˈtsvaɪ ˈjaːʁən]</t>
  </si>
  <si>
    <t xml:space="preserve">Tôi quản lý phòng này hai năm rồi.</t>
  </si>
  <si>
    <t xml:space="preserve">leiten = quản lý; die Abteilung = phòng ban</t>
  </si>
  <si>
    <t xml:space="preserve">S1120</t>
  </si>
  <si>
    <t xml:space="preserve">eintragen tách</t>
  </si>
  <si>
    <t xml:space="preserve">Bitte tragen Sie den Termin in den Kalender ein.</t>
  </si>
  <si>
    <t xml:space="preserve">[ˈbɪtə ˈtʁaːɡən ziː deːn tɛʁˈmiːn ʔɪn deːn kaˈlɛndɐ ˈʔaɪn]</t>
  </si>
  <si>
    <t xml:space="preserve">Xin ghi lịch hẹn vào lịch.</t>
  </si>
  <si>
    <t xml:space="preserve">eintragen = ghi vào; der Kalender = lịch</t>
  </si>
  <si>
    <t xml:space="preserve">S1121</t>
  </si>
  <si>
    <t xml:space="preserve">Học tập, đại học &amp; thi cử</t>
  </si>
  <si>
    <t xml:space="preserve">im + số thứ tự + Semester</t>
  </si>
  <si>
    <t xml:space="preserve">Ich studiere Maschinenbau im dritten Semester.</t>
  </si>
  <si>
    <t xml:space="preserve">[ʔɪç ʃtuːˈdiːʁə ˈmaʃiːˌnɛnbaʊ ʔɪm ˈdʁɪtən ˈzeːməstɐ]</t>
  </si>
  <si>
    <t xml:space="preserve">Tôi học cơ khí, kỳ thứ ba.</t>
  </si>
  <si>
    <t xml:space="preserve">der Maschinenbau = cơ khí; das Semester = học kỳ</t>
  </si>
  <si>
    <t xml:space="preserve">S1122</t>
  </si>
  <si>
    <t xml:space="preserve">Viertel nach</t>
  </si>
  <si>
    <t xml:space="preserve">Die Vorlesung beginnt um Viertel nach acht.</t>
  </si>
  <si>
    <t xml:space="preserve">[diː ˈfoːɐ̯ˌleːzʊŋ bəˈɡɪnt ʔʊm ˈfiːɐ̯təl naːx ˈʔaxt]</t>
  </si>
  <si>
    <t xml:space="preserve">Bài giảng bắt đầu lúc 8 giờ 15.</t>
  </si>
  <si>
    <t xml:space="preserve">die Vorlesung = bài giảng</t>
  </si>
  <si>
    <t xml:space="preserve">S1123</t>
  </si>
  <si>
    <t xml:space="preserve">Ich muss noch eine Hausarbeit schreiben.</t>
  </si>
  <si>
    <t xml:space="preserve">[ʔɪç ˈmʊs nɔx ˌʔaɪnə ˈhaʊˌsaʁbaɪt ˈʃʁaɪbən]</t>
  </si>
  <si>
    <t xml:space="preserve">Tôi còn phải viết một tiểu luận.</t>
  </si>
  <si>
    <t xml:space="preserve">die Hausarbeit = tiểu luận</t>
  </si>
  <si>
    <t xml:space="preserve">S1124</t>
  </si>
  <si>
    <t xml:space="preserve">Die Prüfung findet im Februar statt.</t>
  </si>
  <si>
    <t xml:space="preserve">[diː ˈpʁyːfʊŋ ˈfɪndət ʔɪm ˈfɛbʁuːˌaːɐ̯ ˈʃtat]</t>
  </si>
  <si>
    <t xml:space="preserve">Kỳ thi diễn ra vào tháng Hai.</t>
  </si>
  <si>
    <t xml:space="preserve">der Februar = tháng Hai</t>
  </si>
  <si>
    <t xml:space="preserve">S1125</t>
  </si>
  <si>
    <t xml:space="preserve">mit + Dativ chỉ điểm</t>
  </si>
  <si>
    <t xml:space="preserve">Ich habe die Klausur mit einer Zwei bestanden.</t>
  </si>
  <si>
    <t xml:space="preserve">[ʔɪç haːbə diː klaʊˈzuːɐ̯ mɪt ˌʔaɪnɐ ˈtsvaɪ bəˈʃtandən]</t>
  </si>
  <si>
    <t xml:space="preserve">Tôi qua bài thi với điểm 2.</t>
  </si>
  <si>
    <t xml:space="preserve">die Klausur = bài thi viết</t>
  </si>
  <si>
    <t xml:space="preserve">S1126</t>
  </si>
  <si>
    <t xml:space="preserve">durchfallen = trượt</t>
  </si>
  <si>
    <t xml:space="preserve">Er ist leider durchgefallen.</t>
  </si>
  <si>
    <t xml:space="preserve">[ʔɛɐ̯ ʔɪst ˈlaɪdɐ ˈdʊʁçɡəˌfalən]</t>
  </si>
  <si>
    <t xml:space="preserve">Tiếc là anh ấy trượt.</t>
  </si>
  <si>
    <t xml:space="preserve">durchfallen = thi trượt</t>
  </si>
  <si>
    <t xml:space="preserve">S1127</t>
  </si>
  <si>
    <t xml:space="preserve">sich vorbereiten auf + Akkusativ</t>
  </si>
  <si>
    <t xml:space="preserve">Ich bereite mich auf das Examen vor.</t>
  </si>
  <si>
    <t xml:space="preserve">[ʔɪç bəˈʁaɪtə mɪç ʔaʊf das ˈʔɛksaːmən ˈfɔɐ̯]</t>
  </si>
  <si>
    <t xml:space="preserve">Tôi đang ôn thi tốt nghiệp.</t>
  </si>
  <si>
    <t xml:space="preserve">sich vorbereiten = chuẩn bị</t>
  </si>
  <si>
    <t xml:space="preserve">S1128</t>
  </si>
  <si>
    <t xml:space="preserve">Der Professor hat die Frist verlängert.</t>
  </si>
  <si>
    <t xml:space="preserve">[dɛɐ̯ pʁoːˈfɛsoːɐ̯ hat diː ˈfʁɪst fɛʁˈlɛŋɐt]</t>
  </si>
  <si>
    <t xml:space="preserve">Giáo sư đã gia hạn thời hạn.</t>
  </si>
  <si>
    <t xml:space="preserve">die Frist = thời hạn</t>
  </si>
  <si>
    <t xml:space="preserve">S1129</t>
  </si>
  <si>
    <t xml:space="preserve">Wie viele Credits brauchst du noch?</t>
  </si>
  <si>
    <t xml:space="preserve">[viː ˈfiːlə ˈkʁeːdiːts ˈbʁaʊxst duː nɔx]</t>
  </si>
  <si>
    <t xml:space="preserve">Bạn còn cần bao nhiêu tín chỉ?</t>
  </si>
  <si>
    <t xml:space="preserve">der Credit = tín chỉ</t>
  </si>
  <si>
    <t xml:space="preserve">S1130</t>
  </si>
  <si>
    <t xml:space="preserve">Ich schreibe gerade meine Bachelorarbeit.</t>
  </si>
  <si>
    <t xml:space="preserve">[ʔɪç ˈʃʁaɪbə ɡəˈʁaːdə ˌmaɪnə ˈbaxəˌloːʁaʁˌbaɪt]</t>
  </si>
  <si>
    <t xml:space="preserve">Tôi đang viết khóa luận cử nhân.</t>
  </si>
  <si>
    <t xml:space="preserve">die Bachelorarbeit = khóa luận</t>
  </si>
  <si>
    <t xml:space="preserve">S1131</t>
  </si>
  <si>
    <t xml:space="preserve">ausgebucht = kín chỗ</t>
  </si>
  <si>
    <t xml:space="preserve">Das Seminar ist leider schon ausgebucht.</t>
  </si>
  <si>
    <t xml:space="preserve">[das ˈzeːmiːˌnaːɐ̯ ʔɪst ˈlaɪdɐ ˌʃoːn ˈʔaʊsɡəˌbuːxt]</t>
  </si>
  <si>
    <t xml:space="preserve">Tiếc là seminar đã kín chỗ.</t>
  </si>
  <si>
    <t xml:space="preserve">ausgebucht = hết chỗ</t>
  </si>
  <si>
    <t xml:space="preserve">S1132</t>
  </si>
  <si>
    <t xml:space="preserve">ohne + Nomen</t>
  </si>
  <si>
    <t xml:space="preserve">Ohne Anwesenheit gibt es keinen Schein.</t>
  </si>
  <si>
    <t xml:space="preserve">[ˈʔoːnə ˈʔanˌveːzənˌhaɪt ˈɡiːpt ʔɛs ˈkaɪnən ˈʃaɪn]</t>
  </si>
  <si>
    <t xml:space="preserve">Không điểm danh thì không có chứng chỉ.</t>
  </si>
  <si>
    <t xml:space="preserve">die Anwesenheit = sự có mặt</t>
  </si>
  <si>
    <t xml:space="preserve">S1133</t>
  </si>
  <si>
    <t xml:space="preserve">am besten + Ortsangabe</t>
  </si>
  <si>
    <t xml:space="preserve">Ich lerne am besten in der Bibliothek.</t>
  </si>
  <si>
    <t xml:space="preserve">[ʔɪç ˈlɛʁnə ʔam ˈbɛstən ʔɪn dɛɐ̯ ˌbɪblɪoːˈteːk]</t>
  </si>
  <si>
    <t xml:space="preserve">Tôi học tốt nhất ở thư viện.</t>
  </si>
  <si>
    <t xml:space="preserve">die Bibliothek = thư viện</t>
  </si>
  <si>
    <t xml:space="preserve">S1134</t>
  </si>
  <si>
    <t xml:space="preserve">Hast du die Mitschrift von gestern?</t>
  </si>
  <si>
    <t xml:space="preserve">[hast duː diː ˈmɪtˌʃʁɪft fɔn ˈɡɛstɐn]</t>
  </si>
  <si>
    <t xml:space="preserve">Bạn có bản ghi chép hôm qua không?</t>
  </si>
  <si>
    <t xml:space="preserve">die Mitschrift = bản ghi chép</t>
  </si>
  <si>
    <t xml:space="preserve">S1135</t>
  </si>
  <si>
    <t xml:space="preserve">behandeln = xử lý/giảng</t>
  </si>
  <si>
    <t xml:space="preserve">Das Thema wird nächste Woche behandelt.</t>
  </si>
  <si>
    <t xml:space="preserve">[das ˈteːmaː ˌvɪʁt ˈnɛçstə ˈvɔxə bəˈhandəlt]</t>
  </si>
  <si>
    <t xml:space="preserve">Chủ đề đó sẽ được dạy tuần sau.</t>
  </si>
  <si>
    <t xml:space="preserve">behandeln = đề cập</t>
  </si>
  <si>
    <t xml:space="preserve">S1136</t>
  </si>
  <si>
    <t xml:space="preserve">sich einschreiben für</t>
  </si>
  <si>
    <t xml:space="preserve">Ich habe mich für den Kurs eingeschrieben.</t>
  </si>
  <si>
    <t xml:space="preserve">[ʔɪç haːbə mɪç fyːɐ̯ deːn ˈkuːɐ̯s ˈʔaɪnɡəˌʃʁiːbən]</t>
  </si>
  <si>
    <t xml:space="preserve">Tôi đã ghi danh khóa học.</t>
  </si>
  <si>
    <t xml:space="preserve">sich einschreiben = ghi danh</t>
  </si>
  <si>
    <t xml:space="preserve">S1137</t>
  </si>
  <si>
    <t xml:space="preserve">zählen zu + Dativ</t>
  </si>
  <si>
    <t xml:space="preserve">Die Note zählt zu fünfzig Prozent.</t>
  </si>
  <si>
    <t xml:space="preserve">[diː ˈnoːtə ˈtsɛːlt tsuː ˈfynftsɪç pʁoːˈtsɛnt]</t>
  </si>
  <si>
    <t xml:space="preserve">Điểm này chiếm năm mươi phần trăm.</t>
  </si>
  <si>
    <t xml:space="preserve">die Note = điểm số; das Prozent = phần trăm</t>
  </si>
  <si>
    <t xml:space="preserve">S1138</t>
  </si>
  <si>
    <t xml:space="preserve">Ich brauche ein Stipendium.</t>
  </si>
  <si>
    <t xml:space="preserve">[ʔɪç ˈbʁaʊxə ʔaɪn ʃtiːˈpɛndiːˌʊm]</t>
  </si>
  <si>
    <t xml:space="preserve">Tôi cần học bổng.</t>
  </si>
  <si>
    <t xml:space="preserve">das Stipendium = học bổng</t>
  </si>
  <si>
    <t xml:space="preserve">S1139</t>
  </si>
  <si>
    <t xml:space="preserve">verständlich = dễ hiểu</t>
  </si>
  <si>
    <t xml:space="preserve">Der Dozent erklärt sehr verständlich.</t>
  </si>
  <si>
    <t xml:space="preserve">[dɛɐ̯ doːˈtsɛnt ʔɛʁˈklɛʁt ˈzeːɐ̯ fɛʁˈʃtɛntlɪç]</t>
  </si>
  <si>
    <t xml:space="preserve">Giảng viên giảng rất dễ hiểu.</t>
  </si>
  <si>
    <t xml:space="preserve">der Dozent = giảng viên; verständlich = dễ hiểu</t>
  </si>
  <si>
    <t xml:space="preserve">S1140</t>
  </si>
  <si>
    <t xml:space="preserve">nach + Dativ</t>
  </si>
  <si>
    <t xml:space="preserve">Nach dem Studium will ich promovieren.</t>
  </si>
  <si>
    <t xml:space="preserve">[naːx deːm ˈʃtuːdiːˌʊm vɪl ʔɪç pʁoːmoːˈviːʁən]</t>
  </si>
  <si>
    <t xml:space="preserve">Học xong tôi muốn làm tiến sĩ.</t>
  </si>
  <si>
    <t xml:space="preserve">promovieren = làm tiến sĩ</t>
  </si>
  <si>
    <t xml:space="preserve">S1141</t>
  </si>
  <si>
    <t xml:space="preserve">Tìm nhà &amp; chuyển nhà</t>
  </si>
  <si>
    <t xml:space="preserve">mit + Dativ</t>
  </si>
  <si>
    <t xml:space="preserve">Ich suche eine Zweizimmerwohnung mit Balkon.</t>
  </si>
  <si>
    <t xml:space="preserve">[ʔɪç ˈzuːxə ˌʔaɪnə ˈtsvaɪtsɪmɐˌvoːnʊŋ mɪt balˈkoːn]</t>
  </si>
  <si>
    <t xml:space="preserve">Tôi tìm căn hộ hai phòng có ban công.</t>
  </si>
  <si>
    <t xml:space="preserve">die Zweizimmerwohnung = căn hộ 2 phòng</t>
  </si>
  <si>
    <t xml:space="preserve">S1142</t>
  </si>
  <si>
    <t xml:space="preserve">wie hoch + Nomen</t>
  </si>
  <si>
    <t xml:space="preserve">Wie hoch ist die Kaltmiete?</t>
  </si>
  <si>
    <t xml:space="preserve">[viː ˈhoːx ʔɪst diː ˈkaltmiːtə]</t>
  </si>
  <si>
    <t xml:space="preserve">Tiền thuê chưa gồm phí là bao nhiêu?</t>
  </si>
  <si>
    <t xml:space="preserve">die Kaltmiete = tiền thuê chưa phí</t>
  </si>
  <si>
    <t xml:space="preserve">S1143</t>
  </si>
  <si>
    <t xml:space="preserve">betragen = lên tới</t>
  </si>
  <si>
    <t xml:space="preserve">Die Kaution beträgt drei Monatsmieten.</t>
  </si>
  <si>
    <t xml:space="preserve">[diː kaʊtsˈjoːn bəˈtʁɛːkt ˈdʁaɪ ˈmoːnatsˌmiːtən]</t>
  </si>
  <si>
    <t xml:space="preserve">Tiền đặt cọc bằng ba tháng tiền thuê.</t>
  </si>
  <si>
    <t xml:space="preserve">die Kaution = tiền đặt cọc</t>
  </si>
  <si>
    <t xml:space="preserve">S1144</t>
  </si>
  <si>
    <t xml:space="preserve">besichtigen = đi xem</t>
  </si>
  <si>
    <t xml:space="preserve">Wann kann ich die Wohnung besichtigen?</t>
  </si>
  <si>
    <t xml:space="preserve">[ˈvan ˌkan ʔɪç diː ˈvoːnʊŋ bəˈzɪçtɪɡən]</t>
  </si>
  <si>
    <t xml:space="preserve">Khi nào tôi xem được căn hộ?</t>
  </si>
  <si>
    <t xml:space="preserve">besichtigen = tham quan/xem</t>
  </si>
  <si>
    <t xml:space="preserve">S1145</t>
  </si>
  <si>
    <t xml:space="preserve">ab + Dativ</t>
  </si>
  <si>
    <t xml:space="preserve">Die Wohnung ist ab ersten Mai frei.</t>
  </si>
  <si>
    <t xml:space="preserve">[diː ˈvoːnʊŋ ʔɪst ʔap ˈʔeːɐ̯stən ˈmaɪ ˈfʁaɪ]</t>
  </si>
  <si>
    <t xml:space="preserve">Căn hộ trống từ mùng một tháng Năm.</t>
  </si>
  <si>
    <t xml:space="preserve">frei = trống</t>
  </si>
  <si>
    <t xml:space="preserve">S1146</t>
  </si>
  <si>
    <t xml:space="preserve">erlaubt sein</t>
  </si>
  <si>
    <t xml:space="preserve">Sind Haustiere erlaubt?</t>
  </si>
  <si>
    <t xml:space="preserve">[zɪnt ˈhaʊˌstiːʁə ʔɛʁˈlaʊpt]</t>
  </si>
  <si>
    <t xml:space="preserve">Có được nuôi thú cưng không?</t>
  </si>
  <si>
    <t xml:space="preserve">erlaubt = được phép</t>
  </si>
  <si>
    <t xml:space="preserve">S1147</t>
  </si>
  <si>
    <t xml:space="preserve">Ich brauche eine Schufa-Auskunft.</t>
  </si>
  <si>
    <t xml:space="preserve">[ʔɪç ˈbʁaʊxə ˌʔaɪnə ˈʃuːfaːˈaʊskʊnft]</t>
  </si>
  <si>
    <t xml:space="preserve">Tôi cần giấy xác nhận tín dụng Schufa.</t>
  </si>
  <si>
    <t xml:space="preserve">die Auskunft = thông tin/xác nhận</t>
  </si>
  <si>
    <t xml:space="preserve">S1148</t>
  </si>
  <si>
    <t xml:space="preserve">verlangen = yêu cầu</t>
  </si>
  <si>
    <t xml:space="preserve">Der Vermieter verlangt einen Einkommensnachweis.</t>
  </si>
  <si>
    <t xml:space="preserve">[dɛɐ̯ fɛʁˈmiːtɐ fɛʁˈlaŋt ˌʔaɪnən ˈʔaɪnkɔˌmɛnsnaxˌvaɪs]</t>
  </si>
  <si>
    <t xml:space="preserve">Chủ nhà yêu cầu chứng minh thu nhập.</t>
  </si>
  <si>
    <t xml:space="preserve">der Nachweis = bằng chứng; das Einkommen = thu nhập</t>
  </si>
  <si>
    <t xml:space="preserve">S1149</t>
  </si>
  <si>
    <t xml:space="preserve">umziehen tách; Ende + Genitiv</t>
  </si>
  <si>
    <t xml:space="preserve">Wir ziehen Ende des Monats um.</t>
  </si>
  <si>
    <t xml:space="preserve">[viːɐ̯ ˈtsiːən ˈʔɛndə dɛs ˈmoːnaːts ˈʔʊm]</t>
  </si>
  <si>
    <t xml:space="preserve">Chúng tôi chuyển nhà cuối tháng.</t>
  </si>
  <si>
    <t xml:space="preserve">S1150</t>
  </si>
  <si>
    <t xml:space="preserve">helfen bei + Dativ</t>
  </si>
  <si>
    <t xml:space="preserve">Kannst du mir beim Umzug helfen?</t>
  </si>
  <si>
    <t xml:space="preserve">[ˌkanst duː miːɐ̯ baɪm ˈʔʊmˌtsuːk ˈhɛlfən]</t>
  </si>
  <si>
    <t xml:space="preserve">Bạn giúp tôi chuyển nhà được không?</t>
  </si>
  <si>
    <t xml:space="preserve">der Umzug = việc chuyển nhà</t>
  </si>
  <si>
    <t xml:space="preserve">S1151</t>
  </si>
  <si>
    <t xml:space="preserve">inbegriffen = đã bao gồm</t>
  </si>
  <si>
    <t xml:space="preserve">Die Nebenkosten sind nicht inbegriffen.</t>
  </si>
  <si>
    <t xml:space="preserve">[diː ˈneːbənˌkɔstən zɪnt ˈnɪçt ˈʔɪnbɛˌɡʁɪfən]</t>
  </si>
  <si>
    <t xml:space="preserve">Chi phí phụ chưa bao gồm.</t>
  </si>
  <si>
    <t xml:space="preserve">inbegriffen = bao gồm</t>
  </si>
  <si>
    <t xml:space="preserve">S1152</t>
  </si>
  <si>
    <t xml:space="preserve">Ich habe den Mietvertrag gekündigt.</t>
  </si>
  <si>
    <t xml:space="preserve">[ʔɪç haːbə deːn ˈmiːtfɛʁˌtʁaːk ɡəˈkyndɪçt]</t>
  </si>
  <si>
    <t xml:space="preserve">Tôi đã chấm dứt hợp đồng thuê.</t>
  </si>
  <si>
    <t xml:space="preserve">S1153</t>
  </si>
  <si>
    <t xml:space="preserve">betragen</t>
  </si>
  <si>
    <t xml:space="preserve">Die Kündigungsfrist beträgt drei Monate.</t>
  </si>
  <si>
    <t xml:space="preserve">[diː ˌkyndɪɡʊŋsˈfʁɪst bəˈtʁɛːkt ˈdʁaɪ ˈmoːnaːtə]</t>
  </si>
  <si>
    <t xml:space="preserve">Thời hạn báo trước là ba tháng.</t>
  </si>
  <si>
    <t xml:space="preserve">die Kündigungsfrist = thời hạn báo trước</t>
  </si>
  <si>
    <t xml:space="preserve">S1154</t>
  </si>
  <si>
    <t xml:space="preserve">Modalverb + Passiv</t>
  </si>
  <si>
    <t xml:space="preserve">Die Wohnung muss besenrein übergeben werden.</t>
  </si>
  <si>
    <t xml:space="preserve">[diː ˈvoːnʊŋ ˈmʊs ˈbeːzənˌʁaɪn ˌʔyːbɐˈɡeːbən ˌvɛʁdən]</t>
  </si>
  <si>
    <t xml:space="preserve">Căn hộ phải bàn giao sạch sẽ.</t>
  </si>
  <si>
    <t xml:space="preserve">übergeben = bàn giao; besenrein = quét sạch</t>
  </si>
  <si>
    <t xml:space="preserve">S1155</t>
  </si>
  <si>
    <t xml:space="preserve">abrechnen = quyết toán</t>
  </si>
  <si>
    <t xml:space="preserve">Der Strom wird separat abgerechnet.</t>
  </si>
  <si>
    <t xml:space="preserve">[dɛɐ̯ ˈʃtʁoːm ˌvɪʁt ˌzeːpaˈʁaːt ˈʔapɡəˌʁɛçnət]</t>
  </si>
  <si>
    <t xml:space="preserve">Tiền điện tính riêng.</t>
  </si>
  <si>
    <t xml:space="preserve">der Strom = điện; abrechnen = tính toán</t>
  </si>
  <si>
    <t xml:space="preserve">S1156</t>
  </si>
  <si>
    <t xml:space="preserve">Ich wohne in einer WG mit zwei Leuten.</t>
  </si>
  <si>
    <t xml:space="preserve">[ʔɪç ˈvoːnə ʔɪn ˌʔaɪnɐ ˌveːˈɡeː mɪt ˈtsvaɪ ˈlɔøtən]</t>
  </si>
  <si>
    <t xml:space="preserve">Tôi ở ghép với hai người.</t>
  </si>
  <si>
    <t xml:space="preserve">die WG = nhà ở ghép</t>
  </si>
  <si>
    <t xml:space="preserve">S1157</t>
  </si>
  <si>
    <t xml:space="preserve">aber nối hai mệnh đề</t>
  </si>
  <si>
    <t xml:space="preserve">Die Lage ist super, aber die Wohnung ist klein.</t>
  </si>
  <si>
    <t xml:space="preserve">[diː ˈlaːɡə ʔɪst ˈzuːpɐ, ˌʔaːbɐ diː ˈvoːnʊŋ ʔɪst ˈklaɪn]</t>
  </si>
  <si>
    <t xml:space="preserve">Vị trí tuyệt nhưng căn hộ nhỏ.</t>
  </si>
  <si>
    <t xml:space="preserve">die Lage = vị trí</t>
  </si>
  <si>
    <t xml:space="preserve">S1158</t>
  </si>
  <si>
    <t xml:space="preserve">aufbauen tách</t>
  </si>
  <si>
    <t xml:space="preserve">Wir haben die Möbel selbst aufgebaut.</t>
  </si>
  <si>
    <t xml:space="preserve">[viːɐ̯ ˌhaːbən diː ˈmøːbəl ˈzɛlpst ˈʔaʊfɡəˌbaʊt]</t>
  </si>
  <si>
    <t xml:space="preserve">Chúng tôi tự lắp đồ nội thất.</t>
  </si>
  <si>
    <t xml:space="preserve">aufbauen = lắp ráp; die Möbel = nội thất</t>
  </si>
  <si>
    <t xml:space="preserve">S1159</t>
  </si>
  <si>
    <t xml:space="preserve">beim + Nomen hóa</t>
  </si>
  <si>
    <t xml:space="preserve">Beim Einzug war die Heizung kaputt.</t>
  </si>
  <si>
    <t xml:space="preserve">[baɪm ˈʔaɪnˌtsuːk vaːɐ̯ diː ˈhaɪtsʊŋ ˈkapʊt]</t>
  </si>
  <si>
    <t xml:space="preserve">Lúc dọn vào lò sưởi bị hỏng.</t>
  </si>
  <si>
    <t xml:space="preserve">der Einzug = việc dọn vào</t>
  </si>
  <si>
    <t xml:space="preserve">S1160</t>
  </si>
  <si>
    <t xml:space="preserve">zurückbekommen tách</t>
  </si>
  <si>
    <t xml:space="preserve">Ich möchte die Kaution zurückbekommen.</t>
  </si>
  <si>
    <t xml:space="preserve">[ʔɪç ˈmœçtə diː kaʊtsˈjoːn tsuːˈʁykbəˌkɔmən]</t>
  </si>
  <si>
    <t xml:space="preserve">Tôi muốn lấy lại tiền cọc.</t>
  </si>
  <si>
    <t xml:space="preserve">zurückbekommen = nhận lại</t>
  </si>
  <si>
    <t xml:space="preserve">S1161</t>
  </si>
  <si>
    <t xml:space="preserve">Du lịch, khách sạn &amp; sân bay</t>
  </si>
  <si>
    <t xml:space="preserve">Ich habe ein Zimmer auf meinen Namen reserviert.</t>
  </si>
  <si>
    <t xml:space="preserve">[ʔɪç haːbə ʔaɪn ˈtsɪmɐ ʔaʊf ˌmaɪnən ˈnaːmən ˌʁeːzɛʁˈviːɐ̯t]</t>
  </si>
  <si>
    <t xml:space="preserve">Tôi đã đặt phòng theo tên tôi.</t>
  </si>
  <si>
    <t xml:space="preserve">reservieren = đặt trước</t>
  </si>
  <si>
    <t xml:space="preserve">S1162</t>
  </si>
  <si>
    <t xml:space="preserve">inbegriffen sein</t>
  </si>
  <si>
    <t xml:space="preserve">Ist das Frühstück im Preis inbegriffen?</t>
  </si>
  <si>
    <t xml:space="preserve">[ʔɪst das ˈfʁyːʃtyk ʔɪm ˈpʁaɪs ˈʔɪnbɛˌɡʁɪfən]</t>
  </si>
  <si>
    <t xml:space="preserve">Bữa sáng đã tính trong giá chưa?</t>
  </si>
  <si>
    <t xml:space="preserve">das Frühstück = bữa sáng</t>
  </si>
  <si>
    <t xml:space="preserve">S1163</t>
  </si>
  <si>
    <t xml:space="preserve">bis wann = đến khi nào</t>
  </si>
  <si>
    <t xml:space="preserve">Bis wann muss ich auschecken?</t>
  </si>
  <si>
    <t xml:space="preserve">[bɪs ˈvan ˈmʊs ʔɪç ˈʔaʊsˌçɛkən]</t>
  </si>
  <si>
    <t xml:space="preserve">Mấy giờ tôi phải trả phòng?</t>
  </si>
  <si>
    <t xml:space="preserve">auschecken = trả phòng</t>
  </si>
  <si>
    <t xml:space="preserve">S1164</t>
  </si>
  <si>
    <t xml:space="preserve">Mein Koffer ist nicht angekommen.</t>
  </si>
  <si>
    <t xml:space="preserve">[maɪn ˈkɔfɐ ʔɪst ˈnɪçt ˈʔanɡəˌkɔmən]</t>
  </si>
  <si>
    <t xml:space="preserve">Vali của tôi chưa tới.</t>
  </si>
  <si>
    <t xml:space="preserve">der Koffer = vali</t>
  </si>
  <si>
    <t xml:space="preserve">S1165</t>
  </si>
  <si>
    <t xml:space="preserve">Wo ist der Schalter für Gepäckaufgabe?</t>
  </si>
  <si>
    <t xml:space="preserve">[ˌvoː ʔɪst dɛɐ̯ ˈʃaltɐ fyːɐ̯ ɡəˈpɛkaʊfˌɡaːbə]</t>
  </si>
  <si>
    <t xml:space="preserve">Quầy ký gửi hành lý ở đâu?</t>
  </si>
  <si>
    <t xml:space="preserve">das Gepäck = hành lý</t>
  </si>
  <si>
    <t xml:space="preserve">S1166</t>
  </si>
  <si>
    <t xml:space="preserve">Verspätung haben</t>
  </si>
  <si>
    <t xml:space="preserve">Der Flug hat vier Stunden Verspätung.</t>
  </si>
  <si>
    <t xml:space="preserve">[dɛɐ̯ ˈfluːk hat ˈfiːɐ̯ ˈʃtʊndən fɛʁˈʃpɛːtʊŋ]</t>
  </si>
  <si>
    <t xml:space="preserve">Chuyến bay trễ bốn tiếng.</t>
  </si>
  <si>
    <t xml:space="preserve">die Verspätung = trễ giờ</t>
  </si>
  <si>
    <t xml:space="preserve">S1167</t>
  </si>
  <si>
    <t xml:space="preserve">dabeihaben</t>
  </si>
  <si>
    <t xml:space="preserve">Ich habe nur Handgepäck dabei.</t>
  </si>
  <si>
    <t xml:space="preserve">[ʔɪç haːbə ˈnuːɐ̯ ˈhantɡəˌpɛk daːˈbaɪ]</t>
  </si>
  <si>
    <t xml:space="preserve">Tôi chỉ mang hành lý xách tay.</t>
  </si>
  <si>
    <t xml:space="preserve">das Handgepäck = hành lý xách tay</t>
  </si>
  <si>
    <t xml:space="preserve">S1168</t>
  </si>
  <si>
    <t xml:space="preserve">Komparativ + bekommen</t>
  </si>
  <si>
    <t xml:space="preserve">Könnten wir ein ruhigeres Zimmer bekommen?</t>
  </si>
  <si>
    <t xml:space="preserve">[ˈkœntən viːɐ̯ ʔaɪn ˈʁuːɪɡəʁəs ˈtsɪmɐ bəˈkɔmən]</t>
  </si>
  <si>
    <t xml:space="preserve">Chúng tôi đổi phòng yên tĩnh hơn được không?</t>
  </si>
  <si>
    <t xml:space="preserve">S1169</t>
  </si>
  <si>
    <t xml:space="preserve">funktionieren = hoạt động</t>
  </si>
  <si>
    <t xml:space="preserve">Die Klimaanlage funktioniert nicht.</t>
  </si>
  <si>
    <t xml:space="preserve">[diː ˈkliːmaːnˌlaːɡə fʊŋktsˌjoːˈniːɐ̯t ˈnɪçt]</t>
  </si>
  <si>
    <t xml:space="preserve">Điều hòa không chạy.</t>
  </si>
  <si>
    <t xml:space="preserve">die Klimaanlage = điều hòa</t>
  </si>
  <si>
    <t xml:space="preserve">S1170</t>
  </si>
  <si>
    <t xml:space="preserve">die + Modalverb cuối</t>
  </si>
  <si>
    <t xml:space="preserve">Gibt es eine Sehenswürdigkeit, die man nicht verpassen sollte?</t>
  </si>
  <si>
    <t xml:space="preserve">[ˈɡiːpt ʔɛs ˌʔaɪnə ˈzeːənsˌvyʁdɪçˌkaɪt, diː man ˈnɪçt fɛʁˈpasən ˌzɔltə]</t>
  </si>
  <si>
    <t xml:space="preserve">Có điểm tham quan nào nhất định phải xem không?</t>
  </si>
  <si>
    <t xml:space="preserve">die Sehenswürdigkeit = điểm tham quan</t>
  </si>
  <si>
    <t xml:space="preserve">S1171</t>
  </si>
  <si>
    <t xml:space="preserve">buchen = đặt</t>
  </si>
  <si>
    <t xml:space="preserve">Wir haben eine Stadtführung gebucht.</t>
  </si>
  <si>
    <t xml:space="preserve">[viːɐ̯ ˌhaːbən ˌʔaɪnə ˈʃtatfyːˌʁʊŋ ɡəˈbuːxt]</t>
  </si>
  <si>
    <t xml:space="preserve">Chúng tôi đã đặt tour tham quan thành phố.</t>
  </si>
  <si>
    <t xml:space="preserve">die Stadtführung = tour thành phố</t>
  </si>
  <si>
    <t xml:space="preserve">S1172</t>
  </si>
  <si>
    <t xml:space="preserve">am besten + zu + Dativ</t>
  </si>
  <si>
    <t xml:space="preserve">Wie komme ich am besten zum Flughafen?</t>
  </si>
  <si>
    <t xml:space="preserve">[viː ˈkɔmə ʔɪç ʔam ˈbɛstən tsʊm ˈfluːɡhaːfən]</t>
  </si>
  <si>
    <t xml:space="preserve">Tôi tới sân bay thế nào là tiện nhất?</t>
  </si>
  <si>
    <t xml:space="preserve">der Flughafen = sân bay</t>
  </si>
  <si>
    <t xml:space="preserve">S1173</t>
  </si>
  <si>
    <t xml:space="preserve">liegen = tọa lạc</t>
  </si>
  <si>
    <t xml:space="preserve">Das Hotel liegt zentral und ruhig.</t>
  </si>
  <si>
    <t xml:space="preserve">[das ˈhoːtəl ˈliːkt tsɛnˈtʁaːl ʔʊnt ˈʁuːɪç]</t>
  </si>
  <si>
    <t xml:space="preserve">Khách sạn ở trung tâm và yên tĩnh.</t>
  </si>
  <si>
    <t xml:space="preserve">zentral = ở trung tâm</t>
  </si>
  <si>
    <t xml:space="preserve">S1174</t>
  </si>
  <si>
    <t xml:space="preserve">hätte gern</t>
  </si>
  <si>
    <t xml:space="preserve">Ich hätte gern eine Quittung.</t>
  </si>
  <si>
    <t xml:space="preserve">[ʔɪç ˌhɛtə ˈɡɛʁn ˌʔaɪnə ˈkvɪtʊŋ]</t>
  </si>
  <si>
    <t xml:space="preserve">Cho tôi xin biên lai.</t>
  </si>
  <si>
    <t xml:space="preserve">die Quittung = biên lai</t>
  </si>
  <si>
    <t xml:space="preserve">S1175</t>
  </si>
  <si>
    <t xml:space="preserve">sich lohnen</t>
  </si>
  <si>
    <t xml:space="preserve">Die Reise hat sich wirklich gelohnt.</t>
  </si>
  <si>
    <t xml:space="preserve">[diː ˈʁaɪzə hat zɪç ˈvɪʁklɪç ɡəˈloːnt]</t>
  </si>
  <si>
    <t xml:space="preserve">Chuyến đi thật sự đáng.</t>
  </si>
  <si>
    <t xml:space="preserve">die Reise = chuyến đi</t>
  </si>
  <si>
    <t xml:space="preserve">S1176</t>
  </si>
  <si>
    <t xml:space="preserve">einchecken tách</t>
  </si>
  <si>
    <t xml:space="preserve">Bitte checken Sie zwei Stunden vorher ein.</t>
  </si>
  <si>
    <t xml:space="preserve">[ˈbɪtə ˈçɛkən ziː ˈtsvaɪ ˈʃtʊndən foːɐ̯ˈheːɐ̯ ˈʔaɪn]</t>
  </si>
  <si>
    <t xml:space="preserve">Xin làm thủ tục trước hai tiếng.</t>
  </si>
  <si>
    <t xml:space="preserve">einchecken = làm thủ tục</t>
  </si>
  <si>
    <t xml:space="preserve">S1177</t>
  </si>
  <si>
    <t xml:space="preserve">verpassen = lỡ</t>
  </si>
  <si>
    <t xml:space="preserve">Ich habe meinen Anschlussflug verpasst.</t>
  </si>
  <si>
    <t xml:space="preserve">[ʔɪç haːbə ˌmaɪnən ˈʔanˌʃlʊsfluːk fɛʁˈpast]</t>
  </si>
  <si>
    <t xml:space="preserve">Tôi lỡ chuyến bay nối.</t>
  </si>
  <si>
    <t xml:space="preserve">der Anschlussflug = chuyến bay nối</t>
  </si>
  <si>
    <t xml:space="preserve">S1178</t>
  </si>
  <si>
    <t xml:space="preserve">Brauche ich für dieses Land ein Visum?</t>
  </si>
  <si>
    <t xml:space="preserve">[ˈbʁaʊxə ʔɪç fyːɐ̯ ˌdiːzəs ˈlant ʔaɪn ˈviːzʊm]</t>
  </si>
  <si>
    <t xml:space="preserve">Tôi có cần visa cho nước này không?</t>
  </si>
  <si>
    <t xml:space="preserve">das Land = quốc gia</t>
  </si>
  <si>
    <t xml:space="preserve">S1179</t>
  </si>
  <si>
    <t xml:space="preserve">Hai Adjektiv nối und</t>
  </si>
  <si>
    <t xml:space="preserve">Die Unterkunft war sauber und günstig.</t>
  </si>
  <si>
    <t xml:space="preserve">[diː ˌʔʊntɐˈkʊnft vaːɐ̯ ˈzaʊbɐ ʔʊnt ˈɡynstɪç]</t>
  </si>
  <si>
    <t xml:space="preserve">Chỗ ở sạch và rẻ.</t>
  </si>
  <si>
    <t xml:space="preserve">die Unterkunft = chỗ ở; günstig = giá tốt</t>
  </si>
  <si>
    <t xml:space="preserve">S1180</t>
  </si>
  <si>
    <t xml:space="preserve">abholen -&gt; abgeholt</t>
  </si>
  <si>
    <t xml:space="preserve">Wir wurden am Bahnhof abgeholt.</t>
  </si>
  <si>
    <t xml:space="preserve">[viːɐ̯ ˌvʊʁdən ʔam ˈbaːnhoːf ˈʔapɡəˌhɔlt]</t>
  </si>
  <si>
    <t xml:space="preserve">Chúng tôi được đón ở nhà ga.</t>
  </si>
  <si>
    <t xml:space="preserve">abholen = đón</t>
  </si>
  <si>
    <t xml:space="preserve">S1181</t>
  </si>
  <si>
    <t xml:space="preserve">Mua online, khiếu nại &amp; bảo hành</t>
  </si>
  <si>
    <t xml:space="preserve">zurückschicken tách</t>
  </si>
  <si>
    <t xml:space="preserve">Ich möchte die Ware zurückschicken.</t>
  </si>
  <si>
    <t xml:space="preserve">[ʔɪç ˈmœçtə diː ˈvaːʁə tsuːˈʁykˌʃɪkən]</t>
  </si>
  <si>
    <t xml:space="preserve">Tôi muốn trả lại hàng.</t>
  </si>
  <si>
    <t xml:space="preserve">die Ware = hàng hóa</t>
  </si>
  <si>
    <t xml:space="preserve">S1182</t>
  </si>
  <si>
    <t xml:space="preserve">Partizip làm trạng ngữ</t>
  </si>
  <si>
    <t xml:space="preserve">Das Produkt ist beschädigt angekommen.</t>
  </si>
  <si>
    <t xml:space="preserve">[das pʁoːˈdʊkt ʔɪst bəˈʃɛːdɪçt ˈʔanɡəˌkɔmən]</t>
  </si>
  <si>
    <t xml:space="preserve">Sản phẩm đến nơi bị hỏng.</t>
  </si>
  <si>
    <t xml:space="preserve">beschädigt = bị hư hại</t>
  </si>
  <si>
    <t xml:space="preserve">S1183</t>
  </si>
  <si>
    <t xml:space="preserve">etwas + Adjektiv viết hoa</t>
  </si>
  <si>
    <t xml:space="preserve">Ich habe etwas Falsches bekommen.</t>
  </si>
  <si>
    <t xml:space="preserve">[ʔɪç haːbə ˈʔɛtvaːs ˈfalʃəs bəˈkɔmən]</t>
  </si>
  <si>
    <t xml:space="preserve">Tôi nhận nhầm hàng.</t>
  </si>
  <si>
    <t xml:space="preserve">falsch = sai</t>
  </si>
  <si>
    <t xml:space="preserve">S1184</t>
  </si>
  <si>
    <t xml:space="preserve">sich verzögern</t>
  </si>
  <si>
    <t xml:space="preserve">Die Lieferung hat sich verzögert.</t>
  </si>
  <si>
    <t xml:space="preserve">[diː ˈliːfəˌʁʊŋ hat zɪç fɛʁˈtsøːɡɐt]</t>
  </si>
  <si>
    <t xml:space="preserve">Việc giao hàng bị chậm.</t>
  </si>
  <si>
    <t xml:space="preserve">die Lieferung = giao hàng</t>
  </si>
  <si>
    <t xml:space="preserve">S1185</t>
  </si>
  <si>
    <t xml:space="preserve">gelten = có hiệu lực</t>
  </si>
  <si>
    <t xml:space="preserve">Wie lange gilt die Garantie?</t>
  </si>
  <si>
    <t xml:space="preserve">[viː ˈlaŋə ˈɡɪlt diː ˌɡaʁanˈtiː]</t>
  </si>
  <si>
    <t xml:space="preserve">Bảo hành kéo dài bao lâu?</t>
  </si>
  <si>
    <t xml:space="preserve">die Garantie = bảo hành</t>
  </si>
  <si>
    <t xml:space="preserve">S1186</t>
  </si>
  <si>
    <t xml:space="preserve">bestehen auf + Dativ</t>
  </si>
  <si>
    <t xml:space="preserve">Ich bestehe auf einer Rückerstattung.</t>
  </si>
  <si>
    <t xml:space="preserve">[ʔɪç bəˈʃteːə ʔaʊf ˌʔaɪnɐ ˈʁykɐˌstatʊŋ]</t>
  </si>
  <si>
    <t xml:space="preserve">Tôi yêu cầu được hoàn tiền.</t>
  </si>
  <si>
    <t xml:space="preserve">die Rückerstattung = hoàn tiền</t>
  </si>
  <si>
    <t xml:space="preserve">S1187</t>
  </si>
  <si>
    <t xml:space="preserve">gelten + Akkusativ thời gian</t>
  </si>
  <si>
    <t xml:space="preserve">Das Widerrufsrecht gilt vierzehn Tage.</t>
  </si>
  <si>
    <t xml:space="preserve">[das ˈviːdɐˌʁʊfsʁɛçt ˈɡɪlt ˈfiːɐ̯tseːn ˈtaːɡə]</t>
  </si>
  <si>
    <t xml:space="preserve">Quyền hủy đơn có hiệu lực mười bốn ngày.</t>
  </si>
  <si>
    <t xml:space="preserve">das Widerrufsrecht = quyền hủy mua</t>
  </si>
  <si>
    <t xml:space="preserve">S1188</t>
  </si>
  <si>
    <t xml:space="preserve">stornieren = hủy đơn</t>
  </si>
  <si>
    <t xml:space="preserve">Ich habe die Bestellung bereits storniert.</t>
  </si>
  <si>
    <t xml:space="preserve">[ʔɪç haːbə diː bəˈʃtɛlʊŋ bəˈʁaɪts ʃtɔʁˈniːɐ̯t]</t>
  </si>
  <si>
    <t xml:space="preserve">Tôi đã hủy đơn hàng.</t>
  </si>
  <si>
    <t xml:space="preserve">S1189</t>
  </si>
  <si>
    <t xml:space="preserve">senden + Dativ + Akkusativ</t>
  </si>
  <si>
    <t xml:space="preserve">Bitte senden Sie mir eine Bestätigung.</t>
  </si>
  <si>
    <t xml:space="preserve">[ˈbɪtə ˈzɛndən ziː miːɐ̯ ˌʔaɪnə bəˈʃtɛːtɪˌɡʊŋ]</t>
  </si>
  <si>
    <t xml:space="preserve">Xin gửi tôi xác nhận.</t>
  </si>
  <si>
    <t xml:space="preserve">die Bestätigung = xác nhận</t>
  </si>
  <si>
    <t xml:space="preserve">S1190</t>
  </si>
  <si>
    <t xml:space="preserve">vorrätig = còn hàng</t>
  </si>
  <si>
    <t xml:space="preserve">Der Artikel ist leider nicht mehr vorrätig.</t>
  </si>
  <si>
    <t xml:space="preserve">[dɛɐ̯ ʔaʁˈtiːkəl ʔɪst ˈlaɪdɐ ˈnɪçt ˌmeːɐ̯ ˈfoːɐ̯ˌʁɛːtɪç]</t>
  </si>
  <si>
    <t xml:space="preserve">Tiếc là sản phẩm đã hết hàng.</t>
  </si>
  <si>
    <t xml:space="preserve">vorrätig = có sẵn</t>
  </si>
  <si>
    <t xml:space="preserve">S1191</t>
  </si>
  <si>
    <t xml:space="preserve">sich beschweren über</t>
  </si>
  <si>
    <t xml:space="preserve">Ich möchte mich über den Service beschweren.</t>
  </si>
  <si>
    <t xml:space="preserve">[ʔɪç ˈmœçtə mɪç ˌʔyːbɐ deːn (en)ˈsɐːvɪs(de) bəˈʃveːʁən]</t>
  </si>
  <si>
    <t xml:space="preserve">Tôi muốn phàn nàn về dịch vụ.</t>
  </si>
  <si>
    <t xml:space="preserve">der Service = dịch vụ</t>
  </si>
  <si>
    <t xml:space="preserve">S1192</t>
  </si>
  <si>
    <t xml:space="preserve">Die Versandkosten übernehmen wir.</t>
  </si>
  <si>
    <t xml:space="preserve">[diː fɛʁˈzantkɔstən ˌʔyːbɐˈneːmən viːɐ̯]</t>
  </si>
  <si>
    <t xml:space="preserve">Chúng tôi chịu phí vận chuyển.</t>
  </si>
  <si>
    <t xml:space="preserve">die Versandkosten = phí vận chuyển</t>
  </si>
  <si>
    <t xml:space="preserve">S1193</t>
  </si>
  <si>
    <t xml:space="preserve">Haben Sie eine Rechnung oder einen Beleg?</t>
  </si>
  <si>
    <t xml:space="preserve">[ˌhaːbən ziː ˌʔaɪnə ˈʁɛçnʊŋ ˌʔoːdɐ ˌʔaɪnən bəˈleːk]</t>
  </si>
  <si>
    <t xml:space="preserve">Ông/bà có hóa đơn hay biên lai không?</t>
  </si>
  <si>
    <t xml:space="preserve">der Beleg = biên lai</t>
  </si>
  <si>
    <t xml:space="preserve">S1194</t>
  </si>
  <si>
    <t xml:space="preserve">einen Defekt haben</t>
  </si>
  <si>
    <t xml:space="preserve">Das Gerät hat einen Defekt.</t>
  </si>
  <si>
    <t xml:space="preserve">[das ɡəˈʁɛːt hat ˌʔaɪnən deːˈfɛkt]</t>
  </si>
  <si>
    <t xml:space="preserve">Thiết bị bị lỗi.</t>
  </si>
  <si>
    <t xml:space="preserve">das Gerät = thiết bị; der Defekt = lỗi kỹ thuật</t>
  </si>
  <si>
    <t xml:space="preserve">S1195</t>
  </si>
  <si>
    <t xml:space="preserve">innerhalb von + Dativ</t>
  </si>
  <si>
    <t xml:space="preserve">Ich erwarte eine Antwort innerhalb von drei Tagen.</t>
  </si>
  <si>
    <t xml:space="preserve">[ʔɪç ʔɛʁˈvaʁtə ˌʔaɪnə ˈʔantvɔʁt ˈʔɪnɐˌhalp fɔn ˈdʁaɪ ˈtaːɡən]</t>
  </si>
  <si>
    <t xml:space="preserve">Tôi mong có trả lời trong ba ngày.</t>
  </si>
  <si>
    <t xml:space="preserve">S1196</t>
  </si>
  <si>
    <t xml:space="preserve">anerkennen -&gt; anerkannt</t>
  </si>
  <si>
    <t xml:space="preserve">Die Reklamation wurde anerkannt.</t>
  </si>
  <si>
    <t xml:space="preserve">[diː ˌʁɛklamatsˈjoːn ˌvʊʁdə ˈʔanɛʁˌkant]</t>
  </si>
  <si>
    <t xml:space="preserve">Khiếu nại đã được chấp nhận.</t>
  </si>
  <si>
    <t xml:space="preserve">die Reklamation = khiếu nại</t>
  </si>
  <si>
    <t xml:space="preserve">S1197</t>
  </si>
  <si>
    <t xml:space="preserve">Hai Infinitiv nối oder</t>
  </si>
  <si>
    <t xml:space="preserve">Können Sie das Gerät reparieren oder umtauschen?</t>
  </si>
  <si>
    <t xml:space="preserve">[ˌkœnən ziː das ɡəˈʁɛːt ˌʁeːpaˈʁiːʁən ˌʔoːdɐ ˈʔʊmˌtaʊʃən]</t>
  </si>
  <si>
    <t xml:space="preserve">Ông/bà sửa hay đổi thiết bị được không?</t>
  </si>
  <si>
    <t xml:space="preserve">S1198</t>
  </si>
  <si>
    <t xml:space="preserve">berechnen = tính toán</t>
  </si>
  <si>
    <t xml:space="preserve">Der Preis wurde mir nicht korrekt berechnet.</t>
  </si>
  <si>
    <t xml:space="preserve">[dɛɐ̯ ˈpʁaɪs ˌvʊʁdə miːɐ̯ ˈnɪçt kɔˈʁɛkt bəˈʁɛçnət]</t>
  </si>
  <si>
    <t xml:space="preserve">Giá tính cho tôi không đúng.</t>
  </si>
  <si>
    <t xml:space="preserve">berechnen = tính; korrekt = đúng</t>
  </si>
  <si>
    <t xml:space="preserve">S1199</t>
  </si>
  <si>
    <t xml:space="preserve">doppelt = gấp đôi</t>
  </si>
  <si>
    <t xml:space="preserve">Ich habe den Betrag doppelt bezahlt.</t>
  </si>
  <si>
    <t xml:space="preserve">[ʔɪç haːbə deːn bəˈtʁaːk ˈdɔpəlt bəˈtsaːlt]</t>
  </si>
  <si>
    <t xml:space="preserve">Tôi đã trả tiền hai lần.</t>
  </si>
  <si>
    <t xml:space="preserve">der Betrag = số tiền; doppelt = gấp đôi</t>
  </si>
  <si>
    <t xml:space="preserve">S1200</t>
  </si>
  <si>
    <t xml:space="preserve">der Eingang + Genitiv</t>
  </si>
  <si>
    <t xml:space="preserve">Bitte bestätigen Sie den Eingang meiner Mail.</t>
  </si>
  <si>
    <t xml:space="preserve">[ˈbɪtə bəˈʃtɛːtɪɡən ziː deːn ˈʔaɪnˌɡaŋ ˌmaɪnɐ (en)ˈmeɪl(de)]</t>
  </si>
  <si>
    <t xml:space="preserve">Xin xác nhận đã nhận email của tôi.</t>
  </si>
  <si>
    <t xml:space="preserve">der Eingang = sự tiếp nhận</t>
  </si>
  <si>
    <t xml:space="preserve">S1201</t>
  </si>
  <si>
    <t xml:space="preserve">B2</t>
  </si>
  <si>
    <t xml:space="preserve">Bày tỏ &amp; lập luận quan điểm</t>
  </si>
  <si>
    <t xml:space="preserve">meiner Meinung nach đứng đầu, đảo Verb</t>
  </si>
  <si>
    <t xml:space="preserve">Meiner Meinung nach ist das keine gute Lösung.</t>
  </si>
  <si>
    <t xml:space="preserve">[ˌmaɪnɐ ˈmaɪnʊŋ naːx ʔɪst das ˈkaɪnə ˈɡuːtə ˈløːzʊŋ]</t>
  </si>
  <si>
    <t xml:space="preserve">Theo tôi đó không phải giải pháp hay.</t>
  </si>
  <si>
    <t xml:space="preserve">die Meinung = ý kiến</t>
  </si>
  <si>
    <t xml:space="preserve">S1202</t>
  </si>
  <si>
    <t xml:space="preserve">der Ansicht sein, dass</t>
  </si>
  <si>
    <t xml:space="preserve">Ich bin der Ansicht, dass man hier eingreifen muss.</t>
  </si>
  <si>
    <t xml:space="preserve">[ʔɪç bɪn dɛɐ̯ ˈʔanˌzɪçt, das man ˈhiːɐ̯ ˈʔaɪnˌɡʁaɪfən ˈmʊs]</t>
  </si>
  <si>
    <t xml:space="preserve">Tôi cho rằng cần can thiệp ở đây.</t>
  </si>
  <si>
    <t xml:space="preserve">die Ansicht = quan điểm; eingreifen = can thiệp</t>
  </si>
  <si>
    <t xml:space="preserve">S1203</t>
  </si>
  <si>
    <t xml:space="preserve">aus meiner Sicht</t>
  </si>
  <si>
    <t xml:space="preserve">Aus meiner Sicht überwiegen die Vorteile.</t>
  </si>
  <si>
    <t xml:space="preserve">[ˌʔaʊs ˌmaɪnɐ ˈzɪçt ˌʔyːbɐˈviːɡən diː ˈfoːɐ̯ˌtaɪlə]</t>
  </si>
  <si>
    <t xml:space="preserve">Theo cách nhìn của tôi lợi điểm nhiều hơn.</t>
  </si>
  <si>
    <t xml:space="preserve">überwiegen = chiếm ưu thế; der Vorteil = ưu điểm</t>
  </si>
  <si>
    <t xml:space="preserve">S1204</t>
  </si>
  <si>
    <t xml:space="preserve">dafür sprechen = ủng hộ cho</t>
  </si>
  <si>
    <t xml:space="preserve">Dafür spricht vor allem der Kostenfaktor.</t>
  </si>
  <si>
    <t xml:space="preserve">[daːˈfyːɐ̯ ˈʃpʁɪçt ˌfɔɐ̯ ˈʔaləm dɛɐ̯ ˌkɔstənˈfaktoːɐ̯]</t>
  </si>
  <si>
    <t xml:space="preserve">Điểm ủng hộ chính là yếu tố chi phí.</t>
  </si>
  <si>
    <t xml:space="preserve">dafür sprechen = nói lên ủng hộ</t>
  </si>
  <si>
    <t xml:space="preserve">S1205</t>
  </si>
  <si>
    <t xml:space="preserve">dagegen sprechen + dass</t>
  </si>
  <si>
    <t xml:space="preserve">Dagegen spricht, dass es zu lange dauert.</t>
  </si>
  <si>
    <t xml:space="preserve">[daˈɡeːɡən ˈʃpʁɪçt, das ʔɛs tsuː ˈlaŋə ˈdaʊɐt]</t>
  </si>
  <si>
    <t xml:space="preserve">Điểm phản đối là nó mất quá lâu.</t>
  </si>
  <si>
    <t xml:space="preserve">dagegen sprechen = chống lại</t>
  </si>
  <si>
    <t xml:space="preserve">S1206</t>
  </si>
  <si>
    <t xml:space="preserve">halten für + Akkusativ</t>
  </si>
  <si>
    <t xml:space="preserve">Ich halte diesen Vorschlag für realistisch.</t>
  </si>
  <si>
    <t xml:space="preserve">[ʔɪç ˈhaltə ˌdiːzən ˈfoːɐ̯ˌʃlaːk fyːɐ̯ ˌʁeːaˈlɪstɪʃ]</t>
  </si>
  <si>
    <t xml:space="preserve">Tôi cho rằng đề xuất này khả thi.</t>
  </si>
  <si>
    <t xml:space="preserve">halten für = cho là; realistisch = thực tế</t>
  </si>
  <si>
    <t xml:space="preserve">S1207</t>
  </si>
  <si>
    <t xml:space="preserve">sich lassen = thay thế bị động</t>
  </si>
  <si>
    <t xml:space="preserve">Es lässt sich nicht leugnen, dass Probleme bestehen.</t>
  </si>
  <si>
    <t xml:space="preserve">[ʔɛs ˈlɛst zɪç ˈnɪçt ˈlɔøɡnən, das pʁoːˈbleːmə bəˈʃteːən]</t>
  </si>
  <si>
    <t xml:space="preserve">Không thể phủ nhận là có vấn đề.</t>
  </si>
  <si>
    <t xml:space="preserve">leugnen = phủ nhận; bestehen = tồn tại</t>
  </si>
  <si>
    <t xml:space="preserve">S1208</t>
  </si>
  <si>
    <t xml:space="preserve">einerseits ... andererseits</t>
  </si>
  <si>
    <t xml:space="preserve">Einerseits ist es teuer, andererseits sehr effektiv.</t>
  </si>
  <si>
    <t xml:space="preserve">[ˈʔaɪnɐˌzaɪts ʔɪst ʔɛs ˈtɔøɐ, ˈʔandeːʁɐˌzaɪts ˈzeːɐ̯ ʔɛfɛkˈtiːf]</t>
  </si>
  <si>
    <t xml:space="preserve">Một mặt thì đắt, mặt khác lại rất hiệu quả.</t>
  </si>
  <si>
    <t xml:space="preserve">effektiv = hiệu quả</t>
  </si>
  <si>
    <t xml:space="preserve">S1209</t>
  </si>
  <si>
    <t xml:space="preserve">davon ausgehen, dass</t>
  </si>
  <si>
    <t xml:space="preserve">Ich gehe davon aus, dass sich das ändern wird.</t>
  </si>
  <si>
    <t xml:space="preserve">[ʔɪç ˈɡeːə daːˈfɔn ˈʔaʊs, das zɪç das ˈʔɛndɐn ˌvɪʁt]</t>
  </si>
  <si>
    <t xml:space="preserve">Tôi cho rằng chuyện đó sẽ thay đổi.</t>
  </si>
  <si>
    <t xml:space="preserve">davon ausgehen = giả định</t>
  </si>
  <si>
    <t xml:space="preserve">S1210</t>
  </si>
  <si>
    <t xml:space="preserve">Letztlich kommt es auf die Umsetzung an.</t>
  </si>
  <si>
    <t xml:space="preserve">[ˈlɛtstlɪç ˈkɔmt ʔɛs ʔaʊf diː ˈʔʊmˌzɛtsʊŋ ˈʔan]</t>
  </si>
  <si>
    <t xml:space="preserve">Cuối cùng vẫn là ở khâu triển khai.</t>
  </si>
  <si>
    <t xml:space="preserve">die Umsetzung = sự triển khai; letztlich = rốt cuộc</t>
  </si>
  <si>
    <t xml:space="preserve">S1211</t>
  </si>
  <si>
    <t xml:space="preserve">zustimmen + Dativ, teilweise</t>
  </si>
  <si>
    <t xml:space="preserve">Dem kann ich nur teilweise zustimmen.</t>
  </si>
  <si>
    <t xml:space="preserve">[deːm ˌkan ʔɪç ˈnuːɐ̯ ˈtaɪlvaɪzə tsuːˈʃtɪmən]</t>
  </si>
  <si>
    <t xml:space="preserve">Tôi chỉ đồng ý một phần.</t>
  </si>
  <si>
    <t xml:space="preserve">teilweise = một phần</t>
  </si>
  <si>
    <t xml:space="preserve">S1212</t>
  </si>
  <si>
    <t xml:space="preserve">einiges / vieles</t>
  </si>
  <si>
    <t xml:space="preserve">Es spricht einiges dafür, aber auch vieles dagegen.</t>
  </si>
  <si>
    <t xml:space="preserve">[ʔɛs ˈʃpʁɪçt ˌʔaɪnɪɡəs daːˈfyːɐ̯, ˌʔaːbɐ ˌʔaʊx ˈfiːləs daˈɡeːɡən]</t>
  </si>
  <si>
    <t xml:space="preserve">Có vài điểm ủng hộ nhưng cũng nhiều điểm phản đối.</t>
  </si>
  <si>
    <t xml:space="preserve">einiges = vài điều; vieles = nhiều điều</t>
  </si>
  <si>
    <t xml:space="preserve">S1213</t>
  </si>
  <si>
    <t xml:space="preserve">an + Dativ</t>
  </si>
  <si>
    <t xml:space="preserve">Ich möchte das an einem Beispiel verdeutlichen.</t>
  </si>
  <si>
    <t xml:space="preserve">[ʔɪç ˈmœçtə das ʔan ˌʔaɪnəm ˈbaɪʃpiːl fɛʁˈdɔøtlɪçən]</t>
  </si>
  <si>
    <t xml:space="preserve">Tôi xin làm rõ bằng một ví dụ.</t>
  </si>
  <si>
    <t xml:space="preserve">verdeutlichen = làm rõ</t>
  </si>
  <si>
    <t xml:space="preserve">S1214</t>
  </si>
  <si>
    <t xml:space="preserve">sich sagen lassen = có thể nói</t>
  </si>
  <si>
    <t xml:space="preserve">Zusammenfassend lässt sich sagen, dass beide Seiten recht haben.</t>
  </si>
  <si>
    <t xml:space="preserve">[tsuːˈzamənˌfasənt ˈlɛst zɪç ˈzaːɡən, das ˈbaɪdə ˈzaɪtən ˈʁɛçt ˈhaːbən]</t>
  </si>
  <si>
    <t xml:space="preserve">Tóm lại có thể nói cả hai bên đều có lý.</t>
  </si>
  <si>
    <t xml:space="preserve">zusammenfassend = tóm lại</t>
  </si>
  <si>
    <t xml:space="preserve">S1215</t>
  </si>
  <si>
    <t xml:space="preserve">überzeugt sein von</t>
  </si>
  <si>
    <t xml:space="preserve">Ich bin fest davon überzeugt.</t>
  </si>
  <si>
    <t xml:space="preserve">[ʔɪç bɪn ˈfɛst daːˈfɔn ˌʔyːbɐˈtsɔøkt]</t>
  </si>
  <si>
    <t xml:space="preserve">Tôi hoàn toàn tin chắc điều đó.</t>
  </si>
  <si>
    <t xml:space="preserve">überzeugt = tin chắc</t>
  </si>
  <si>
    <t xml:space="preserve">S1216</t>
  </si>
  <si>
    <t xml:space="preserve">überzeugen + Akkusativ</t>
  </si>
  <si>
    <t xml:space="preserve">Das Argument überzeugt mich nicht.</t>
  </si>
  <si>
    <t xml:space="preserve">[das ˌʔaʁɡuːˈmɛnt ˌʔyːbɐˈtsɔøkt mɪç ˈnɪçt]</t>
  </si>
  <si>
    <t xml:space="preserve">Lập luận đó không thuyết phục tôi.</t>
  </si>
  <si>
    <t xml:space="preserve">überzeugen = thuyết phục</t>
  </si>
  <si>
    <t xml:space="preserve">S1217</t>
  </si>
  <si>
    <t xml:space="preserve">Komparativ trạng từ</t>
  </si>
  <si>
    <t xml:space="preserve">Man sollte das Thema differenzierter betrachten.</t>
  </si>
  <si>
    <t xml:space="preserve">[man ˌzɔltə das ˈteːmaː ˌdɪfeːʁənˈtsiːɐ̯tɐ bəˈtʁaxtən]</t>
  </si>
  <si>
    <t xml:space="preserve">Nên nhìn chủ đề này tinh tế hơn.</t>
  </si>
  <si>
    <t xml:space="preserve">differenziert = có phân biệt; betrachten = xem xét</t>
  </si>
  <si>
    <t xml:space="preserve">S1218</t>
  </si>
  <si>
    <t xml:space="preserve">im Großen und Ganzen</t>
  </si>
  <si>
    <t xml:space="preserve">Im Großen und Ganzen bin ich einverstanden.</t>
  </si>
  <si>
    <t xml:space="preserve">[ʔɪm ˈɡʁoːsən ʔʊnt ˈɡantsən bɪn ʔɪç ˈʔaɪnfɛʁˌʃtandən]</t>
  </si>
  <si>
    <t xml:space="preserve">Nhìn chung tôi đồng ý.</t>
  </si>
  <si>
    <t xml:space="preserve">einverstanden = đồng ý</t>
  </si>
  <si>
    <t xml:space="preserve">S1219</t>
  </si>
  <si>
    <t xml:space="preserve">anders als</t>
  </si>
  <si>
    <t xml:space="preserve">Ich sehe das etwas anders als du.</t>
  </si>
  <si>
    <t xml:space="preserve">[ʔɪç ˈzeːə das ˈʔɛtvaːs ˈʔandɐs ʔals duː]</t>
  </si>
  <si>
    <t xml:space="preserve">Tôi nhìn chuyện này hơi khác bạn.</t>
  </si>
  <si>
    <t xml:space="preserve">S1220</t>
  </si>
  <si>
    <t xml:space="preserve">zurückkommen auf + darauf</t>
  </si>
  <si>
    <t xml:space="preserve">Darauf möchte ich später zurückkommen.</t>
  </si>
  <si>
    <t xml:space="preserve">[daːˈʁaʊf ˈmœçtə ʔɪç ˈʃpɛːtɐ tsuːˈʁykˌkɔmən]</t>
  </si>
  <si>
    <t xml:space="preserve">Tôi xin quay lại điểm đó sau.</t>
  </si>
  <si>
    <t xml:space="preserve">S1221</t>
  </si>
  <si>
    <t xml:space="preserve">Đồng tình &amp; phản biện</t>
  </si>
  <si>
    <t xml:space="preserve">voll und ganz = hoàn toàn</t>
  </si>
  <si>
    <t xml:space="preserve">Da stimme ich Ihnen voll und ganz zu.</t>
  </si>
  <si>
    <t xml:space="preserve">[daː ˈʃtɪmə ʔɪç ˌʔiːnən ˈfɔl ʔʊnt ˌɡants ˈtsuː]</t>
  </si>
  <si>
    <t xml:space="preserve">Tôi hoàn toàn đồng ý với ông/bà.</t>
  </si>
  <si>
    <t xml:space="preserve">S1222</t>
  </si>
  <si>
    <t xml:space="preserve">genauso = y như thế</t>
  </si>
  <si>
    <t xml:space="preserve">Das sehe ich genauso.</t>
  </si>
  <si>
    <t xml:space="preserve">[das ˈzeːə ʔɪç ɡəˈnaʊzoː]</t>
  </si>
  <si>
    <t xml:space="preserve">Tôi cũng nghĩ y như vậy.</t>
  </si>
  <si>
    <t xml:space="preserve">genauso = y hệt</t>
  </si>
  <si>
    <t xml:space="preserve">S1223</t>
  </si>
  <si>
    <t xml:space="preserve">widersprechen + Dativ</t>
  </si>
  <si>
    <t xml:space="preserve">Da muss ich Ihnen leider widersprechen.</t>
  </si>
  <si>
    <t xml:space="preserve">[daː ˈmʊs ʔɪç ˌʔiːnən ˈlaɪdɐ ˈviːdɐˌʃpʁɛçən]</t>
  </si>
  <si>
    <t xml:space="preserve">Tiếc là tôi phải phản đối ông/bà.</t>
  </si>
  <si>
    <t xml:space="preserve">widersprechen = phản bác</t>
  </si>
  <si>
    <t xml:space="preserve">S1224</t>
  </si>
  <si>
    <t xml:space="preserve">halten für</t>
  </si>
  <si>
    <t xml:space="preserve">Das halte ich für ein Missverständnis.</t>
  </si>
  <si>
    <t xml:space="preserve">[das ˈhaltə ʔɪç fyːɐ̯ ʔaɪn ˈmɪsfɐˌʃtɛndnɪs]</t>
  </si>
  <si>
    <t xml:space="preserve">Tôi cho đó là một sự hiểu lầm.</t>
  </si>
  <si>
    <t xml:space="preserve">S1225</t>
  </si>
  <si>
    <t xml:space="preserve">im Prinzip</t>
  </si>
  <si>
    <t xml:space="preserve">Im Prinzip ja, aber es gibt Ausnahmen.</t>
  </si>
  <si>
    <t xml:space="preserve">[ʔɪm pʁɪnˈtsiːp ˈjaː, ˌʔaːbɐ ʔɛs ˈɡiːpt ˈʔaʊsˌnaːmən]</t>
  </si>
  <si>
    <t xml:space="preserve">Về nguyên tắc thì đúng, nhưng có ngoại lệ.</t>
  </si>
  <si>
    <t xml:space="preserve">die Ausnahme = ngoại lệ</t>
  </si>
  <si>
    <t xml:space="preserve">S1226</t>
  </si>
  <si>
    <t xml:space="preserve">das mag sein; dabeibleiben</t>
  </si>
  <si>
    <t xml:space="preserve">Das mag sein, trotzdem bleibe ich dabei.</t>
  </si>
  <si>
    <t xml:space="preserve">[das ˈmaːk zaɪn, ˈtʁɔtsdeːm ˈblaɪbə ʔɪç daːˈbaɪ]</t>
  </si>
  <si>
    <t xml:space="preserve">Có thể vậy, dù sao tôi vẫn giữ quan điểm.</t>
  </si>
  <si>
    <t xml:space="preserve">dabeibleiben = giữ nguyên ý</t>
  </si>
  <si>
    <t xml:space="preserve">S1227</t>
  </si>
  <si>
    <t xml:space="preserve">nachvollziehen = hiểu được</t>
  </si>
  <si>
    <t xml:space="preserve">Ich kann Ihren Standpunkt nachvollziehen.</t>
  </si>
  <si>
    <t xml:space="preserve">[ʔɪç ˌkan ˌʔiːʁən ˈʃtantpʊŋkt ˈnaxfɔlˌtsiːən]</t>
  </si>
  <si>
    <t xml:space="preserve">Tôi hiểu được quan điểm của ông/bà.</t>
  </si>
  <si>
    <t xml:space="preserve">der Standpunkt = quan điểm</t>
  </si>
  <si>
    <t xml:space="preserve">S1228</t>
  </si>
  <si>
    <t xml:space="preserve">Dativ đầu câu nhấn mạnh</t>
  </si>
  <si>
    <t xml:space="preserve">Dem widerspreche ich entschieden.</t>
  </si>
  <si>
    <t xml:space="preserve">[deːm ˈviːdɐˌʃpʁɛçə ʔɪç ʔɛntˈʃiːdən]</t>
  </si>
  <si>
    <t xml:space="preserve">Tôi phản đối điều đó dứt khoát.</t>
  </si>
  <si>
    <t xml:space="preserve">entschieden = dứt khoát</t>
  </si>
  <si>
    <t xml:space="preserve">S1229</t>
  </si>
  <si>
    <t xml:space="preserve">durchaus = quả thật</t>
  </si>
  <si>
    <t xml:space="preserve">Da haben Sie durchaus recht.</t>
  </si>
  <si>
    <t xml:space="preserve">[daː ˌhaːbən ziː ˈdʊʁˌçaʊs ˈʁɛçt]</t>
  </si>
  <si>
    <t xml:space="preserve">Ông/bà hoàn toàn có lý.</t>
  </si>
  <si>
    <t xml:space="preserve">durchaus = quả thực</t>
  </si>
  <si>
    <t xml:space="preserve">S1230</t>
  </si>
  <si>
    <t xml:space="preserve">Das ist mir zu pauschal formuliert.</t>
  </si>
  <si>
    <t xml:space="preserve">[das ʔɪst miːɐ̯ tsuː ˈpaʊʃaːl ˌfɔʁmuːˈliːɐ̯t]</t>
  </si>
  <si>
    <t xml:space="preserve">Với tôi diễn đạt đó quá vơ đũa cả nắm.</t>
  </si>
  <si>
    <t xml:space="preserve">pauschal = chung chung</t>
  </si>
  <si>
    <t xml:space="preserve">S1231</t>
  </si>
  <si>
    <t xml:space="preserve">Ich teile Ihre Bedenken nicht.</t>
  </si>
  <si>
    <t xml:space="preserve">[ʔɪç ˈtaɪlə ˌʔiːʁə bəˈdɛŋkən ˈnɪçt]</t>
  </si>
  <si>
    <t xml:space="preserve">Tôi không chia sẻ lo ngại của ông/bà.</t>
  </si>
  <si>
    <t xml:space="preserve">die Bedenken = sự lo ngại</t>
  </si>
  <si>
    <t xml:space="preserve">S1232</t>
  </si>
  <si>
    <t xml:space="preserve">sich streiten lassen</t>
  </si>
  <si>
    <t xml:space="preserve">Darüber lässt sich streiten.</t>
  </si>
  <si>
    <t xml:space="preserve">[daːˈʁyːbɐ ˈlɛst zɪç ˈʃtʁaɪtən]</t>
  </si>
  <si>
    <t xml:space="preserve">Chuyện đó còn tranh cãi được.</t>
  </si>
  <si>
    <t xml:space="preserve">streiten = tranh cãi</t>
  </si>
  <si>
    <t xml:space="preserve">S1233</t>
  </si>
  <si>
    <t xml:space="preserve">genau nhấn mạnh</t>
  </si>
  <si>
    <t xml:space="preserve">Genau das wollte ich auch sagen.</t>
  </si>
  <si>
    <t xml:space="preserve">[ɡəˈnaʊ das vɔltə ʔɪç ˌʔaʊx ˈzaːɡən]</t>
  </si>
  <si>
    <t xml:space="preserve">Tôi cũng định nói đúng điều đó.</t>
  </si>
  <si>
    <t xml:space="preserve">genau = chính xác</t>
  </si>
  <si>
    <t xml:space="preserve">S1234</t>
  </si>
  <si>
    <t xml:space="preserve">anderer Meinung sein als</t>
  </si>
  <si>
    <t xml:space="preserve">Ich bin anderer Meinung als die Mehrheit.</t>
  </si>
  <si>
    <t xml:space="preserve">[ʔɪç bɪn ˈʔandəʁɐ ˈmaɪnʊŋ ʔals diː ˈmeːɐ̯haɪt]</t>
  </si>
  <si>
    <t xml:space="preserve">Tôi nghĩ khác đa số.</t>
  </si>
  <si>
    <t xml:space="preserve">die Mehrheit = đa số</t>
  </si>
  <si>
    <t xml:space="preserve">S1235</t>
  </si>
  <si>
    <t xml:space="preserve">plausibel / unbewiesen</t>
  </si>
  <si>
    <t xml:space="preserve">Das klingt plausibel, aber unbewiesen.</t>
  </si>
  <si>
    <t xml:space="preserve">[das ˈklɪŋt plaʊˈziːbəl, ˌʔaːbɐ ˈʔʊnbəˌviːzən]</t>
  </si>
  <si>
    <t xml:space="preserve">Nghe hợp lý nhưng chưa được chứng minh.</t>
  </si>
  <si>
    <t xml:space="preserve">plausibel = hợp lý; unbewiesen = chưa chứng minh</t>
  </si>
  <si>
    <t xml:space="preserve">S1236</t>
  </si>
  <si>
    <t xml:space="preserve">einräumen tách + dass</t>
  </si>
  <si>
    <t xml:space="preserve">Ich räume ein, dass ich mich geirrt habe.</t>
  </si>
  <si>
    <t xml:space="preserve">[ʔɪç ˈʁɔømə ˈʔaɪn, das ʔɪç mɪç ˈɡaɪʁt haːbə]</t>
  </si>
  <si>
    <t xml:space="preserve">Tôi thừa nhận là mình đã nhầm.</t>
  </si>
  <si>
    <t xml:space="preserve">einräumen = thừa nhận</t>
  </si>
  <si>
    <t xml:space="preserve">S1237</t>
  </si>
  <si>
    <t xml:space="preserve">bei allem Respekt</t>
  </si>
  <si>
    <t xml:space="preserve">Bei allem Respekt, das stimmt so nicht.</t>
  </si>
  <si>
    <t xml:space="preserve">[baɪ ˈʔaləm ʁɛˈspɛkt, das ˈʃtɪmt zoː ˈnɪçt]</t>
  </si>
  <si>
    <t xml:space="preserve">Với tất cả sự tôn trọng, điều đó không đúng.</t>
  </si>
  <si>
    <t xml:space="preserve">der Respekt = sự tôn trọng</t>
  </si>
  <si>
    <t xml:space="preserve">S1238</t>
  </si>
  <si>
    <t xml:space="preserve">insofern ... als</t>
  </si>
  <si>
    <t xml:space="preserve">Sie haben insofern recht, als die Kosten steigen.</t>
  </si>
  <si>
    <t xml:space="preserve">[ziː ˌhaːbən ˈʔɪnzoːfɐn ˈʁɛçt, ʔals diː ˈkɔstən ˈʃtaɪɡən]</t>
  </si>
  <si>
    <t xml:space="preserve">Ông/bà đúng ở chỗ chi phí đang tăng.</t>
  </si>
  <si>
    <t xml:space="preserve">insofern = ở chừng mực</t>
  </si>
  <si>
    <t xml:space="preserve">S1239</t>
  </si>
  <si>
    <t xml:space="preserve">der Widerspruch = mâu thuẫn</t>
  </si>
  <si>
    <t xml:space="preserve">Ich sehe keinen Widerspruch darin.</t>
  </si>
  <si>
    <t xml:space="preserve">[ʔɪç ˈzeːə ˈkaɪnən ˈviːdɐˌʃpʁʊx daːˈʁɪn]</t>
  </si>
  <si>
    <t xml:space="preserve">Tôi không thấy mâu thuẫn ở đó.</t>
  </si>
  <si>
    <t xml:space="preserve">S1240</t>
  </si>
  <si>
    <t xml:space="preserve">lassen + Akkusativ + Infinitiv</t>
  </si>
  <si>
    <t xml:space="preserve">Lassen Sie mich das kurz präzisieren.</t>
  </si>
  <si>
    <t xml:space="preserve">[ˈlasən ziː mɪç das ˈkʊʁts ˌpʁɛːtsiːˈziːʁən]</t>
  </si>
  <si>
    <t xml:space="preserve">Để tôi nói chính xác hơn một chút.</t>
  </si>
  <si>
    <t xml:space="preserve">präzisieren = làm chính xác</t>
  </si>
  <si>
    <t xml:space="preserve">S1241</t>
  </si>
  <si>
    <t xml:space="preserve">Thảo luận &amp; tranh luận</t>
  </si>
  <si>
    <t xml:space="preserve">dazu = về việc đó</t>
  </si>
  <si>
    <t xml:space="preserve">Darf ich kurz etwas dazu sagen?</t>
  </si>
  <si>
    <t xml:space="preserve">[ˈdaʁf ʔɪç ˈkʊʁts ˈʔɛtvaːs daːˈtsuː ˈzaːɡən]</t>
  </si>
  <si>
    <t xml:space="preserve">Tôi nói một chút về chuyện đó được không?</t>
  </si>
  <si>
    <t xml:space="preserve">dazu = về điều đó</t>
  </si>
  <si>
    <t xml:space="preserve">S1242</t>
  </si>
  <si>
    <t xml:space="preserve">ausreden = nói xong</t>
  </si>
  <si>
    <t xml:space="preserve">Lassen Sie mich bitte ausreden.</t>
  </si>
  <si>
    <t xml:space="preserve">[ˈlasən ziː mɪç ˈbɪtə ˈʔaʊsˌʁeːdən]</t>
  </si>
  <si>
    <t xml:space="preserve">Xin để tôi nói hết.</t>
  </si>
  <si>
    <t xml:space="preserve">ausreden = nói hết lời</t>
  </si>
  <si>
    <t xml:space="preserve">S1243</t>
  </si>
  <si>
    <t xml:space="preserve">zurückkommen auf</t>
  </si>
  <si>
    <t xml:space="preserve">Ich komme gleich auf Ihre Frage zurück.</t>
  </si>
  <si>
    <t xml:space="preserve">[ʔɪç ˈkɔmə ˈɡlaɪç ʔaʊf ˌʔiːʁə ˈfʁaːɡə tsuːˈʁyk]</t>
  </si>
  <si>
    <t xml:space="preserve">Tôi sẽ quay lại câu hỏi của ông/bà ngay.</t>
  </si>
  <si>
    <t xml:space="preserve">gleich = ngay</t>
  </si>
  <si>
    <t xml:space="preserve">S1244</t>
  </si>
  <si>
    <t xml:space="preserve">beim Thema bleiben</t>
  </si>
  <si>
    <t xml:space="preserve">Wir sollten beim Thema bleiben.</t>
  </si>
  <si>
    <t xml:space="preserve">[viːɐ̯ ˌzɔltən baɪm ˈteːmaː ˈblaɪbən]</t>
  </si>
  <si>
    <t xml:space="preserve">Chúng ta nên bám chủ đề.</t>
  </si>
  <si>
    <t xml:space="preserve">das Thema = chủ đề</t>
  </si>
  <si>
    <t xml:space="preserve">S1245</t>
  </si>
  <si>
    <t xml:space="preserve">sich einigen auf + Akkusativ</t>
  </si>
  <si>
    <t xml:space="preserve">Können wir uns auf einen Kompromiss einigen?</t>
  </si>
  <si>
    <t xml:space="preserve">[ˌkœnən viːɐ̯ ʔʊns ʔaʊf ˌʔaɪnən kɔmˈpʁoːmɪs ˈʔaɪnɪɡən]</t>
  </si>
  <si>
    <t xml:space="preserve">Chúng ta thống nhất một thỏa hiệp được không?</t>
  </si>
  <si>
    <t xml:space="preserve">der Kompromiss = thỏa hiệp</t>
  </si>
  <si>
    <t xml:space="preserve">S1246</t>
  </si>
  <si>
    <t xml:space="preserve">wegführen von</t>
  </si>
  <si>
    <t xml:space="preserve">Das führt uns zu weit vom Thema weg.</t>
  </si>
  <si>
    <t xml:space="preserve">[das ˈfyːɐ̯t ʔʊns tsuː ˈvaɪt fɔm ˈteːmaː ˈvɛk]</t>
  </si>
  <si>
    <t xml:space="preserve">Chuyện đó đưa chúng ta lạc đề quá xa.</t>
  </si>
  <si>
    <t xml:space="preserve">wegführen = dẫn đi xa</t>
  </si>
  <si>
    <t xml:space="preserve">S1247</t>
  </si>
  <si>
    <t xml:space="preserve">ergänzen = bổ sung</t>
  </si>
  <si>
    <t xml:space="preserve">Ich möchte noch einen Aspekt ergänzen.</t>
  </si>
  <si>
    <t xml:space="preserve">[ʔɪç ˈmœçtə nɔx ˌʔaɪnən ʔaˈspɛkt ʔɛʁˈɡɛntsən]</t>
  </si>
  <si>
    <t xml:space="preserve">Tôi muốn bổ sung một khía cạnh.</t>
  </si>
  <si>
    <t xml:space="preserve">der Aspekt = khía cạnh; ergänzen = bổ sung</t>
  </si>
  <si>
    <t xml:space="preserve">S1248</t>
  </si>
  <si>
    <t xml:space="preserve">hinauswollen auf + worauf</t>
  </si>
  <si>
    <t xml:space="preserve">Worauf wollen Sie eigentlich hinaus?</t>
  </si>
  <si>
    <t xml:space="preserve">[voːˈʁaʊf vɔlən ziː ˈʔaɪɡəntlɪç hɪˈnaʊs]</t>
  </si>
  <si>
    <t xml:space="preserve">Rốt cuộc ông/bà muốn dẫn tới đâu?</t>
  </si>
  <si>
    <t xml:space="preserve">hinauswollen = nhắm tới</t>
  </si>
  <si>
    <t xml:space="preserve">S1249</t>
  </si>
  <si>
    <t xml:space="preserve">berechtigt = chính đáng</t>
  </si>
  <si>
    <t xml:space="preserve">Das ist ein berechtigter Einwand.</t>
  </si>
  <si>
    <t xml:space="preserve">[das ʔɪst ʔaɪn bəˈʁɛçtɪçtɐ ˈʔaɪnˌvant]</t>
  </si>
  <si>
    <t xml:space="preserve">Đó là một phản biện có cơ sở.</t>
  </si>
  <si>
    <t xml:space="preserve">der Einwand = phản biện; berechtigt = chính đáng</t>
  </si>
  <si>
    <t xml:space="preserve">S1250</t>
  </si>
  <si>
    <t xml:space="preserve">plädieren für + Akkusativ</t>
  </si>
  <si>
    <t xml:space="preserve">Ich plädiere für eine schrittweise Umsetzung.</t>
  </si>
  <si>
    <t xml:space="preserve">[ʔɪç plɛːˈdiːʁə fyːɐ̯ ˌʔaɪnə ˈʃʁɪtvaɪzə ˈʔʊmˌzɛtsʊŋ]</t>
  </si>
  <si>
    <t xml:space="preserve">Tôi nghiêng về triển khai từng bước.</t>
  </si>
  <si>
    <t xml:space="preserve">plädieren = bênh vực; schrittweise = từng bước</t>
  </si>
  <si>
    <t xml:space="preserve">S1251</t>
  </si>
  <si>
    <t xml:space="preserve">zusammenfassen tách</t>
  </si>
  <si>
    <t xml:space="preserve">Fassen wir die wichtigsten Punkte zusammen.</t>
  </si>
  <si>
    <t xml:space="preserve">[ˈfasən viːɐ̯ diː ˈvɪçtɪçstən ˈpʊŋktə tsuːˈzamən]</t>
  </si>
  <si>
    <t xml:space="preserve">Chúng ta tóm tắt các điểm chính.</t>
  </si>
  <si>
    <t xml:space="preserve">zusammenfassen = tóm tắt</t>
  </si>
  <si>
    <t xml:space="preserve">S1252</t>
  </si>
  <si>
    <t xml:space="preserve">darüber + Perfekt</t>
  </si>
  <si>
    <t xml:space="preserve">Darüber haben wir bereits gesprochen.</t>
  </si>
  <si>
    <t xml:space="preserve">[daːˈʁyːbɐ ˌhaːbən viːɐ̯ bəˈʁaɪts ɡəˈʃpʁɔxən]</t>
  </si>
  <si>
    <t xml:space="preserve">Chuyện đó chúng ta đã bàn rồi.</t>
  </si>
  <si>
    <t xml:space="preserve">bereits = đã</t>
  </si>
  <si>
    <t xml:space="preserve">S1253</t>
  </si>
  <si>
    <t xml:space="preserve">bitten + zu-Infinitiv phủ định</t>
  </si>
  <si>
    <t xml:space="preserve">Ich bitte Sie, mich nicht zu unterbrechen.</t>
  </si>
  <si>
    <t xml:space="preserve">[ʔɪç ˈbɪtə ziː, mɪç ˈnɪçt tsuː ˌʔʊntɐˈbʁɛçən]</t>
  </si>
  <si>
    <t xml:space="preserve">Tôi đề nghị ông/bà đừng ngắt lời tôi.</t>
  </si>
  <si>
    <t xml:space="preserve">unterbrechen = ngắt lời</t>
  </si>
  <si>
    <t xml:space="preserve">S1254</t>
  </si>
  <si>
    <t xml:space="preserve">zu kurz greifen</t>
  </si>
  <si>
    <t xml:space="preserve">Das Argument greift zu kurz.</t>
  </si>
  <si>
    <t xml:space="preserve">[das ˌʔaʁɡuːˈmɛnt ˈɡʁaɪft tsuː ˈkʊʁts]</t>
  </si>
  <si>
    <t xml:space="preserve">Lập luận đó chưa đủ xa.</t>
  </si>
  <si>
    <t xml:space="preserve">zu kurz greifen = chưa thấu đáo</t>
  </si>
  <si>
    <t xml:space="preserve">S1255</t>
  </si>
  <si>
    <t xml:space="preserve">unterscheiden zwischen + Dativ</t>
  </si>
  <si>
    <t xml:space="preserve">Wir müssen zwischen Ursache und Wirkung unterscheiden.</t>
  </si>
  <si>
    <t xml:space="preserve">[viːɐ̯ ˈmysən ˈtsvɪʃən ˈʔʊʁzaxə ʔʊnt ˈvɪʁkʊŋ ˌʔʊntɐˈʃaɪdən]</t>
  </si>
  <si>
    <t xml:space="preserve">Ta phải phân biệt nguyên nhân và hệ quả.</t>
  </si>
  <si>
    <t xml:space="preserve">die Ursache = nguyên nhân; die Wirkung = tác động</t>
  </si>
  <si>
    <t xml:space="preserve">S1256</t>
  </si>
  <si>
    <t xml:space="preserve">nicht ... sondern</t>
  </si>
  <si>
    <t xml:space="preserve">Es geht hier nicht um Schuld, sondern um Lösungen.</t>
  </si>
  <si>
    <t xml:space="preserve">[ʔɛs ˈɡeːt ˈhiːɐ̯ ˈnɪçt ʔʊm ˈʃʊlt, ˈzɔndɐn ʔʊm ˈløːzʊŋən]</t>
  </si>
  <si>
    <t xml:space="preserve">Đây không phải chuyện quy lỗi mà là giải pháp.</t>
  </si>
  <si>
    <t xml:space="preserve">die Schuld = lỗi/tội</t>
  </si>
  <si>
    <t xml:space="preserve">S1257</t>
  </si>
  <si>
    <t xml:space="preserve">Folgendes = điều sau đây</t>
  </si>
  <si>
    <t xml:space="preserve">Wenn ich Sie richtig verstehe, meinen Sie Folgendes.</t>
  </si>
  <si>
    <t xml:space="preserve">[ˌvɛn ʔɪç ziː ˈʁɪçtɪç fɛʁˈʃteːə, ˌmaɪnən ziː ˈfɔlɡəndəs]</t>
  </si>
  <si>
    <t xml:space="preserve">Nếu tôi hiểu đúng thì ông/bà muốn nói như sau.</t>
  </si>
  <si>
    <t xml:space="preserve">folgend = sau đây</t>
  </si>
  <si>
    <t xml:space="preserve">S1258</t>
  </si>
  <si>
    <t xml:space="preserve">sachlich = khách quan</t>
  </si>
  <si>
    <t xml:space="preserve">Bleiben wir bitte sachlich.</t>
  </si>
  <si>
    <t xml:space="preserve">[ˈblaɪbən viːɐ̯ ˈbɪtə ˈzaxlɪç]</t>
  </si>
  <si>
    <t xml:space="preserve">Mình giữ thái độ khách quan nhé.</t>
  </si>
  <si>
    <t xml:space="preserve">S1259</t>
  </si>
  <si>
    <t xml:space="preserve">zur Diskussion stellen</t>
  </si>
  <si>
    <t xml:space="preserve">Ich stelle das mal zur Diskussion.</t>
  </si>
  <si>
    <t xml:space="preserve">[ʔɪç ˈʃtɛlə das ˈmaːl tsuːɐ̯ ˌdɪskʊsˈjoːn]</t>
  </si>
  <si>
    <t xml:space="preserve">Tôi đưa chuyện đó ra bàn.</t>
  </si>
  <si>
    <t xml:space="preserve">zur Diskussion stellen = đưa ra bàn</t>
  </si>
  <si>
    <t xml:space="preserve">S1260</t>
  </si>
  <si>
    <t xml:space="preserve">zählen = có giá trị</t>
  </si>
  <si>
    <t xml:space="preserve">Am Ende zählt das Ergebnis.</t>
  </si>
  <si>
    <t xml:space="preserve">[ʔam ˈʔɛndə ˈtsɛːlt das ʔɛʁˈɡeːbnɪs]</t>
  </si>
  <si>
    <t xml:space="preserve">Cuối cùng kết quả mới là thứ quan trọng.</t>
  </si>
  <si>
    <t xml:space="preserve">das Ergebnis = kết quả</t>
  </si>
  <si>
    <t xml:space="preserve">S1261</t>
  </si>
  <si>
    <t xml:space="preserve">Phỏng đoán &amp; mức độ chắc chắn</t>
  </si>
  <si>
    <t xml:space="preserve">müssen chủ quan = gần như chắc chắn</t>
  </si>
  <si>
    <t xml:space="preserve">Er muss das gewusst haben.</t>
  </si>
  <si>
    <t xml:space="preserve">[ʔɛɐ̯ ˈmʊs das ɡəˈvʊst ˈhaːbən]</t>
  </si>
  <si>
    <t xml:space="preserve">Chắc chắn anh ta đã biết chuyện đó.</t>
  </si>
  <si>
    <t xml:space="preserve">S1262</t>
  </si>
  <si>
    <t xml:space="preserve">können chủ quan = có khả năng</t>
  </si>
  <si>
    <t xml:space="preserve">Sie könnte schon zu Hause sein.</t>
  </si>
  <si>
    <t xml:space="preserve">[ziː ˈkœntə ˌʃoːn tsuː ˈhaʊzə zaɪn]</t>
  </si>
  <si>
    <t xml:space="preserve">Có thể cô ấy đã về nhà rồi.</t>
  </si>
  <si>
    <t xml:space="preserve">können = có thể</t>
  </si>
  <si>
    <t xml:space="preserve">S1263</t>
  </si>
  <si>
    <t xml:space="preserve">dürfte = phỏng đoán có cơ sở</t>
  </si>
  <si>
    <t xml:space="preserve">Das dürfte etwa zwanzig Euro kosten.</t>
  </si>
  <si>
    <t xml:space="preserve">[das ˈdyʁftə ˌʔɛtvaː ˈtsvantsɪç ˈʔɔøʁoː ˈkɔstən]</t>
  </si>
  <si>
    <t xml:space="preserve">Cái đó chắc khoảng hai mươi euro.</t>
  </si>
  <si>
    <t xml:space="preserve">dürfte = chắc là</t>
  </si>
  <si>
    <t xml:space="preserve">S1264</t>
  </si>
  <si>
    <t xml:space="preserve">unmöglich + Perfekt Infinitiv</t>
  </si>
  <si>
    <t xml:space="preserve">Er kann das unmöglich allein geschafft haben.</t>
  </si>
  <si>
    <t xml:space="preserve">[ʔɛɐ̯ ˌkan das ˈʔʊnˌmøːklɪç ʔaˈlaɪn ɡəˈʃaft ˈhaːbən]</t>
  </si>
  <si>
    <t xml:space="preserve">Anh ta không thể một mình làm nổi.</t>
  </si>
  <si>
    <t xml:space="preserve">unmöglich = không thể</t>
  </si>
  <si>
    <t xml:space="preserve">S1265</t>
  </si>
  <si>
    <t xml:space="preserve">wollen chủ quan = tự nhận</t>
  </si>
  <si>
    <t xml:space="preserve">Sie will ihn nie getroffen haben.</t>
  </si>
  <si>
    <t xml:space="preserve">[ziː vɪl ʔiːn ˈniː ɡəˈtʁɔfən ˈhaːbən]</t>
  </si>
  <si>
    <t xml:space="preserve">Cô ta bảo chưa từng gặp anh ấy.</t>
  </si>
  <si>
    <t xml:space="preserve">wollen = tự xưng là</t>
  </si>
  <si>
    <t xml:space="preserve">S1266</t>
  </si>
  <si>
    <t xml:space="preserve">sollen chủ quan = nghe đồn</t>
  </si>
  <si>
    <t xml:space="preserve">Er soll sehr reich sein.</t>
  </si>
  <si>
    <t xml:space="preserve">[ʔɛɐ̯ ˌzɔl ˈzeːɐ̯ ˈʁaɪç zaɪn]</t>
  </si>
  <si>
    <t xml:space="preserve">Nghe nói anh ta rất giàu.</t>
  </si>
  <si>
    <t xml:space="preserve">sollen = nghe nói</t>
  </si>
  <si>
    <t xml:space="preserve">S1267</t>
  </si>
  <si>
    <t xml:space="preserve">vermutlich đầu câu, đảo</t>
  </si>
  <si>
    <t xml:space="preserve">Vermutlich hat sie den Termin vergessen.</t>
  </si>
  <si>
    <t xml:space="preserve">[fɛʁˈmuːtlɪç hat ziː deːn tɛʁˈmiːn fɛʁˈɡɛsən]</t>
  </si>
  <si>
    <t xml:space="preserve">Có lẽ cô ấy quên lịch hẹn.</t>
  </si>
  <si>
    <t xml:space="preserve">S1268</t>
  </si>
  <si>
    <t xml:space="preserve">durchaus möglich</t>
  </si>
  <si>
    <t xml:space="preserve">Es ist durchaus möglich, dass er absagt.</t>
  </si>
  <si>
    <t xml:space="preserve">[ʔɛsɪst ˈdʊʁˌçaʊs ˈmøːklɪç, das ʔɛɐ̯ ˈʔapˌzaːkt]</t>
  </si>
  <si>
    <t xml:space="preserve">Hoàn toàn có thể anh ta sẽ hủy.</t>
  </si>
  <si>
    <t xml:space="preserve">möglich = có thể</t>
  </si>
  <si>
    <t xml:space="preserve">S1269</t>
  </si>
  <si>
    <t xml:space="preserve">höchstwahrscheinlich</t>
  </si>
  <si>
    <t xml:space="preserve">Höchstwahrscheinlich wird es morgen regnen.</t>
  </si>
  <si>
    <t xml:space="preserve">[ˈhœkstvaːɐ̯ˌʃaɪnlɪç ˌvɪʁt ʔɛs ˈmɔʁɡən ˈʁɛɡnən]</t>
  </si>
  <si>
    <t xml:space="preserve">Nhiều khả năng mai sẽ mưa.</t>
  </si>
  <si>
    <t xml:space="preserve">höchstwahrscheinlich = rất có khả năng</t>
  </si>
  <si>
    <t xml:space="preserve">S1270</t>
  </si>
  <si>
    <t xml:space="preserve">ausreichen = đủ</t>
  </si>
  <si>
    <t xml:space="preserve">Ich bezweifle, dass das ausreicht.</t>
  </si>
  <si>
    <t xml:space="preserve">[ʔɪç bəˈtsvaɪflə, das das ˈʔaʊsˌʁaɪçt]</t>
  </si>
  <si>
    <t xml:space="preserve">Tôi nghi ngờ chuyện đó có đủ.</t>
  </si>
  <si>
    <t xml:space="preserve">S1271</t>
  </si>
  <si>
    <t xml:space="preserve">offenbar = rõ ràng</t>
  </si>
  <si>
    <t xml:space="preserve">Offenbar hat niemand davon gewusst.</t>
  </si>
  <si>
    <t xml:space="preserve">[ˈʔɔfənˌbaːɐ̯ hat ˈniːmant daːˈfɔn ɡəˈvʊst]</t>
  </si>
  <si>
    <t xml:space="preserve">Rõ ràng là không ai biết.</t>
  </si>
  <si>
    <t xml:space="preserve">offenbar = hiển nhiên</t>
  </si>
  <si>
    <t xml:space="preserve">S1272</t>
  </si>
  <si>
    <t xml:space="preserve">angeblich = theo lời đồn</t>
  </si>
  <si>
    <t xml:space="preserve">Angeblich wurde das Projekt gestoppt.</t>
  </si>
  <si>
    <t xml:space="preserve">[ˈʔanɡəˌblɪç ˌvʊʁdə das pʁoːˈjɛkt ɡəˈʃtɔpt]</t>
  </si>
  <si>
    <t xml:space="preserve">Nghe nói dự án đã bị dừng.</t>
  </si>
  <si>
    <t xml:space="preserve">angeblich = được cho là</t>
  </si>
  <si>
    <t xml:space="preserve">S1273</t>
  </si>
  <si>
    <t xml:space="preserve">danach aussehen</t>
  </si>
  <si>
    <t xml:space="preserve">Es sieht ganz danach aus.</t>
  </si>
  <si>
    <t xml:space="preserve">[ʔɛs ˈziːt ˌɡants daˈnax ˈʔaʊs]</t>
  </si>
  <si>
    <t xml:space="preserve">Trông có vẻ đúng là vậy.</t>
  </si>
  <si>
    <t xml:space="preserve">S1274</t>
  </si>
  <si>
    <t xml:space="preserve">vorliegen = tồn tại</t>
  </si>
  <si>
    <t xml:space="preserve">Möglicherweise liegt ein Fehler vor.</t>
  </si>
  <si>
    <t xml:space="preserve">[ˈmœɡlɪçɐˌvaɪzə ˈliːkt ʔaɪn ˈfeːlɐ ˈfɔɐ̯]</t>
  </si>
  <si>
    <t xml:space="preserve">Có thể có một lỗi nào đó.</t>
  </si>
  <si>
    <t xml:space="preserve">vorliegen = hiện có; möglicherweise = có thể</t>
  </si>
  <si>
    <t xml:space="preserve">S1275</t>
  </si>
  <si>
    <t xml:space="preserve">ausschließen tách</t>
  </si>
  <si>
    <t xml:space="preserve">Ich schließe nicht aus, dass er zurückkommt.</t>
  </si>
  <si>
    <t xml:space="preserve">[ʔɪç ˈʃliːsə ˈnɪçt ˈʔaʊs, das ʔɛɐ̯ tsuːˈʁykˌkɔmt]</t>
  </si>
  <si>
    <t xml:space="preserve">Tôi không loại trừ khả năng anh ấy quay lại.</t>
  </si>
  <si>
    <t xml:space="preserve">ausschließen = loại trừ</t>
  </si>
  <si>
    <t xml:space="preserve">S1276</t>
  </si>
  <si>
    <t xml:space="preserve">Das kann durchaus sein.</t>
  </si>
  <si>
    <t xml:space="preserve">[das ˌkan ˈdʊʁˌçaʊs zaɪn]</t>
  </si>
  <si>
    <t xml:space="preserve">Chuyện đó hoàn toàn có thể.</t>
  </si>
  <si>
    <t xml:space="preserve">durchaus = hoàn toàn</t>
  </si>
  <si>
    <t xml:space="preserve">S1277</t>
  </si>
  <si>
    <t xml:space="preserve">hindeuten auf + darauf</t>
  </si>
  <si>
    <t xml:space="preserve">Vieles deutet darauf hin, dass sich die Lage bessert.</t>
  </si>
  <si>
    <t xml:space="preserve">[ˈfiːləs ˈdɔøtət daːˈʁaʊf ˈhɪn, das zɪç diː ˈlaːɡə ˈbɛsɐt]</t>
  </si>
  <si>
    <t xml:space="preserve">Nhiều dấu hiệu cho thấy tình hình đang khá lên.</t>
  </si>
  <si>
    <t xml:space="preserve">hindeuten = chỉ dấu</t>
  </si>
  <si>
    <t xml:space="preserve">S1278</t>
  </si>
  <si>
    <t xml:space="preserve">auf keinen Fall đầu câu</t>
  </si>
  <si>
    <t xml:space="preserve">Auf keinen Fall war das Absicht.</t>
  </si>
  <si>
    <t xml:space="preserve">[ʔaʊf ˈkaɪnən ˈfal vaːɐ̯ das ˈʔapˌzɪçt]</t>
  </si>
  <si>
    <t xml:space="preserve">Chắc chắn đó không phải cố ý.</t>
  </si>
  <si>
    <t xml:space="preserve">die Absicht = ý định</t>
  </si>
  <si>
    <t xml:space="preserve">S1279</t>
  </si>
  <si>
    <t xml:space="preserve">scheinen + zu + Perfekt Infinitiv</t>
  </si>
  <si>
    <t xml:space="preserve">Er scheint die Nachricht nicht gelesen zu haben.</t>
  </si>
  <si>
    <t xml:space="preserve">[ʔɛɐ̯ ˈʃaɪnt diː ˈnaxʁɪçt ˈnɪçt ɡəˈleːzən tsuː ˈhaːbən]</t>
  </si>
  <si>
    <t xml:space="preserve">Có vẻ anh ấy chưa đọc tin nhắn.</t>
  </si>
  <si>
    <t xml:space="preserve">scheinen = có vẻ</t>
  </si>
  <si>
    <t xml:space="preserve">S1280</t>
  </si>
  <si>
    <t xml:space="preserve">mit Sicherheit; sich sagen lassen</t>
  </si>
  <si>
    <t xml:space="preserve">Mit Sicherheit lässt sich das nicht sagen.</t>
  </si>
  <si>
    <t xml:space="preserve">[mɪt ˈzɪçɐˌhaɪt ˈlɛst zɪç das ˈnɪçt ˈzaːɡən]</t>
  </si>
  <si>
    <t xml:space="preserve">Không thể nói chắc chắn được.</t>
  </si>
  <si>
    <t xml:space="preserve">die Sicherheit = sự chắc chắn</t>
  </si>
  <si>
    <t xml:space="preserve">S1281</t>
  </si>
  <si>
    <t xml:space="preserve">Konjunktiv I &amp; lời nói gián tiếp</t>
  </si>
  <si>
    <t xml:space="preserve">sei = Konjunktiv I của sein</t>
  </si>
  <si>
    <t xml:space="preserve">Er sagte, er sei krank.</t>
  </si>
  <si>
    <t xml:space="preserve">[ʔɛɐ̯ ˈzaːɡtə, ʔɛɐ̯ ˈzaɪ ˈkʁaŋk]</t>
  </si>
  <si>
    <t xml:space="preserve">Anh ấy nói anh ấy bị ốm.</t>
  </si>
  <si>
    <t xml:space="preserve">sei = là (gián tiếp)</t>
  </si>
  <si>
    <t xml:space="preserve">S1282</t>
  </si>
  <si>
    <t xml:space="preserve">habe = Konjunktiv I của haben</t>
  </si>
  <si>
    <t xml:space="preserve">Sie behauptet, sie habe nichts gewusst.</t>
  </si>
  <si>
    <t xml:space="preserve">[ziː bəˈhaʊptət, ziː haːbə ˈnɪçts ɡəˈvʊst]</t>
  </si>
  <si>
    <t xml:space="preserve">Cô ta khẳng định mình không biết gì.</t>
  </si>
  <si>
    <t xml:space="preserve">habe = có (gián tiếp)</t>
  </si>
  <si>
    <t xml:space="preserve">S1283</t>
  </si>
  <si>
    <t xml:space="preserve">werde = Konjunktiv I của werden</t>
  </si>
  <si>
    <t xml:space="preserve">Der Minister erklärte, man werde die Steuern senken.</t>
  </si>
  <si>
    <t xml:space="preserve">[dɛɐ̯ miːˈnɪstɐ ʔɛʁˈklɛʁtə, man ˌvɛʁdə diː ˈʃtɔøɐn ˈzɛŋkən]</t>
  </si>
  <si>
    <t xml:space="preserve">Bộ trưởng tuyên bố sẽ giảm thuế.</t>
  </si>
  <si>
    <t xml:space="preserve">senken = hạ xuống</t>
  </si>
  <si>
    <t xml:space="preserve">S1284</t>
  </si>
  <si>
    <t xml:space="preserve">laut + Dativ/Genitiv</t>
  </si>
  <si>
    <t xml:space="preserve">Laut Bericht sei die Zahl gestiegen.</t>
  </si>
  <si>
    <t xml:space="preserve">[ˈlaʊt bəˈʁɪçt ˈzaɪ diː ˈtsaːl ɡəˈʃtiːɡən]</t>
  </si>
  <si>
    <t xml:space="preserve">Theo báo cáo thì con số đã tăng.</t>
  </si>
  <si>
    <t xml:space="preserve">laut = theo; der Bericht = báo cáo</t>
  </si>
  <si>
    <t xml:space="preserve">S1285</t>
  </si>
  <si>
    <t xml:space="preserve">ob + Konjunktiv II thay thế</t>
  </si>
  <si>
    <t xml:space="preserve">Er fragte, ob ich Zeit hätte.</t>
  </si>
  <si>
    <t xml:space="preserve">[ʔɛɐ̯ ˈfʁaːktə, ˌʔɔp ʔɪç ˈtsaɪt ˌhɛtə]</t>
  </si>
  <si>
    <t xml:space="preserve">Anh ấy hỏi tôi có thời gian không.</t>
  </si>
  <si>
    <t xml:space="preserve">ob = liệu</t>
  </si>
  <si>
    <t xml:space="preserve">S1286</t>
  </si>
  <si>
    <t xml:space="preserve">komme = Konjunktiv I</t>
  </si>
  <si>
    <t xml:space="preserve">Sie sagte, sie komme später.</t>
  </si>
  <si>
    <t xml:space="preserve">[ziː ˈzaːɡtə, ziː ˈkɔmə ˈʃpɛːtɐ]</t>
  </si>
  <si>
    <t xml:space="preserve">Cô ấy nói cô ấy sẽ đến muộn.</t>
  </si>
  <si>
    <t xml:space="preserve">S1287</t>
  </si>
  <si>
    <t xml:space="preserve">angeben tách + Konjunktiv I</t>
  </si>
  <si>
    <t xml:space="preserve">Der Zeuge gab an, er habe nichts gesehen.</t>
  </si>
  <si>
    <t xml:space="preserve">[dɛɐ̯ ˈtsɔøɡə ˈɡaːp ˈʔan, ʔɛɐ̯ haːbə ˈnɪçts ɡəˈzeːən]</t>
  </si>
  <si>
    <t xml:space="preserve">Nhân chứng khai không thấy gì.</t>
  </si>
  <si>
    <t xml:space="preserve">der Zeuge = nhân chứng</t>
  </si>
  <si>
    <t xml:space="preserve">S1288</t>
  </si>
  <si>
    <t xml:space="preserve">es heißt = người ta nói</t>
  </si>
  <si>
    <t xml:space="preserve">Es heißt, die Firma stehe vor der Insolvenz.</t>
  </si>
  <si>
    <t xml:space="preserve">[ʔɛs ˈhaɪst, diː ˈfɪʁmaː ˈʃteːə ˌfɔɐ̯ dɛɐ̯ ˌʔɪnzɔlˈvɛnts]</t>
  </si>
  <si>
    <t xml:space="preserve">Nghe nói công ty sắp phá sản.</t>
  </si>
  <si>
    <t xml:space="preserve">die Insolvenz = sự phá sản</t>
  </si>
  <si>
    <t xml:space="preserve">S1289</t>
  </si>
  <si>
    <t xml:space="preserve">könne = Konjunktiv I của können</t>
  </si>
  <si>
    <t xml:space="preserve">Man befürchtet, die Lage könne eskalieren.</t>
  </si>
  <si>
    <t xml:space="preserve">[man bəˈfyʁçtət, diː ˈlaːɡə ˈkœnə ˌʔɛskaˈliːʁən]</t>
  </si>
  <si>
    <t xml:space="preserve">Người ta lo tình hình có thể leo thang.</t>
  </si>
  <si>
    <t xml:space="preserve">eskalieren = leo thang</t>
  </si>
  <si>
    <t xml:space="preserve">S1290</t>
  </si>
  <si>
    <t xml:space="preserve">mitteilen tách</t>
  </si>
  <si>
    <t xml:space="preserve">Sie teilte mit, sie werde das prüfen.</t>
  </si>
  <si>
    <t xml:space="preserve">[ziː ˈtaɪltə ˈmɪt, ziː ˌvɛʁdə das ˈpʁyːfən]</t>
  </si>
  <si>
    <t xml:space="preserve">Cô ấy thông báo sẽ kiểm tra việc đó.</t>
  </si>
  <si>
    <t xml:space="preserve">mitteilen = thông báo</t>
  </si>
  <si>
    <t xml:space="preserve">S1291</t>
  </si>
  <si>
    <t xml:space="preserve">solle = Konjunktiv I của sollen</t>
  </si>
  <si>
    <t xml:space="preserve">Der Arzt riet ihm, er solle sich ausruhen.</t>
  </si>
  <si>
    <t xml:space="preserve">[dɛɐ̯ ˈʔaʁtst ˈʁiːt ˈʔiːm, ʔɛɐ̯ ˌzɔlə zɪç ˈʔaʊsˌʁuːən]</t>
  </si>
  <si>
    <t xml:space="preserve">Bác sĩ khuyên anh ấy nên nghỉ ngơi.</t>
  </si>
  <si>
    <t xml:space="preserve">raten = khuyên</t>
  </si>
  <si>
    <t xml:space="preserve">S1292</t>
  </si>
  <si>
    <t xml:space="preserve">gebe = Konjunktiv I của geben</t>
  </si>
  <si>
    <t xml:space="preserve">In der Zeitung stand, es gebe keine Beweise.</t>
  </si>
  <si>
    <t xml:space="preserve">[ʔɪn dɛɐ̯ ˈtsaɪˌtʊŋ ˈʃtant, ʔɛs ˈɡeːbə ˈkaɪnə bəˈvaɪzə]</t>
  </si>
  <si>
    <t xml:space="preserve">Báo viết là không có bằng chứng.</t>
  </si>
  <si>
    <t xml:space="preserve">der Beweis = bằng chứng</t>
  </si>
  <si>
    <t xml:space="preserve">S1293</t>
  </si>
  <si>
    <t xml:space="preserve">betonen = nhấn mạnh</t>
  </si>
  <si>
    <t xml:space="preserve">Er betonte, dies sei nur ein Vorschlag.</t>
  </si>
  <si>
    <t xml:space="preserve">[ʔɛɐ̯ bəˈtɔntə, diːs ˈzaɪ ˈnuːɐ̯ ʔaɪn ˈfoːɐ̯ˌʃlaːk]</t>
  </si>
  <si>
    <t xml:space="preserve">Anh ấy nhấn mạnh đây chỉ là đề xuất.</t>
  </si>
  <si>
    <t xml:space="preserve">S1294</t>
  </si>
  <si>
    <t xml:space="preserve">Konjunktiv II khi Konjunktiv I trùng Indikativ</t>
  </si>
  <si>
    <t xml:space="preserve">Sie versicherte, sie hätte alles kontrolliert.</t>
  </si>
  <si>
    <t xml:space="preserve">[ziː fɛʁˈzɪçɐtə, ziː ˌhɛtə ˈʔaləs kɔntʁɔˈliːɐ̯t]</t>
  </si>
  <si>
    <t xml:space="preserve">Cô ấy cam đoan đã kiểm tra hết.</t>
  </si>
  <si>
    <t xml:space="preserve">versichern = cam đoan</t>
  </si>
  <si>
    <t xml:space="preserve">S1295</t>
  </si>
  <si>
    <t xml:space="preserve">dementieren = bác bỏ</t>
  </si>
  <si>
    <t xml:space="preserve">Der Sprecher dementierte, dass es Kürzungen gebe.</t>
  </si>
  <si>
    <t xml:space="preserve">[dɛɐ̯ ˈʃpʁɛçɐ ˌdeːmɛnˈtiːɐ̯tə, das ʔɛs ˈkyʁtsʊŋən ˈɡeːbə]</t>
  </si>
  <si>
    <t xml:space="preserve">Người phát ngôn bác bỏ việc có cắt giảm.</t>
  </si>
  <si>
    <t xml:space="preserve">die Kürzung = sự cắt giảm</t>
  </si>
  <si>
    <t xml:space="preserve">S1296</t>
  </si>
  <si>
    <t xml:space="preserve">seien + Partizip + worden</t>
  </si>
  <si>
    <t xml:space="preserve">Angeblich seien die Daten gelöscht worden.</t>
  </si>
  <si>
    <t xml:space="preserve">[ˈʔanɡəˌblɪç ˈzaɪən diː ˈdaːtən ɡəˈlœʃt ˌvɔʁdən]</t>
  </si>
  <si>
    <t xml:space="preserve">Được cho là dữ liệu đã bị xóa.</t>
  </si>
  <si>
    <t xml:space="preserve">löschen = xóa</t>
  </si>
  <si>
    <t xml:space="preserve">S1297</t>
  </si>
  <si>
    <t xml:space="preserve">sei + nicht</t>
  </si>
  <si>
    <t xml:space="preserve">Er meinte, das sei nicht sein Problem.</t>
  </si>
  <si>
    <t xml:space="preserve">[ʔɛɐ̯ ˈmaɪntə, das ˈzaɪ ˈnɪçt zaɪn pʁoːˈbleːm]</t>
  </si>
  <si>
    <t xml:space="preserve">Anh ta bảo đó không phải việc của mình.</t>
  </si>
  <si>
    <t xml:space="preserve">meinen = cho rằng</t>
  </si>
  <si>
    <t xml:space="preserve">S1298</t>
  </si>
  <si>
    <t xml:space="preserve">der Täter = thủ phạm</t>
  </si>
  <si>
    <t xml:space="preserve">Die Polizei teilte mit, der Täter sei gefasst.</t>
  </si>
  <si>
    <t xml:space="preserve">[diː ˌpoːliːˈtsaɪ ˈtaɪltə ˈmɪt, dɛɐ̯ ˈtɛːtɐ ˈzaɪ ɡəˈfast]</t>
  </si>
  <si>
    <t xml:space="preserve">Cảnh sát thông báo thủ phạm đã bị bắt.</t>
  </si>
  <si>
    <t xml:space="preserve">der Täter = thủ phạm; fassen = bắt</t>
  </si>
  <si>
    <t xml:space="preserve">S1299</t>
  </si>
  <si>
    <t xml:space="preserve">habe + Partizip II</t>
  </si>
  <si>
    <t xml:space="preserve">Sie erzählte, sie habe lange in Japan gelebt.</t>
  </si>
  <si>
    <t xml:space="preserve">[ziː ʔɛʁˈtsɛːltə, ziː haːbə ˈlaŋə ʔɪn jaˈpaːn ɡəˈleːpt]</t>
  </si>
  <si>
    <t xml:space="preserve">Cô ấy kể đã sống lâu ở Nhật.</t>
  </si>
  <si>
    <t xml:space="preserve">leben = sống</t>
  </si>
  <si>
    <t xml:space="preserve">S1300</t>
  </si>
  <si>
    <t xml:space="preserve">hinzufügen tách; müsse</t>
  </si>
  <si>
    <t xml:space="preserve">Er fügte hinzu, man müsse geduldig sein.</t>
  </si>
  <si>
    <t xml:space="preserve">[ʔɛɐ̯ ˈfyːktə hɪnˈtsuː, man ˈmysə ɡəˈdʊldɪç zaɪn]</t>
  </si>
  <si>
    <t xml:space="preserve">Anh ấy nói thêm là phải kiên nhẫn.</t>
  </si>
  <si>
    <t xml:space="preserve">geduldig = kiên nhẫn</t>
  </si>
  <si>
    <t xml:space="preserve">S1301</t>
  </si>
  <si>
    <t xml:space="preserve">Phân từ làm tính từ &amp; cấu trúc phân từ</t>
  </si>
  <si>
    <t xml:space="preserve">Partizip I làm tính từ (chủ động)</t>
  </si>
  <si>
    <t xml:space="preserve">Die steigenden Preise belasten viele Familien.</t>
  </si>
  <si>
    <t xml:space="preserve">[diː ˈʃtaɪɡəndən ˈpʁaɪzə bəˈlastən ˈfiːlə faˈmiːlɪən]</t>
  </si>
  <si>
    <t xml:space="preserve">Giá cả tăng gây gánh nặng cho nhiều gia đình.</t>
  </si>
  <si>
    <t xml:space="preserve">steigend = đang tăng; belasten = gây gánh nặng</t>
  </si>
  <si>
    <t xml:space="preserve">S1302</t>
  </si>
  <si>
    <t xml:space="preserve">Partizip II làm tính từ (bị động)</t>
  </si>
  <si>
    <t xml:space="preserve">Das gelieferte Paket war beschädigt.</t>
  </si>
  <si>
    <t xml:space="preserve">[das ɡəˈliːfɐtə paˈkeːt vaːɐ̯ bəˈʃɛːdɪçt]</t>
  </si>
  <si>
    <t xml:space="preserve">Gói hàng được giao bị hỏng.</t>
  </si>
  <si>
    <t xml:space="preserve">liefern = giao hàng</t>
  </si>
  <si>
    <t xml:space="preserve">S1303</t>
  </si>
  <si>
    <t xml:space="preserve">Partizip I + Nomen</t>
  </si>
  <si>
    <t xml:space="preserve">Ein wachsendes Problem ist der Fachkräftemangel.</t>
  </si>
  <si>
    <t xml:space="preserve">[ʔaɪn ˈvaxzəndəs pʁoːˈbleːm ʔɪst dɛɐ̯ ˈfaxkʁɛfˌteːmaŋəl]</t>
  </si>
  <si>
    <t xml:space="preserve">Vấn đề ngày càng lớn là thiếu nhân lực.</t>
  </si>
  <si>
    <t xml:space="preserve">der Fachkräftemangel = thiếu nhân lực</t>
  </si>
  <si>
    <t xml:space="preserve">S1304</t>
  </si>
  <si>
    <t xml:space="preserve">Erweitertes Partizip (mở rộng)</t>
  </si>
  <si>
    <t xml:space="preserve">Die vom Arzt verschriebenen Medikamente helfen.</t>
  </si>
  <si>
    <t xml:space="preserve">[diː fɔm ˈʔaʁtst fɛʁˈʃʁiːbənən ˌmeːdiːkaˈmɛntə ˈhɛlfən]</t>
  </si>
  <si>
    <t xml:space="preserve">Thuốc bác sĩ kê có tác dụng.</t>
  </si>
  <si>
    <t xml:space="preserve">verschreiben = kê đơn</t>
  </si>
  <si>
    <t xml:space="preserve">S1305</t>
  </si>
  <si>
    <t xml:space="preserve">Partizip mở rộng với trạng ngữ</t>
  </si>
  <si>
    <t xml:space="preserve">Der gestern veröffentlichte Bericht sorgt für Aufsehen.</t>
  </si>
  <si>
    <t xml:space="preserve">[dɛɐ̯ ˈɡɛstɐn fɛˈʁœfəntlɪçtə bəˈʁɪçt ˈzɔʁkt fyːɐ̯ ˈʔaʊfˌzeːən]</t>
  </si>
  <si>
    <t xml:space="preserve">Báo cáo công bố hôm qua gây xôn xao.</t>
  </si>
  <si>
    <t xml:space="preserve">für Aufsehen sorgen = gây xôn xao</t>
  </si>
  <si>
    <t xml:space="preserve">S1306</t>
  </si>
  <si>
    <t xml:space="preserve">Partizip I làm trạng ngữ</t>
  </si>
  <si>
    <t xml:space="preserve">Lachend verließ sie den Raum.</t>
  </si>
  <si>
    <t xml:space="preserve">[ˈlaxənt fɛʁˈliːs ziː deːn ˈʁaʊm]</t>
  </si>
  <si>
    <t xml:space="preserve">Cô ấy vừa cười vừa rời phòng.</t>
  </si>
  <si>
    <t xml:space="preserve">verlassen = rời khỏi</t>
  </si>
  <si>
    <t xml:space="preserve">S1307</t>
  </si>
  <si>
    <t xml:space="preserve">betroffen = bị ảnh hưởng</t>
  </si>
  <si>
    <t xml:space="preserve">Die betroffenen Mitarbeiter wurden informiert.</t>
  </si>
  <si>
    <t xml:space="preserve">[diː bəˈtʁɔfənən ˈmɪˌtaʁbaɪtɐ ˌvʊʁdən ˌʔɪnfɔʁˈmiːɐ̯t]</t>
  </si>
  <si>
    <t xml:space="preserve">Các nhân viên bị ảnh hưởng đã được báo.</t>
  </si>
  <si>
    <t xml:space="preserve">betreffen = liên quan/ảnh hưởng</t>
  </si>
  <si>
    <t xml:space="preserve">S1308</t>
  </si>
  <si>
    <t xml:space="preserve">Partizip II + trạng từ</t>
  </si>
  <si>
    <t xml:space="preserve">Ein gut ausgebildetes Team arbeitet effizienter.</t>
  </si>
  <si>
    <t xml:space="preserve">[ʔaɪn ˈɡuːt ˈʔaʊsɡəˌbɪldətəs (en)ˈtiːm(de) ˈʔaʁbaɪtət ʔɛˌfiːtsɪˈʔɛntɐ]</t>
  </si>
  <si>
    <t xml:space="preserve">Một đội được đào tạo tốt làm việc hiệu quả hơn.</t>
  </si>
  <si>
    <t xml:space="preserve">ausbilden = đào tạo; effizient = hiệu quả</t>
  </si>
  <si>
    <t xml:space="preserve">S1309</t>
  </si>
  <si>
    <t xml:space="preserve">zu + Partizip I = bắt buộc/bị động</t>
  </si>
  <si>
    <t xml:space="preserve">Die zu erledigenden Aufgaben stehen auf der Liste.</t>
  </si>
  <si>
    <t xml:space="preserve">[diː tsuː ʔɛʁˈleːdɪɡəndən ˈʔaʊfˌɡaːbən ˈʃteːən ʔaʊf dɛɐ̯ ˈlɪstə]</t>
  </si>
  <si>
    <t xml:space="preserve">Các việc cần làm nằm trong danh sách.</t>
  </si>
  <si>
    <t xml:space="preserve">erledigen = hoàn thành</t>
  </si>
  <si>
    <t xml:space="preserve">S1310</t>
  </si>
  <si>
    <t xml:space="preserve">Partizip II làm trạng ngữ</t>
  </si>
  <si>
    <t xml:space="preserve">Überrascht blickte er mich an.</t>
  </si>
  <si>
    <t xml:space="preserve">[ˌʔyːbɐˈʁaʃt ˈblɪktə ʔɛɐ̯ mɪç ˈʔan]</t>
  </si>
  <si>
    <t xml:space="preserve">Anh ấy nhìn tôi đầy ngạc nhiên.</t>
  </si>
  <si>
    <t xml:space="preserve">anblicken = nhìn</t>
  </si>
  <si>
    <t xml:space="preserve">S1311</t>
  </si>
  <si>
    <t xml:space="preserve">vereinbart = đã thỏa thuận</t>
  </si>
  <si>
    <t xml:space="preserve">Das vereinbarte Honorar wurde pünktlich gezahlt.</t>
  </si>
  <si>
    <t xml:space="preserve">[das fɛˈʁaɪnˌbaʁtə ˈhoːnoːˌʁaːɐ̯ ˌvʊʁdə ˈpyŋktlɪç ɡəˈtsaːlt]</t>
  </si>
  <si>
    <t xml:space="preserve">Khoản thù lao đã thỏa thuận được trả đúng hạn.</t>
  </si>
  <si>
    <t xml:space="preserve">das Honorar = thù lao</t>
  </si>
  <si>
    <t xml:space="preserve">S1312</t>
  </si>
  <si>
    <t xml:space="preserve">entscheidend = quyết định</t>
  </si>
  <si>
    <t xml:space="preserve">Die entscheidende Frage bleibt offen.</t>
  </si>
  <si>
    <t xml:space="preserve">[diː ʔɛntˈʃaɪdəndə ˈfʁaːɡə ˈblaɪpt ˈʔɔfən]</t>
  </si>
  <si>
    <t xml:space="preserve">Câu hỏi then chốt vẫn bỏ ngỏ.</t>
  </si>
  <si>
    <t xml:space="preserve">entscheidend = mang tính quyết định</t>
  </si>
  <si>
    <t xml:space="preserve">S1313</t>
  </si>
  <si>
    <t xml:space="preserve">Partizip I + Akkusativ</t>
  </si>
  <si>
    <t xml:space="preserve">Wir suchen eine überzeugende Lösung.</t>
  </si>
  <si>
    <t xml:space="preserve">[viːɐ̯ ˈzuːxən ˌʔaɪnə ˌʔyːbɐˈtsɔøɡəndə ˈløːzʊŋ]</t>
  </si>
  <si>
    <t xml:space="preserve">Chúng tôi tìm một giải pháp thuyết phục.</t>
  </si>
  <si>
    <t xml:space="preserve">überzeugend = thuyết phục</t>
  </si>
  <si>
    <t xml:space="preserve">S1314</t>
  </si>
  <si>
    <t xml:space="preserve">Partizipialkonstruktion đầu câu</t>
  </si>
  <si>
    <t xml:space="preserve">Von allen gelobt, blieb er bescheiden.</t>
  </si>
  <si>
    <t xml:space="preserve">[fɔn ˈʔalən ɡəˈloːpt, ˈbliːp ʔɛɐ̯ bəˈʃaɪdən]</t>
  </si>
  <si>
    <t xml:space="preserve">Được mọi người khen, anh ấy vẫn khiêm tốn.</t>
  </si>
  <si>
    <t xml:space="preserve">loben = khen; bescheiden = khiêm tốn</t>
  </si>
  <si>
    <t xml:space="preserve">S1315</t>
  </si>
  <si>
    <t xml:space="preserve">treiben = đẩy</t>
  </si>
  <si>
    <t xml:space="preserve">Die steigende Nachfrage treibt die Preise.</t>
  </si>
  <si>
    <t xml:space="preserve">[diː ˈʃtaɪɡəndə ˈnaxfʁaːɡə ˈtʁaɪpt diː ˈpʁaɪzə]</t>
  </si>
  <si>
    <t xml:space="preserve">Nhu cầu tăng đẩy giá lên.</t>
  </si>
  <si>
    <t xml:space="preserve">die Nachfrage = nhu cầu; treiben = đẩy</t>
  </si>
  <si>
    <t xml:space="preserve">S1316</t>
  </si>
  <si>
    <t xml:space="preserve">sich lassen + Infinitiv</t>
  </si>
  <si>
    <t xml:space="preserve">Das verlorene Vertrauen lässt sich schwer zurückgewinnen.</t>
  </si>
  <si>
    <t xml:space="preserve">[das fɛʁˈloːʁənə fɛʁˈtʁaʊən ˈlɛst zɪç ˈʃveːɐ̯ tsuːˈʁykɡəˌvɪnən]</t>
  </si>
  <si>
    <t xml:space="preserve">Niềm tin đã mất khó lấy lại.</t>
  </si>
  <si>
    <t xml:space="preserve">das Vertrauen = niềm tin; zurückgewinnen = giành lại</t>
  </si>
  <si>
    <t xml:space="preserve">S1317</t>
  </si>
  <si>
    <t xml:space="preserve">anwesend = có mặt</t>
  </si>
  <si>
    <t xml:space="preserve">Die anwesenden Gäste applaudierten.</t>
  </si>
  <si>
    <t xml:space="preserve">[diː ˈʔanˌveːzəndən ˈɡɛstə ˌʔaplaʊˈdiːɐ̯tən]</t>
  </si>
  <si>
    <t xml:space="preserve">Các khách có mặt vỗ tay.</t>
  </si>
  <si>
    <t xml:space="preserve">anwesend = có mặt; applaudieren = vỗ tay</t>
  </si>
  <si>
    <t xml:space="preserve">S1318</t>
  </si>
  <si>
    <t xml:space="preserve">Partizip mở rộng với địa điểm</t>
  </si>
  <si>
    <t xml:space="preserve">Der in Berlin geborene Autor lebt in Wien.</t>
  </si>
  <si>
    <t xml:space="preserve">[dɛɐ̯ ʔɪn bɛʁˈliːn ɡəˈboːʁənə ˈʔaʊtoːɐ̯ ˈleːpt ʔɪn ˈviːn]</t>
  </si>
  <si>
    <t xml:space="preserve">Tác giả sinh ở Berlin sống tại Wien.</t>
  </si>
  <si>
    <t xml:space="preserve">S1319</t>
  </si>
  <si>
    <t xml:space="preserve">ignorieren = phớt lờ</t>
  </si>
  <si>
    <t xml:space="preserve">Die wachsende Kritik kann man nicht ignorieren.</t>
  </si>
  <si>
    <t xml:space="preserve">[diː ˈvaxzəndə ˈkʁiːtiːk ˌkan man ˈnɪçt ˌʔɪɡnoːˈʁiːʁən]</t>
  </si>
  <si>
    <t xml:space="preserve">Không thể bỏ qua sự chỉ trích đang tăng.</t>
  </si>
  <si>
    <t xml:space="preserve">ignorieren = bỏ qua</t>
  </si>
  <si>
    <t xml:space="preserve">S1320</t>
  </si>
  <si>
    <t xml:space="preserve">streng genommen = nói nghiêm ngặt</t>
  </si>
  <si>
    <t xml:space="preserve">Streng genommen ist das nicht korrekt.</t>
  </si>
  <si>
    <t xml:space="preserve">[ˈʃtʁɛŋ ɡəˈnɔmən ʔɪst das ˈnɪçt kɔˈʁɛkt]</t>
  </si>
  <si>
    <t xml:space="preserve">Nói chặt chẽ thì điều đó không đúng.</t>
  </si>
  <si>
    <t xml:space="preserve">streng = nghiêm</t>
  </si>
  <si>
    <t xml:space="preserve">S1321</t>
  </si>
  <si>
    <t xml:space="preserve">Danh hóa &amp; động từ hóa</t>
  </si>
  <si>
    <t xml:space="preserve">Infinitiv danh hóa: das Rauchen</t>
  </si>
  <si>
    <t xml:space="preserve">Das Rauchen ist hier verboten.</t>
  </si>
  <si>
    <t xml:space="preserve">[das ˈʁaʊxən ʔɪst ˈhiːɐ̯ fɛʁˈboːtən]</t>
  </si>
  <si>
    <t xml:space="preserve">Cấm hút thuốc ở đây.</t>
  </si>
  <si>
    <t xml:space="preserve">das Rauchen = việc hút thuốc</t>
  </si>
  <si>
    <t xml:space="preserve">S1322</t>
  </si>
  <si>
    <t xml:space="preserve">Nominalstil với Genitiv</t>
  </si>
  <si>
    <t xml:space="preserve">Die Umsetzung des Plans dauert Jahre.</t>
  </si>
  <si>
    <t xml:space="preserve">[diː ˈʔʊmˌzɛtsʊŋ dɛs ˈplaːns ˈdaʊɐt ˈjaːʁə]</t>
  </si>
  <si>
    <t xml:space="preserve">Việc triển khai kế hoạch mất nhiều năm.</t>
  </si>
  <si>
    <t xml:space="preserve">die Umsetzung = sự triển khai</t>
  </si>
  <si>
    <t xml:space="preserve">S1323</t>
  </si>
  <si>
    <t xml:space="preserve">nach + Nomen hóa + Genitiv</t>
  </si>
  <si>
    <t xml:space="preserve">Nach Prüfung der Unterlagen entscheiden wir.</t>
  </si>
  <si>
    <t xml:space="preserve">[naːx ˈpʁyːfʊŋ dɛɐ̯ ˌʔʊntɐˈlaːɡən ʔɛntˈʃaɪdən viːɐ̯]</t>
  </si>
  <si>
    <t xml:space="preserve">Sau khi xem hồ sơ chúng tôi sẽ quyết.</t>
  </si>
  <si>
    <t xml:space="preserve">die Prüfung = việc kiểm tra</t>
  </si>
  <si>
    <t xml:space="preserve">S1324</t>
  </si>
  <si>
    <t xml:space="preserve">Beim Lesen entdeckte ich einen Fehler.</t>
  </si>
  <si>
    <t xml:space="preserve">[baɪm ˈleːzən ʔɛntˈdɛktə ʔɪç ˌʔaɪnən ˈfeːlɐ]</t>
  </si>
  <si>
    <t xml:space="preserve">Lúc đọc tôi phát hiện một lỗi.</t>
  </si>
  <si>
    <t xml:space="preserve">entdecken = phát hiện</t>
  </si>
  <si>
    <t xml:space="preserve">S1325</t>
  </si>
  <si>
    <t xml:space="preserve">Trotz intensiver Bemühungen scheiterte das Projekt.</t>
  </si>
  <si>
    <t xml:space="preserve">[ˈtʁɔts ˌʔɪntɛnˈziːvɐ bəˈmyːʊŋən ˈʃaɪtɐtə das pʁoːˈjɛkt]</t>
  </si>
  <si>
    <t xml:space="preserve">Dù nỗ lực nhiều, dự án vẫn thất bại.</t>
  </si>
  <si>
    <t xml:space="preserve">die Bemühung = nỗ lực; scheitern = thất bại</t>
  </si>
  <si>
    <t xml:space="preserve">S1326</t>
  </si>
  <si>
    <t xml:space="preserve">zur + Nomen hóa = mục đích</t>
  </si>
  <si>
    <t xml:space="preserve">Zur Vermeidung von Fehlern lesen Sie bitte nach.</t>
  </si>
  <si>
    <t xml:space="preserve">[tsuːɐ̯ fɛʁˈmaɪdʊŋ fɔn ˈfeːlɐn ˈleːzən ziː ˈbɪtə ˈnaːx]</t>
  </si>
  <si>
    <t xml:space="preserve">Để tránh lỗi xin đọc lại.</t>
  </si>
  <si>
    <t xml:space="preserve">die Vermeidung = sự tránh</t>
  </si>
  <si>
    <t xml:space="preserve">S1327</t>
  </si>
  <si>
    <t xml:space="preserve">auf Widerstand stoßen</t>
  </si>
  <si>
    <t xml:space="preserve">Die Einführung neuer Regeln stößt auf Widerstand.</t>
  </si>
  <si>
    <t xml:space="preserve">[diː ˈʔaɪnˌfyːʁʊŋ ˈnɔøɐ ˈʁeːɡəln ˈʃtœst ʔaʊf ˈviːdɐˌstant]</t>
  </si>
  <si>
    <t xml:space="preserve">Việc đưa ra quy định mới gặp phản đối.</t>
  </si>
  <si>
    <t xml:space="preserve">die Einführung = sự đưa vào; der Widerstand = phản đối</t>
  </si>
  <si>
    <t xml:space="preserve">S1328</t>
  </si>
  <si>
    <t xml:space="preserve">Infinitiv danh hóa + Genitiv</t>
  </si>
  <si>
    <t xml:space="preserve">Das Verstehen fremder Kulturen braucht Zeit.</t>
  </si>
  <si>
    <t xml:space="preserve">[das fɛʁˈʃteːən ˈfʁɛmdɐ kʊlˈtuːʁən ˈbʁaʊxt ˈtsaɪt]</t>
  </si>
  <si>
    <t xml:space="preserve">Việc hiểu các nền văn hóa khác cần thời gian.</t>
  </si>
  <si>
    <t xml:space="preserve">die Kultur = văn hóa</t>
  </si>
  <si>
    <t xml:space="preserve">S1329</t>
  </si>
  <si>
    <t xml:space="preserve">wegen + Nomen không Artikel</t>
  </si>
  <si>
    <t xml:space="preserve">Wegen Erkrankung bleibt die Praxis geschlossen.</t>
  </si>
  <si>
    <t xml:space="preserve">[ˌveːɡən ʔɛʁˈkʁankʊŋ ˈblaɪpt diː ˈpʁaksɪs ɡəˈʃlɔsən]</t>
  </si>
  <si>
    <t xml:space="preserve">Vì bệnh nên phòng khám đóng cửa.</t>
  </si>
  <si>
    <t xml:space="preserve">die Erkrankung = bệnh; die Praxis = phòng khám</t>
  </si>
  <si>
    <t xml:space="preserve">S1330</t>
  </si>
  <si>
    <t xml:space="preserve">die Verbesserung + Genitiv</t>
  </si>
  <si>
    <t xml:space="preserve">Die Verbesserung der Qualität hat Priorität.</t>
  </si>
  <si>
    <t xml:space="preserve">[diː fɛʁˈbɛsəˌʁʊŋ dɛɐ̯ ˌkvaːliːˈtɛːt hat ˌpʁɪoːʁiːˈtɛːt]</t>
  </si>
  <si>
    <t xml:space="preserve">Việc cải thiện chất lượng là ưu tiên.</t>
  </si>
  <si>
    <t xml:space="preserve">die Priorität = ưu tiên</t>
  </si>
  <si>
    <t xml:space="preserve">S1331</t>
  </si>
  <si>
    <t xml:space="preserve">bei + Nomen hóa = điều kiện</t>
  </si>
  <si>
    <t xml:space="preserve">Bei Nichtgefallen können Sie es zurückgeben.</t>
  </si>
  <si>
    <t xml:space="preserve">[baɪ ˈnɪçtɡeːˌfalən ˌkœnən ziː ʔɛs tsuːˈʁykˌɡeːbən]</t>
  </si>
  <si>
    <t xml:space="preserve">Nếu không ưng ông/bà có thể trả lại.</t>
  </si>
  <si>
    <t xml:space="preserve">das Nichtgefallen = sự không hài lòng</t>
  </si>
  <si>
    <t xml:space="preserve">S1332</t>
  </si>
  <si>
    <t xml:space="preserve">nach dem + Infinitiv danh hóa</t>
  </si>
  <si>
    <t xml:space="preserve">Nach dem Lesen des Vertrags unterschrieb er.</t>
  </si>
  <si>
    <t xml:space="preserve">[naːx deːm ˈleːzən dɛs fɛʁˈtʁaːks ˌʔʊntɐˈʃʁiːp ʔɛɐ̯]</t>
  </si>
  <si>
    <t xml:space="preserve">Sau khi đọc hợp đồng anh ấy ký.</t>
  </si>
  <si>
    <t xml:space="preserve">S1333</t>
  </si>
  <si>
    <t xml:space="preserve">die Entwicklung = quá trình</t>
  </si>
  <si>
    <t xml:space="preserve">Die Entwicklung verlief langsamer als erwartet.</t>
  </si>
  <si>
    <t xml:space="preserve">[diː ʔɛnˈtvɪklʊŋ fɛʁˈliːf ˈlaŋzaːmɐ ʔals ʔɛʁˈvaʁtət]</t>
  </si>
  <si>
    <t xml:space="preserve">Sự phát triển diễn ra chậm hơn dự kiến.</t>
  </si>
  <si>
    <t xml:space="preserve">die Entwicklung = sự phát triển</t>
  </si>
  <si>
    <t xml:space="preserve">S1334</t>
  </si>
  <si>
    <t xml:space="preserve">durch + Nomen hóa = phương tiện</t>
  </si>
  <si>
    <t xml:space="preserve">Durch regelmäßiges Üben wird man besser.</t>
  </si>
  <si>
    <t xml:space="preserve">[dʊʁç ˈʁeːɡəlˌmɛːsɪɡəs ˈʔyːbən ˌvɪʁt man ˈbɛsɐ]</t>
  </si>
  <si>
    <t xml:space="preserve">Nhờ luyện tập đều đặn người ta giỏi lên.</t>
  </si>
  <si>
    <t xml:space="preserve">das Üben = việc luyện tập</t>
  </si>
  <si>
    <t xml:space="preserve">S1335</t>
  </si>
  <si>
    <t xml:space="preserve">zum + Nomen</t>
  </si>
  <si>
    <t xml:space="preserve">Zum Verständnis ist Kontext notwendig.</t>
  </si>
  <si>
    <t xml:space="preserve">[tsʊm fɛʁˈʃtɛndnɪs ʔɪst kɔnˈtɛkst ˈnoːtvɛnˌdɪç]</t>
  </si>
  <si>
    <t xml:space="preserve">Để hiểu thì cần ngữ cảnh.</t>
  </si>
  <si>
    <t xml:space="preserve">das Verständnis = sự hiểu; der Kontext = ngữ cảnh</t>
  </si>
  <si>
    <t xml:space="preserve">S1336</t>
  </si>
  <si>
    <t xml:space="preserve">die Senkung + Genitiv</t>
  </si>
  <si>
    <t xml:space="preserve">Die Senkung der Kosten war das Ziel.</t>
  </si>
  <si>
    <t xml:space="preserve">[diː ˈzɛnkʊŋ dɛɐ̯ ˈkɔstən vaːɐ̯ das ˈtsiːl]</t>
  </si>
  <si>
    <t xml:space="preserve">Giảm chi phí là mục tiêu.</t>
  </si>
  <si>
    <t xml:space="preserve">die Senkung = sự giảm; das Ziel = mục tiêu</t>
  </si>
  <si>
    <t xml:space="preserve">S1337</t>
  </si>
  <si>
    <t xml:space="preserve">vor + Nomen + Genitiv</t>
  </si>
  <si>
    <t xml:space="preserve">Vor Beginn der Sitzung bitte Handys ausschalten.</t>
  </si>
  <si>
    <t xml:space="preserve">[ˌfɔɐ̯ bəˈɡɪn dɛɐ̯ ˈzɪtsʊŋ ˈbɪtə ˈhandyːs ˈʔaʊsˌʃaltən]</t>
  </si>
  <si>
    <t xml:space="preserve">Trước khi họp xin tắt điện thoại.</t>
  </si>
  <si>
    <t xml:space="preserve">die Sitzung = phiên họp</t>
  </si>
  <si>
    <t xml:space="preserve">S1338</t>
  </si>
  <si>
    <t xml:space="preserve">Infinitiv danh hóa + Adjektiv</t>
  </si>
  <si>
    <t xml:space="preserve">Das ständige Klagen hilft niemandem.</t>
  </si>
  <si>
    <t xml:space="preserve">[das ˈʃtɛndɪɡə ˈklaːɡən ˈhɪlft ˈniːmandəm]</t>
  </si>
  <si>
    <t xml:space="preserve">Việc than vãn liên tục chẳng giúp ai.</t>
  </si>
  <si>
    <t xml:space="preserve">klagen = than vãn; ständig = liên tục</t>
  </si>
  <si>
    <t xml:space="preserve">S1339</t>
  </si>
  <si>
    <t xml:space="preserve">mit + Partizip I + Nomen</t>
  </si>
  <si>
    <t xml:space="preserve">Mit zunehmendem Alter wird man geduldiger.</t>
  </si>
  <si>
    <t xml:space="preserve">[mɪt tsuːˈneːməndəm ˈʔaltɐ ˌvɪʁt man ɡəˈdʊldɪɡɐ]</t>
  </si>
  <si>
    <t xml:space="preserve">Càng lớn tuổi người ta càng kiên nhẫn.</t>
  </si>
  <si>
    <t xml:space="preserve">zunehmend = ngày càng tăng</t>
  </si>
  <si>
    <t xml:space="preserve">S1340</t>
  </si>
  <si>
    <t xml:space="preserve">die Teilnahme = sự tham gia</t>
  </si>
  <si>
    <t xml:space="preserve">Die Teilnahme ist freiwillig.</t>
  </si>
  <si>
    <t xml:space="preserve">[diː ˈtaɪlnaːmə ʔɪst ˈfʁaɪvɪˌlɪç]</t>
  </si>
  <si>
    <t xml:space="preserve">Việc tham gia là tự nguyện.</t>
  </si>
  <si>
    <t xml:space="preserve">die Teilnahme = sự tham gia; freiwillig = tự nguyện</t>
  </si>
  <si>
    <t xml:space="preserve">S1341</t>
  </si>
  <si>
    <t xml:space="preserve">Các dạng thay thế bị động</t>
  </si>
  <si>
    <t xml:space="preserve">sich lassen + Infinitiv = có thể được</t>
  </si>
  <si>
    <t xml:space="preserve">Das Problem lässt sich leicht lösen.</t>
  </si>
  <si>
    <t xml:space="preserve">[das pʁoːˈbleːm ˈlɛst zɪç ˈlaɪçt ˈløːzən]</t>
  </si>
  <si>
    <t xml:space="preserve">Vấn đề này dễ giải quyết.</t>
  </si>
  <si>
    <t xml:space="preserve">sich lassen = có thể được</t>
  </si>
  <si>
    <t xml:space="preserve">S1342</t>
  </si>
  <si>
    <t xml:space="preserve">sein + zu + Infinitiv = phải/có thể</t>
  </si>
  <si>
    <t xml:space="preserve">Die Aufgabe ist bis Freitag zu erledigen.</t>
  </si>
  <si>
    <t xml:space="preserve">[diː ˈʔaʊfˌɡaːbə ʔɪst bɪs ˈfʁaɪtaːk tsuː ʔɛʁˈleːdɪɡən]</t>
  </si>
  <si>
    <t xml:space="preserve">Nhiệm vụ phải hoàn thành trước thứ Sáu.</t>
  </si>
  <si>
    <t xml:space="preserve">S1343</t>
  </si>
  <si>
    <t xml:space="preserve">-bar = có thể được</t>
  </si>
  <si>
    <t xml:space="preserve">Dieser Fehler ist leicht vermeidbar.</t>
  </si>
  <si>
    <t xml:space="preserve">[ˌdiːzɐ ˈfeːlɐ ʔɪst ˈlaɪçt fɛʁˈmaɪdbaːɐ̯]</t>
  </si>
  <si>
    <t xml:space="preserve">Lỗi này dễ tránh.</t>
  </si>
  <si>
    <t xml:space="preserve">vermeidbar = có thể tránh</t>
  </si>
  <si>
    <t xml:space="preserve">S1344</t>
  </si>
  <si>
    <t xml:space="preserve">-bar + kaum</t>
  </si>
  <si>
    <t xml:space="preserve">Der Text ist kaum lesbar.</t>
  </si>
  <si>
    <t xml:space="preserve">[dɛɐ̯ ˈtɛkst ʔɪst ˈkaʊm ˈleːzbaːɐ̯]</t>
  </si>
  <si>
    <t xml:space="preserve">Văn bản gần như không đọc được.</t>
  </si>
  <si>
    <t xml:space="preserve">lesbar = đọc được</t>
  </si>
  <si>
    <t xml:space="preserve">S1345</t>
  </si>
  <si>
    <t xml:space="preserve">sich lassen phủ định</t>
  </si>
  <si>
    <t xml:space="preserve">Das Ergebnis lässt sich nicht erklären.</t>
  </si>
  <si>
    <t xml:space="preserve">[das ʔɛʁˈɡeːbnɪs ˈlɛst zɪç ˈnɪçt ʔɛʁˈklɛːʁən]</t>
  </si>
  <si>
    <t xml:space="preserve">Kết quả không giải thích được.</t>
  </si>
  <si>
    <t xml:space="preserve">S1346</t>
  </si>
  <si>
    <t xml:space="preserve">sein + zu + Infinitiv</t>
  </si>
  <si>
    <t xml:space="preserve">Diese Frage ist schwer zu beantworten.</t>
  </si>
  <si>
    <t xml:space="preserve">[ˌdiːzə ˈfʁaːɡə ʔɪst ˈʃveːɐ̯ tsuː bəˈʔantvɔʁtən]</t>
  </si>
  <si>
    <t xml:space="preserve">Câu hỏi này khó trả lời.</t>
  </si>
  <si>
    <t xml:space="preserve">S1347</t>
  </si>
  <si>
    <t xml:space="preserve">man + können = bị động mềm</t>
  </si>
  <si>
    <t xml:space="preserve">Man kann das auch anders sehen.</t>
  </si>
  <si>
    <t xml:space="preserve">[man ˌkan das ˌʔaʊx ˈʔandɐs ˈzeːən]</t>
  </si>
  <si>
    <t xml:space="preserve">Cũng có thể nhìn chuyện đó cách khác.</t>
  </si>
  <si>
    <t xml:space="preserve">S1348</t>
  </si>
  <si>
    <t xml:space="preserve">-bar</t>
  </si>
  <si>
    <t xml:space="preserve">Die Daten sind jederzeit abrufbar.</t>
  </si>
  <si>
    <t xml:space="preserve">[diː ˈdaːtən zɪnt ˈjeːdɐˌtsaɪt ˈʔaˌpʁuːfbaːɐ̯]</t>
  </si>
  <si>
    <t xml:space="preserve">Dữ liệu có thể truy xuất bất cứ lúc nào.</t>
  </si>
  <si>
    <t xml:space="preserve">abrufbar = truy xuất được</t>
  </si>
  <si>
    <t xml:space="preserve">S1349</t>
  </si>
  <si>
    <t xml:space="preserve">gehören + Partizip II (khẩu ngữ)</t>
  </si>
  <si>
    <t xml:space="preserve">Das gehört dringend geändert.</t>
  </si>
  <si>
    <t xml:space="preserve">[das ɡəˈhœʁt ˈdʁɪŋənt ɡəˈʔɛndɐt]</t>
  </si>
  <si>
    <t xml:space="preserve">Cái đó cần phải sửa gấp.</t>
  </si>
  <si>
    <t xml:space="preserve">ändern = thay đổi</t>
  </si>
  <si>
    <t xml:space="preserve">S1350</t>
  </si>
  <si>
    <t xml:space="preserve">sein + zu + Infinitiv tách</t>
  </si>
  <si>
    <t xml:space="preserve">Der Antrag ist vollständig auszufüllen.</t>
  </si>
  <si>
    <t xml:space="preserve">[dɛɐ̯ ˈʔanˌtʁaːk ʔɪst ˈfɔlˌʃtɛndɪç ˈʔaʊstsuːˌfylən]</t>
  </si>
  <si>
    <t xml:space="preserve">Đơn phải được điền đầy đủ.</t>
  </si>
  <si>
    <t xml:space="preserve">S1351</t>
  </si>
  <si>
    <t xml:space="preserve">bleiben + zu + Infinitiv</t>
  </si>
  <si>
    <t xml:space="preserve">Es bleibt abzuwarten, wie es weitergeht.</t>
  </si>
  <si>
    <t xml:space="preserve">[ʔɛs ˈblaɪpt ˈʔaptsuːˌvaʁtən, viː ʔɛs ˈvaɪtɐˌɡeːt]</t>
  </si>
  <si>
    <t xml:space="preserve">Còn phải chờ xem diễn biến thế nào.</t>
  </si>
  <si>
    <t xml:space="preserve">abwarten = chờ xem</t>
  </si>
  <si>
    <t xml:space="preserve">S1352</t>
  </si>
  <si>
    <t xml:space="preserve">Diese Software ist einfach bedienbar.</t>
  </si>
  <si>
    <t xml:space="preserve">[ˌdiːzə (en)ˈsɒftweə(de) ʔɪst ˈʔaɪnˌfax bəˈdiːnbaːɐ̯]</t>
  </si>
  <si>
    <t xml:space="preserve">Phần mềm này dễ sử dụng.</t>
  </si>
  <si>
    <t xml:space="preserve">bedienen = vận hành</t>
  </si>
  <si>
    <t xml:space="preserve">S1353</t>
  </si>
  <si>
    <t xml:space="preserve">sich lassen + verschieben</t>
  </si>
  <si>
    <t xml:space="preserve">Der Termin lässt sich leider nicht verschieben.</t>
  </si>
  <si>
    <t xml:space="preserve">[dɛɐ̯ tɛʁˈmiːn ˈlɛst zɪç ˈlaɪdɐ ˈnɪçt fɛʁˈʃiːbən]</t>
  </si>
  <si>
    <t xml:space="preserve">Tiếc là lịch hẹn không dời được.</t>
  </si>
  <si>
    <t xml:space="preserve">S1354</t>
  </si>
  <si>
    <t xml:space="preserve">es gibt + zu + Infinitiv</t>
  </si>
  <si>
    <t xml:space="preserve">Hier gibt es viel zu tun.</t>
  </si>
  <si>
    <t xml:space="preserve">[ˈhiːɐ̯ ˈɡiːpt ʔɛs ˈfiːl tsuː ˈtuːn]</t>
  </si>
  <si>
    <t xml:space="preserve">Ở đây có nhiều việc phải làm.</t>
  </si>
  <si>
    <t xml:space="preserve">S1355</t>
  </si>
  <si>
    <t xml:space="preserve">nicht zu + Infinitiv</t>
  </si>
  <si>
    <t xml:space="preserve">Das Risiko ist nicht zu unterschätzen.</t>
  </si>
  <si>
    <t xml:space="preserve">[das ˈʁiːziːˌkoː ʔɪst ˈnɪçt tsuː ˌʔʊntɐˈʃɛtsən]</t>
  </si>
  <si>
    <t xml:space="preserve">Rủi ro không được coi nhẹ.</t>
  </si>
  <si>
    <t xml:space="preserve">unterschätzen = đánh giá thấp</t>
  </si>
  <si>
    <t xml:space="preserve">S1356</t>
  </si>
  <si>
    <t xml:space="preserve">sein + zu + einhalten</t>
  </si>
  <si>
    <t xml:space="preserve">Diese Regel ist unbedingt einzuhalten.</t>
  </si>
  <si>
    <t xml:space="preserve">[ˌdiːzə ˈʁeːɡəl ʔɪst ˈʔʊnbəˌdɪŋt ˈʔaɪntsuːˌhaltən]</t>
  </si>
  <si>
    <t xml:space="preserve">Quy định này nhất thiết phải tuân thủ.</t>
  </si>
  <si>
    <t xml:space="preserve">einhalten = tuân thủ</t>
  </si>
  <si>
    <t xml:space="preserve">S1357</t>
  </si>
  <si>
    <t xml:space="preserve">Der Schaden ist noch reparierbar.</t>
  </si>
  <si>
    <t xml:space="preserve">[dɛɐ̯ ˈʃaːdən ʔɪst nɔx ˌʁeːpaˈʁiːɐ̯baːɐ̯]</t>
  </si>
  <si>
    <t xml:space="preserve">Thiệt hại vẫn sửa được.</t>
  </si>
  <si>
    <t xml:space="preserve">der Schaden = thiệt hại</t>
  </si>
  <si>
    <t xml:space="preserve">S1358</t>
  </si>
  <si>
    <t xml:space="preserve">sich lassen + belegen</t>
  </si>
  <si>
    <t xml:space="preserve">Das lässt sich belegen.</t>
  </si>
  <si>
    <t xml:space="preserve">[das ˈlɛst zɪç bəˈleːɡən]</t>
  </si>
  <si>
    <t xml:space="preserve">Điều đó chứng minh được.</t>
  </si>
  <si>
    <t xml:space="preserve">belegen = chứng minh</t>
  </si>
  <si>
    <t xml:space="preserve">S1359</t>
  </si>
  <si>
    <t xml:space="preserve">nicht auszuschließen</t>
  </si>
  <si>
    <t xml:space="preserve">Es ist nicht auszuschließen, dass er lügt.</t>
  </si>
  <si>
    <t xml:space="preserve">[ʔɛsɪst ˈnɪçt ˈʔaʊstsuːˌʃliːsən, das ʔɛɐ̯ ˈlyːkt]</t>
  </si>
  <si>
    <t xml:space="preserve">Không loại trừ khả năng anh ta nói dối.</t>
  </si>
  <si>
    <t xml:space="preserve">lügen = nói dối</t>
  </si>
  <si>
    <t xml:space="preserve">S1360</t>
  </si>
  <si>
    <t xml:space="preserve">sein + zu + mitbringen</t>
  </si>
  <si>
    <t xml:space="preserve">Die Unterlagen sind mitzubringen.</t>
  </si>
  <si>
    <t xml:space="preserve">[diː ˌʔʊntɐˈlaːɡən zɪnt ˈmɪttsuːˌbʁɪŋən]</t>
  </si>
  <si>
    <t xml:space="preserve">Phải mang theo hồ sơ.</t>
  </si>
  <si>
    <t xml:space="preserve">S1361</t>
  </si>
  <si>
    <t xml:space="preserve">Tiểu từ tình thái (Modalpartikeln)</t>
  </si>
  <si>
    <t xml:space="preserve">doch mal làm lời mời mềm hơn</t>
  </si>
  <si>
    <t xml:space="preserve">Komm doch mal vorbei!</t>
  </si>
  <si>
    <t xml:space="preserve">[ˈkɔm dɔx ˈmaːl foːɐ̯ˈbaɪ]</t>
  </si>
  <si>
    <t xml:space="preserve">Ghé qua đi mà!</t>
  </si>
  <si>
    <t xml:space="preserve">vorbeikommen = ghé qua</t>
  </si>
  <si>
    <t xml:space="preserve">S1362</t>
  </si>
  <si>
    <t xml:space="preserve">ja biểu thị ngạc nhiên</t>
  </si>
  <si>
    <t xml:space="preserve">Das ist ja unglaublich!</t>
  </si>
  <si>
    <t xml:space="preserve">[das ʔɪst ˈjaː ˈʔʊnˌɡlaʊplɪç]</t>
  </si>
  <si>
    <t xml:space="preserve">Cái này thì không tin nổi!</t>
  </si>
  <si>
    <t xml:space="preserve">unglaublich = không tin nổi</t>
  </si>
  <si>
    <t xml:space="preserve">S1363</t>
  </si>
  <si>
    <t xml:space="preserve">doch nhắc điều hiển nhiên</t>
  </si>
  <si>
    <t xml:space="preserve">Das weißt du doch!</t>
  </si>
  <si>
    <t xml:space="preserve">[das ˈvaɪst duː ˈdɔx]</t>
  </si>
  <si>
    <t xml:space="preserve">Bạn biết rồi mà!</t>
  </si>
  <si>
    <t xml:space="preserve">doch = mà/chứ</t>
  </si>
  <si>
    <t xml:space="preserve">S1364</t>
  </si>
  <si>
    <t xml:space="preserve">mal làm câu dịu lại</t>
  </si>
  <si>
    <t xml:space="preserve">Mach mal langsam.</t>
  </si>
  <si>
    <t xml:space="preserve">[ˈmax ˈmaːl ˈlaŋzaːm]</t>
  </si>
  <si>
    <t xml:space="preserve">Từ từ thôi.</t>
  </si>
  <si>
    <t xml:space="preserve">mal = một chút</t>
  </si>
  <si>
    <t xml:space="preserve">S1365</t>
  </si>
  <si>
    <t xml:space="preserve">eben = chấp nhận sự thật</t>
  </si>
  <si>
    <t xml:space="preserve">Er ist eben so.</t>
  </si>
  <si>
    <t xml:space="preserve">[ʔɛɐ̯ ʔɪst ˈʔeːbən ˈzoː]</t>
  </si>
  <si>
    <t xml:space="preserve">Anh ta vốn vậy mà.</t>
  </si>
  <si>
    <t xml:space="preserve">eben = vốn dĩ</t>
  </si>
  <si>
    <t xml:space="preserve">S1366</t>
  </si>
  <si>
    <t xml:space="preserve">halt = đành vậy (miền Nam)</t>
  </si>
  <si>
    <t xml:space="preserve">Das ist halt nicht zu ändern.</t>
  </si>
  <si>
    <t xml:space="preserve">[das ʔɪst ˈhalt ˈnɪçt tsuː ˈʔɛndɐn]</t>
  </si>
  <si>
    <t xml:space="preserve">Chuyện đó đành chịu thôi.</t>
  </si>
  <si>
    <t xml:space="preserve">halt = đành vậy</t>
  </si>
  <si>
    <t xml:space="preserve">S1367</t>
  </si>
  <si>
    <t xml:space="preserve">denn làm câu hỏi thân mật hơn</t>
  </si>
  <si>
    <t xml:space="preserve">Wo bist du denn?</t>
  </si>
  <si>
    <t xml:space="preserve">[ˌvoː bɪst duː ˈdɛn]</t>
  </si>
  <si>
    <t xml:space="preserve">Thế bạn đang ở đâu?</t>
  </si>
  <si>
    <t xml:space="preserve">denn = thế/vậy</t>
  </si>
  <si>
    <t xml:space="preserve">S1368</t>
  </si>
  <si>
    <t xml:space="preserve">ja wohl kết hợp</t>
  </si>
  <si>
    <t xml:space="preserve">Das war ja wohl klar.</t>
  </si>
  <si>
    <t xml:space="preserve">[das vaːɐ̯ ˈjaː ˈvoːl ˈklaːɐ̯]</t>
  </si>
  <si>
    <t xml:space="preserve">Chuyện đó rõ như ban ngày còn gì.</t>
  </si>
  <si>
    <t xml:space="preserve">klar = rõ</t>
  </si>
  <si>
    <t xml:space="preserve">S1369</t>
  </si>
  <si>
    <t xml:space="preserve">ruhig = cứ tự nhiên</t>
  </si>
  <si>
    <t xml:space="preserve">Nimm ruhig noch ein Stück.</t>
  </si>
  <si>
    <t xml:space="preserve">[ˈnɪm ˈʁuːɪç nɔx ʔaɪn ˈʃtyk]</t>
  </si>
  <si>
    <t xml:space="preserve">Cứ lấy thêm một miếng đi.</t>
  </si>
  <si>
    <t xml:space="preserve">ruhig = cứ việc</t>
  </si>
  <si>
    <t xml:space="preserve">S1370</t>
  </si>
  <si>
    <t xml:space="preserve">aber nhấn mạnh cảm xúc</t>
  </si>
  <si>
    <t xml:space="preserve">Das ist aber schön!</t>
  </si>
  <si>
    <t xml:space="preserve">[das ʔɪst ˌʔaːbɐ ˈʃøːn]</t>
  </si>
  <si>
    <t xml:space="preserve">Đẹp thật đấy!</t>
  </si>
  <si>
    <t xml:space="preserve">aber = thật là</t>
  </si>
  <si>
    <t xml:space="preserve">S1371</t>
  </si>
  <si>
    <t xml:space="preserve">ja nhắc lại điều đã nói</t>
  </si>
  <si>
    <t xml:space="preserve">Ich hab's dir ja gesagt.</t>
  </si>
  <si>
    <t xml:space="preserve">[ʔɪç ˈhabs diːɐ̯ ˈjaː ɡəˈzaːkt]</t>
  </si>
  <si>
    <t xml:space="preserve">Tôi đã bảo bạn rồi mà.</t>
  </si>
  <si>
    <t xml:space="preserve">S1372</t>
  </si>
  <si>
    <t xml:space="preserve">vielleicht mal làm câu rất lịch sự</t>
  </si>
  <si>
    <t xml:space="preserve">Könntest du mir vielleicht mal helfen?</t>
  </si>
  <si>
    <t xml:space="preserve">[ˈkœntəst duː miːɐ̯ fɪˈlaɪçt ˈmaːl ˈhɛlfən]</t>
  </si>
  <si>
    <t xml:space="preserve">Bạn giúp tôi một chút được không?</t>
  </si>
  <si>
    <t xml:space="preserve">S1373</t>
  </si>
  <si>
    <t xml:space="preserve">schon = động viên</t>
  </si>
  <si>
    <t xml:space="preserve">Das schaffst du schon!</t>
  </si>
  <si>
    <t xml:space="preserve">[das ˈʃafst duː ˈʃoːn]</t>
  </si>
  <si>
    <t xml:space="preserve">Bạn làm được mà!</t>
  </si>
  <si>
    <t xml:space="preserve">S1374</t>
  </si>
  <si>
    <t xml:space="preserve">bloß nhấn mạnh gay gắt</t>
  </si>
  <si>
    <t xml:space="preserve">Lass mich bloß in Ruhe!</t>
  </si>
  <si>
    <t xml:space="preserve">[ˈlas mɪç ˈbloːs ʔɪn ˈʁuːə]</t>
  </si>
  <si>
    <t xml:space="preserve">Để tôi yên đi!</t>
  </si>
  <si>
    <t xml:space="preserve">bloß = chỉ/đấy</t>
  </si>
  <si>
    <t xml:space="preserve">S1375</t>
  </si>
  <si>
    <t xml:space="preserve">noch mal = hỏi lại điều đã quên</t>
  </si>
  <si>
    <t xml:space="preserve">Wie heißt du noch mal?</t>
  </si>
  <si>
    <t xml:space="preserve">[viː ˈhaɪst duː nɔx ˈmaːl]</t>
  </si>
  <si>
    <t xml:space="preserve">Bạn tên gì ấy nhỉ?</t>
  </si>
  <si>
    <t xml:space="preserve">noch mal = lần nữa</t>
  </si>
  <si>
    <t xml:space="preserve">S1376</t>
  </si>
  <si>
    <t xml:space="preserve">Das ist eigentlich ganz einfach.</t>
  </si>
  <si>
    <t xml:space="preserve">[das ʔɪst ˈʔaɪɡəntlɪç ˌɡants ˈʔaɪnˌfax]</t>
  </si>
  <si>
    <t xml:space="preserve">Thật ra cái này khá đơn giản.</t>
  </si>
  <si>
    <t xml:space="preserve">S1377</t>
  </si>
  <si>
    <t xml:space="preserve">halt giảm nhẹ</t>
  </si>
  <si>
    <t xml:space="preserve">Er hat sich halt geirrt.</t>
  </si>
  <si>
    <t xml:space="preserve">[ʔɛɐ̯ hat zɪç ˈhalt ˈɡaɪʁt]</t>
  </si>
  <si>
    <t xml:space="preserve">Anh ấy nhầm thôi mà.</t>
  </si>
  <si>
    <t xml:space="preserve">sich irren = nhầm</t>
  </si>
  <si>
    <t xml:space="preserve">S1378</t>
  </si>
  <si>
    <t xml:space="preserve">doch trong Imperativ phủ định</t>
  </si>
  <si>
    <t xml:space="preserve">Sei doch nicht so streng!</t>
  </si>
  <si>
    <t xml:space="preserve">[ˈzaɪ dɔx ˈnɪçt zoː ˈʃtʁɛŋ]</t>
  </si>
  <si>
    <t xml:space="preserve">Đừng khắt khe thế chứ!</t>
  </si>
  <si>
    <t xml:space="preserve">streng = khắt khe</t>
  </si>
  <si>
    <t xml:space="preserve">S1379</t>
  </si>
  <si>
    <t xml:space="preserve">ja wohl = hoài nghi</t>
  </si>
  <si>
    <t xml:space="preserve">Das kann ja wohl nicht wahr sein.</t>
  </si>
  <si>
    <t xml:space="preserve">[das ˌkan ˈjaː ˈvoːl ˈnɪçt ˈvaːɐ̯ zaɪn]</t>
  </si>
  <si>
    <t xml:space="preserve">Chuyện này không thể là thật được.</t>
  </si>
  <si>
    <t xml:space="preserve">wahr = thật</t>
  </si>
  <si>
    <t xml:space="preserve">S1380</t>
  </si>
  <si>
    <t xml:space="preserve">komm schon = thúc giục</t>
  </si>
  <si>
    <t xml:space="preserve">Komm schon, wir sind spät dran!</t>
  </si>
  <si>
    <t xml:space="preserve">[ˈkɔm ˈʃoːn, viːɐ̯ zɪnt ˈʃpɛːt ˈdʁaːn]</t>
  </si>
  <si>
    <t xml:space="preserve">Nhanh lên nào, mình trễ rồi!</t>
  </si>
  <si>
    <t xml:space="preserve">S1381</t>
  </si>
  <si>
    <t xml:space="preserve">Liên từ &amp; cấu trúc văn bản</t>
  </si>
  <si>
    <t xml:space="preserve">zunächst đầu câu, đảo</t>
  </si>
  <si>
    <t xml:space="preserve">Zunächst möchte ich das Thema einführen.</t>
  </si>
  <si>
    <t xml:space="preserve">[tsuːˈnɛçst ˈmœçtə ʔɪç das ˈteːmaː ˈʔaɪnˌfyːʁən]</t>
  </si>
  <si>
    <t xml:space="preserve">Trước hết tôi xin giới thiệu chủ đề.</t>
  </si>
  <si>
    <t xml:space="preserve">zunächst = trước hết; einführen = giới thiệu</t>
  </si>
  <si>
    <t xml:space="preserve">S1382</t>
  </si>
  <si>
    <t xml:space="preserve">darüber hinaus = hơn nữa</t>
  </si>
  <si>
    <t xml:space="preserve">Darüber hinaus gibt es weitere Argumente.</t>
  </si>
  <si>
    <t xml:space="preserve">[daːˈʁyːbɐ hɪˈnaʊs ˈɡiːpt ʔɛs ˈvaɪtəʁə ˌʔaʁɡuːˈmɛntə]</t>
  </si>
  <si>
    <t xml:space="preserve">Ngoài ra còn có các lập luận khác.</t>
  </si>
  <si>
    <t xml:space="preserve">S1383</t>
  </si>
  <si>
    <t xml:space="preserve">andererseits đảo chủ ngữ</t>
  </si>
  <si>
    <t xml:space="preserve">Andererseits darf man die Risiken nicht vergessen.</t>
  </si>
  <si>
    <t xml:space="preserve">[ˈʔandeːʁɐˌzaɪts ˈdaʁf man diː ˈʁiːziːkən ˈnɪçt fɛʁˈɡɛsən]</t>
  </si>
  <si>
    <t xml:space="preserve">Mặt khác không được quên rủi ro.</t>
  </si>
  <si>
    <t xml:space="preserve">das Risiko = rủi ro</t>
  </si>
  <si>
    <t xml:space="preserve">S1384</t>
  </si>
  <si>
    <t xml:space="preserve">folglich = do đó</t>
  </si>
  <si>
    <t xml:space="preserve">Folglich müssen wir umdenken.</t>
  </si>
  <si>
    <t xml:space="preserve">[ˈfɔlklɪç ˈmysən viːɐ̯ ˈʔʊmˌdɛŋkən]</t>
  </si>
  <si>
    <t xml:space="preserve">Do đó chúng ta phải nghĩ lại.</t>
  </si>
  <si>
    <t xml:space="preserve">folglich = do đó; umdenken = nghĩ lại</t>
  </si>
  <si>
    <t xml:space="preserve">S1385</t>
  </si>
  <si>
    <t xml:space="preserve">dennoch = tuy vậy</t>
  </si>
  <si>
    <t xml:space="preserve">Dennoch bleibt das Ergebnis unbefriedigend.</t>
  </si>
  <si>
    <t xml:space="preserve">[ˈdɛnɔx ˈblaɪpt das ʔɛʁˈɡeːbnɪs ˈʔʊnbəˌfʁiːdɪɡənt]</t>
  </si>
  <si>
    <t xml:space="preserve">Dù vậy kết quả vẫn chưa thỏa đáng.</t>
  </si>
  <si>
    <t xml:space="preserve">dennoch = tuy vậy; unbefriedigend = chưa thỏa</t>
  </si>
  <si>
    <t xml:space="preserve">S1386</t>
  </si>
  <si>
    <t xml:space="preserve">Einerseits stimmt das, andererseits nicht ganz.</t>
  </si>
  <si>
    <t xml:space="preserve">[ˈʔaɪnɐˌzaɪts ˈʃtɪmt das, ˈʔandeːʁɐˌzaɪts ˈnɪçt ˌɡants]</t>
  </si>
  <si>
    <t xml:space="preserve">Một mặt đúng, mặt khác chưa hẳn.</t>
  </si>
  <si>
    <t xml:space="preserve">S1387</t>
  </si>
  <si>
    <t xml:space="preserve">abschließend = để kết</t>
  </si>
  <si>
    <t xml:space="preserve">Abschließend möchte ich betonen, wie wichtig das ist.</t>
  </si>
  <si>
    <t xml:space="preserve">[ˈʔapˌʃliːsənt ˈmœçtə ʔɪç bəˈtoːnən, viː ˈvɪçtɪç das ʔɪst]</t>
  </si>
  <si>
    <t xml:space="preserve">Cuối cùng tôi muốn nhấn mạnh điều này quan trọng thế nào.</t>
  </si>
  <si>
    <t xml:space="preserve">abschließend = cuối cùng</t>
  </si>
  <si>
    <t xml:space="preserve">S1388</t>
  </si>
  <si>
    <t xml:space="preserve">hinzukommen + dass</t>
  </si>
  <si>
    <t xml:space="preserve">Hinzu kommt, dass die Zeit knapp ist.</t>
  </si>
  <si>
    <t xml:space="preserve">[hɪnˈtsuː ˈkɔmt, das diː ˈtsaɪt ˈknap ʔɪst]</t>
  </si>
  <si>
    <t xml:space="preserve">Thêm nữa là thời gian eo hẹp.</t>
  </si>
  <si>
    <t xml:space="preserve">knapp = eo hẹp</t>
  </si>
  <si>
    <t xml:space="preserve">S1389</t>
  </si>
  <si>
    <t xml:space="preserve">im Gegensatz dazu</t>
  </si>
  <si>
    <t xml:space="preserve">Im Gegensatz dazu war früher alles langsamer.</t>
  </si>
  <si>
    <t xml:space="preserve">[ʔɪm ɡeːɡənˈzats daːˈtsuː vaːɐ̯ ˈfʁyːɐ ˈʔaləs ˈlaŋzaːmɐ]</t>
  </si>
  <si>
    <t xml:space="preserve">Ngược lại, trước kia mọi thứ chậm hơn.</t>
  </si>
  <si>
    <t xml:space="preserve">der Gegensatz = sự đối lập</t>
  </si>
  <si>
    <t xml:space="preserve">S1390</t>
  </si>
  <si>
    <t xml:space="preserve">beispielsweise = chẳng hạn</t>
  </si>
  <si>
    <t xml:space="preserve">Beispielsweise könnte man Steuern erhöhen.</t>
  </si>
  <si>
    <t xml:space="preserve">[ˈbaɪʃpiːlsˌvaɪzə ˈkœntə man ˈʃtɔøɐn ʔɛʁˈhøːən]</t>
  </si>
  <si>
    <t xml:space="preserve">Chẳng hạn có thể tăng thuế.</t>
  </si>
  <si>
    <t xml:space="preserve">beispielsweise = ví dụ; erhöhen = tăng</t>
  </si>
  <si>
    <t xml:space="preserve">S1391</t>
  </si>
  <si>
    <t xml:space="preserve">insgesamt = tổng thể</t>
  </si>
  <si>
    <t xml:space="preserve">Insgesamt überwiegen die positiven Aspekte.</t>
  </si>
  <si>
    <t xml:space="preserve">[ˈʔɪnsɡeːˌzamt ˌʔyːbɐˈviːɡən diː ˌpoːziːˈtiːvən ʔaˈspɛktə]</t>
  </si>
  <si>
    <t xml:space="preserve">Nhìn chung mặt tích cực nhiều hơn.</t>
  </si>
  <si>
    <t xml:space="preserve">insgesamt = tổng cộng</t>
  </si>
  <si>
    <t xml:space="preserve">S1392</t>
  </si>
  <si>
    <t xml:space="preserve">allerdings = tuy nhiên</t>
  </si>
  <si>
    <t xml:space="preserve">Allerdings gibt es dabei einen Haken.</t>
  </si>
  <si>
    <t xml:space="preserve">[ˈʔalɐˌdɪŋs ˈɡiːpt ʔɛs daːˈbaɪ ˌʔaɪnən ˈhaːkən]</t>
  </si>
  <si>
    <t xml:space="preserve">Tuy nhiên có một điểm bất lợi.</t>
  </si>
  <si>
    <t xml:space="preserve">der Haken = điểm vướng</t>
  </si>
  <si>
    <t xml:space="preserve">S1393</t>
  </si>
  <si>
    <t xml:space="preserve">zum einen ... zum anderen</t>
  </si>
  <si>
    <t xml:space="preserve">Zum einen fehlt Geld, zum anderen Personal.</t>
  </si>
  <si>
    <t xml:space="preserve">[tsʊm ˌʔaɪnən ˈfeːlt ˈɡɛlt, tsʊm ˈʔandəʁən pɛʁzoːˈnaːl]</t>
  </si>
  <si>
    <t xml:space="preserve">Một là thiếu tiền, hai là thiếu nhân sự.</t>
  </si>
  <si>
    <t xml:space="preserve">das Personal = nhân sự</t>
  </si>
  <si>
    <t xml:space="preserve">S1394</t>
  </si>
  <si>
    <t xml:space="preserve">daraus folgen + dass</t>
  </si>
  <si>
    <t xml:space="preserve">Daraus folgt, dass wir umplanen müssen.</t>
  </si>
  <si>
    <t xml:space="preserve">[daːˈʁaʊs ˈfɔlkt, das viːɐ̯ ˈʔʊmˌplaːnən ˈmysən]</t>
  </si>
  <si>
    <t xml:space="preserve">Từ đó suy ra chúng ta phải lên lại kế hoạch.</t>
  </si>
  <si>
    <t xml:space="preserve">folgen = suy ra</t>
  </si>
  <si>
    <t xml:space="preserve">S1395</t>
  </si>
  <si>
    <t xml:space="preserve">nicht zuletzt</t>
  </si>
  <si>
    <t xml:space="preserve">Nicht zuletzt spielt die Motivation eine Rolle.</t>
  </si>
  <si>
    <t xml:space="preserve">[ˈnɪçt tsuːˈlɛtst ˈʃpiːlt diː ˌmoːtiːvatsˈjoːn ˌʔaɪnə ˈʁɔlə]</t>
  </si>
  <si>
    <t xml:space="preserve">Không kém phần quan trọng là động lực.</t>
  </si>
  <si>
    <t xml:space="preserve">die Motivation = động lực</t>
  </si>
  <si>
    <t xml:space="preserve">S1396</t>
  </si>
  <si>
    <t xml:space="preserve">eine Einigung erzielen</t>
  </si>
  <si>
    <t xml:space="preserve">Schließlich wurde eine Einigung erzielt.</t>
  </si>
  <si>
    <t xml:space="preserve">[ˈʃliːslɪç ˌvʊʁdə ˌʔaɪnə ˈʔaɪnɪˌɡʊŋ ʔɛʁˈtsiːlt]</t>
  </si>
  <si>
    <t xml:space="preserve">Cuối cùng đã đạt được thỏa thuận.</t>
  </si>
  <si>
    <t xml:space="preserve">die Einigung = sự thỏa thuận; erzielen = đạt được</t>
  </si>
  <si>
    <t xml:space="preserve">S1397</t>
  </si>
  <si>
    <t xml:space="preserve">vor allem = nhất là</t>
  </si>
  <si>
    <t xml:space="preserve">Vor allem junge Menschen sind betroffen.</t>
  </si>
  <si>
    <t xml:space="preserve">[ˌfɔɐ̯ ˈʔaləm ˈjʊŋə ˈmɛnʃən zɪnt bəˈtʁɔfən]</t>
  </si>
  <si>
    <t xml:space="preserve">Nhất là người trẻ bị ảnh hưởng.</t>
  </si>
  <si>
    <t xml:space="preserve">S1398</t>
  </si>
  <si>
    <t xml:space="preserve">demzufolge = theo đó</t>
  </si>
  <si>
    <t xml:space="preserve">Demzufolge muss das Gesetz geändert werden.</t>
  </si>
  <si>
    <t xml:space="preserve">[ˈdɛmtsuːˌfɔlɡə ˈmʊs das ɡəˈzɛts ɡəˈʔɛndɐt ˌvɛʁdən]</t>
  </si>
  <si>
    <t xml:space="preserve">Theo đó luật phải được sửa.</t>
  </si>
  <si>
    <t xml:space="preserve">S1399</t>
  </si>
  <si>
    <t xml:space="preserve">im Übrigen = ngoài ra</t>
  </si>
  <si>
    <t xml:space="preserve">Im Übrigen teile ich diese Einschätzung.</t>
  </si>
  <si>
    <t xml:space="preserve">[ʔɪm ˈʔyːbʁɪɡən ˈtaɪlə ʔɪç ˌdiːzə ˈʔaɪnˌʃɛtsʊŋ]</t>
  </si>
  <si>
    <t xml:space="preserve">Ngoài ra tôi chia sẻ đánh giá này.</t>
  </si>
  <si>
    <t xml:space="preserve">die Einschätzung = sự đánh giá</t>
  </si>
  <si>
    <t xml:space="preserve">S1400</t>
  </si>
  <si>
    <t xml:space="preserve">kurz gesagt</t>
  </si>
  <si>
    <t xml:space="preserve">Kurz gesagt: Wir brauchen mehr Zeit.</t>
  </si>
  <si>
    <t xml:space="preserve">[ˈkʊʁts ɡəˈzaːkt, viːɐ̯ ˈbʁaʊxən ˈmeːɐ̯ ˈtsaɪt]</t>
  </si>
  <si>
    <t xml:space="preserve">Nói ngắn gọn: chúng ta cần thêm thời gian.</t>
  </si>
  <si>
    <t xml:space="preserve">kurz gesagt = nói ngắn gọn</t>
  </si>
  <si>
    <t xml:space="preserve">S1401</t>
  </si>
  <si>
    <t xml:space="preserve">Môi trường &amp; biến đổi khí hậu</t>
  </si>
  <si>
    <t xml:space="preserve">betreffen + Akkusativ</t>
  </si>
  <si>
    <t xml:space="preserve">Der Klimawandel betrifft uns alle.</t>
  </si>
  <si>
    <t xml:space="preserve">[dɛɐ̯ ˈkliːmaˌvandəl bəˈtʁɪft ʔʊns ˈʔalə]</t>
  </si>
  <si>
    <t xml:space="preserve">Biến đổi khí hậu ảnh hưởng tới tất cả chúng ta.</t>
  </si>
  <si>
    <t xml:space="preserve">der Klimawandel = biến đổi khí hậu</t>
  </si>
  <si>
    <t xml:space="preserve">S1402</t>
  </si>
  <si>
    <t xml:space="preserve">drastisch = mạnh mẽ</t>
  </si>
  <si>
    <t xml:space="preserve">Wir müssen den CO2-Ausstoß drastisch senken.</t>
  </si>
  <si>
    <t xml:space="preserve">[viːɐ̯ ˈmysən deːn ˌtseːˈoː ˈtsvaɪˈʔaʊsˌʃtoːs ˈdʁastɪʃ ˈzɛŋkən]</t>
  </si>
  <si>
    <t xml:space="preserve">Chúng ta phải giảm mạnh khí thải CO2.</t>
  </si>
  <si>
    <t xml:space="preserve">der Ausstoß = lượng phát thải; senken = giảm</t>
  </si>
  <si>
    <t xml:space="preserve">S1403</t>
  </si>
  <si>
    <t xml:space="preserve">an Bedeutung gewinnen</t>
  </si>
  <si>
    <t xml:space="preserve">Erneuerbare Energien gewinnen an Bedeutung.</t>
  </si>
  <si>
    <t xml:space="preserve">[ʔɛʁˈnɔøɐˌbaːʁə ˌʔeːnɛʁˈɡiːn ɡəˈvɪnən ʔan bəˈdɔøtʊŋ]</t>
  </si>
  <si>
    <t xml:space="preserve">Năng lượng tái tạo ngày càng quan trọng.</t>
  </si>
  <si>
    <t xml:space="preserve">erneuerbar = tái tạo; die Bedeutung = ý nghĩa</t>
  </si>
  <si>
    <t xml:space="preserve">S1404</t>
  </si>
  <si>
    <t xml:space="preserve">verschmutzen + Akkusativ</t>
  </si>
  <si>
    <t xml:space="preserve">Plastikmüll verschmutzt die Meere.</t>
  </si>
  <si>
    <t xml:space="preserve">[ˈplastɪkˌmyl fɛʁˈʃmʊtst diː ˈmeːʁə]</t>
  </si>
  <si>
    <t xml:space="preserve">Rác nhựa làm ô nhiễm đại dương.</t>
  </si>
  <si>
    <t xml:space="preserve">der Müll = rác; verschmutzen = làm bẩn</t>
  </si>
  <si>
    <t xml:space="preserve">S1405</t>
  </si>
  <si>
    <t xml:space="preserve">beitragen tách</t>
  </si>
  <si>
    <t xml:space="preserve">Jeder Einzelne kann etwas beitragen.</t>
  </si>
  <si>
    <t xml:space="preserve">[ˈjeːdɐ ˈʔaɪnˌtsɛlnə ˌkan ˈʔɛtvaːs ˈbaɪtʁaːɡən]</t>
  </si>
  <si>
    <t xml:space="preserve">Mỗi cá nhân đều có thể đóng góp.</t>
  </si>
  <si>
    <t xml:space="preserve">beitragen = đóng góp</t>
  </si>
  <si>
    <t xml:space="preserve">S1406</t>
  </si>
  <si>
    <t xml:space="preserve">spürbar = cảm nhận được</t>
  </si>
  <si>
    <t xml:space="preserve">Die Folgen sind bereits deutlich spürbar.</t>
  </si>
  <si>
    <t xml:space="preserve">[diː ˈfɔlɡən zɪnt bəˈʁaɪts ˈdɔøtlɪç ˈʃpyːɐ̯baːɐ̯]</t>
  </si>
  <si>
    <t xml:space="preserve">Hậu quả đã cảm nhận rõ.</t>
  </si>
  <si>
    <t xml:space="preserve">die Folge = hậu quả; spürbar = cảm nhận được</t>
  </si>
  <si>
    <t xml:space="preserve">S1407</t>
  </si>
  <si>
    <t xml:space="preserve">verzichten auf + Akkusativ</t>
  </si>
  <si>
    <t xml:space="preserve">Wir sollten öfter auf das Auto verzichten.</t>
  </si>
  <si>
    <t xml:space="preserve">[viːɐ̯ ˌzɔltən ˈʔœftɐ ʔaʊf das ˈʔaʊtoː fɛʁˈtsɪçtən]</t>
  </si>
  <si>
    <t xml:space="preserve">Chúng ta nên bớt dùng xe hơi.</t>
  </si>
  <si>
    <t xml:space="preserve">verzichten = từ bỏ</t>
  </si>
  <si>
    <t xml:space="preserve">S1408</t>
  </si>
  <si>
    <t xml:space="preserve">vorangehen tách</t>
  </si>
  <si>
    <t xml:space="preserve">Der Ausbau der Windkraft geht zu langsam voran.</t>
  </si>
  <si>
    <t xml:space="preserve">[dɛɐ̯ ˈʔaʊsˌbaʊ dɛɐ̯ ˈvɪntkʁaft ˈɡeːt tsuː ˈlaŋzaːm ˈfoːˌʁan]</t>
  </si>
  <si>
    <t xml:space="preserve">Việc mở rộng điện gió tiến triển quá chậm.</t>
  </si>
  <si>
    <t xml:space="preserve">der Ausbau = sự mở rộng; vorangehen = tiến triển</t>
  </si>
  <si>
    <t xml:space="preserve">S1409</t>
  </si>
  <si>
    <t xml:space="preserve">Artenvielfalt ist für das Ökosystem entscheidend.</t>
  </si>
  <si>
    <t xml:space="preserve">[ˈʔaʁtənˌviːlfalt ʔɪst fyːɐ̯ das ˈʔøːkoːzyˌsteːm ʔɛntˈʃaɪdənt]</t>
  </si>
  <si>
    <t xml:space="preserve">Đa dạng sinh học mang tính quyết định cho hệ sinh thái.</t>
  </si>
  <si>
    <t xml:space="preserve">die Artenvielfalt = đa dạng sinh học</t>
  </si>
  <si>
    <t xml:space="preserve">S1410</t>
  </si>
  <si>
    <t xml:space="preserve">dürfen + kein</t>
  </si>
  <si>
    <t xml:space="preserve">Nachhaltigkeit darf kein Modewort bleiben.</t>
  </si>
  <si>
    <t xml:space="preserve">[ˈnaxhalˌtɪçkaɪt ˈdaʁf ˈkaɪn ˈmoːdeːˌvɔʁt ˈblaɪbən]</t>
  </si>
  <si>
    <t xml:space="preserve">Phát triển bền vững không được chỉ là từ thời thượng.</t>
  </si>
  <si>
    <t xml:space="preserve">die Nachhaltigkeit = tính bền vững</t>
  </si>
  <si>
    <t xml:space="preserve">S1411</t>
  </si>
  <si>
    <t xml:space="preserve">Komparativ + als erwartet</t>
  </si>
  <si>
    <t xml:space="preserve">Die Temperaturen steigen schneller als erwartet.</t>
  </si>
  <si>
    <t xml:space="preserve">[diː ˌtɛmpeːʁaˈtuːʁən ˈʃtaɪɡən ˈʃnɛlɐ ʔals ʔɛʁˈvaʁtət]</t>
  </si>
  <si>
    <t xml:space="preserve">Nhiệt độ tăng nhanh hơn dự kiến.</t>
  </si>
  <si>
    <t xml:space="preserve">die Temperatur = nhiệt độ</t>
  </si>
  <si>
    <t xml:space="preserve">S1412</t>
  </si>
  <si>
    <t xml:space="preserve">unterzeichnen = ký kết</t>
  </si>
  <si>
    <t xml:space="preserve">Viele Länder haben das Abkommen unterzeichnet.</t>
  </si>
  <si>
    <t xml:space="preserve">[ˈfiːlə ˈlɛndɐ ˌhaːbən das ˈʔapˌkɔmən ˌʔʊntɐˈtsaɪçnət]</t>
  </si>
  <si>
    <t xml:space="preserve">Nhiều nước đã ký hiệp định.</t>
  </si>
  <si>
    <t xml:space="preserve">das Abkommen = hiệp định</t>
  </si>
  <si>
    <t xml:space="preserve">S1413</t>
  </si>
  <si>
    <t xml:space="preserve">es fehlt an + Dativ</t>
  </si>
  <si>
    <t xml:space="preserve">Es fehlt am politischen Willen.</t>
  </si>
  <si>
    <t xml:space="preserve">[ʔɛs ˈfeːlt ʔam poːˈliːtɪʃən ˈvɪlən]</t>
  </si>
  <si>
    <t xml:space="preserve">Thiếu ý chí chính trị.</t>
  </si>
  <si>
    <t xml:space="preserve">der Wille = ý chí</t>
  </si>
  <si>
    <t xml:space="preserve">S1414</t>
  </si>
  <si>
    <t xml:space="preserve">selbstverständlich = hiển nhiên</t>
  </si>
  <si>
    <t xml:space="preserve">Mülltrennung ist in Deutschland selbstverständlich.</t>
  </si>
  <si>
    <t xml:space="preserve">[ˈmyltʁəˌnʊŋ ʔɪst ʔɪn ˈdɔøtʃlant ˈzɛlpstfɛʁˌʃtɛntlɪç]</t>
  </si>
  <si>
    <t xml:space="preserve">Phân loại rác ở Đức là chuyện đương nhiên.</t>
  </si>
  <si>
    <t xml:space="preserve">die Mülltrennung = phân loại rác</t>
  </si>
  <si>
    <t xml:space="preserve">S1415</t>
  </si>
  <si>
    <t xml:space="preserve">Der Verbrauch an Wasser muss reduziert werden.</t>
  </si>
  <si>
    <t xml:space="preserve">[dɛɐ̯ fɛʁˈbʁaʊx ʔan ˈvasɐ ˈmʊs ˌʁeːduːˈtsiːɐ̯t ˌvɛʁdən]</t>
  </si>
  <si>
    <t xml:space="preserve">Lượng nước tiêu thụ phải được giảm.</t>
  </si>
  <si>
    <t xml:space="preserve">der Verbrauch = mức tiêu thụ</t>
  </si>
  <si>
    <t xml:space="preserve">S1416</t>
  </si>
  <si>
    <t xml:space="preserve">sich ausschließen</t>
  </si>
  <si>
    <t xml:space="preserve">Umweltschutz und Wirtschaft schließen sich nicht aus.</t>
  </si>
  <si>
    <t xml:space="preserve">[ˈʔʊmˌvɛltʃʊts ʔʊnt ˈvɪʁtʃaft ˈʃliːsən zɪç ˈnɪçt ˈʔaʊs]</t>
  </si>
  <si>
    <t xml:space="preserve">Bảo vệ môi trường và kinh tế không loại trừ nhau.</t>
  </si>
  <si>
    <t xml:space="preserve">der Umweltschutz = bảo vệ môi trường</t>
  </si>
  <si>
    <t xml:space="preserve">S1417</t>
  </si>
  <si>
    <t xml:space="preserve">sich verbessern</t>
  </si>
  <si>
    <t xml:space="preserve">Die Luftqualität hat sich leicht verbessert.</t>
  </si>
  <si>
    <t xml:space="preserve">[diː ˈlʊftˌkvaːliːˌtɛːt hat zɪç ˈlaɪçt fɛʁˈbɛsɐt]</t>
  </si>
  <si>
    <t xml:space="preserve">Chất lượng không khí đã cải thiện nhẹ.</t>
  </si>
  <si>
    <t xml:space="preserve">die Luftqualität = chất lượng không khí</t>
  </si>
  <si>
    <t xml:space="preserve">S1418</t>
  </si>
  <si>
    <t xml:space="preserve">zunehmen tách</t>
  </si>
  <si>
    <t xml:space="preserve">Extremwetter nimmt weltweit zu.</t>
  </si>
  <si>
    <t xml:space="preserve">[ˈʔɛkstʁɛmˌvɛtɐ ˈnɪmt ˈvɛltvaɪt ˈtsuː]</t>
  </si>
  <si>
    <t xml:space="preserve">Thời tiết cực đoan gia tăng trên toàn cầu.</t>
  </si>
  <si>
    <t xml:space="preserve">zunehmen = gia tăng; weltweit = toàn cầu</t>
  </si>
  <si>
    <t xml:space="preserve">S1419</t>
  </si>
  <si>
    <t xml:space="preserve">mehr ... als + mệnh đề</t>
  </si>
  <si>
    <t xml:space="preserve">Wir verbrauchen mehr Ressourcen, als die Erde liefert.</t>
  </si>
  <si>
    <t xml:space="preserve">[viːɐ̯ fɛʁˈbʁaʊxən ˈmeːɐ̯ ʁɛˈsʊʁsən, ʔals diː ˈʔeːɐ̯də ˈliːfɐt]</t>
  </si>
  <si>
    <t xml:space="preserve">Chúng ta tiêu thụ nhiều tài nguyên hơn Trái Đất cung cấp.</t>
  </si>
  <si>
    <t xml:space="preserve">liefern = cung cấp</t>
  </si>
  <si>
    <t xml:space="preserve">S1420</t>
  </si>
  <si>
    <t xml:space="preserve">ohne + Akkusativ + Futur I</t>
  </si>
  <si>
    <t xml:space="preserve">Ohne radikale Maßnahmen wird sich nichts ändern.</t>
  </si>
  <si>
    <t xml:space="preserve">[ˈʔoːnə ˌʁadiːˈkaːlə ˈmasnaːmən ˌvɪʁt zɪç ˈnɪçts ˈʔɛndɐn]</t>
  </si>
  <si>
    <t xml:space="preserve">Không có biện pháp triệt để thì chẳng gì thay đổi.</t>
  </si>
  <si>
    <t xml:space="preserve">die Maßnahme = biện pháp; radikal = triệt để</t>
  </si>
  <si>
    <t xml:space="preserve">S1421</t>
  </si>
  <si>
    <t xml:space="preserve">Số hóa &amp; trí tuệ nhân tạo</t>
  </si>
  <si>
    <t xml:space="preserve">verändern + Akkusativ</t>
  </si>
  <si>
    <t xml:space="preserve">Künstliche Intelligenz verändert die Arbeitswelt.</t>
  </si>
  <si>
    <t xml:space="preserve">[ˈkynstlɪçə ˌʔɪntəlɪˈɡɛnts fɛˈʁɛndɐt diː ˈʔaʁbaɪtsvəlt]</t>
  </si>
  <si>
    <t xml:space="preserve">Trí tuệ nhân tạo đang thay đổi thế giới việc làm.</t>
  </si>
  <si>
    <t xml:space="preserve">S1422</t>
  </si>
  <si>
    <t xml:space="preserve">Viele Tätigkeiten werden automatisiert.</t>
  </si>
  <si>
    <t xml:space="preserve">[ˈfiːlə ˈtɛːtɪçˌkaɪtən ˌvɛʁdən ˌʔaʊtoːˌmatiːˈziːɐ̯t]</t>
  </si>
  <si>
    <t xml:space="preserve">Nhiều công việc đang được tự động hóa.</t>
  </si>
  <si>
    <t xml:space="preserve">die Tätigkeit = hoạt động; automatisieren = tự động hóa</t>
  </si>
  <si>
    <t xml:space="preserve">S1423</t>
  </si>
  <si>
    <t xml:space="preserve">eine Rolle spielen</t>
  </si>
  <si>
    <t xml:space="preserve">Datenschutz spielt dabei eine zentrale Rolle.</t>
  </si>
  <si>
    <t xml:space="preserve">[ˈdaːtənˌʃʊts ˈʃpiːlt daːˈbaɪ ˌʔaɪnə tsɛnˈtʁaːlə ˈʁɔlə]</t>
  </si>
  <si>
    <t xml:space="preserve">Bảo vệ dữ liệu đóng vai trò trung tâm.</t>
  </si>
  <si>
    <t xml:space="preserve">der Datenschutz = bảo vệ dữ liệu</t>
  </si>
  <si>
    <t xml:space="preserve">S1424</t>
  </si>
  <si>
    <t xml:space="preserve">was ... angeht = về mặt</t>
  </si>
  <si>
    <t xml:space="preserve">Ich bin skeptisch, was die Sicherheit angeht.</t>
  </si>
  <si>
    <t xml:space="preserve">[ʔɪç bɪn ˈskɛptɪʃ, ˈvas diː ˈzɪçɐˌhaɪt ˈʔanˌɡeːt]</t>
  </si>
  <si>
    <t xml:space="preserve">Tôi hoài nghi về mặt an toàn.</t>
  </si>
  <si>
    <t xml:space="preserve">skeptisch = hoài nghi</t>
  </si>
  <si>
    <t xml:space="preserve">S1425</t>
  </si>
  <si>
    <t xml:space="preserve">verstärken = làm mạnh thêm</t>
  </si>
  <si>
    <t xml:space="preserve">Algorithmen können Vorurteile verstärken.</t>
  </si>
  <si>
    <t xml:space="preserve">[ˈʔalɡoːˌʁɪtmən ˌkœnən ˈfoːˌʁʊʁtaɪlə fɛʁˈʃtɛʁkən]</t>
  </si>
  <si>
    <t xml:space="preserve">Thuật toán có thể khuếch đại định kiến.</t>
  </si>
  <si>
    <t xml:space="preserve">das Vorurteil = định kiến</t>
  </si>
  <si>
    <t xml:space="preserve">S1426</t>
  </si>
  <si>
    <t xml:space="preserve">voranschreiten tách</t>
  </si>
  <si>
    <t xml:space="preserve">Die Digitalisierung schreitet rasant voran.</t>
  </si>
  <si>
    <t xml:space="preserve">[diː ˌdiːɡiːˌtaliːˈziːʁʊŋ ˈʃʁaɪtət ʁaˈzant ˈfoːˌʁan]</t>
  </si>
  <si>
    <t xml:space="preserve">Quá trình số hóa tiến rất nhanh.</t>
  </si>
  <si>
    <t xml:space="preserve">rasant = rất nhanh</t>
  </si>
  <si>
    <t xml:space="preserve">S1427</t>
  </si>
  <si>
    <t xml:space="preserve">alles -&gt; was</t>
  </si>
  <si>
    <t xml:space="preserve">Nicht alles, was möglich ist, ist auch sinnvoll.</t>
  </si>
  <si>
    <t xml:space="preserve">[ˈnɪçt ˈʔaləs, ˈvas ˈmøːklɪç ʔɪst, ʔɪst ˌʔaʊx ˈzɪnfɔl]</t>
  </si>
  <si>
    <t xml:space="preserve">Không phải cái gì làm được cũng có nghĩa.</t>
  </si>
  <si>
    <t xml:space="preserve">sinnvoll = có ý nghĩa</t>
  </si>
  <si>
    <t xml:space="preserve">S1428</t>
  </si>
  <si>
    <t xml:space="preserve">um ... zu</t>
  </si>
  <si>
    <t xml:space="preserve">Ich nutze das Tool, um Zeit zu sparen.</t>
  </si>
  <si>
    <t xml:space="preserve">[ʔɪç ˈnʊtsə das (en)ˈtuːl(de), ʔʊm ˈtsaɪt tsuː ˈʃpaːʁən]</t>
  </si>
  <si>
    <t xml:space="preserve">Tôi dùng công cụ đó để tiết kiệm thời gian.</t>
  </si>
  <si>
    <t xml:space="preserve">das Tool = công cụ</t>
  </si>
  <si>
    <t xml:space="preserve">S1429</t>
  </si>
  <si>
    <t xml:space="preserve">Die Software muss regelmäßig aktualisiert werden.</t>
  </si>
  <si>
    <t xml:space="preserve">[diː (en)ˈsɒftweə(de) ˈmʊs ˈʁeːɡəlˌmɛːsɪç ˌʔaktuːˌaliːˈziːɐ̯t ˌvɛʁdən]</t>
  </si>
  <si>
    <t xml:space="preserve">Phần mềm phải được cập nhật thường xuyên.</t>
  </si>
  <si>
    <t xml:space="preserve">aktualisieren = cập nhật</t>
  </si>
  <si>
    <t xml:space="preserve">S1430</t>
  </si>
  <si>
    <t xml:space="preserve">Mein Passwort wurde offenbar gehackt.</t>
  </si>
  <si>
    <t xml:space="preserve">[maɪn ˈpasvɔʁt ˌvʊʁdə ˈʔɔfənˌbaːɐ̯ ɡəˈhakt]</t>
  </si>
  <si>
    <t xml:space="preserve">Mật khẩu của tôi rõ ràng đã bị hack.</t>
  </si>
  <si>
    <t xml:space="preserve">das Passwort = mật khẩu</t>
  </si>
  <si>
    <t xml:space="preserve">S1431</t>
  </si>
  <si>
    <t xml:space="preserve">unterschätzen + Genitiv attributiv</t>
  </si>
  <si>
    <t xml:space="preserve">Viele unterschätzen die Risiken sozialer Medien.</t>
  </si>
  <si>
    <t xml:space="preserve">[ˈfiːlə ˌʔʊntɐˈʃɛtsən diː ˈʁiːziːkən ˌzoːtsiːˈaːlɐ ˈmeːdɪən]</t>
  </si>
  <si>
    <t xml:space="preserve">Nhiều người xem nhẹ rủi ro của mạng xã hội.</t>
  </si>
  <si>
    <t xml:space="preserve">S1432</t>
  </si>
  <si>
    <t xml:space="preserve">Die Technologie ist nur ein Werkzeug.</t>
  </si>
  <si>
    <t xml:space="preserve">[diː ˌtɛçnoːloːˈɡiː ʔɪst ˈnuːɐ̯ ʔaɪn ˈvɛʁktsɔøk]</t>
  </si>
  <si>
    <t xml:space="preserve">Công nghệ chỉ là một công cụ.</t>
  </si>
  <si>
    <t xml:space="preserve">das Werkzeug = công cụ</t>
  </si>
  <si>
    <t xml:space="preserve">S1433</t>
  </si>
  <si>
    <t xml:space="preserve">Konjunktiv II + undenkbar</t>
  </si>
  <si>
    <t xml:space="preserve">Ohne Internet wäre mein Job undenkbar.</t>
  </si>
  <si>
    <t xml:space="preserve">[ˈʔoːnə ˈʔɪntɐˌnɛt ˈvɛːʁə maɪn (en)dˈʒɒb(de) ˈʔʊnˌdɛŋkbaːɐ̯]</t>
  </si>
  <si>
    <t xml:space="preserve">Không có Internet thì công việc tôi là không tưởng.</t>
  </si>
  <si>
    <t xml:space="preserve">undenkbar = không tưởng</t>
  </si>
  <si>
    <t xml:space="preserve">S1434</t>
  </si>
  <si>
    <t xml:space="preserve">umgehen mit + Dativ</t>
  </si>
  <si>
    <t xml:space="preserve">Man sollte kritisch mit Quellen umgehen.</t>
  </si>
  <si>
    <t xml:space="preserve">[man ˌzɔltə ˈkʁiːtɪʃ mɪt ˈkvɛlən ʔʊmˈɡeːˌən]</t>
  </si>
  <si>
    <t xml:space="preserve">Nên tiếp cận nguồn tin một cách phê phán.</t>
  </si>
  <si>
    <t xml:space="preserve">die Quelle = nguồn; umgehen = đối xử</t>
  </si>
  <si>
    <t xml:space="preserve">S1435</t>
  </si>
  <si>
    <t xml:space="preserve">Vor- und Nachteile (rút gọn)</t>
  </si>
  <si>
    <t xml:space="preserve">Die Arbeit im Homeoffice hat Vor- und Nachteile.</t>
  </si>
  <si>
    <t xml:space="preserve">[diː ˈʔaʁbaɪt ʔɪm ˈhoːmeːˌɔfiːkə hat ˌfɔɐ̯ ʔʊnt ˈnaxtaɪlə]</t>
  </si>
  <si>
    <t xml:space="preserve">Làm việc tại nhà có ưu và nhược điểm.</t>
  </si>
  <si>
    <t xml:space="preserve">der Nachteil = nhược điểm</t>
  </si>
  <si>
    <t xml:space="preserve">S1436</t>
  </si>
  <si>
    <t xml:space="preserve">kosten + Akkusativ</t>
  </si>
  <si>
    <t xml:space="preserve">Automatisierung wird Arbeitsplätze kosten.</t>
  </si>
  <si>
    <t xml:space="preserve">[ˌʔaʊtoːˌmatiːˈziːʁʊŋ ˌvɪʁt ˈʔaʁbaɪtsˌplɛtsə ˈkɔstən]</t>
  </si>
  <si>
    <t xml:space="preserve">Tự động hóa sẽ lấy đi việc làm.</t>
  </si>
  <si>
    <t xml:space="preserve">der Arbeitsplatz = chỗ làm</t>
  </si>
  <si>
    <t xml:space="preserve">S1437</t>
  </si>
  <si>
    <t xml:space="preserve">bedürfen + Genitiv</t>
  </si>
  <si>
    <t xml:space="preserve">Es bedarf klarer gesetzlicher Regeln.</t>
  </si>
  <si>
    <t xml:space="preserve">[ʔɛs bəˈdaʁf ˈklaːʁɐ ɡəˈzɛtslɪçɐ ˈʁeːɡəln]</t>
  </si>
  <si>
    <t xml:space="preserve">Cần có quy định pháp lý rõ ràng.</t>
  </si>
  <si>
    <t xml:space="preserve">bedürfen = cần; gesetzlich = thuộc pháp luật</t>
  </si>
  <si>
    <t xml:space="preserve">S1438</t>
  </si>
  <si>
    <t xml:space="preserve">sicherheitshalber = cho chắc</t>
  </si>
  <si>
    <t xml:space="preserve">Ich habe meine Daten sicherheitshalber gesichert.</t>
  </si>
  <si>
    <t xml:space="preserve">[ʔɪç haːbə ˌmaɪnə ˈdaːtən ˈzɪçɐˌhaɪtshalbɐ ɡəˈzɪçɐt]</t>
  </si>
  <si>
    <t xml:space="preserve">Tôi đã sao lưu dữ liệu cho chắc.</t>
  </si>
  <si>
    <t xml:space="preserve">sichern = bảo vệ/sao lưu</t>
  </si>
  <si>
    <t xml:space="preserve">S1439</t>
  </si>
  <si>
    <t xml:space="preserve">gestalten = thiết kế</t>
  </si>
  <si>
    <t xml:space="preserve">Die Benutzeroberfläche ist intuitiv gestaltet.</t>
  </si>
  <si>
    <t xml:space="preserve">[diː bəˈnʊtseːˌʁoːbɐˌflɛçə ʔɪst ˌʔɪntuːiːˈtiːf ɡəˈʃtaltət]</t>
  </si>
  <si>
    <t xml:space="preserve">Giao diện được thiết kế trực quan.</t>
  </si>
  <si>
    <t xml:space="preserve">die Benutzeroberfläche = giao diện</t>
  </si>
  <si>
    <t xml:space="preserve">S1440</t>
  </si>
  <si>
    <t xml:space="preserve">allein = chỉ riêng</t>
  </si>
  <si>
    <t xml:space="preserve">Technischer Fortschritt allein löst keine Probleme.</t>
  </si>
  <si>
    <t xml:space="preserve">[ˈtɛçnɪʃɐ ˈfɔʁtʃʁɪt ʔaˈlaɪn ˈlœst ˈkaɪnə pʁoːˈbleːmə]</t>
  </si>
  <si>
    <t xml:space="preserve">Chỉ riêng tiến bộ kỹ thuật không giải quyết được gì.</t>
  </si>
  <si>
    <t xml:space="preserve">der Fortschritt = tiến bộ</t>
  </si>
  <si>
    <t xml:space="preserve">S1441</t>
  </si>
  <si>
    <t xml:space="preserve">Thế giới việc làm &amp; cân bằng cuộc sống</t>
  </si>
  <si>
    <t xml:space="preserve">klagen über + Akkusativ</t>
  </si>
  <si>
    <t xml:space="preserve">Viele Beschäftigte klagen über Stress.</t>
  </si>
  <si>
    <t xml:space="preserve">[ˈfiːlə bəˈʃɛftɪçtə ˈklaːɡən ˌʔyːbɐ ˈʃtʁɛs]</t>
  </si>
  <si>
    <t xml:space="preserve">Nhiều người lao động than phiền về căng thẳng.</t>
  </si>
  <si>
    <t xml:space="preserve">der Beschäftigte = người lao động</t>
  </si>
  <si>
    <t xml:space="preserve">S1442</t>
  </si>
  <si>
    <t xml:space="preserve">zunehmend = ngày càng</t>
  </si>
  <si>
    <t xml:space="preserve">Die Vier-Tage-Woche wird zunehmend diskutiert.</t>
  </si>
  <si>
    <t xml:space="preserve">[diː ˈfiːɐ̯ˈtaːɡəˈvɔxə ˌvɪʁt tsuːˈneːmənt ˌdɪskuːˈtiːɐ̯t]</t>
  </si>
  <si>
    <t xml:space="preserve">Tuần làm việc bốn ngày ngày càng được bàn.</t>
  </si>
  <si>
    <t xml:space="preserve">S1443</t>
  </si>
  <si>
    <t xml:space="preserve">lernen + zu-Infinitiv</t>
  </si>
  <si>
    <t xml:space="preserve">Ich habe gelernt, Grenzen zu setzen.</t>
  </si>
  <si>
    <t xml:space="preserve">[ʔɪç haːbə ɡəˈlɛʁnt, ˈɡʁɛntsən tsuː ˈzɛtsən]</t>
  </si>
  <si>
    <t xml:space="preserve">Tôi đã học cách đặt ra giới hạn.</t>
  </si>
  <si>
    <t xml:space="preserve">die Grenze = giới hạn</t>
  </si>
  <si>
    <t xml:space="preserve">S1444</t>
  </si>
  <si>
    <t xml:space="preserve">nicht immer</t>
  </si>
  <si>
    <t xml:space="preserve">Überstunden werden nicht immer bezahlt.</t>
  </si>
  <si>
    <t xml:space="preserve">[ˌʔyːbɐˈʃtʊndən ˌvɛʁdən ˈnɪçt ˈʔɪmɐ bəˈtsaːlt]</t>
  </si>
  <si>
    <t xml:space="preserve">Làm thêm giờ không phải lúc nào cũng được trả.</t>
  </si>
  <si>
    <t xml:space="preserve">die Überstunde = giờ làm thêm</t>
  </si>
  <si>
    <t xml:space="preserve">S1445</t>
  </si>
  <si>
    <t xml:space="preserve">erhöhen = làm tăng</t>
  </si>
  <si>
    <t xml:space="preserve">Ein gutes Betriebsklima erhöht die Motivation.</t>
  </si>
  <si>
    <t xml:space="preserve">[ʔaɪn ˈɡuːtəs bəˈtʁiːpskliːˌmaː ʔɛʁˈhøːt diː ˌmoːtiːvatsˈjoːn]</t>
  </si>
  <si>
    <t xml:space="preserve">Môi trường làm việc tốt làm tăng động lực.</t>
  </si>
  <si>
    <t xml:space="preserve">das Betriebsklima = bầu không khí công ty</t>
  </si>
  <si>
    <t xml:space="preserve">S1446</t>
  </si>
  <si>
    <t xml:space="preserve">Er leidet unter einem Burnout.</t>
  </si>
  <si>
    <t xml:space="preserve">[ʔɛɐ̯ ˈlaɪdət ˌʔʊntɐ ˌʔaɪnəm ˈbʊʁnuːt]</t>
  </si>
  <si>
    <t xml:space="preserve">Anh ấy bị kiệt sức nghề nghiệp.</t>
  </si>
  <si>
    <t xml:space="preserve">der Burnout = kiệt sức</t>
  </si>
  <si>
    <t xml:space="preserve">S1447</t>
  </si>
  <si>
    <t xml:space="preserve">erleichtern = làm dễ hơn</t>
  </si>
  <si>
    <t xml:space="preserve">Flexible Arbeitszeiten erleichtern die Kinderbetreuung.</t>
  </si>
  <si>
    <t xml:space="preserve">[flɛkˈsiːblə ˈʔaʁbaɪtsˌtsaɪtən ʔɛʁˈlaɪçtɐn diː ˈkɪndɐˌbɛtʁɔøˌʔʊŋ]</t>
  </si>
  <si>
    <t xml:space="preserve">Giờ làm linh hoạt giúp việc trông con dễ hơn.</t>
  </si>
  <si>
    <t xml:space="preserve">die Kinderbetreuung = việc chăm con</t>
  </si>
  <si>
    <t xml:space="preserve">S1448</t>
  </si>
  <si>
    <t xml:space="preserve">Ich habe um eine Gehaltserhöhung gebeten.</t>
  </si>
  <si>
    <t xml:space="preserve">[ʔɪç haːbə ʔʊm ˌʔaɪnə ɡəˈhaltzɐˌhøːʊŋ ɡəˈbeːtən]</t>
  </si>
  <si>
    <t xml:space="preserve">Tôi đã xin tăng lương.</t>
  </si>
  <si>
    <t xml:space="preserve">die Gehaltserhöhung = tăng lương</t>
  </si>
  <si>
    <t xml:space="preserve">S1449</t>
  </si>
  <si>
    <t xml:space="preserve">überraschend = bất ngờ</t>
  </si>
  <si>
    <t xml:space="preserve">Die Kündigung kam völlig überraschend.</t>
  </si>
  <si>
    <t xml:space="preserve">[diː ˈkyndɪˌɡʊŋ ˌkaːm ˈfœlɪç ˌʔyːbɐˈʁaʃənt]</t>
  </si>
  <si>
    <t xml:space="preserve">Quyết định sa thải đến hoàn toàn bất ngờ.</t>
  </si>
  <si>
    <t xml:space="preserve">die Kündigung = sự sa thải</t>
  </si>
  <si>
    <t xml:space="preserve">S1450</t>
  </si>
  <si>
    <t xml:space="preserve">wer ... der (mệnh đề chủ ngữ)</t>
  </si>
  <si>
    <t xml:space="preserve">Wer sich nicht weiterbildet, bleibt zurück.</t>
  </si>
  <si>
    <t xml:space="preserve">[ˈveːɐ̯ zɪç ˈnɪçt ˈvaɪtɐˌbɪldət, ˈblaɪpt tsuːˈʁyk]</t>
  </si>
  <si>
    <t xml:space="preserve">Ai không học thêm thì sẽ tụt lại.</t>
  </si>
  <si>
    <t xml:space="preserve">zurückbleiben = tụt lại</t>
  </si>
  <si>
    <t xml:space="preserve">S1451</t>
  </si>
  <si>
    <t xml:space="preserve">in Frage kommen</t>
  </si>
  <si>
    <t xml:space="preserve">Teilzeit kommt für mich nicht in Frage.</t>
  </si>
  <si>
    <t xml:space="preserve">[ˈtaɪltsaɪt ˈkɔmt fyːɐ̯ mɪç ˈnɪçt ʔɪn ˈfʁaːɡə]</t>
  </si>
  <si>
    <t xml:space="preserve">Làm bán thời gian thì tôi không tính đến.</t>
  </si>
  <si>
    <t xml:space="preserve">die Teilzeit = bán thời gian</t>
  </si>
  <si>
    <t xml:space="preserve">S1452</t>
  </si>
  <si>
    <t xml:space="preserve">sich richten nach + Dativ</t>
  </si>
  <si>
    <t xml:space="preserve">Das Gehalt richtet sich nach der Erfahrung.</t>
  </si>
  <si>
    <t xml:space="preserve">[das ɡəˈhalt ˈʁɪçtət zɪç naːx dɛɐ̯ ʔɛʁˈfaːʁʊŋ]</t>
  </si>
  <si>
    <t xml:space="preserve">Lương tùy theo kinh nghiệm.</t>
  </si>
  <si>
    <t xml:space="preserve">sich richten nach = tùy theo</t>
  </si>
  <si>
    <t xml:space="preserve">S1453</t>
  </si>
  <si>
    <t xml:space="preserve">Sinn + in + Dativ</t>
  </si>
  <si>
    <t xml:space="preserve">Viele junge Leute wollen Sinn in ihrer Arbeit.</t>
  </si>
  <si>
    <t xml:space="preserve">[ˈfiːlə ˈjʊŋə ˈlɔøtə vɔlən ˈzɪn ʔɪn ˌʔiːʁɐ ˈʔaʁbaɪt]</t>
  </si>
  <si>
    <t xml:space="preserve">Nhiều người trẻ muốn công việc có ý nghĩa.</t>
  </si>
  <si>
    <t xml:space="preserve">der Sinn = ý nghĩa</t>
  </si>
  <si>
    <t xml:space="preserve">S1454</t>
  </si>
  <si>
    <t xml:space="preserve">fordern + Akkusativ</t>
  </si>
  <si>
    <t xml:space="preserve">Die Gewerkschaft fordert höhere Löhne.</t>
  </si>
  <si>
    <t xml:space="preserve">[diː ɡəˈvɛʁkʃaft ˈfɔʁdɐt ˈhøːəʁə ˈløːnə]</t>
  </si>
  <si>
    <t xml:space="preserve">Công đoàn đòi tăng lương.</t>
  </si>
  <si>
    <t xml:space="preserve">die Gewerkschaft = công đoàn; der Lohn = tiền công</t>
  </si>
  <si>
    <t xml:space="preserve">S1455</t>
  </si>
  <si>
    <t xml:space="preserve">vereinbaren = dung hòa</t>
  </si>
  <si>
    <t xml:space="preserve">Ich kann Beruf und Familie kaum vereinbaren.</t>
  </si>
  <si>
    <t xml:space="preserve">[ʔɪç ˌkan bəˈʁuːf ʔʊnt faˈmiːlɪə ˈkaʊm fɛˈʁaɪnbaːʁən]</t>
  </si>
  <si>
    <t xml:space="preserve">Tôi khó cân bằng công việc và gia đình.</t>
  </si>
  <si>
    <t xml:space="preserve">S1456</t>
  </si>
  <si>
    <t xml:space="preserve">zurückkehren tách</t>
  </si>
  <si>
    <t xml:space="preserve">Nach der Elternzeit kehrte sie zurück.</t>
  </si>
  <si>
    <t xml:space="preserve">[naːx dɛɐ̯ ˈʔɛltɛʁnˌtsaɪt ˈkeːɐ̯tə ziː tsuːˈʁyk]</t>
  </si>
  <si>
    <t xml:space="preserve">Sau kỳ nghỉ sinh con cô ấy quay lại.</t>
  </si>
  <si>
    <t xml:space="preserve">die Elternzeit = nghỉ chăm con</t>
  </si>
  <si>
    <t xml:space="preserve">S1457</t>
  </si>
  <si>
    <t xml:space="preserve">keine Seltenheit sein</t>
  </si>
  <si>
    <t xml:space="preserve">Mobbing am Arbeitsplatz ist keine Seltenheit.</t>
  </si>
  <si>
    <t xml:space="preserve">[ˈmɔbɪŋ ʔam ˈʔaʁbaɪtsˌplats ʔɪst ˈkaɪnə ˈzɛltənˌhaɪt]</t>
  </si>
  <si>
    <t xml:space="preserve">Bắt nạt nơi làm việc không hiếm.</t>
  </si>
  <si>
    <t xml:space="preserve">die Seltenheit = sự hiếm</t>
  </si>
  <si>
    <t xml:space="preserve">S1458</t>
  </si>
  <si>
    <t xml:space="preserve">abschalten = ngắt/thư giãn</t>
  </si>
  <si>
    <t xml:space="preserve">Man sollte nach Feierabend abschalten können.</t>
  </si>
  <si>
    <t xml:space="preserve">[man ˌzɔltə naːx ˈfaɪeːˌʁaːbənt ˈʔapˌʃaltən ˈkœnən]</t>
  </si>
  <si>
    <t xml:space="preserve">Sau giờ làm nên ngắt kết nối được.</t>
  </si>
  <si>
    <t xml:space="preserve">abschalten = ngắt kết nối</t>
  </si>
  <si>
    <t xml:space="preserve">S1459</t>
  </si>
  <si>
    <t xml:space="preserve">dauern + Akkusativ</t>
  </si>
  <si>
    <t xml:space="preserve">Die Probezeit dauert sechs Monate.</t>
  </si>
  <si>
    <t xml:space="preserve">[diː ˈpʁoːbəˌtsaɪt ˈdaʊɐt ˈzɛks ˈmoːnaːtə]</t>
  </si>
  <si>
    <t xml:space="preserve">Thời gian thử việc kéo dài sáu tháng.</t>
  </si>
  <si>
    <t xml:space="preserve">die Probezeit = thời gian thử việc</t>
  </si>
  <si>
    <t xml:space="preserve">S1460</t>
  </si>
  <si>
    <t xml:space="preserve">anstreben tách</t>
  </si>
  <si>
    <t xml:space="preserve">Ich strebe eine Führungsposition an.</t>
  </si>
  <si>
    <t xml:space="preserve">[ʔɪç ˈʃtʁeːbə ˌʔaɪnə ˌfyːʁʊŋˌspoːziːtsˈjoːn ˈʔan]</t>
  </si>
  <si>
    <t xml:space="preserve">Tôi hướng tới một vị trí quản lý.</t>
  </si>
  <si>
    <t xml:space="preserve">anstreben = hướng tới; die Führungsposition = vị trí lãnh đạo</t>
  </si>
  <si>
    <t xml:space="preserve">S1461</t>
  </si>
  <si>
    <t xml:space="preserve">Giáo dục &amp; cơ hội bình đẳng</t>
  </si>
  <si>
    <t xml:space="preserve">der Schlüssel zu + Dativ</t>
  </si>
  <si>
    <t xml:space="preserve">Bildung ist der Schlüssel zum Aufstieg.</t>
  </si>
  <si>
    <t xml:space="preserve">[ˈbɪldʊŋ ʔɪst dɛɐ̯ ˈʃlysəl tsʊm ˈʔaʊfˌʃtiːk]</t>
  </si>
  <si>
    <t xml:space="preserve">Giáo dục là chìa khóa để vươn lên.</t>
  </si>
  <si>
    <t xml:space="preserve">die Bildung = giáo dục; der Aufstieg = sự thăng tiến</t>
  </si>
  <si>
    <t xml:space="preserve">S1462</t>
  </si>
  <si>
    <t xml:space="preserve">abhängen von + Dativ</t>
  </si>
  <si>
    <t xml:space="preserve">Der Bildungserfolg hängt stark vom Elternhaus ab.</t>
  </si>
  <si>
    <t xml:space="preserve">[dɛɐ̯ ˈbɪldʊŋsɐˌfɔlk ˈhɛŋt ˈʃtaʁk fɔm ˈʔɛltɛʁnˌhaʊs ˈʔap]</t>
  </si>
  <si>
    <t xml:space="preserve">Thành công học tập phụ thuộc nhiều vào gia đình.</t>
  </si>
  <si>
    <t xml:space="preserve">das Elternhaus = gia đình gốc</t>
  </si>
  <si>
    <t xml:space="preserve">S1463</t>
  </si>
  <si>
    <t xml:space="preserve">nicht jeder</t>
  </si>
  <si>
    <t xml:space="preserve">Nicht jeder hat die gleichen Chancen.</t>
  </si>
  <si>
    <t xml:space="preserve">[ˈnɪçt ˈjeːdɐ hat diː ˈɡlaɪçən ˈʃãsən]</t>
  </si>
  <si>
    <t xml:space="preserve">Không phải ai cũng có cơ hội như nhau.</t>
  </si>
  <si>
    <t xml:space="preserve">die Chance = cơ hội</t>
  </si>
  <si>
    <t xml:space="preserve">S1464</t>
  </si>
  <si>
    <t xml:space="preserve">überlastet = quá tải</t>
  </si>
  <si>
    <t xml:space="preserve">Lehrkräfte sind oft überlastet.</t>
  </si>
  <si>
    <t xml:space="preserve">[ˈleːɐ̯ˌkʁɛftə zɪnt ˈʔɔft ˌʔyːbɐˈlastət]</t>
  </si>
  <si>
    <t xml:space="preserve">Giáo viên thường bị quá tải.</t>
  </si>
  <si>
    <t xml:space="preserve">die Lehrkraft = giáo viên</t>
  </si>
  <si>
    <t xml:space="preserve">S1465</t>
  </si>
  <si>
    <t xml:space="preserve">immer + Komparativ</t>
  </si>
  <si>
    <t xml:space="preserve">Lebenslanges Lernen wird immer wichtiger.</t>
  </si>
  <si>
    <t xml:space="preserve">[ˈleːbənsˌlaŋəs ˈlɛʁnən ˌvɪʁt ˈʔɪmɐ ˈvɪçtɪɡɐ]</t>
  </si>
  <si>
    <t xml:space="preserve">Học suốt đời ngày càng quan trọng.</t>
  </si>
  <si>
    <t xml:space="preserve">lebenslang = suốt đời</t>
  </si>
  <si>
    <t xml:space="preserve">S1466</t>
  </si>
  <si>
    <t xml:space="preserve">müsste + Passiv</t>
  </si>
  <si>
    <t xml:space="preserve">Das Schulsystem müsste grundlegend reformiert werden.</t>
  </si>
  <si>
    <t xml:space="preserve">[das ˈʃuːlzyˌsteːm ˈmystə ɡʁʊndˈleːɡənt ˌʁeːfɔʁˈmiːɐ̯t ˌvɛʁdən]</t>
  </si>
  <si>
    <t xml:space="preserve">Hệ thống trường học đáng ra phải cải cách triệt để.</t>
  </si>
  <si>
    <t xml:space="preserve">reformieren = cải cách; grundlegend = căn bản</t>
  </si>
  <si>
    <t xml:space="preserve">S1467</t>
  </si>
  <si>
    <t xml:space="preserve">abbrechen tách</t>
  </si>
  <si>
    <t xml:space="preserve">Viele Jugendliche brechen die Ausbildung ab.</t>
  </si>
  <si>
    <t xml:space="preserve">[ˈfiːlə ˈjuːɡəntˌlɪçə ˈbʁɛçən diː ˈʔaʊsˌbɪldʊŋ ˈʔap]</t>
  </si>
  <si>
    <t xml:space="preserve">Nhiều thanh niên bỏ dở việc học nghề.</t>
  </si>
  <si>
    <t xml:space="preserve">abbrechen = bỏ dở; die Ausbildung = học nghề</t>
  </si>
  <si>
    <t xml:space="preserve">S1468</t>
  </si>
  <si>
    <t xml:space="preserve">zählen + Komparativ</t>
  </si>
  <si>
    <t xml:space="preserve">Praktische Erfahrung zählt mehr als Theorie.</t>
  </si>
  <si>
    <t xml:space="preserve">[ˈpʁaktɪʃə ʔɛʁˈfaːʁʊŋ ˈtsɛːlt ˈmeːɐ̯ ʔals ˌteːoːˈʁiː]</t>
  </si>
  <si>
    <t xml:space="preserve">Kinh nghiệm thực tế đáng giá hơn lý thuyết.</t>
  </si>
  <si>
    <t xml:space="preserve">die Theorie = lý thuyết</t>
  </si>
  <si>
    <t xml:space="preserve">S1469</t>
  </si>
  <si>
    <t xml:space="preserve">auslernen = học xong nghề</t>
  </si>
  <si>
    <t xml:space="preserve">Man lernt nie aus.</t>
  </si>
  <si>
    <t xml:space="preserve">[man ˈlɛʁnt ˈniː ˈʔaʊs]</t>
  </si>
  <si>
    <t xml:space="preserve">Học thì không bao giờ hết.</t>
  </si>
  <si>
    <t xml:space="preserve">auslernen = học xong</t>
  </si>
  <si>
    <t xml:space="preserve">S1470</t>
  </si>
  <si>
    <t xml:space="preserve">abschaffen = bãi bỏ</t>
  </si>
  <si>
    <t xml:space="preserve">Die Studiengebühren wurden abgeschafft.</t>
  </si>
  <si>
    <t xml:space="preserve">[diː ˈʃtuːdiːˌŋeːbyːʁən ˌvʊʁdən ˈʔapɡəˌʃaft]</t>
  </si>
  <si>
    <t xml:space="preserve">Học phí đã bị bãi bỏ.</t>
  </si>
  <si>
    <t xml:space="preserve">die Studiengebühr = học phí</t>
  </si>
  <si>
    <t xml:space="preserve">S1471</t>
  </si>
  <si>
    <t xml:space="preserve">eröffnen = mở ra</t>
  </si>
  <si>
    <t xml:space="preserve">Sprachkenntnisse eröffnen neue Möglichkeiten.</t>
  </si>
  <si>
    <t xml:space="preserve">[ˈʃpʁaːxkəntˌnɪsə ʔɛˈʁœfnən ˈnɔøə ˈmœklɪçˌkaɪtən]</t>
  </si>
  <si>
    <t xml:space="preserve">Kiến thức ngôn ngữ mở ra cơ hội mới.</t>
  </si>
  <si>
    <t xml:space="preserve">die Sprachkenntnisse = kiến thức ngôn ngữ</t>
  </si>
  <si>
    <t xml:space="preserve">S1472</t>
  </si>
  <si>
    <t xml:space="preserve">es mangelt an + Dativ</t>
  </si>
  <si>
    <t xml:space="preserve">Es mangelt an qualifizierten Lehrern.</t>
  </si>
  <si>
    <t xml:space="preserve">[ʔɛs ˈmaŋəlt ʔan ˌkvaliːfiːˈtsiːɐ̯tən ˈleːʁɐn]</t>
  </si>
  <si>
    <t xml:space="preserve">Thiếu giáo viên có trình độ.</t>
  </si>
  <si>
    <t xml:space="preserve">mangeln an = thiếu</t>
  </si>
  <si>
    <t xml:space="preserve">S1473</t>
  </si>
  <si>
    <t xml:space="preserve">Digitale Medien verändern den Unterricht.</t>
  </si>
  <si>
    <t xml:space="preserve">[ˌdiːɡiːˈtaːlə ˈmeːdɪən fɛˈʁɛndɐn deːn ˌʔʊntɐˈʁɪçt]</t>
  </si>
  <si>
    <t xml:space="preserve">Phương tiện số thay đổi cách dạy học.</t>
  </si>
  <si>
    <t xml:space="preserve">der Unterricht = giờ học</t>
  </si>
  <si>
    <t xml:space="preserve">S1474</t>
  </si>
  <si>
    <t xml:space="preserve">dazugehören zu + Dativ</t>
  </si>
  <si>
    <t xml:space="preserve">Fehler gehören zum Lernprozess dazu.</t>
  </si>
  <si>
    <t xml:space="preserve">[ˈfeːlɐ ɡəˈhøːʁən tsʊm ˈlɛʁnpʁoːˌtsɛs daːˈtsuː]</t>
  </si>
  <si>
    <t xml:space="preserve">Sai lầm là một phần của quá trình học.</t>
  </si>
  <si>
    <t xml:space="preserve">der Lernprozess = quá trình học</t>
  </si>
  <si>
    <t xml:space="preserve">S1475</t>
  </si>
  <si>
    <t xml:space="preserve">finanzieren = tài trợ</t>
  </si>
  <si>
    <t xml:space="preserve">Er hat sein Studium selbst finanziert.</t>
  </si>
  <si>
    <t xml:space="preserve">[ʔɛɐ̯ hat zaɪn ˈʃtuːdiːˌʊm ˈzɛlpst ˌfiːnanˈtsiːɐ̯t]</t>
  </si>
  <si>
    <t xml:space="preserve">Anh ấy tự chi trả việc học.</t>
  </si>
  <si>
    <t xml:space="preserve">finanzieren = chi trả</t>
  </si>
  <si>
    <t xml:space="preserve">S1476</t>
  </si>
  <si>
    <t xml:space="preserve">bleiben + Nominativ</t>
  </si>
  <si>
    <t xml:space="preserve">Chancengleichheit bleibt ein Ideal.</t>
  </si>
  <si>
    <t xml:space="preserve">[ˈʃãsəŋˌlaɪçhaɪt ˈblaɪpt ʔaɪn ˌʔiːdeːˈaːl]</t>
  </si>
  <si>
    <t xml:space="preserve">Bình đẳng cơ hội vẫn là lý tưởng.</t>
  </si>
  <si>
    <t xml:space="preserve">die Chancengleichheit = bình đẳng cơ hội</t>
  </si>
  <si>
    <t xml:space="preserve">S1477</t>
  </si>
  <si>
    <t xml:space="preserve">auseinanderklaffen tách</t>
  </si>
  <si>
    <t xml:space="preserve">Theorie und Praxis klaffen oft auseinander.</t>
  </si>
  <si>
    <t xml:space="preserve">[ˌteːoːˈʁiː ʔʊnt ˈpʁaksɪs ˈklafən ˈʔɔft ˈʔaʊsaɪˌnandɐ]</t>
  </si>
  <si>
    <t xml:space="preserve">Lý thuyết và thực hành thường cách xa nhau.</t>
  </si>
  <si>
    <t xml:space="preserve">auseinanderklaffen = chênh lệch</t>
  </si>
  <si>
    <t xml:space="preserve">S1478</t>
  </si>
  <si>
    <t xml:space="preserve">Partizip danh hóa: Studierende</t>
  </si>
  <si>
    <t xml:space="preserve">Viele Studierende arbeiten nebenbei.</t>
  </si>
  <si>
    <t xml:space="preserve">[ˈfiːlə ʃtuːˈdiːʁəndə ˈʔaʁbaɪtən ˈneːbənˌbaɪ]</t>
  </si>
  <si>
    <t xml:space="preserve">Nhiều sinh viên làm thêm.</t>
  </si>
  <si>
    <t xml:space="preserve">nebenbei = bên cạnh/làm thêm</t>
  </si>
  <si>
    <t xml:space="preserve">S1479</t>
  </si>
  <si>
    <t xml:space="preserve">sinken + sein</t>
  </si>
  <si>
    <t xml:space="preserve">Das Niveau ist deutlich gesunken.</t>
  </si>
  <si>
    <t xml:space="preserve">[das niːˈvoː ʔɪst ˈdɔøtlɪç ɡəˈzʊŋkən]</t>
  </si>
  <si>
    <t xml:space="preserve">Trình độ đã giảm rõ rệt.</t>
  </si>
  <si>
    <t xml:space="preserve">das Niveau = trình độ; sinken = giảm</t>
  </si>
  <si>
    <t xml:space="preserve">S1480</t>
  </si>
  <si>
    <t xml:space="preserve">ohne + Nomen; es ist schwer zu</t>
  </si>
  <si>
    <t xml:space="preserve">Ohne Abschluss ist es schwer, Arbeit zu finden.</t>
  </si>
  <si>
    <t xml:space="preserve">[ˈʔoːnə ˈʔapˌʃlʊs ʔɪst ʔɛs ˈʃveːɐ̯, ˈʔaʁbaɪt tsuː ˈfɪndən]</t>
  </si>
  <si>
    <t xml:space="preserve">Không có bằng thì khó tìm việc.</t>
  </si>
  <si>
    <t xml:space="preserve">der Abschluss = bằng cấp</t>
  </si>
  <si>
    <t xml:space="preserve">S1481</t>
  </si>
  <si>
    <t xml:space="preserve">Di cư &amp; hội nhập</t>
  </si>
  <si>
    <t xml:space="preserve">wechselseitig = hai chiều</t>
  </si>
  <si>
    <t xml:space="preserve">Integration ist ein wechselseitiger Prozess.</t>
  </si>
  <si>
    <t xml:space="preserve">[ˌʔɪntɛɡʁatsˈjoːn ʔɪst ʔaɪn ˈvɛksəlˌzaɪtɪɡɐ pʁoːˈtsɛs]</t>
  </si>
  <si>
    <t xml:space="preserve">Hội nhập là một quá trình hai chiều.</t>
  </si>
  <si>
    <t xml:space="preserve">die Integration = hội nhập</t>
  </si>
  <si>
    <t xml:space="preserve">S1482</t>
  </si>
  <si>
    <t xml:space="preserve">Viele Migranten arbeiten unter ihrem Niveau.</t>
  </si>
  <si>
    <t xml:space="preserve">[ˈfiːlə mɪˈɡʁantən ˈʔaʁbaɪtən ˌʔʊntɐ ˌʔiːʁəm niːˈvoː]</t>
  </si>
  <si>
    <t xml:space="preserve">Nhiều người nhập cư làm việc dưới trình độ.</t>
  </si>
  <si>
    <t xml:space="preserve">der Migrant = người nhập cư</t>
  </si>
  <si>
    <t xml:space="preserve">S1483</t>
  </si>
  <si>
    <t xml:space="preserve">zur + Nomen</t>
  </si>
  <si>
    <t xml:space="preserve">Sprache ist der wichtigste Schlüssel zur Teilhabe.</t>
  </si>
  <si>
    <t xml:space="preserve">[ˈʃpʁaːxə ʔɪst dɛɐ̯ ˈvɪçtɪçstə ˈʃlysəl tsuːɐ̯ ˈtaɪlhaːbə]</t>
  </si>
  <si>
    <t xml:space="preserve">Ngôn ngữ là chìa khóa quan trọng nhất để hòa nhập.</t>
  </si>
  <si>
    <t xml:space="preserve">die Teilhabe = sự tham dự</t>
  </si>
  <si>
    <t xml:space="preserve">S1484</t>
  </si>
  <si>
    <t xml:space="preserve">anerkennen = công nhận</t>
  </si>
  <si>
    <t xml:space="preserve">Ausländische Abschlüsse werden oft nicht anerkannt.</t>
  </si>
  <si>
    <t xml:space="preserve">[ˈʔaʊsˌlɛndɪʃə ˈʔapˌʃlysə ˌvɛʁdən ˈʔɔft ˈnɪçt ˈʔanɛʁˌkant]</t>
  </si>
  <si>
    <t xml:space="preserve">Bằng cấp nước ngoài thường không được công nhận.</t>
  </si>
  <si>
    <t xml:space="preserve">S1485</t>
  </si>
  <si>
    <t xml:space="preserve">sich fühlen + Ortsangabe</t>
  </si>
  <si>
    <t xml:space="preserve">Er fühlt sich zwischen zwei Kulturen.</t>
  </si>
  <si>
    <t xml:space="preserve">[ʔɛɐ̯ ˈfyːlt zɪç ˈtsvɪʃən ˈtsvaɪ kʊlˈtuːʁən]</t>
  </si>
  <si>
    <t xml:space="preserve">Anh ấy thấy mình ở giữa hai nền văn hóa.</t>
  </si>
  <si>
    <t xml:space="preserve">S1486</t>
  </si>
  <si>
    <t xml:space="preserve">entstehen aus + Dativ</t>
  </si>
  <si>
    <t xml:space="preserve">Vorurteile entstehen oft aus Unwissenheit.</t>
  </si>
  <si>
    <t xml:space="preserve">[ˈfoːˌʁʊʁtaɪlə ʔɛntˈʃteːən ˈʔɔft ˌʔaʊs ˈʔʊnˌvɪsənˌhaɪt]</t>
  </si>
  <si>
    <t xml:space="preserve">Định kiến thường nảy sinh từ sự thiếu hiểu biết.</t>
  </si>
  <si>
    <t xml:space="preserve">die Unwissenheit = sự thiếu hiểu biết</t>
  </si>
  <si>
    <t xml:space="preserve">S1487</t>
  </si>
  <si>
    <t xml:space="preserve">Der Spracherwerb braucht Zeit und Geduld.</t>
  </si>
  <si>
    <t xml:space="preserve">[dɛɐ̯ ˈʃpʁaːxɐvɐp ˈbʁaʊxt ˈtsaɪt ʔʊnt ɡəˈdʊlt]</t>
  </si>
  <si>
    <t xml:space="preserve">Việc học ngôn ngữ cần thời gian và kiên nhẫn.</t>
  </si>
  <si>
    <t xml:space="preserve">der Spracherwerb = sự tiếp thu ngôn ngữ</t>
  </si>
  <si>
    <t xml:space="preserve">S1488</t>
  </si>
  <si>
    <t xml:space="preserve">sich engagieren für + Akkusativ</t>
  </si>
  <si>
    <t xml:space="preserve">Sie engagiert sich ehrenamtlich für Geflüchtete.</t>
  </si>
  <si>
    <t xml:space="preserve">[ziː ˌʔaŋɡaˈʒiːɐ̯t zɪç ˈʔeːʁəˌnamtlɪç fyːɐ̯ ɡəˈflyçtətə]</t>
  </si>
  <si>
    <t xml:space="preserve">Cô ấy làm tình nguyện cho người tị nạn.</t>
  </si>
  <si>
    <t xml:space="preserve">ehrenamtlich = tình nguyện; der Geflüchtete = người tị nạn</t>
  </si>
  <si>
    <t xml:space="preserve">S1489</t>
  </si>
  <si>
    <t xml:space="preserve">entscheiden über + Akkusativ</t>
  </si>
  <si>
    <t xml:space="preserve">Herkunft darf nicht über Zukunft entscheiden.</t>
  </si>
  <si>
    <t xml:space="preserve">[ˈhɛʁkʊnft ˈdaʁf ˈnɪçt ˌʔyːbɐ tsuːˈkʊnft ʔɛntˈʃaɪdən]</t>
  </si>
  <si>
    <t xml:space="preserve">Xuất thân không được quyết định tương lai.</t>
  </si>
  <si>
    <t xml:space="preserve">die Herkunft = xuất thân</t>
  </si>
  <si>
    <t xml:space="preserve">S1490</t>
  </si>
  <si>
    <t xml:space="preserve">ganz normal</t>
  </si>
  <si>
    <t xml:space="preserve">Heimweh ist ein ganz normales Gefühl.</t>
  </si>
  <si>
    <t xml:space="preserve">[ˈhaɪmveː ʔɪst ʔaɪn ˌɡants nɔʁˈmaːləs ɡəˈfyːl]</t>
  </si>
  <si>
    <t xml:space="preserve">Nhớ nhà là cảm giác hoàn toàn bình thường.</t>
  </si>
  <si>
    <t xml:space="preserve">das Heimweh = nỗi nhớ nhà</t>
  </si>
  <si>
    <t xml:space="preserve">S1491</t>
  </si>
  <si>
    <t xml:space="preserve">Viele kehren nach Jahren zurück.</t>
  </si>
  <si>
    <t xml:space="preserve">[ˈfiːlə ˈkeːʁən naːx ˈjaːʁən tsuːˈʁyk]</t>
  </si>
  <si>
    <t xml:space="preserve">Nhiều người quay về sau nhiều năm.</t>
  </si>
  <si>
    <t xml:space="preserve">zurückkehren = quay về</t>
  </si>
  <si>
    <t xml:space="preserve">S1492</t>
  </si>
  <si>
    <t xml:space="preserve">erschweren = làm khó</t>
  </si>
  <si>
    <t xml:space="preserve">Die Bürokratie erschwert den Einstieg.</t>
  </si>
  <si>
    <t xml:space="preserve">[diː ˌbyːʁɔkʁaˈtiː ʔɛʁˈʃveːɐ̯t deːn ˈʔaɪnˌʃtiːk]</t>
  </si>
  <si>
    <t xml:space="preserve">Thủ tục hành chính làm khó việc bắt đầu.</t>
  </si>
  <si>
    <t xml:space="preserve">die Bürokratie = bộ máy hành chính</t>
  </si>
  <si>
    <t xml:space="preserve">S1493</t>
  </si>
  <si>
    <t xml:space="preserve">sich einleben tách</t>
  </si>
  <si>
    <t xml:space="preserve">Er hat sich hier schnell eingelebt.</t>
  </si>
  <si>
    <t xml:space="preserve">[ʔɛɐ̯ hat zɪç ˈhiːɐ̯ ˈʃnɛl ˈʔaɪnɡəˌleːpt]</t>
  </si>
  <si>
    <t xml:space="preserve">Anh ấy hòa nhập ở đây rất nhanh.</t>
  </si>
  <si>
    <t xml:space="preserve">sich einleben = hòa nhập</t>
  </si>
  <si>
    <t xml:space="preserve">S1494</t>
  </si>
  <si>
    <t xml:space="preserve">die Mehrsprachigkeit</t>
  </si>
  <si>
    <t xml:space="preserve">Mehrsprachigkeit ist ein großer Vorteil.</t>
  </si>
  <si>
    <t xml:space="preserve">[ˈmeːɐ̯ʃpʁaːˌxɪçkaɪt ʔɪst ʔaɪn ˈɡʁoːsɐ ˈfoːɐ̯ˌtaɪl]</t>
  </si>
  <si>
    <t xml:space="preserve">Đa ngữ là một lợi thế lớn.</t>
  </si>
  <si>
    <t xml:space="preserve">die Mehrsprachigkeit = sự đa ngữ</t>
  </si>
  <si>
    <t xml:space="preserve">S1495</t>
  </si>
  <si>
    <t xml:space="preserve">gesetzlich = theo luật</t>
  </si>
  <si>
    <t xml:space="preserve">Diskriminierung ist gesetzlich verboten.</t>
  </si>
  <si>
    <t xml:space="preserve">[ˌdɪskʁiːmiːˈniːʁʊŋ ʔɪst ɡəˈzɛtslɪç fɛʁˈboːtən]</t>
  </si>
  <si>
    <t xml:space="preserve">Phân biệt đối xử bị luật cấm.</t>
  </si>
  <si>
    <t xml:space="preserve">die Diskriminierung = phân biệt đối xử</t>
  </si>
  <si>
    <t xml:space="preserve">S1496</t>
  </si>
  <si>
    <t xml:space="preserve">Die Einbürgerung dauert mehrere Jahre.</t>
  </si>
  <si>
    <t xml:space="preserve">[diː ˈʔaɪnˌbyʁɡəˌʁʊŋ ˈdaʊɐt ˈmeːʁəʁə ˈjaːʁə]</t>
  </si>
  <si>
    <t xml:space="preserve">Việc nhập quốc tịch mất vài năm.</t>
  </si>
  <si>
    <t xml:space="preserve">die Einbürgerung = nhập quốc tịch</t>
  </si>
  <si>
    <t xml:space="preserve">S1497</t>
  </si>
  <si>
    <t xml:space="preserve">sich gewöhnen an + Akkusativ</t>
  </si>
  <si>
    <t xml:space="preserve">Man muss sich an neue Gepflogenheiten gewöhnen.</t>
  </si>
  <si>
    <t xml:space="preserve">[man ˈmʊs zɪç ʔan ˈnɔøə ɡəˈpfloːɡənˌhaɪtən ɡəˈvøːnən]</t>
  </si>
  <si>
    <t xml:space="preserve">Phải quen với tập quán mới.</t>
  </si>
  <si>
    <t xml:space="preserve">die Gepflogenheit = tập quán</t>
  </si>
  <si>
    <t xml:space="preserve">S1498</t>
  </si>
  <si>
    <t xml:space="preserve">mühelos = không khó nhọc</t>
  </si>
  <si>
    <t xml:space="preserve">Kinder lernen die Sprache meist mühelos.</t>
  </si>
  <si>
    <t xml:space="preserve">[ˈkɪndɐ ˈlɛʁnən diː ˈʃpʁaːxə ˈmaɪst ˈmyːəˌloːs]</t>
  </si>
  <si>
    <t xml:space="preserve">Trẻ con thường học ngôn ngữ dễ dàng.</t>
  </si>
  <si>
    <t xml:space="preserve">mühelos = dễ dàng</t>
  </si>
  <si>
    <t xml:space="preserve">S1499</t>
  </si>
  <si>
    <t xml:space="preserve">auf beiden Seiten</t>
  </si>
  <si>
    <t xml:space="preserve">Offenheit auf beiden Seiten ist nötig.</t>
  </si>
  <si>
    <t xml:space="preserve">[ˈʔɔfənˌhaɪt ʔaʊf ˈbaɪdən ˈzaɪtən ʔɪst ˈnøːtɪç]</t>
  </si>
  <si>
    <t xml:space="preserve">Cần sự cởi mở từ cả hai phía.</t>
  </si>
  <si>
    <t xml:space="preserve">die Offenheit = sự cởi mở</t>
  </si>
  <si>
    <t xml:space="preserve">S1500</t>
  </si>
  <si>
    <t xml:space="preserve">die Wurzel = gốc rễ</t>
  </si>
  <si>
    <t xml:space="preserve">Er hat seine Wurzeln nie vergessen.</t>
  </si>
  <si>
    <t xml:space="preserve">[ʔɛɐ̯ hat ˌzaɪnə ˈvʊʁtsəln ˈniː fɛʁˈɡɛsən]</t>
  </si>
  <si>
    <t xml:space="preserve">Anh ấy chưa bao giờ quên cội nguồn.</t>
  </si>
  <si>
    <t xml:space="preserve">die Wurzel = cội nguồn</t>
  </si>
  <si>
    <t xml:space="preserve">S1501</t>
  </si>
  <si>
    <t xml:space="preserve">Hệ thống y tế &amp; phòng bệnh</t>
  </si>
  <si>
    <t xml:space="preserve">Infinitiv danh hóa + Komparativ</t>
  </si>
  <si>
    <t xml:space="preserve">Vorbeugen ist besser als heilen.</t>
  </si>
  <si>
    <t xml:space="preserve">[ˈfoːɐ̯ˌbɔøɡən ʔɪst ˈbɛsɐ ʔals ˈhaɪlən]</t>
  </si>
  <si>
    <t xml:space="preserve">Phòng bệnh hơn chữa bệnh.</t>
  </si>
  <si>
    <t xml:space="preserve">vorbeugen = phòng ngừa; heilen = chữa lành</t>
  </si>
  <si>
    <t xml:space="preserve">S1502</t>
  </si>
  <si>
    <t xml:space="preserve">beim + Dativ</t>
  </si>
  <si>
    <t xml:space="preserve">Die Wartezeiten beim Facharzt sind zu lang.</t>
  </si>
  <si>
    <t xml:space="preserve">[diː ˈvaʁteːˌtsaɪtən baɪm ˈfaxaʁtst zɪnt tsuː ˈlaŋ]</t>
  </si>
  <si>
    <t xml:space="preserve">Thời gian chờ bác sĩ chuyên khoa quá lâu.</t>
  </si>
  <si>
    <t xml:space="preserve">der Facharzt = bác sĩ chuyên khoa</t>
  </si>
  <si>
    <t xml:space="preserve">S1503</t>
  </si>
  <si>
    <t xml:space="preserve">zuzahlen tách</t>
  </si>
  <si>
    <t xml:space="preserve">Gesetzlich Versicherte zahlen weniger zu.</t>
  </si>
  <si>
    <t xml:space="preserve">[ɡəˈzɛtslɪç fɛʁˈzɪçɐtə ˈtsaːlən ˈveːnɪɡɐ ˈtsuː]</t>
  </si>
  <si>
    <t xml:space="preserve">Người có bảo hiểm bắt buộc trả thêm ít hơn.</t>
  </si>
  <si>
    <t xml:space="preserve">zuzahlen = trả thêm</t>
  </si>
  <si>
    <t xml:space="preserve">S1504</t>
  </si>
  <si>
    <t xml:space="preserve">lassen + Infinitiv (bị động nhờ)</t>
  </si>
  <si>
    <t xml:space="preserve">Ich lasse mich jährlich untersuchen.</t>
  </si>
  <si>
    <t xml:space="preserve">[ʔɪç ˈlasə mɪç ˈjɛːɐ̯lɪç ˌʔʊntɐˈzuːxən]</t>
  </si>
  <si>
    <t xml:space="preserve">Tôi đi khám mỗi năm.</t>
  </si>
  <si>
    <t xml:space="preserve">untersuchen = khám</t>
  </si>
  <si>
    <t xml:space="preserve">S1505</t>
  </si>
  <si>
    <t xml:space="preserve">krankschreiben tách</t>
  </si>
  <si>
    <t xml:space="preserve">Der Arzt hat mich krankgeschrieben.</t>
  </si>
  <si>
    <t xml:space="preserve">[dɛɐ̯ ˈʔaʁtst hat mɪç ˈkʁaŋkɡɛˌʃʁiːbən]</t>
  </si>
  <si>
    <t xml:space="preserve">Bác sĩ đã cấp giấy nghỉ ốm cho tôi.</t>
  </si>
  <si>
    <t xml:space="preserve">krankschreiben = cấp giấy nghỉ ốm</t>
  </si>
  <si>
    <t xml:space="preserve">S1506</t>
  </si>
  <si>
    <t xml:space="preserve">tabuisieren = coi là cấm kỵ</t>
  </si>
  <si>
    <t xml:space="preserve">Psychische Erkrankungen werden noch oft tabuisiert.</t>
  </si>
  <si>
    <t xml:space="preserve">[ˈpzyçɪʃə ʔɛʁˈkʁankʊŋən ˌvɛʁdən nɔx ˈʔɔft ˌtabuːiːˈziːɐ̯t]</t>
  </si>
  <si>
    <t xml:space="preserve">Bệnh tâm lý vẫn hay bị né tránh.</t>
  </si>
  <si>
    <t xml:space="preserve">psychisch = thuộc tâm lý</t>
  </si>
  <si>
    <t xml:space="preserve">S1507</t>
  </si>
  <si>
    <t xml:space="preserve">stärken = làm mạnh</t>
  </si>
  <si>
    <t xml:space="preserve">Ausreichend Schlaf stärkt das Immunsystem.</t>
  </si>
  <si>
    <t xml:space="preserve">[ˈʔaʊsˌʁaɪçənt ˈʃlaːf ˈʃtɛʁkt das ˈʔɪmʊnzyˌsteːm]</t>
  </si>
  <si>
    <t xml:space="preserve">Ngủ đủ giúp tăng cường miễn dịch.</t>
  </si>
  <si>
    <t xml:space="preserve">das Immunsystem = hệ miễn dịch</t>
  </si>
  <si>
    <t xml:space="preserve">S1508</t>
  </si>
  <si>
    <t xml:space="preserve">Ich habe einen Termin zur Vorsorge.</t>
  </si>
  <si>
    <t xml:space="preserve">[ʔɪç haːbə ˌʔaɪnən tɛʁˈmiːn tsuːɐ̯ ˈfoːɐ̯ˌzɔʁɡə]</t>
  </si>
  <si>
    <t xml:space="preserve">Tôi có hẹn khám phòng ngừa.</t>
  </si>
  <si>
    <t xml:space="preserve">die Vorsorge = sự phòng ngừa</t>
  </si>
  <si>
    <t xml:space="preserve">S1509</t>
  </si>
  <si>
    <t xml:space="preserve">sich herausstellen als</t>
  </si>
  <si>
    <t xml:space="preserve">Die Diagnose stellte sich als falsch heraus.</t>
  </si>
  <si>
    <t xml:space="preserve">[diː ˌdiːaˈɡnoːzə ˈʃtɛltə zɪç ʔals ˈfalʃ hɛˈʁaʊs]</t>
  </si>
  <si>
    <t xml:space="preserve">Chẩn đoán hóa ra là sai.</t>
  </si>
  <si>
    <t xml:space="preserve">die Diagnose = chẩn đoán; sich herausstellen = hóa ra</t>
  </si>
  <si>
    <t xml:space="preserve">S1510</t>
  </si>
  <si>
    <t xml:space="preserve">erheblich = đáng kể</t>
  </si>
  <si>
    <t xml:space="preserve">Rauchen erhöht das Krebsrisiko erheblich.</t>
  </si>
  <si>
    <t xml:space="preserve">[ˈʁaʊxən ʔɛʁˈhøːt das ˈkʁɛpsʁiːˌziːkoː ʔɛʁˈheːplɪç]</t>
  </si>
  <si>
    <t xml:space="preserve">Hút thuốc làm tăng đáng kể nguy cơ ung thư.</t>
  </si>
  <si>
    <t xml:space="preserve">der Krebs = ung thư; erheblich = đáng kể</t>
  </si>
  <si>
    <t xml:space="preserve">S1511</t>
  </si>
  <si>
    <t xml:space="preserve">Die Operation verlief ohne Komplikationen.</t>
  </si>
  <si>
    <t xml:space="preserve">[diː ˌʔoːpeːʁatsˈjoːn fɛʁˈliːf ˈʔoːnə kɔmˌpliːkatsˈjoːnən]</t>
  </si>
  <si>
    <t xml:space="preserve">Ca mổ diễn ra không biến chứng.</t>
  </si>
  <si>
    <t xml:space="preserve">die Operation = ca mổ; die Komplikation = biến chứng</t>
  </si>
  <si>
    <t xml:space="preserve">S1512</t>
  </si>
  <si>
    <t xml:space="preserve">einnehmen tách</t>
  </si>
  <si>
    <t xml:space="preserve">Er muss regelmäßig Medikamente einnehmen.</t>
  </si>
  <si>
    <t xml:space="preserve">[ʔɛɐ̯ ˈmʊs ˈʁeːɡəlˌmɛːsɪç ˌmeːdiːkaˈmɛntə ˈʔaɪnˌneːmən]</t>
  </si>
  <si>
    <t xml:space="preserve">Anh ấy phải uống thuốc đều đặn.</t>
  </si>
  <si>
    <t xml:space="preserve">einnehmen = uống thuốc</t>
  </si>
  <si>
    <t xml:space="preserve">S1513</t>
  </si>
  <si>
    <t xml:space="preserve">sich auswirken auf + Akkusativ</t>
  </si>
  <si>
    <t xml:space="preserve">Bewegung wirkt sich positiv auf die Psyche aus.</t>
  </si>
  <si>
    <t xml:space="preserve">[bəˈveːɡʊŋ ˈvɪʁkt zɪç ˌpoːziːˈtiːf ʔaʊf diː ˈpzyçə ˈʔaʊs]</t>
  </si>
  <si>
    <t xml:space="preserve">Vận động tác động tích cực đến tâm lý.</t>
  </si>
  <si>
    <t xml:space="preserve">sich auswirken = tác động</t>
  </si>
  <si>
    <t xml:space="preserve">S1514</t>
  </si>
  <si>
    <t xml:space="preserve">unterbesetzt = thiếu người</t>
  </si>
  <si>
    <t xml:space="preserve">Die Pflegekräfte sind chronisch unterbesetzt.</t>
  </si>
  <si>
    <t xml:space="preserve">[diː ˈpfleːɡɛˌkʁɛftə zɪnt ˈkʁoːnɪʃ ˌʔʊntɐbəˈzɛtst]</t>
  </si>
  <si>
    <t xml:space="preserve">Nhân lực điều dưỡng thiếu kinh niên.</t>
  </si>
  <si>
    <t xml:space="preserve">die Pflegekraft = nhân viên điều dưỡng</t>
  </si>
  <si>
    <t xml:space="preserve">S1515</t>
  </si>
  <si>
    <t xml:space="preserve">im Notfall</t>
  </si>
  <si>
    <t xml:space="preserve">Im Notfall wählen Sie die 112.</t>
  </si>
  <si>
    <t xml:space="preserve">[ʔɪm ˈnɔtfal ˈvɛːlən ziː diː ˈʔaɪnˈhʊndɐt ˈtsvœlf]</t>
  </si>
  <si>
    <t xml:space="preserve">Khẩn cấp thì gọi 112.</t>
  </si>
  <si>
    <t xml:space="preserve">der Notfall = trường hợp khẩn</t>
  </si>
  <si>
    <t xml:space="preserve">S1516</t>
  </si>
  <si>
    <t xml:space="preserve">vorbeugen + Dativ, tách</t>
  </si>
  <si>
    <t xml:space="preserve">Eine gesunde Ernährung beugt Krankheiten vor.</t>
  </si>
  <si>
    <t xml:space="preserve">[ˌʔaɪnə ɡəˈzʊndə ʔɛʁˈnɛːʁʊŋ ˈbɔøkt ˈkʁaŋkhaɪtən ˈfɔɐ̯]</t>
  </si>
  <si>
    <t xml:space="preserve">Ăn uống lành mạnh giúp phòng bệnh.</t>
  </si>
  <si>
    <t xml:space="preserve">die Ernährung = chế độ ăn</t>
  </si>
  <si>
    <t xml:space="preserve">S1517</t>
  </si>
  <si>
    <t xml:space="preserve">einliefern = đưa vào viện</t>
  </si>
  <si>
    <t xml:space="preserve">Der Patient wurde sofort eingeliefert.</t>
  </si>
  <si>
    <t xml:space="preserve">[dɛɐ̯ patsˈjɛnt ˌvʊʁdə zoːˈfɔʁt ˈʔaɪnɡəˌliːfɐt]</t>
  </si>
  <si>
    <t xml:space="preserve">Bệnh nhân được đưa vào viện ngay.</t>
  </si>
  <si>
    <t xml:space="preserve">einliefern = nhập viện</t>
  </si>
  <si>
    <t xml:space="preserve">S1518</t>
  </si>
  <si>
    <t xml:space="preserve">vertragen = chịu được</t>
  </si>
  <si>
    <t xml:space="preserve">Ich vertrage dieses Medikament nicht.</t>
  </si>
  <si>
    <t xml:space="preserve">[ʔɪç fɛʁˈtʁaːɡə ˌdiːzəs ˌmeːdiːkaˈmɛnt ˈnɪçt]</t>
  </si>
  <si>
    <t xml:space="preserve">Tôi không hợp loại thuốc này.</t>
  </si>
  <si>
    <t xml:space="preserve">vertragen = dung nạp</t>
  </si>
  <si>
    <t xml:space="preserve">S1519</t>
  </si>
  <si>
    <t xml:space="preserve">Die Krankenkasse übernimmt nicht alle Kosten.</t>
  </si>
  <si>
    <t xml:space="preserve">[diː ˈkʁankənˌkasə ˌʔyːbɐˈnɪmt ˈnɪçt ˈʔalə ˈkɔstən]</t>
  </si>
  <si>
    <t xml:space="preserve">Quỹ bảo hiểm không chi trả mọi chi phí.</t>
  </si>
  <si>
    <t xml:space="preserve">die Krankenkasse = quỹ bảo hiểm y tế</t>
  </si>
  <si>
    <t xml:space="preserve">S1520</t>
  </si>
  <si>
    <t xml:space="preserve">auf Dauer = về lâu dài</t>
  </si>
  <si>
    <t xml:space="preserve">Stress macht auf Dauer krank.</t>
  </si>
  <si>
    <t xml:space="preserve">[ˈʃtʁɛs ˈmaxt ʔaʊf ˈdaʊɐ ˈkʁaŋk]</t>
  </si>
  <si>
    <t xml:space="preserve">Căng thẳng lâu dài làm người ta bệnh.</t>
  </si>
  <si>
    <t xml:space="preserve">auf Dauer = lâu dài</t>
  </si>
  <si>
    <t xml:space="preserve">S1521</t>
  </si>
  <si>
    <t xml:space="preserve">Truyền thông &amp; tin tức</t>
  </si>
  <si>
    <t xml:space="preserve">hinterfragen = truy vấn</t>
  </si>
  <si>
    <t xml:space="preserve">Man sollte Nachrichten kritisch hinterfragen.</t>
  </si>
  <si>
    <t xml:space="preserve">[man ˌzɔltə ˈnaxʁɪçtən ˈkʁiːtɪʃ ˌhɪntɐˈfʁaːɡən]</t>
  </si>
  <si>
    <t xml:space="preserve">Nên đặt câu hỏi phê phán với tin tức.</t>
  </si>
  <si>
    <t xml:space="preserve">hinterfragen = chất vấn</t>
  </si>
  <si>
    <t xml:space="preserve">S1522</t>
  </si>
  <si>
    <t xml:space="preserve">sich verbreiten reflexiv</t>
  </si>
  <si>
    <t xml:space="preserve">Falschmeldungen verbreiten sich rasend schnell.</t>
  </si>
  <si>
    <t xml:space="preserve">[ˈfalˌʃmɛldʊŋən fɛʁˈbʁaɪtən zɪç ˈʁaːzənt ˈʃnɛl]</t>
  </si>
  <si>
    <t xml:space="preserve">Tin giả lan rất nhanh.</t>
  </si>
  <si>
    <t xml:space="preserve">die Falschmeldung = tin giả; sich verbreiten = lan truyền</t>
  </si>
  <si>
    <t xml:space="preserve">S1523</t>
  </si>
  <si>
    <t xml:space="preserve">berichten über + Akkusativ</t>
  </si>
  <si>
    <t xml:space="preserve">Die Zeitung berichtet ausführlich über den Fall.</t>
  </si>
  <si>
    <t xml:space="preserve">[diː ˈtsaɪˌtʊŋ bəˈʁɪçtət ˈʔaʊsˌfyːɐ̯lɪç ˌʔyːbɐ deːn ˈfal]</t>
  </si>
  <si>
    <t xml:space="preserve">Tờ báo đưa tin chi tiết về vụ việc.</t>
  </si>
  <si>
    <t xml:space="preserve">ausführlich = chi tiết</t>
  </si>
  <si>
    <t xml:space="preserve">S1524</t>
  </si>
  <si>
    <t xml:space="preserve">ein hohes Gut</t>
  </si>
  <si>
    <t xml:space="preserve">Pressefreiheit ist ein hohes Gut.</t>
  </si>
  <si>
    <t xml:space="preserve">[ˈpʁɛsɛˌfʁaɪhaɪt ʔɪst ʔaɪn ˈhoːəs ˈɡuːt]</t>
  </si>
  <si>
    <t xml:space="preserve">Tự do báo chí là một giá trị cao.</t>
  </si>
  <si>
    <t xml:space="preserve">die Pressefreiheit = tự do báo chí</t>
  </si>
  <si>
    <t xml:space="preserve">S1525</t>
  </si>
  <si>
    <t xml:space="preserve">bewusst = cố ý</t>
  </si>
  <si>
    <t xml:space="preserve">Die Schlagzeile war bewusst reißerisch.</t>
  </si>
  <si>
    <t xml:space="preserve">[diː ˈʃlaktsaɪlə vaːɐ̯ bəˈvʊst ˈʁaɪsəˌʁɪʃ]</t>
  </si>
  <si>
    <t xml:space="preserve">Tiêu đề cố tình giật gân.</t>
  </si>
  <si>
    <t xml:space="preserve">die Schlagzeile = tiêu đề; reißerisch = giật gân</t>
  </si>
  <si>
    <t xml:space="preserve">S1526</t>
  </si>
  <si>
    <t xml:space="preserve">sich informieren über</t>
  </si>
  <si>
    <t xml:space="preserve">Ich informiere mich täglich über die Lage.</t>
  </si>
  <si>
    <t xml:space="preserve">[ʔɪç ˌʔɪnfɔʁˈmiːʁə mɪç ˈtɛːklɪç ˌʔyːbɐ diː ˈlaːɡə]</t>
  </si>
  <si>
    <t xml:space="preserve">Tôi cập nhật tình hình hằng ngày.</t>
  </si>
  <si>
    <t xml:space="preserve">sich informieren = tìm hiểu</t>
  </si>
  <si>
    <t xml:space="preserve">S1527</t>
  </si>
  <si>
    <t xml:space="preserve">beruhen auf + Dativ</t>
  </si>
  <si>
    <t xml:space="preserve">Der Bericht beruht auf anonymen Quellen.</t>
  </si>
  <si>
    <t xml:space="preserve">[dɛɐ̯ bəˈʁɪçt bəˈʁuːt ʔaʊf ˈʔaˌnoːnyːmən ˈkvɛlən]</t>
  </si>
  <si>
    <t xml:space="preserve">Bài viết dựa trên nguồn ẩn danh.</t>
  </si>
  <si>
    <t xml:space="preserve">beruhen auf = dựa trên; anonym = ẩn danh</t>
  </si>
  <si>
    <t xml:space="preserve">S1528</t>
  </si>
  <si>
    <t xml:space="preserve">beeinflussen + Akkusativ</t>
  </si>
  <si>
    <t xml:space="preserve">Soziale Medien beeinflussen die Meinungsbildung.</t>
  </si>
  <si>
    <t xml:space="preserve">[ˌzoːtsiːˈaːlə ˈmeːdɪən bəˈʔaɪnˌflʊsən diː ˈmaɪnʊŋsˌbɪldʊŋ]</t>
  </si>
  <si>
    <t xml:space="preserve">Mạng xã hội tác động đến việc hình thành quan điểm.</t>
  </si>
  <si>
    <t xml:space="preserve">die Meinungsbildung = hình thành quan điểm</t>
  </si>
  <si>
    <t xml:space="preserve">S1529</t>
  </si>
  <si>
    <t xml:space="preserve">sich entschuldigen</t>
  </si>
  <si>
    <t xml:space="preserve">Die Redaktion hat sich entschuldigt.</t>
  </si>
  <si>
    <t xml:space="preserve">[diː ˌʁeːdaktsˈjoːn hat zɪç ʔɛntˈʃʊldɪçt]</t>
  </si>
  <si>
    <t xml:space="preserve">Tòa soạn đã xin lỗi.</t>
  </si>
  <si>
    <t xml:space="preserve">die Redaktion = tòa soạn</t>
  </si>
  <si>
    <t xml:space="preserve">S1530</t>
  </si>
  <si>
    <t xml:space="preserve">schwer zu + Infinitiv</t>
  </si>
  <si>
    <t xml:space="preserve">Objektivität ist im Journalismus schwer zu erreichen.</t>
  </si>
  <si>
    <t xml:space="preserve">[ʔɔpjɛkˈtiːviːˈtɛːt ʔɪst ʔɪm ˌjuːɐ̯naˈlɪsmʊs ˈʃveːɐ̯ tsuː ʔɛʁˈʁaɪçən]</t>
  </si>
  <si>
    <t xml:space="preserve">Tính khách quan trong báo chí khó đạt được.</t>
  </si>
  <si>
    <t xml:space="preserve">die Objektivität = tính khách quan</t>
  </si>
  <si>
    <t xml:space="preserve">S1531</t>
  </si>
  <si>
    <t xml:space="preserve">wer ... (der)</t>
  </si>
  <si>
    <t xml:space="preserve">Wer die Quelle nicht nennt, verliert Glaubwürdigkeit.</t>
  </si>
  <si>
    <t xml:space="preserve">[ˈveːɐ̯ diː ˈkvɛlə ˈnɪçt ˈnɛnt, fɛʁˈliːɐ̯t ˈɡlaʊbvyʁˌdɪçkaɪt]</t>
  </si>
  <si>
    <t xml:space="preserve">Ai không dẫn nguồn thì mất uy tín.</t>
  </si>
  <si>
    <t xml:space="preserve">die Glaubwürdigkeit = sự đáng tin</t>
  </si>
  <si>
    <t xml:space="preserve">S1532</t>
  </si>
  <si>
    <t xml:space="preserve">übertragen = truyền phát</t>
  </si>
  <si>
    <t xml:space="preserve">Die Sendung wird live übertragen.</t>
  </si>
  <si>
    <t xml:space="preserve">[diː ˈzɛndʊŋ ˌvɪʁt ˈliːvə ˌʔyːbɐˈtʁaːɡən]</t>
  </si>
  <si>
    <t xml:space="preserve">Chương trình được phát trực tiếp.</t>
  </si>
  <si>
    <t xml:space="preserve">die Sendung = chương trình</t>
  </si>
  <si>
    <t xml:space="preserve">S1533</t>
  </si>
  <si>
    <t xml:space="preserve">aufdecken = phanh phui</t>
  </si>
  <si>
    <t xml:space="preserve">Der Skandal wurde von einer Journalistin aufgedeckt.</t>
  </si>
  <si>
    <t xml:space="preserve">[dɛɐ̯ ˈskandaːl ˌvʊʁdə fɔn ˌʔaɪnɐ ˈjuːɐ̯naˌlɪstɪn ˈʔaʊfɡəˌdɛkt]</t>
  </si>
  <si>
    <t xml:space="preserve">Vụ bê bối do một nữ nhà báo phanh phui.</t>
  </si>
  <si>
    <t xml:space="preserve">aufdecken = vạch trần</t>
  </si>
  <si>
    <t xml:space="preserve">S1534</t>
  </si>
  <si>
    <t xml:space="preserve">halten von + Dativ</t>
  </si>
  <si>
    <t xml:space="preserve">Ich halte wenig von Boulevardpresse.</t>
  </si>
  <si>
    <t xml:space="preserve">[ʔɪç ˈhaltə ˈveːnɪç fɔn ˈbuːleːˌvaʁtpʁɛsə]</t>
  </si>
  <si>
    <t xml:space="preserve">Tôi không coi trọng báo lá cải.</t>
  </si>
  <si>
    <t xml:space="preserve">die Boulevardpresse = báo lá cải</t>
  </si>
  <si>
    <t xml:space="preserve">S1535</t>
  </si>
  <si>
    <t xml:space="preserve">einseitig = một chiều</t>
  </si>
  <si>
    <t xml:space="preserve">Die Berichterstattung war einseitig.</t>
  </si>
  <si>
    <t xml:space="preserve">[diː bəˈʁɪçtɐˌstatʊŋ vaːɐ̯ ˈʔaɪnˌzaɪtɪç]</t>
  </si>
  <si>
    <t xml:space="preserve">Việc đưa tin phiến diện.</t>
  </si>
  <si>
    <t xml:space="preserve">die Berichterstattung = việc đưa tin</t>
  </si>
  <si>
    <t xml:space="preserve">S1536</t>
  </si>
  <si>
    <t xml:space="preserve">weitergeben tách</t>
  </si>
  <si>
    <t xml:space="preserve">Gerüchte sollte man nicht weitergeben.</t>
  </si>
  <si>
    <t xml:space="preserve">[ɡəˈʁyçtə ˌzɔltə man ˈnɪçt ˈvaɪtɐˌɡeːbən]</t>
  </si>
  <si>
    <t xml:space="preserve">Không nên lan truyền tin đồn.</t>
  </si>
  <si>
    <t xml:space="preserve">das Gerücht = tin đồn</t>
  </si>
  <si>
    <t xml:space="preserve">S1537</t>
  </si>
  <si>
    <t xml:space="preserve">aus dem Zusammenhang reißen</t>
  </si>
  <si>
    <t xml:space="preserve">Die Zahlen wurden aus dem Zusammenhang gerissen.</t>
  </si>
  <si>
    <t xml:space="preserve">[diː ˈtsaːlən ˌvʊʁdən ˌʔaʊs deːm tsuːˈzamənˌhaŋ ɡəˈʁɪsən]</t>
  </si>
  <si>
    <t xml:space="preserve">Các con số bị tách khỏi ngữ cảnh.</t>
  </si>
  <si>
    <t xml:space="preserve">der Zusammenhang = mối liên hệ</t>
  </si>
  <si>
    <t xml:space="preserve">S1538</t>
  </si>
  <si>
    <t xml:space="preserve">nur noch = chỉ còn</t>
  </si>
  <si>
    <t xml:space="preserve">Viele Menschen nutzen nur noch Online-Medien.</t>
  </si>
  <si>
    <t xml:space="preserve">[ˈfiːlə ˈmɛnʃən ˈnʊtsən ˈnuːɐ̯ nɔx (en)ˈɒnlaɪn(de)ˈmeːdɪən]</t>
  </si>
  <si>
    <t xml:space="preserve">Nhiều người giờ chỉ dùng truyền thông trực tuyến.</t>
  </si>
  <si>
    <t xml:space="preserve">S1539</t>
  </si>
  <si>
    <t xml:space="preserve">widerspiegeln tách</t>
  </si>
  <si>
    <t xml:space="preserve">Der Kommentar spiegelt nicht die Meinung der Redaktion wider.</t>
  </si>
  <si>
    <t xml:space="preserve">[dɛɐ̯ kɔmɛnˈtaːɐ̯ ˈʃpiːɡəlt ˈnɪçt diː ˈmaɪnʊŋ dɛɐ̯ ˌʁeːdaktsˈjoːn ˈviːdɐ]</t>
  </si>
  <si>
    <t xml:space="preserve">Bình luận không phản ánh quan điểm tòa soạn.</t>
  </si>
  <si>
    <t xml:space="preserve">widerspiegeln = phản ánh</t>
  </si>
  <si>
    <t xml:space="preserve">S1540</t>
  </si>
  <si>
    <t xml:space="preserve">vermitteln = truyền đạt</t>
  </si>
  <si>
    <t xml:space="preserve">Medienkompetenz sollte in der Schule vermittelt werden.</t>
  </si>
  <si>
    <t xml:space="preserve">[ˌmeːdiːnˌkɔmpeːˈtɛnts ˌzɔltə ʔɪn dɛɐ̯ ˈʃuːlə fɛʁˈmɪtəlt ˌvɛʁdən]</t>
  </si>
  <si>
    <t xml:space="preserve">Năng lực truyền thông nên được dạy ở trường.</t>
  </si>
  <si>
    <t xml:space="preserve">die Medienkompetenz = năng lực truyền thông</t>
  </si>
  <si>
    <t xml:space="preserve">S1541</t>
  </si>
  <si>
    <t xml:space="preserve">Chính trị &amp; xã hội</t>
  </si>
  <si>
    <t xml:space="preserve">In Deutschland wird alle vier Jahre gewählt.</t>
  </si>
  <si>
    <t xml:space="preserve">[ʔɪn ˈdɔøtʃlant ˌvɪʁt ˈʔalə ˈfiːɐ̯ ˈjaːʁə ɡəˈvɛːlt]</t>
  </si>
  <si>
    <t xml:space="preserve">Ở Đức bốn năm bầu cử một lần.</t>
  </si>
  <si>
    <t xml:space="preserve">wählen = bầu cử</t>
  </si>
  <si>
    <t xml:space="preserve">S1542</t>
  </si>
  <si>
    <t xml:space="preserve">Die Regierung steht unter starkem Druck.</t>
  </si>
  <si>
    <t xml:space="preserve">[diː ʁeːˈɡiːʁʊŋ ˈʃteːt ˌʔʊntɐ ˈʃtaʁkəm ˈdʁʊk]</t>
  </si>
  <si>
    <t xml:space="preserve">Chính phủ chịu áp lực lớn.</t>
  </si>
  <si>
    <t xml:space="preserve">die Regierung = chính phủ</t>
  </si>
  <si>
    <t xml:space="preserve">S1543</t>
  </si>
  <si>
    <t xml:space="preserve">in Kraft treten</t>
  </si>
  <si>
    <t xml:space="preserve">Das Gesetz tritt im Januar in Kraft.</t>
  </si>
  <si>
    <t xml:space="preserve">[das ɡəˈzɛts ˈtʁɪt ʔɪm ˈjanuːˌaːɐ̯ ʔɪn ˈkʁaft]</t>
  </si>
  <si>
    <t xml:space="preserve">Luật có hiệu lực từ tháng Giêng.</t>
  </si>
  <si>
    <t xml:space="preserve">in Kraft treten = có hiệu lực</t>
  </si>
  <si>
    <t xml:space="preserve">S1544</t>
  </si>
  <si>
    <t xml:space="preserve">kritisieren + Akkusativ</t>
  </si>
  <si>
    <t xml:space="preserve">Die Opposition kritisiert den Haushaltsplan.</t>
  </si>
  <si>
    <t xml:space="preserve">[diː ˌʔɔpoːziːtsˈjoːn ˌkʁiːtiːˈziːɐ̯t deːn ˈhaʊshaltsˌplaːn]</t>
  </si>
  <si>
    <t xml:space="preserve">Phe đối lập chỉ trích kế hoạch ngân sách.</t>
  </si>
  <si>
    <t xml:space="preserve">die Opposition = phe đối lập; der Haushalt = ngân sách</t>
  </si>
  <si>
    <t xml:space="preserve">S1545</t>
  </si>
  <si>
    <t xml:space="preserve">ein Zeichen für + Akkusativ</t>
  </si>
  <si>
    <t xml:space="preserve">Wahlbeteiligung ist ein Zeichen für Demokratie.</t>
  </si>
  <si>
    <t xml:space="preserve">[ˈvaːlbeːˌtaɪlɪˌɡʊŋ ʔɪst ʔaɪn ˈtsaɪçən fyːɐ̯ ˌdeːmoːkʁaˈtiː]</t>
  </si>
  <si>
    <t xml:space="preserve">Tỷ lệ đi bầu là dấu hiệu của dân chủ.</t>
  </si>
  <si>
    <t xml:space="preserve">die Wahlbeteiligung = tỷ lệ đi bầu</t>
  </si>
  <si>
    <t xml:space="preserve">S1546</t>
  </si>
  <si>
    <t xml:space="preserve">sich einigen auf</t>
  </si>
  <si>
    <t xml:space="preserve">Die Koalition hat sich auf einen Kompromiss geeinigt.</t>
  </si>
  <si>
    <t xml:space="preserve">[diː ˌkoːaliːtsˈjoːn hat zɪç ʔaʊf ˌʔaɪnən kɔmˈpʁoːmɪs ɡəˈʔaɪnɪkt]</t>
  </si>
  <si>
    <t xml:space="preserve">Liên minh đã thống nhất một thỏa hiệp.</t>
  </si>
  <si>
    <t xml:space="preserve">die Koalition = liên minh</t>
  </si>
  <si>
    <t xml:space="preserve">S1547</t>
  </si>
  <si>
    <t xml:space="preserve">Soziale Ungleichheit nimmt weiter zu.</t>
  </si>
  <si>
    <t xml:space="preserve">[ˌzoːtsiːˈaːlə ˈʔʊnˌɡlaɪçhaɪt ˈnɪmt ˈvaɪtɐ ˈtsuː]</t>
  </si>
  <si>
    <t xml:space="preserve">Bất bình đẳng xã hội tiếp tục tăng.</t>
  </si>
  <si>
    <t xml:space="preserve">die Ungleichheit = bất bình đẳng</t>
  </si>
  <si>
    <t xml:space="preserve">S1548</t>
  </si>
  <si>
    <t xml:space="preserve">garantieren + Akkusativ</t>
  </si>
  <si>
    <t xml:space="preserve">Das Grundgesetz garantiert die Meinungsfreiheit.</t>
  </si>
  <si>
    <t xml:space="preserve">[das ˈɡʁʊndɡeːˌzɛts ˌɡaʁanˈtiːɐ̯t diː ˈmaɪnʊŋsˌfʁaɪhaɪt]</t>
  </si>
  <si>
    <t xml:space="preserve">Hiến pháp bảo đảm tự do ngôn luận.</t>
  </si>
  <si>
    <t xml:space="preserve">das Grundgesetz = hiến pháp; die Meinungsfreiheit = tự do ngôn luận</t>
  </si>
  <si>
    <t xml:space="preserve">S1549</t>
  </si>
  <si>
    <t xml:space="preserve">wiederwählen</t>
  </si>
  <si>
    <t xml:space="preserve">Der Bürgermeister wurde wiedergewählt.</t>
  </si>
  <si>
    <t xml:space="preserve">[dɛɐ̯ ˈbyʁɡɐˌmaɪstɐ ˌvʊʁdə viːdɐɡəˈvɛːlt]</t>
  </si>
  <si>
    <t xml:space="preserve">Thị trưởng được tái đắc cử.</t>
  </si>
  <si>
    <t xml:space="preserve">der Bürgermeister = thị trưởng</t>
  </si>
  <si>
    <t xml:space="preserve">S1550</t>
  </si>
  <si>
    <t xml:space="preserve">sich fühlen + Partizip</t>
  </si>
  <si>
    <t xml:space="preserve">Viele Bürger fühlen sich nicht vertreten.</t>
  </si>
  <si>
    <t xml:space="preserve">[ˈfiːlə ˈbyʁɡɐ ˈfyːlən zɪç ˈnɪçt fɛʁˈtʁeːtən]</t>
  </si>
  <si>
    <t xml:space="preserve">Nhiều công dân thấy mình không được đại diện.</t>
  </si>
  <si>
    <t xml:space="preserve">der Bürger = công dân; vertreten = đại diện</t>
  </si>
  <si>
    <t xml:space="preserve">S1551</t>
  </si>
  <si>
    <t xml:space="preserve">eine Debatte führen</t>
  </si>
  <si>
    <t xml:space="preserve">Die Debatte wurde sehr emotional geführt.</t>
  </si>
  <si>
    <t xml:space="preserve">[diː deːˈbatə ˌvʊʁdə ˈzeːɐ̯ ˌʔeːmoːtsˌjoːˈnaːl ɡəˈfyːɐ̯t]</t>
  </si>
  <si>
    <t xml:space="preserve">Cuộc tranh luận diễn ra rất cảm tính.</t>
  </si>
  <si>
    <t xml:space="preserve">die Debatte = tranh luận</t>
  </si>
  <si>
    <t xml:space="preserve">S1552</t>
  </si>
  <si>
    <t xml:space="preserve">heikel = nhạy cảm</t>
  </si>
  <si>
    <t xml:space="preserve">Steuererhöhungen sind politisch heikel.</t>
  </si>
  <si>
    <t xml:space="preserve">[ˈʃtɔøeːʁɐˌhøːʊŋən zɪnt poːˈliːtɪʃ ˈhaɪkəl]</t>
  </si>
  <si>
    <t xml:space="preserve">Tăng thuế là chuyện nhạy cảm về chính trị.</t>
  </si>
  <si>
    <t xml:space="preserve">heikel = tế nhị</t>
  </si>
  <si>
    <t xml:space="preserve">S1553</t>
  </si>
  <si>
    <t xml:space="preserve">sich engagieren in + Dativ</t>
  </si>
  <si>
    <t xml:space="preserve">Er engagiert sich in einer Bürgerinitiative.</t>
  </si>
  <si>
    <t xml:space="preserve">[ʔɛɐ̯ ˌʔaŋɡaˈʒiːɐ̯t zɪç ʔɪn ˌʔaɪnɐ ˌbyʁɡeːˌʁiːniːˌtiːaˈtiːvə]</t>
  </si>
  <si>
    <t xml:space="preserve">Anh ấy hoạt động trong một sáng kiến công dân.</t>
  </si>
  <si>
    <t xml:space="preserve">die Bürgerinitiative = sáng kiến công dân</t>
  </si>
  <si>
    <t xml:space="preserve">S1554</t>
  </si>
  <si>
    <t xml:space="preserve">das Vertrauen in + Akkusativ</t>
  </si>
  <si>
    <t xml:space="preserve">Das Vertrauen in die Politik ist gesunken.</t>
  </si>
  <si>
    <t xml:space="preserve">[das fɛʁˈtʁaʊən ʔɪn diː poːliːˈtiːk ʔɪst ɡəˈzʊŋkən]</t>
  </si>
  <si>
    <t xml:space="preserve">Niềm tin vào chính trị đã giảm.</t>
  </si>
  <si>
    <t xml:space="preserve">das Vertrauen = niềm tin</t>
  </si>
  <si>
    <t xml:space="preserve">S1555</t>
  </si>
  <si>
    <t xml:space="preserve">ablehnen tách</t>
  </si>
  <si>
    <t xml:space="preserve">Eine Mehrheit lehnt den Vorschlag ab.</t>
  </si>
  <si>
    <t xml:space="preserve">[ˌʔaɪnə ˈmeːɐ̯haɪt ˈleːnt deːn ˈfoːɐ̯ˌʃlaːk ˈʔap]</t>
  </si>
  <si>
    <t xml:space="preserve">Đa số bác bỏ đề xuất.</t>
  </si>
  <si>
    <t xml:space="preserve">S1556</t>
  </si>
  <si>
    <t xml:space="preserve">Die Reform stößt auf breiten Widerstand.</t>
  </si>
  <si>
    <t xml:space="preserve">[diː ˈʁeːfɔʁm ˈʃtœst ʔaʊf ˈbʁaɪtən ˈviːdɐˌstant]</t>
  </si>
  <si>
    <t xml:space="preserve">Cuộc cải cách gặp phản đối rộng rãi.</t>
  </si>
  <si>
    <t xml:space="preserve">die Reform = cải cách; breit = rộng</t>
  </si>
  <si>
    <t xml:space="preserve">S1557</t>
  </si>
  <si>
    <t xml:space="preserve">leben von + Dativ</t>
  </si>
  <si>
    <t xml:space="preserve">Demokratie lebt vom Mitmachen.</t>
  </si>
  <si>
    <t xml:space="preserve">[ˌdeːmoːkʁaˈtiː ˈleːpt fɔm ˈmɪtˌmaxən]</t>
  </si>
  <si>
    <t xml:space="preserve">Dân chủ sống nhờ sự tham gia.</t>
  </si>
  <si>
    <t xml:space="preserve">das Mitmachen = sự tham gia</t>
  </si>
  <si>
    <t xml:space="preserve">S1558</t>
  </si>
  <si>
    <t xml:space="preserve">diplomatisch = ngoại giao</t>
  </si>
  <si>
    <t xml:space="preserve">Der Konflikt wurde diplomatisch gelöst.</t>
  </si>
  <si>
    <t xml:space="preserve">[dɛɐ̯ kɔnˈflɪkt ˌvʊʁdə dɪˈploːˈmaːtɪʃ ɡəˈlœst]</t>
  </si>
  <si>
    <t xml:space="preserve">Xung đột được giải quyết bằng ngoại giao.</t>
  </si>
  <si>
    <t xml:space="preserve">der Konflikt = xung đột</t>
  </si>
  <si>
    <t xml:space="preserve">S1559</t>
  </si>
  <si>
    <t xml:space="preserve">untergraben = xói mòn</t>
  </si>
  <si>
    <t xml:space="preserve">Korruption untergräbt das Rechtssystem.</t>
  </si>
  <si>
    <t xml:space="preserve">[ˌkɔʁʊptsˈjoːn ˌʔʊntɐˈɡʁɛːpt das ˈʁɛçtszyˌsteːm]</t>
  </si>
  <si>
    <t xml:space="preserve">Tham nhũng làm xói mòn hệ thống pháp luật.</t>
  </si>
  <si>
    <t xml:space="preserve">die Korruption = tham nhũng</t>
  </si>
  <si>
    <t xml:space="preserve">S1560</t>
  </si>
  <si>
    <t xml:space="preserve">Jede Stimme zählt bei der Wahl.</t>
  </si>
  <si>
    <t xml:space="preserve">[ˈjeːdə ˈʃtɪmə ˈtsɛːlt baɪ dɛɐ̯ ˈvaːl]</t>
  </si>
  <si>
    <t xml:space="preserve">Mỗi lá phiếu đều có giá trị.</t>
  </si>
  <si>
    <t xml:space="preserve">die Stimme = lá phiếu</t>
  </si>
  <si>
    <t xml:space="preserve">S1561</t>
  </si>
  <si>
    <t xml:space="preserve">Kinh tế &amp; tiêu dùng</t>
  </si>
  <si>
    <t xml:space="preserve">belasten + Akkusativ</t>
  </si>
  <si>
    <t xml:space="preserve">Die Inflation belastet die Haushalte.</t>
  </si>
  <si>
    <t xml:space="preserve">[diː ˌʔɪnflatsˈjoːn bəˈlastət diː ˈhaʊsˌhaltə]</t>
  </si>
  <si>
    <t xml:space="preserve">Lạm phát gây gánh nặng cho các hộ gia đình.</t>
  </si>
  <si>
    <t xml:space="preserve">die Inflation = lạm phát; der Haushalt = hộ gia đình</t>
  </si>
  <si>
    <t xml:space="preserve">S1562</t>
  </si>
  <si>
    <t xml:space="preserve">übersteigen + Akkusativ</t>
  </si>
  <si>
    <t xml:space="preserve">Die Nachfrage übersteigt das Angebot.</t>
  </si>
  <si>
    <t xml:space="preserve">[diː ˈnaxfʁaːɡə ˌʔyːbɐˈʃtaɪkt das ˈʔanɡəˌboːt]</t>
  </si>
  <si>
    <t xml:space="preserve">Cầu vượt cung.</t>
  </si>
  <si>
    <t xml:space="preserve">übersteigen = vượt quá</t>
  </si>
  <si>
    <t xml:space="preserve">S1563</t>
  </si>
  <si>
    <t xml:space="preserve">Insolvenz anmelden</t>
  </si>
  <si>
    <t xml:space="preserve">Viele Betriebe mussten Insolvenz anmelden.</t>
  </si>
  <si>
    <t xml:space="preserve">[ˈfiːlə bəˈtʁiːbə ˈmʊstən ˌʔɪnzɔlˈvɛnts ˈʔanˌmɛldən]</t>
  </si>
  <si>
    <t xml:space="preserve">Nhiều doanh nghiệp phải nộp đơn phá sản.</t>
  </si>
  <si>
    <t xml:space="preserve">der Betrieb = doanh nghiệp</t>
  </si>
  <si>
    <t xml:space="preserve">S1564</t>
  </si>
  <si>
    <t xml:space="preserve">im Vergleich zu + Dativ</t>
  </si>
  <si>
    <t xml:space="preserve">Der Umsatz ist im Vergleich zum Vorjahr gestiegen.</t>
  </si>
  <si>
    <t xml:space="preserve">[dɛɐ̯ ˈʔʊmˌzats ʔɪst ʔɪm fɛʁˈɡlaɪç tsʊm ˈfoːɐ̯ˌjaːɐ̯ ɡəˈʃtiːɡən]</t>
  </si>
  <si>
    <t xml:space="preserve">Doanh thu tăng so với năm trước.</t>
  </si>
  <si>
    <t xml:space="preserve">der Umsatz = doanh thu</t>
  </si>
  <si>
    <t xml:space="preserve">S1565</t>
  </si>
  <si>
    <t xml:space="preserve">Konsum allein schafft keinen Wohlstand.</t>
  </si>
  <si>
    <t xml:space="preserve">[kɔnˈzʊm ʔaˈlaɪn ˈʃaft ˈkaɪnən ˈvoːlˌʃtant]</t>
  </si>
  <si>
    <t xml:space="preserve">Chỉ tiêu dùng thôi không tạo ra thịnh vượng.</t>
  </si>
  <si>
    <t xml:space="preserve">der Wohlstand = sự thịnh vượng</t>
  </si>
  <si>
    <t xml:space="preserve">S1566</t>
  </si>
  <si>
    <t xml:space="preserve">anheben tách</t>
  </si>
  <si>
    <t xml:space="preserve">Die Zinsen wurden erneut angehoben.</t>
  </si>
  <si>
    <t xml:space="preserve">[diː ˈtsɪnzən ˌvʊʁdən ʔɛʁˈnɔøt ˈʔanɡəˌhoːbən]</t>
  </si>
  <si>
    <t xml:space="preserve">Lãi suất lại được nâng lên.</t>
  </si>
  <si>
    <t xml:space="preserve">anheben = nâng lên</t>
  </si>
  <si>
    <t xml:space="preserve">S1567</t>
  </si>
  <si>
    <t xml:space="preserve">abhängig von + Dativ</t>
  </si>
  <si>
    <t xml:space="preserve">Deutschland ist stark vom Export abhängig.</t>
  </si>
  <si>
    <t xml:space="preserve">[ˈdɔøtʃlant ʔɪst ˈʃtaʁk fɔm ˈʔɛkspɔʁt ˈʔapˌhɛŋɪç]</t>
  </si>
  <si>
    <t xml:space="preserve">Đức phụ thuộc nhiều vào xuất khẩu.</t>
  </si>
  <si>
    <t xml:space="preserve">der Export = xuất khẩu</t>
  </si>
  <si>
    <t xml:space="preserve">S1568</t>
  </si>
  <si>
    <t xml:space="preserve">stören = làm gián đoạn</t>
  </si>
  <si>
    <t xml:space="preserve">Die Lieferketten sind weiterhin gestört.</t>
  </si>
  <si>
    <t xml:space="preserve">[diː ˌliːfɐˈkɛtən zɪnt ˈvaɪtɐˌhɪn ɡəˈʃtœʁt]</t>
  </si>
  <si>
    <t xml:space="preserve">Chuỗi cung ứng vẫn bị gián đoạn.</t>
  </si>
  <si>
    <t xml:space="preserve">die Lieferkette = chuỗi cung ứng</t>
  </si>
  <si>
    <t xml:space="preserve">S1569</t>
  </si>
  <si>
    <t xml:space="preserve">achten auf + Akkusativ</t>
  </si>
  <si>
    <t xml:space="preserve">Verbraucher achten zunehmend auf Herkunft.</t>
  </si>
  <si>
    <t xml:space="preserve">[fɛʁˈbʁaʊxɐ ˈʔaxtən tsuːˈneːmənt ʔaʊf ˈhɛʁkʊnft]</t>
  </si>
  <si>
    <t xml:space="preserve">Người tiêu dùng ngày càng để ý xuất xứ.</t>
  </si>
  <si>
    <t xml:space="preserve">der Verbraucher = người tiêu dùng</t>
  </si>
  <si>
    <t xml:space="preserve">S1570</t>
  </si>
  <si>
    <t xml:space="preserve">bremsen = kìm hãm</t>
  </si>
  <si>
    <t xml:space="preserve">Der Fachkräftemangel bremst das Wachstum.</t>
  </si>
  <si>
    <t xml:space="preserve">[dɛɐ̯ ˈfaxkʁɛfˌteːmaŋəl ˈbʁɛmst das ˈvakstuːm]</t>
  </si>
  <si>
    <t xml:space="preserve">Thiếu nhân lực kìm hãm tăng trưởng.</t>
  </si>
  <si>
    <t xml:space="preserve">das Wachstum = tăng trưởng</t>
  </si>
  <si>
    <t xml:space="preserve">S1571</t>
  </si>
  <si>
    <t xml:space="preserve">dürften = phỏng đoán</t>
  </si>
  <si>
    <t xml:space="preserve">Die Preise dürften weiter steigen.</t>
  </si>
  <si>
    <t xml:space="preserve">[diː ˈpʁaɪzə ˈdyʁftən ˈvaɪtɐ ˈʃtaɪɡən]</t>
  </si>
  <si>
    <t xml:space="preserve">Giá chắc sẽ tiếp tục tăng.</t>
  </si>
  <si>
    <t xml:space="preserve">weiter = tiếp tục</t>
  </si>
  <si>
    <t xml:space="preserve">S1572</t>
  </si>
  <si>
    <t xml:space="preserve">sich auszahlen tách</t>
  </si>
  <si>
    <t xml:space="preserve">Investitionen in Bildung zahlen sich aus.</t>
  </si>
  <si>
    <t xml:space="preserve">[ˌʔɪnvɛstiːtsˈjoːnən ʔɪn ˈbɪldʊŋ ˈtsaːlən zɪç ˈʔaʊs]</t>
  </si>
  <si>
    <t xml:space="preserve">Đầu tư vào giáo dục rồi sẽ sinh lợi.</t>
  </si>
  <si>
    <t xml:space="preserve">sich auszahlen = sinh lợi</t>
  </si>
  <si>
    <t xml:space="preserve">S1573</t>
  </si>
  <si>
    <t xml:space="preserve">leiden = chịu đựng</t>
  </si>
  <si>
    <t xml:space="preserve">Kleine Unternehmen leiden besonders stark.</t>
  </si>
  <si>
    <t xml:space="preserve">[ˈklaɪnə ˌʔʊntɐˈneːmən ˈlaɪdən bəˈzɔndɐs ˈʃtaʁk]</t>
  </si>
  <si>
    <t xml:space="preserve">Doanh nghiệp nhỏ chịu thiệt nặng nhất.</t>
  </si>
  <si>
    <t xml:space="preserve">das Unternehmen = doanh nghiệp</t>
  </si>
  <si>
    <t xml:space="preserve">S1574</t>
  </si>
  <si>
    <t xml:space="preserve">reagieren auf + Akkusativ</t>
  </si>
  <si>
    <t xml:space="preserve">Der Markt reagiert empfindlich auf Nachrichten.</t>
  </si>
  <si>
    <t xml:space="preserve">[dɛɐ̯ ˈmaʁkt ˌʁeːaˈɡiːɐ̯t ʔɛmˈpfɪntlɪç ʔaʊf ˈnaxʁɪçtən]</t>
  </si>
  <si>
    <t xml:space="preserve">Thị trường phản ứng nhạy với tin tức.</t>
  </si>
  <si>
    <t xml:space="preserve">empfindlich = nhạy cảm</t>
  </si>
  <si>
    <t xml:space="preserve">S1575</t>
  </si>
  <si>
    <t xml:space="preserve">kürzen = cắt giảm</t>
  </si>
  <si>
    <t xml:space="preserve">Wir müssen die Ausgaben kürzen.</t>
  </si>
  <si>
    <t xml:space="preserve">[viːɐ̯ ˈmysən diː ˈʔaʊsˌɡaːbən ˈkyʁtsən]</t>
  </si>
  <si>
    <t xml:space="preserve">Chúng ta phải cắt giảm chi tiêu.</t>
  </si>
  <si>
    <t xml:space="preserve">die Ausgabe = khoản chi</t>
  </si>
  <si>
    <t xml:space="preserve">S1576</t>
  </si>
  <si>
    <t xml:space="preserve">Komparativ mehr</t>
  </si>
  <si>
    <t xml:space="preserve">Nachhaltiger Konsum kostet oft mehr.</t>
  </si>
  <si>
    <t xml:space="preserve">[ˈnaxhalˌtɪɡɐ kɔnˈzʊm ˈkɔstət ˈʔɔft ˈmeːɐ̯]</t>
  </si>
  <si>
    <t xml:space="preserve">Tiêu dùng bền vững thường đắt hơn.</t>
  </si>
  <si>
    <t xml:space="preserve">nachhaltig = bền vững</t>
  </si>
  <si>
    <t xml:space="preserve">S1577</t>
  </si>
  <si>
    <t xml:space="preserve">liegen bei + Dativ</t>
  </si>
  <si>
    <t xml:space="preserve">Die Arbeitslosenquote liegt bei fünf Prozent.</t>
  </si>
  <si>
    <t xml:space="preserve">[diː ˈʔaʁbaɪtsˌloːzənˌkvoːtə ˈliːkt baɪ ˈfynf pʁoːˈtsɛnt]</t>
  </si>
  <si>
    <t xml:space="preserve">Tỷ lệ thất nghiệp ở mức năm phần trăm.</t>
  </si>
  <si>
    <t xml:space="preserve">die Arbeitslosenquote = tỷ lệ thất nghiệp</t>
  </si>
  <si>
    <t xml:space="preserve">S1578</t>
  </si>
  <si>
    <t xml:space="preserve">wecken + Akkusativ</t>
  </si>
  <si>
    <t xml:space="preserve">Werbung weckt Bedürfnisse, die niemand hat.</t>
  </si>
  <si>
    <t xml:space="preserve">[ˈvɛʁbʊŋ ˈvɛkt bəˈdyʁfnɪsə, diː ˈniːmant hat]</t>
  </si>
  <si>
    <t xml:space="preserve">Quảng cáo đánh thức nhu cầu chẳng ai có.</t>
  </si>
  <si>
    <t xml:space="preserve">das Bedürfnis = nhu cầu; wecken = đánh thức</t>
  </si>
  <si>
    <t xml:space="preserve">S1579</t>
  </si>
  <si>
    <t xml:space="preserve">expandieren nach + Dativ</t>
  </si>
  <si>
    <t xml:space="preserve">Das Unternehmen expandiert nach Asien.</t>
  </si>
  <si>
    <t xml:space="preserve">[das ˌʔʊntɐˈneːmən ˌʔɛkspanˈdiːɐ̯t naːx ˈʔaːzɪən]</t>
  </si>
  <si>
    <t xml:space="preserve">Công ty mở rộng sang châu Á.</t>
  </si>
  <si>
    <t xml:space="preserve">expandieren = mở rộng</t>
  </si>
  <si>
    <t xml:space="preserve">S1580</t>
  </si>
  <si>
    <t xml:space="preserve">am Ende đầu câu, đảo</t>
  </si>
  <si>
    <t xml:space="preserve">Am Ende entscheidet der Kunde.</t>
  </si>
  <si>
    <t xml:space="preserve">[ʔam ˈʔɛndə ʔɛntˈʃaɪdət dɛɐ̯ ˈkʊndə]</t>
  </si>
  <si>
    <t xml:space="preserve">Cuối cùng khách hàng quyết định.</t>
  </si>
  <si>
    <t xml:space="preserve">der Kunde = khách hàng</t>
  </si>
  <si>
    <t xml:space="preserve">S1581</t>
  </si>
  <si>
    <t xml:space="preserve">Khoa học &amp; nghiên cứu</t>
  </si>
  <si>
    <t xml:space="preserve">durchführen tách, an + Dativ</t>
  </si>
  <si>
    <t xml:space="preserve">Die Studie wurde an tausend Personen durchgeführt.</t>
  </si>
  <si>
    <t xml:space="preserve">[diː ˈʃtuːdɪə ˌvʊʁdə ʔan ˈtaʊzənt pɛʁˈzoːnən ˈdʊʁçɡəˌfyːɐ̯t]</t>
  </si>
  <si>
    <t xml:space="preserve">Nghiên cứu được thực hiện trên một nghìn người.</t>
  </si>
  <si>
    <t xml:space="preserve">die Studie = nghiên cứu; durchführen = tiến hành</t>
  </si>
  <si>
    <t xml:space="preserve">S1582</t>
  </si>
  <si>
    <t xml:space="preserve">statistisch = về thống kê</t>
  </si>
  <si>
    <t xml:space="preserve">Die Ergebnisse sind statistisch signifikant.</t>
  </si>
  <si>
    <t xml:space="preserve">[diː ʔɛʁˈɡeːbnɪsə zɪnt ʃtaˈtɪstɪʃ ˌzɪɡniːfiːˈkant]</t>
  </si>
  <si>
    <t xml:space="preserve">Kết quả có ý nghĩa thống kê.</t>
  </si>
  <si>
    <t xml:space="preserve">signifikant = có ý nghĩa</t>
  </si>
  <si>
    <t xml:space="preserve">S1583</t>
  </si>
  <si>
    <t xml:space="preserve">Diese These muss noch belegt werden.</t>
  </si>
  <si>
    <t xml:space="preserve">[ˌdiːzə ˈteːzə ˈmʊs nɔx bəˈleːkt ˌvɛʁdən]</t>
  </si>
  <si>
    <t xml:space="preserve">Luận điểm này còn phải được chứng minh.</t>
  </si>
  <si>
    <t xml:space="preserve">die These = luận điểm; belegen = chứng minh</t>
  </si>
  <si>
    <t xml:space="preserve">S1584</t>
  </si>
  <si>
    <t xml:space="preserve">nachweisen = chứng minh</t>
  </si>
  <si>
    <t xml:space="preserve">Forscher haben einen Zusammenhang nachgewiesen.</t>
  </si>
  <si>
    <t xml:space="preserve">[ˈfɔʁʃɐ ˌhaːbən ˌʔaɪnən tsuːˈzamənˌhaŋ ˈnaxɡeːˌviːzən]</t>
  </si>
  <si>
    <t xml:space="preserve">Các nhà nghiên cứu đã chứng minh một mối liên hệ.</t>
  </si>
  <si>
    <t xml:space="preserve">der Forscher = nhà nghiên cứu</t>
  </si>
  <si>
    <t xml:space="preserve">S1585</t>
  </si>
  <si>
    <t xml:space="preserve">bedeuten + Akkusativ</t>
  </si>
  <si>
    <t xml:space="preserve">Korrelation bedeutet nicht Kausalität.</t>
  </si>
  <si>
    <t xml:space="preserve">[ˌkɔʁəlatsˈjoːn bəˈdɔøtət ˈnɪçt ˌkaʊzaːliːˈtɛːt]</t>
  </si>
  <si>
    <t xml:space="preserve">Tương quan không có nghĩa là nhân quả.</t>
  </si>
  <si>
    <t xml:space="preserve">die Korrelation = tương quan; die Kausalität = quan hệ nhân quả</t>
  </si>
  <si>
    <t xml:space="preserve">S1586</t>
  </si>
  <si>
    <t xml:space="preserve">Das Experiment ließ sich nicht wiederholen.</t>
  </si>
  <si>
    <t xml:space="preserve">[das ˌʔɛkspeːʁiːˈmɛnt ˈliːs zɪç ˈnɪçt viːdɐˈhoːlən]</t>
  </si>
  <si>
    <t xml:space="preserve">Thí nghiệm không lặp lại được.</t>
  </si>
  <si>
    <t xml:space="preserve">das Experiment = thí nghiệm</t>
  </si>
  <si>
    <t xml:space="preserve">S1587</t>
  </si>
  <si>
    <t xml:space="preserve">auswerten tách</t>
  </si>
  <si>
    <t xml:space="preserve">Die Daten wurden sorgfältig ausgewertet.</t>
  </si>
  <si>
    <t xml:space="preserve">[diː ˈdaːtən ˌvʊʁdən ˈzɔʁkfɛlˌtɪç ˈʔaʊsɡəˌvɛʁtət]</t>
  </si>
  <si>
    <t xml:space="preserve">Dữ liệu được phân tích cẩn thận.</t>
  </si>
  <si>
    <t xml:space="preserve">auswerten = phân tích; sorgfältig = cẩn thận</t>
  </si>
  <si>
    <t xml:space="preserve">S1588</t>
  </si>
  <si>
    <t xml:space="preserve">Wissenschaft lebt vom Zweifel.</t>
  </si>
  <si>
    <t xml:space="preserve">[ˈvɪsənˌʃaft ˈleːpt fɔm ˈtsvaɪfəl]</t>
  </si>
  <si>
    <t xml:space="preserve">Khoa học sống nhờ sự hoài nghi.</t>
  </si>
  <si>
    <t xml:space="preserve">der Zweifel = sự hoài nghi</t>
  </si>
  <si>
    <t xml:space="preserve">S1589</t>
  </si>
  <si>
    <t xml:space="preserve">widerlegen = bác bỏ</t>
  </si>
  <si>
    <t xml:space="preserve">Die Theorie wurde inzwischen widerlegt.</t>
  </si>
  <si>
    <t xml:space="preserve">[diː ˌteːoːˈʁiː ˌvʊʁdə ʔɪnˈtsvɪʃən ˈviːdɐˌleːkt]</t>
  </si>
  <si>
    <t xml:space="preserve">Lý thuyết đó nay đã bị bác bỏ.</t>
  </si>
  <si>
    <t xml:space="preserve">widerlegen = bác bỏ; inzwischen = trong khi đó</t>
  </si>
  <si>
    <t xml:space="preserve">S1590</t>
  </si>
  <si>
    <t xml:space="preserve">lückenhaft = có lỗ hổng</t>
  </si>
  <si>
    <t xml:space="preserve">Der Forschungsstand ist noch lückenhaft.</t>
  </si>
  <si>
    <t xml:space="preserve">[dɛɐ̯ ˈfɔʁʃʊŋsˌʃtant ʔɪst nɔx ˈlykənˌhaft]</t>
  </si>
  <si>
    <t xml:space="preserve">Tình hình nghiên cứu còn nhiều lỗ hổng.</t>
  </si>
  <si>
    <t xml:space="preserve">die Lücke = lỗ hổng</t>
  </si>
  <si>
    <t xml:space="preserve">S1591</t>
  </si>
  <si>
    <t xml:space="preserve">trennen zwischen + Dativ</t>
  </si>
  <si>
    <t xml:space="preserve">Man muss zwischen Hypothese und Fakt trennen.</t>
  </si>
  <si>
    <t xml:space="preserve">[man ˈmʊs ˈtsvɪʃən ˈhyːpɔtəsə ʔʊnt ˈfakt ˈtʁɛnən]</t>
  </si>
  <si>
    <t xml:space="preserve">Phải tách giả thuyết khỏi sự kiện.</t>
  </si>
  <si>
    <t xml:space="preserve">die Hypothese = giả thuyết; der Fakt = sự kiện</t>
  </si>
  <si>
    <t xml:space="preserve">S1592</t>
  </si>
  <si>
    <t xml:space="preserve">publizieren = công bố</t>
  </si>
  <si>
    <t xml:space="preserve">Die Ergebnisse wurden in einer Fachzeitschrift publiziert.</t>
  </si>
  <si>
    <t xml:space="preserve">[diː ʔɛʁˈɡeːbnɪsə ˌvʊʁdən ʔɪn ˌʔaɪnɐ ˈfaxtsaɪtˌʃʁɪft ˌpʊbliːˈtsiːɐ̯t]</t>
  </si>
  <si>
    <t xml:space="preserve">Kết quả được đăng trên tạp chí chuyên ngành.</t>
  </si>
  <si>
    <t xml:space="preserve">die Fachzeitschrift = tạp chí chuyên ngành</t>
  </si>
  <si>
    <t xml:space="preserve">S1593</t>
  </si>
  <si>
    <t xml:space="preserve">Interdisziplinäre Forschung gewinnt an Bedeutung.</t>
  </si>
  <si>
    <t xml:space="preserve">[ˌʔɪntɐˌdɪstsɪpliːˈnɛːʁə ˈfɔʁʃʊŋ ɡəˈvɪnt ʔan bəˈdɔøtʊŋ]</t>
  </si>
  <si>
    <t xml:space="preserve">Nghiên cứu liên ngành ngày càng quan trọng.</t>
  </si>
  <si>
    <t xml:space="preserve">interdisziplinär = liên ngành</t>
  </si>
  <si>
    <t xml:space="preserve">S1594</t>
  </si>
  <si>
    <t xml:space="preserve">Genitiv attributiv</t>
  </si>
  <si>
    <t xml:space="preserve">Die Finanzierung der Grundlagenforschung ist knapp.</t>
  </si>
  <si>
    <t xml:space="preserve">[diː ˌfiːnanˈtsiːʁʊŋ dɛɐ̯ ˈɡʁʊndlaːˌɡɛnfɔʁˌʃʊŋ ʔɪst ˈknap]</t>
  </si>
  <si>
    <t xml:space="preserve">Kinh phí cho nghiên cứu cơ bản eo hẹp.</t>
  </si>
  <si>
    <t xml:space="preserve">die Grundlagenforschung = nghiên cứu cơ bản</t>
  </si>
  <si>
    <t xml:space="preserve">S1595</t>
  </si>
  <si>
    <t xml:space="preserve">Konjunktiv II + Komparativ</t>
  </si>
  <si>
    <t xml:space="preserve">Ohne Peer-Review wäre die Qualität geringer.</t>
  </si>
  <si>
    <t xml:space="preserve">[ˈʔoːnə ˈpeːɐ̯ˈʁeːviːf ˈvɛːʁə diː ˌkvaːliːˈtɛːt ɡəˈʁɪŋɐ]</t>
  </si>
  <si>
    <t xml:space="preserve">Không có phản biện đồng cấp thì chất lượng kém hơn.</t>
  </si>
  <si>
    <t xml:space="preserve">gering = thấp/ít</t>
  </si>
  <si>
    <t xml:space="preserve">S1596</t>
  </si>
  <si>
    <t xml:space="preserve">aufweisen tách</t>
  </si>
  <si>
    <t xml:space="preserve">Die Methode weist einige Schwächen auf.</t>
  </si>
  <si>
    <t xml:space="preserve">[diː meːˈtoːdə ˈvaɪst ˌʔaɪnɪɡə ˈʃvɛçən ˈʔaʊf]</t>
  </si>
  <si>
    <t xml:space="preserve">Phương pháp này có vài điểm yếu.</t>
  </si>
  <si>
    <t xml:space="preserve">aufweisen = cho thấy; die Schwäche = điểm yếu</t>
  </si>
  <si>
    <t xml:space="preserve">S1597</t>
  </si>
  <si>
    <t xml:space="preserve">sich ändern reflexiv</t>
  </si>
  <si>
    <t xml:space="preserve">Erkenntnisse ändern sich mit neuen Daten.</t>
  </si>
  <si>
    <t xml:space="preserve">[ʔɛʁˈkɛntnɪsə ˈʔɛndɐn zɪç mɪt ˈnɔøən ˈdaːtən]</t>
  </si>
  <si>
    <t xml:space="preserve">Nhận thức thay đổi theo dữ liệu mới.</t>
  </si>
  <si>
    <t xml:space="preserve">die Erkenntnis = nhận thức</t>
  </si>
  <si>
    <t xml:space="preserve">S1598</t>
  </si>
  <si>
    <t xml:space="preserve">fehlen in + Dativ</t>
  </si>
  <si>
    <t xml:space="preserve">Der Nachwuchs fehlt in vielen Disziplinen.</t>
  </si>
  <si>
    <t xml:space="preserve">[dɛɐ̯ ˈnaxvʊxs ˈfeːlt ʔɪn ˈfiːlən ˌdɪstsɪˈpliːnən]</t>
  </si>
  <si>
    <t xml:space="preserve">Nhiều ngành thiếu thế hệ kế cận.</t>
  </si>
  <si>
    <t xml:space="preserve">der Nachwuchs = thế hệ kế cận</t>
  </si>
  <si>
    <t xml:space="preserve">S1599</t>
  </si>
  <si>
    <t xml:space="preserve">könnte = phỏng đoán</t>
  </si>
  <si>
    <t xml:space="preserve">Diese Entdeckung könnte alles verändern.</t>
  </si>
  <si>
    <t xml:space="preserve">[ˌdiːzə ʔɛntˈdɛkʊŋ ˈkœntə ˈʔaləs fɛˈʁɛndɐn]</t>
  </si>
  <si>
    <t xml:space="preserve">Phát hiện này có thể thay đổi tất cả.</t>
  </si>
  <si>
    <t xml:space="preserve">die Entdeckung = phát hiện</t>
  </si>
  <si>
    <t xml:space="preserve">S1600</t>
  </si>
  <si>
    <t xml:space="preserve">Zahlen sagen nichts ohne Kontext.</t>
  </si>
  <si>
    <t xml:space="preserve">[ˈtsaːlən ˈzaːɡən ˈnɪçts ˈʔoːnə kɔnˈtɛkst]</t>
  </si>
  <si>
    <t xml:space="preserve">Con số chẳng nói lên gì nếu thiếu ngữ cảnh.</t>
  </si>
  <si>
    <t xml:space="preserve">der Kontext = ngữ cảnh</t>
  </si>
  <si>
    <t xml:space="preserve">S1601</t>
  </si>
  <si>
    <t xml:space="preserve">Nghệ thuật, văn hóa &amp; văn học</t>
  </si>
  <si>
    <t xml:space="preserve">beeindrucken + Akkusativ</t>
  </si>
  <si>
    <t xml:space="preserve">Dieser Roman hat mich tief beeindruckt.</t>
  </si>
  <si>
    <t xml:space="preserve">[ˌdiːzɐ ʁoːˈmaːn hat mɪç ˈtiːf bəˈʔaɪnˌdʁʊkt]</t>
  </si>
  <si>
    <t xml:space="preserve">Cuốn tiểu thuyết này gây ấn tượng sâu với tôi.</t>
  </si>
  <si>
    <t xml:space="preserve">beeindrucken = gây ấn tượng</t>
  </si>
  <si>
    <t xml:space="preserve">S1602</t>
  </si>
  <si>
    <t xml:space="preserve">spielen mit + Dativ</t>
  </si>
  <si>
    <t xml:space="preserve">Der Autor spielt geschickt mit der Sprache.</t>
  </si>
  <si>
    <t xml:space="preserve">[dɛɐ̯ ˈʔaʊtoːɐ̯ ˈʃpiːlt ɡəˈʃɪkt mɪt dɛɐ̯ ˈʃpʁaːxə]</t>
  </si>
  <si>
    <t xml:space="preserve">Tác giả chơi chữ rất khéo.</t>
  </si>
  <si>
    <t xml:space="preserve">geschickt = khéo léo</t>
  </si>
  <si>
    <t xml:space="preserve">S1603</t>
  </si>
  <si>
    <t xml:space="preserve">laufen bis + Akkusativ</t>
  </si>
  <si>
    <t xml:space="preserve">Die Ausstellung läuft noch bis Ende Mai.</t>
  </si>
  <si>
    <t xml:space="preserve">[diː ˈʔaʊsˌʃtɛlʊŋ ˈlɔøft nɔx bɪs ˈʔɛndə ˈmaɪ]</t>
  </si>
  <si>
    <t xml:space="preserve">Triển lãm còn mở đến hết tháng Năm.</t>
  </si>
  <si>
    <t xml:space="preserve">die Ausstellung = triển lãm</t>
  </si>
  <si>
    <t xml:space="preserve">S1604</t>
  </si>
  <si>
    <t xml:space="preserve">müssen nicht = không cần</t>
  </si>
  <si>
    <t xml:space="preserve">Kunst muss nicht immer gefallen.</t>
  </si>
  <si>
    <t xml:space="preserve">[ˈkʊnst ˈmʊs ˈnɪçt ˈʔɪmɐ ɡəˈfalən]</t>
  </si>
  <si>
    <t xml:space="preserve">Nghệ thuật không nhất thiết phải làm vừa lòng.</t>
  </si>
  <si>
    <t xml:space="preserve">S1605</t>
  </si>
  <si>
    <t xml:space="preserve">Das Stück wurde vom Publikum gefeiert.</t>
  </si>
  <si>
    <t xml:space="preserve">[das ˈʃtyk ˌvʊʁdə fɔm ˈpʊbliːˌkʊm ɡəˈfaɪɐt]</t>
  </si>
  <si>
    <t xml:space="preserve">Vở kịch được khán giả tán thưởng.</t>
  </si>
  <si>
    <t xml:space="preserve">das Stück = vở kịch; das Publikum = khán giả</t>
  </si>
  <si>
    <t xml:space="preserve">S1606</t>
  </si>
  <si>
    <t xml:space="preserve">vorhersehbar = đoán trước được</t>
  </si>
  <si>
    <t xml:space="preserve">Die Handlung ist ziemlich vorhersehbar.</t>
  </si>
  <si>
    <t xml:space="preserve">[diː ˈhandlʊŋ ʔɪst ˈtsiːmlɪç foːɐ̯ˈheːɐ̯ˌzeːbaːɐ̯]</t>
  </si>
  <si>
    <t xml:space="preserve">Cốt truyện khá dễ đoán.</t>
  </si>
  <si>
    <t xml:space="preserve">die Handlung = cốt truyện</t>
  </si>
  <si>
    <t xml:space="preserve">S1607</t>
  </si>
  <si>
    <t xml:space="preserve">zitieren aus + Dativ</t>
  </si>
  <si>
    <t xml:space="preserve">Er zitiert gern aus klassischen Werken.</t>
  </si>
  <si>
    <t xml:space="preserve">[ʔɛɐ̯ tsiːˈtiːɐ̯t ˈɡɛʁn ˌʔaʊs ˈklasɪʃən ˈvɛʁkən]</t>
  </si>
  <si>
    <t xml:space="preserve">Anh ấy hay trích dẫn các tác phẩm cổ điển.</t>
  </si>
  <si>
    <t xml:space="preserve">zitieren = trích dẫn; das Werk = tác phẩm</t>
  </si>
  <si>
    <t xml:space="preserve">S1608</t>
  </si>
  <si>
    <t xml:space="preserve">thematisieren = lấy làm chủ đề</t>
  </si>
  <si>
    <t xml:space="preserve">Der Film thematisiert soziale Ungleichheit.</t>
  </si>
  <si>
    <t xml:space="preserve">[dɛɐ̯ ˈfɪlm ˌteːmatiːˈziːɐ̯t ˌzoːtsiːˈaːlə ˈʔʊnˌɡlaɪçhaɪt]</t>
  </si>
  <si>
    <t xml:space="preserve">Bộ phim đặt ra vấn đề bất bình đẳng xã hội.</t>
  </si>
  <si>
    <t xml:space="preserve">thematisieren = đề cập</t>
  </si>
  <si>
    <t xml:space="preserve">S1609</t>
  </si>
  <si>
    <t xml:space="preserve">gerecht werden + Dativ</t>
  </si>
  <si>
    <t xml:space="preserve">Die Übersetzung wird dem Original nicht gerecht.</t>
  </si>
  <si>
    <t xml:space="preserve">[diː ˌʔyːbɐˈzɛtsʊŋ ˌvɪʁt deːm ˌʔoːʁɪɡiːˈnaːl ˈnɪçt ɡəˈʁɛçt]</t>
  </si>
  <si>
    <t xml:space="preserve">Bản dịch không xứng với bản gốc.</t>
  </si>
  <si>
    <t xml:space="preserve">gerecht werden = xứng đáng với</t>
  </si>
  <si>
    <t xml:space="preserve">S1610</t>
  </si>
  <si>
    <t xml:space="preserve">über ... hinweg</t>
  </si>
  <si>
    <t xml:space="preserve">Musik verbindet Menschen über Grenzen hinweg.</t>
  </si>
  <si>
    <t xml:space="preserve">[muːˈziːk fɛʁˈbɪndət ˈmɛnʃən ˌʔyːbɐ ˈɡʁɛntsən hɪnˈvɛk]</t>
  </si>
  <si>
    <t xml:space="preserve">Âm nhạc kết nối con người vượt biên giới.</t>
  </si>
  <si>
    <t xml:space="preserve">verbinden = kết nối</t>
  </si>
  <si>
    <t xml:space="preserve">S1611</t>
  </si>
  <si>
    <t xml:space="preserve">gut/schlecht besucht</t>
  </si>
  <si>
    <t xml:space="preserve">Das Theater ist heute schlecht besucht.</t>
  </si>
  <si>
    <t xml:space="preserve">[das teːˈaːtɐ ʔɪst ˈhɔøtə ˈʃlɛçt bəˈzuːxt]</t>
  </si>
  <si>
    <t xml:space="preserve">Hôm nay nhà hát vắng khách.</t>
  </si>
  <si>
    <t xml:space="preserve">besuchen = đến xem</t>
  </si>
  <si>
    <t xml:space="preserve">S1612</t>
  </si>
  <si>
    <t xml:space="preserve">erinnern an + Akkusativ</t>
  </si>
  <si>
    <t xml:space="preserve">Sein Stil erinnert mich an die Romantik.</t>
  </si>
  <si>
    <t xml:space="preserve">[zaɪn ˈʃtiːl ʔɛˈʁɪnɐt mɪç ʔan diː ʁoːˈmantiːk]</t>
  </si>
  <si>
    <t xml:space="preserve">Phong cách của anh ấy làm tôi nhớ chủ nghĩa lãng mạn.</t>
  </si>
  <si>
    <t xml:space="preserve">die Romantik = chủ nghĩa lãng mạn</t>
  </si>
  <si>
    <t xml:space="preserve">S1613</t>
  </si>
  <si>
    <t xml:space="preserve">sich uneinig sein</t>
  </si>
  <si>
    <t xml:space="preserve">Die Kritiker waren sich uneinig.</t>
  </si>
  <si>
    <t xml:space="preserve">[diː ˈkʁiːtiːkɐ vaːʁən zɪç ˈʔʊnaɪˌniːk]</t>
  </si>
  <si>
    <t xml:space="preserve">Giới phê bình không thống nhất.</t>
  </si>
  <si>
    <t xml:space="preserve">der Kritiker = nhà phê bình; uneinig = bất đồng</t>
  </si>
  <si>
    <t xml:space="preserve">S1614</t>
  </si>
  <si>
    <t xml:space="preserve">die Förderung = sự tài trợ</t>
  </si>
  <si>
    <t xml:space="preserve">Kultur braucht öffentliche Förderung.</t>
  </si>
  <si>
    <t xml:space="preserve">[kʊlˈtuːɐ̯ ˈbʁaʊxt ˈʔœfəntlɪçə ˈfœʁdəˌʁʊŋ]</t>
  </si>
  <si>
    <t xml:space="preserve">Văn hóa cần được nhà nước hỗ trợ.</t>
  </si>
  <si>
    <t xml:space="preserve">die Förderung = sự hỗ trợ</t>
  </si>
  <si>
    <t xml:space="preserve">S1615</t>
  </si>
  <si>
    <t xml:space="preserve">sich lesen = đọc thấy thế nào</t>
  </si>
  <si>
    <t xml:space="preserve">Das Buch liest sich flüssig.</t>
  </si>
  <si>
    <t xml:space="preserve">[das ˈbuːx ˈliːst zɪç ˈflysɪç]</t>
  </si>
  <si>
    <t xml:space="preserve">Quyển sách đọc rất trôi chảy.</t>
  </si>
  <si>
    <t xml:space="preserve">flüssig = trôi chảy</t>
  </si>
  <si>
    <t xml:space="preserve">S1616</t>
  </si>
  <si>
    <t xml:space="preserve">gelten als + Nominativ</t>
  </si>
  <si>
    <t xml:space="preserve">Der Maler gilt als Wegbereiter der Moderne.</t>
  </si>
  <si>
    <t xml:space="preserve">[dɛɐ̯ ˈmaːlɐ ˈɡɪlt ʔals ˈvɛɡbeːˌʁaɪtɐ dɛɐ̯ moːˈdɛʁnə]</t>
  </si>
  <si>
    <t xml:space="preserve">Họa sĩ được coi là người mở đường cho hiện đại.</t>
  </si>
  <si>
    <t xml:space="preserve">der Wegbereiter = người mở đường</t>
  </si>
  <si>
    <t xml:space="preserve">S1617</t>
  </si>
  <si>
    <t xml:space="preserve">interpretieren = diễn giải</t>
  </si>
  <si>
    <t xml:space="preserve">Ich interpretiere das Gedicht anders.</t>
  </si>
  <si>
    <t xml:space="preserve">[ʔɪç ˌʔɪntɐpʁeːˈtiːʁə das ɡəˈdɪçt ˈʔandɐs]</t>
  </si>
  <si>
    <t xml:space="preserve">Tôi diễn giải bài thơ theo cách khác.</t>
  </si>
  <si>
    <t xml:space="preserve">das Gedicht = bài thơ</t>
  </si>
  <si>
    <t xml:space="preserve">S1618</t>
  </si>
  <si>
    <t xml:space="preserve">umstritten = gây tranh cãi</t>
  </si>
  <si>
    <t xml:space="preserve">Die Inszenierung war mutig, aber umstritten.</t>
  </si>
  <si>
    <t xml:space="preserve">[diː ˌʔɪnstseːˈniːʁʊŋ vaːɐ̯ ˈmuːtɪç, ˌʔaːbɐ ˈʔʊmˌʃtʁɪtən]</t>
  </si>
  <si>
    <t xml:space="preserve">Dàn dựng táo bạo nhưng gây tranh cãi.</t>
  </si>
  <si>
    <t xml:space="preserve">die Inszenierung = dàn dựng; mutig = táo bạo</t>
  </si>
  <si>
    <t xml:space="preserve">S1619</t>
  </si>
  <si>
    <t xml:space="preserve">anbieten tách</t>
  </si>
  <si>
    <t xml:space="preserve">Viele Museen bieten freien Eintritt an.</t>
  </si>
  <si>
    <t xml:space="preserve">[ˈfiːlə muːˈzeːən ˈbiːtən ˈfʁaɪən ˈʔaɪnˌtʁɪt ˈʔan]</t>
  </si>
  <si>
    <t xml:space="preserve">Nhiều bảo tàng cho vào cửa miễn phí.</t>
  </si>
  <si>
    <t xml:space="preserve">der Eintritt = vé vào cửa</t>
  </si>
  <si>
    <t xml:space="preserve">S1620</t>
  </si>
  <si>
    <t xml:space="preserve">Literatur eröffnet neue Perspektiven.</t>
  </si>
  <si>
    <t xml:space="preserve">[ˌliːteːʁaˈtuːɐ̯ ʔɛˈʁœfnət ˈnɔøə ˌpɛʁspɛkˈtiːvən]</t>
  </si>
  <si>
    <t xml:space="preserve">Văn chương mở ra những góc nhìn mới.</t>
  </si>
  <si>
    <t xml:space="preserve">die Perspektive = góc nhìn</t>
  </si>
  <si>
    <t xml:space="preserve">S1621</t>
  </si>
  <si>
    <t xml:space="preserve">Tâm lý &amp; cảm xúc</t>
  </si>
  <si>
    <t xml:space="preserve">Ich fühle mich im Moment überfordert.</t>
  </si>
  <si>
    <t xml:space="preserve">[ʔɪç ˈfyːlə mɪç ʔɪm moːˈmɛnt ˌʔyːbɐˈfɔʁdɐt]</t>
  </si>
  <si>
    <t xml:space="preserve">Hiện tôi thấy quá tải.</t>
  </si>
  <si>
    <t xml:space="preserve">überfordert = quá tải</t>
  </si>
  <si>
    <t xml:space="preserve">S1622</t>
  </si>
  <si>
    <t xml:space="preserve">kontrollieren + Akkusativ</t>
  </si>
  <si>
    <t xml:space="preserve">Er kann seine Wut schlecht kontrollieren.</t>
  </si>
  <si>
    <t xml:space="preserve">[ʔɛɐ̯ ˌkan ˌzaɪnə ˈvuːt ˈʃlɛçt kɔntʁɔˈliːʁən]</t>
  </si>
  <si>
    <t xml:space="preserve">Anh ấy khó kiểm soát cơn giận.</t>
  </si>
  <si>
    <t xml:space="preserve">die Wut = cơn giận</t>
  </si>
  <si>
    <t xml:space="preserve">S1623</t>
  </si>
  <si>
    <t xml:space="preserve">völlig = hoàn toàn</t>
  </si>
  <si>
    <t xml:space="preserve">Angst ist eine völlig normale Reaktion.</t>
  </si>
  <si>
    <t xml:space="preserve">[ˈʔaŋst ʔɪst ˌʔaɪnə ˈfœlɪç nɔʁˈmaːlə ˌʁeːaktsˈjoːn]</t>
  </si>
  <si>
    <t xml:space="preserve">Sợ hãi là phản ứng hoàn toàn bình thường.</t>
  </si>
  <si>
    <t xml:space="preserve">die Reaktion = phản ứng</t>
  </si>
  <si>
    <t xml:space="preserve">S1624</t>
  </si>
  <si>
    <t xml:space="preserve">schwerfallen + Dativ + zu</t>
  </si>
  <si>
    <t xml:space="preserve">Es fällt mir schwer, darüber zu sprechen.</t>
  </si>
  <si>
    <t xml:space="preserve">[ʔɛs ˈfɛlt miːɐ̯ ˈʃveːɐ̯, daːˈʁyːbɐ tsuː ˈʃpʁɛçən]</t>
  </si>
  <si>
    <t xml:space="preserve">Tôi thấy khó nói về chuyện đó.</t>
  </si>
  <si>
    <t xml:space="preserve">schwerfallen = thấy khó</t>
  </si>
  <si>
    <t xml:space="preserve">S1625</t>
  </si>
  <si>
    <t xml:space="preserve">neigen dazu + zu-Infinitiv</t>
  </si>
  <si>
    <t xml:space="preserve">Sie neigt dazu, alles zu kontrollieren.</t>
  </si>
  <si>
    <t xml:space="preserve">[ziː ˈnaɪkt daːˈtsuː, ˈʔaləs tsuː kɔntʁɔˈliːʁən]</t>
  </si>
  <si>
    <t xml:space="preserve">Cô ấy có xu hướng kiểm soát mọi thứ.</t>
  </si>
  <si>
    <t xml:space="preserve">neigen zu = có xu hướng</t>
  </si>
  <si>
    <t xml:space="preserve">S1626</t>
  </si>
  <si>
    <t xml:space="preserve">nachlassen tách</t>
  </si>
  <si>
    <t xml:space="preserve">Mit der Zeit lässt der Schmerz nach.</t>
  </si>
  <si>
    <t xml:space="preserve">[mɪt dɛɐ̯ ˈtsaɪt ˈlɛst dɛɐ̯ ˈʃmɛʁts ˈnaːx]</t>
  </si>
  <si>
    <t xml:space="preserve">Theo thời gian nỗi đau dịu đi.</t>
  </si>
  <si>
    <t xml:space="preserve">der Schmerz = nỗi đau; nachlassen = dịu đi</t>
  </si>
  <si>
    <t xml:space="preserve">S1627</t>
  </si>
  <si>
    <t xml:space="preserve">verdrängen = dồn nén</t>
  </si>
  <si>
    <t xml:space="preserve">Er verdrängt seine Probleme einfach.</t>
  </si>
  <si>
    <t xml:space="preserve">[ʔɛɐ̯ fɛʁˈdʁɛŋt ˌzaɪnə pʁoːˈbleːmə ˈʔaɪnˌfax]</t>
  </si>
  <si>
    <t xml:space="preserve">Anh ấy chỉ đơn giản là dồn nén vấn đề.</t>
  </si>
  <si>
    <t xml:space="preserve">verdrängen = kìm nén</t>
  </si>
  <si>
    <t xml:space="preserve">S1628</t>
  </si>
  <si>
    <t xml:space="preserve">begleiten + Akkusativ</t>
  </si>
  <si>
    <t xml:space="preserve">Selbstzweifel begleiten viele Menschen.</t>
  </si>
  <si>
    <t xml:space="preserve">[ˈzɛlpstˌtsvaɪfəl bəˈɡlaɪtən ˈfiːlə ˈmɛnʃən]</t>
  </si>
  <si>
    <t xml:space="preserve">Sự tự nghi ngờ đi cùng nhiều người.</t>
  </si>
  <si>
    <t xml:space="preserve">der Selbstzweifel = tự nghi ngờ</t>
  </si>
  <si>
    <t xml:space="preserve">S1629</t>
  </si>
  <si>
    <t xml:space="preserve">Ich habe mich sehr über ihn geärgert.</t>
  </si>
  <si>
    <t xml:space="preserve">[ʔɪç haːbə mɪç ˈzeːɐ̯ ˌʔyːbɐ ʔiːn ɡəˈʔɛʁɡɐt]</t>
  </si>
  <si>
    <t xml:space="preserve">Tôi đã rất bực anh ta.</t>
  </si>
  <si>
    <t xml:space="preserve">sich ärgern = bực</t>
  </si>
  <si>
    <t xml:space="preserve">S1630</t>
  </si>
  <si>
    <t xml:space="preserve">nachweislich = đã chứng minh</t>
  </si>
  <si>
    <t xml:space="preserve">Dankbarkeit macht nachweislich glücklicher.</t>
  </si>
  <si>
    <t xml:space="preserve">[ˈdaŋkbaʁˌkaɪt ˈmaxt ˈnaxvaɪzˌlɪç ˈɡlyklɪçɐ]</t>
  </si>
  <si>
    <t xml:space="preserve">Lòng biết ơn đã được chứng minh làm người ta hạnh phúc hơn.</t>
  </si>
  <si>
    <t xml:space="preserve">die Dankbarkeit = lòng biết ơn</t>
  </si>
  <si>
    <t xml:space="preserve">S1631</t>
  </si>
  <si>
    <t xml:space="preserve">äußerlich / innerlich</t>
  </si>
  <si>
    <t xml:space="preserve">Er wirkt äußerlich ruhig, innerlich nicht.</t>
  </si>
  <si>
    <t xml:space="preserve">[ʔɛɐ̯ ˈvɪʁkt ˈʔɔøsɐˌlɪç ˈʁuːɪç, ˈʔɪnɐˌlɪç ˈnɪçt]</t>
  </si>
  <si>
    <t xml:space="preserve">Bề ngoài anh ấy bình tĩnh, bên trong thì không.</t>
  </si>
  <si>
    <t xml:space="preserve">wirken = tỏ ra; innerlich = bên trong</t>
  </si>
  <si>
    <t xml:space="preserve">S1632</t>
  </si>
  <si>
    <t xml:space="preserve">ein Zeichen von + Dativ</t>
  </si>
  <si>
    <t xml:space="preserve">Therapie ist kein Zeichen von Schwäche.</t>
  </si>
  <si>
    <t xml:space="preserve">[ˌteːʁaˈpiː ʔɪst ˈkaɪn ˈtsaɪçən fɔn ˈʃvɛçə]</t>
  </si>
  <si>
    <t xml:space="preserve">Trị liệu không phải dấu hiệu của sự yếu đuối.</t>
  </si>
  <si>
    <t xml:space="preserve">die Therapie = trị liệu</t>
  </si>
  <si>
    <t xml:space="preserve">S1633</t>
  </si>
  <si>
    <t xml:space="preserve">Ich brauche Zeit, um das zu verarbeiten.</t>
  </si>
  <si>
    <t xml:space="preserve">[ʔɪç ˈbʁaʊxə ˈtsaɪt, ʔʊm das tsuː fɛˈʁaʁbaɪtən]</t>
  </si>
  <si>
    <t xml:space="preserve">Tôi cần thời gian để tiêu hóa chuyện đó.</t>
  </si>
  <si>
    <t xml:space="preserve">verarbeiten = xử lý/tiêu hóa</t>
  </si>
  <si>
    <t xml:space="preserve">S1634</t>
  </si>
  <si>
    <t xml:space="preserve">aus der Ruhe bringen</t>
  </si>
  <si>
    <t xml:space="preserve">Sie lässt sich leicht aus der Ruhe bringen.</t>
  </si>
  <si>
    <t xml:space="preserve">[ziː ˈlɛst zɪç ˈlaɪçt ˌʔaʊs dɛɐ̯ ˈʁuːə ˈbʁɪŋən]</t>
  </si>
  <si>
    <t xml:space="preserve">Cô ấy dễ bị mất bình tĩnh.</t>
  </si>
  <si>
    <t xml:space="preserve">die Ruhe = sự bình tĩnh</t>
  </si>
  <si>
    <t xml:space="preserve">S1635</t>
  </si>
  <si>
    <t xml:space="preserve">führen zu + Dativ</t>
  </si>
  <si>
    <t xml:space="preserve">Erwartungen führen oft zu Enttäuschung.</t>
  </si>
  <si>
    <t xml:space="preserve">[ʔɛʁˈvaʁtʊŋən ˈfyːʁən ˈʔɔft tsuː ʔɛntˈtɔøʃʊŋ]</t>
  </si>
  <si>
    <t xml:space="preserve">Kỳ vọng thường dẫn đến thất vọng.</t>
  </si>
  <si>
    <t xml:space="preserve">die Erwartung = kỳ vọng; die Enttäuschung = thất vọng</t>
  </si>
  <si>
    <t xml:space="preserve">S1636</t>
  </si>
  <si>
    <t xml:space="preserve">Er hat gelernt, Nein zu sagen.</t>
  </si>
  <si>
    <t xml:space="preserve">[ʔɛɐ̯ hat ɡəˈlɛʁnt, ˈnaɪn tsuː ˈzaːɡən]</t>
  </si>
  <si>
    <t xml:space="preserve">Anh ấy đã học được cách nói Không.</t>
  </si>
  <si>
    <t xml:space="preserve">Nein sagen = nói không</t>
  </si>
  <si>
    <t xml:space="preserve">S1637</t>
  </si>
  <si>
    <t xml:space="preserve">weit verbreitet</t>
  </si>
  <si>
    <t xml:space="preserve">Einsamkeit ist in Städten weit verbreitet.</t>
  </si>
  <si>
    <t xml:space="preserve">[ˈʔaɪnˌzaːmkaɪt ʔɪst ʔɪn ˈʃtɛtən ˈvaɪt fɛʁˈbʁaɪtət]</t>
  </si>
  <si>
    <t xml:space="preserve">Cô đơn rất phổ biến ở thành phố.</t>
  </si>
  <si>
    <t xml:space="preserve">die Einsamkeit = sự cô đơn</t>
  </si>
  <si>
    <t xml:space="preserve">S1638</t>
  </si>
  <si>
    <t xml:space="preserve">irritieren + Akkusativ</t>
  </si>
  <si>
    <t xml:space="preserve">Sein Verhalten irritiert mich zunehmend.</t>
  </si>
  <si>
    <t xml:space="preserve">[zaɪn fɛʁˈhaltən ˌʔɪʁiːˈtiːɐ̯t mɪç tsuːˈneːmənt]</t>
  </si>
  <si>
    <t xml:space="preserve">Hành vi của anh ấy ngày càng làm tôi khó chịu.</t>
  </si>
  <si>
    <t xml:space="preserve">das Verhalten = hành vi; irritieren = làm bối rối</t>
  </si>
  <si>
    <t xml:space="preserve">S1639</t>
  </si>
  <si>
    <t xml:space="preserve">sich etwas zu Herzen nehmen</t>
  </si>
  <si>
    <t xml:space="preserve">Ich nehme mir das zu sehr zu Herzen.</t>
  </si>
  <si>
    <t xml:space="preserve">[ʔɪç ˈneːmə miːɐ̯ das tsuː ˈzeːɐ̯ tsuː ˈhɛʁtsən]</t>
  </si>
  <si>
    <t xml:space="preserve">Tôi để bụng chuyện đó quá.</t>
  </si>
  <si>
    <t xml:space="preserve">zu Herzen nehmen = để bụng</t>
  </si>
  <si>
    <t xml:space="preserve">S1640</t>
  </si>
  <si>
    <t xml:space="preserve">Mit Achtsamkeit lässt sich Stress reduzieren.</t>
  </si>
  <si>
    <t xml:space="preserve">[mɪt ˈʔaxtzaːmˌkaɪt ˈlɛst zɪç ˈʃtʁɛs ˌʁeːduːˈtsiːʁən]</t>
  </si>
  <si>
    <t xml:space="preserve">Nhờ chánh niệm có thể giảm căng thẳng.</t>
  </si>
  <si>
    <t xml:space="preserve">die Achtsamkeit = chánh niệm</t>
  </si>
  <si>
    <t xml:space="preserve">S1641</t>
  </si>
  <si>
    <t xml:space="preserve">Quan hệ &amp; xung đột</t>
  </si>
  <si>
    <t xml:space="preserve">sich trennen; im Guten</t>
  </si>
  <si>
    <t xml:space="preserve">Wir haben uns im Guten getrennt.</t>
  </si>
  <si>
    <t xml:space="preserve">[viːɐ̯ ˌhaːbən ʔʊns ʔɪm ˈɡuːtən ɡəˈtʁɛnt]</t>
  </si>
  <si>
    <t xml:space="preserve">Chúng tôi chia tay trong êm đẹp.</t>
  </si>
  <si>
    <t xml:space="preserve">sich trennen = chia tay</t>
  </si>
  <si>
    <t xml:space="preserve">S1642</t>
  </si>
  <si>
    <t xml:space="preserve">zu-Infinitiv làm chủ ngữ</t>
  </si>
  <si>
    <t xml:space="preserve">Vertrauen aufzubauen dauert Jahre.</t>
  </si>
  <si>
    <t xml:space="preserve">[fɛʁˈtʁaʊən ˈʔaʊftsuːˌbaʊən ˈdaʊɐt ˈjaːʁə]</t>
  </si>
  <si>
    <t xml:space="preserve">Xây dựng niềm tin mất nhiều năm.</t>
  </si>
  <si>
    <t xml:space="preserve">aufbauen = xây dựng</t>
  </si>
  <si>
    <t xml:space="preserve">S1643</t>
  </si>
  <si>
    <t xml:space="preserve">vorwerfen + Dativ + zu</t>
  </si>
  <si>
    <t xml:space="preserve">Er wirft mir vor, egoistisch zu sein.</t>
  </si>
  <si>
    <t xml:space="preserve">[ʔɛɐ̯ ˈvɪʁft miːɐ̯ ˈfɔɐ̯, ˌʔeːɡoːˈɪstɪʃ tsuː zaɪn]</t>
  </si>
  <si>
    <t xml:space="preserve">Anh ấy trách tôi ích kỷ.</t>
  </si>
  <si>
    <t xml:space="preserve">vorwerfen = trách; egoistisch = ích kỷ</t>
  </si>
  <si>
    <t xml:space="preserve">S1644</t>
  </si>
  <si>
    <t xml:space="preserve">aneinander vorbeireden</t>
  </si>
  <si>
    <t xml:space="preserve">Wir reden seit Wochen aneinander vorbei.</t>
  </si>
  <si>
    <t xml:space="preserve">[viːɐ̯ ˈʁeːdən zaɪt ˈvɔxən ˌʔan1aɪˈnandɐ foːɐ̯ˈbaɪ]</t>
  </si>
  <si>
    <t xml:space="preserve">Mấy tuần nay chúng tôi nói chuyện không hiểu nhau.</t>
  </si>
  <si>
    <t xml:space="preserve">aneinander vorbeireden = nói lệch nhau</t>
  </si>
  <si>
    <t xml:space="preserve">S1645</t>
  </si>
  <si>
    <t xml:space="preserve">könnte = giả định</t>
  </si>
  <si>
    <t xml:space="preserve">Ein offenes Gespräch könnte helfen.</t>
  </si>
  <si>
    <t xml:space="preserve">[ʔaɪn ˈʔɔfənəs ɡəˈʃpʁɛːç ˈkœntə ˈhɛlfən]</t>
  </si>
  <si>
    <t xml:space="preserve">Một cuộc nói chuyện thẳng thắn có thể giúp ích.</t>
  </si>
  <si>
    <t xml:space="preserve">offen = cởi mở</t>
  </si>
  <si>
    <t xml:space="preserve">S1646</t>
  </si>
  <si>
    <t xml:space="preserve">sich entschuldigen bei + Dativ</t>
  </si>
  <si>
    <t xml:space="preserve">Sie hat sich bei mir entschuldigt.</t>
  </si>
  <si>
    <t xml:space="preserve">[ziː hat zɪç baɪ miːɐ̯ ʔɛntˈʃʊldɪçt]</t>
  </si>
  <si>
    <t xml:space="preserve">Cô ấy đã xin lỗi tôi.</t>
  </si>
  <si>
    <t xml:space="preserve">S1647</t>
  </si>
  <si>
    <t xml:space="preserve">dazugehören zu</t>
  </si>
  <si>
    <t xml:space="preserve">Streit gehört zu jeder Beziehung dazu.</t>
  </si>
  <si>
    <t xml:space="preserve">[ˈʃtʁaɪt ɡəˈhœʁt tsuː ˈjeːdɐ bəˈtsiːʊŋ daːˈtsuː]</t>
  </si>
  <si>
    <t xml:space="preserve">Cãi nhau là một phần của mọi mối quan hệ.</t>
  </si>
  <si>
    <t xml:space="preserve">der Streit = cãi vã; die Beziehung = mối quan hệ</t>
  </si>
  <si>
    <t xml:space="preserve">S1648</t>
  </si>
  <si>
    <t xml:space="preserve">verzeihen + Dativ</t>
  </si>
  <si>
    <t xml:space="preserve">Ich kann ihm das nicht verzeihen.</t>
  </si>
  <si>
    <t xml:space="preserve">[ʔɪç ˌkan ʔiːm das ˈnɪçt fɛʁˈtsaɪən]</t>
  </si>
  <si>
    <t xml:space="preserve">Tôi không thể tha thứ cho anh ấy chuyện đó.</t>
  </si>
  <si>
    <t xml:space="preserve">verzeihen = tha thứ</t>
  </si>
  <si>
    <t xml:space="preserve">S1649</t>
  </si>
  <si>
    <t xml:space="preserve">Rücksicht nehmen auf</t>
  </si>
  <si>
    <t xml:space="preserve">Wir müssen aufeinander Rücksicht nehmen.</t>
  </si>
  <si>
    <t xml:space="preserve">[viːɐ̯ ˈmysən ˈʔaʊfaɪˌnandɐ ˈʁyksɪçt ˈneːmən]</t>
  </si>
  <si>
    <t xml:space="preserve">Chúng ta phải nể nhau.</t>
  </si>
  <si>
    <t xml:space="preserve">aufeinander = lẫn nhau</t>
  </si>
  <si>
    <t xml:space="preserve">S1650</t>
  </si>
  <si>
    <t xml:space="preserve">ein Versprechen halten</t>
  </si>
  <si>
    <t xml:space="preserve">Er hält sein Versprechen selten.</t>
  </si>
  <si>
    <t xml:space="preserve">[ʔɛɐ̯ ˈhɛlt zaɪn fɛʁˈʃpʁɛçən ˈzɛltən]</t>
  </si>
  <si>
    <t xml:space="preserve">Anh ấy hiếm khi giữ lời hứa.</t>
  </si>
  <si>
    <t xml:space="preserve">das Versprechen = lời hứa</t>
  </si>
  <si>
    <t xml:space="preserve">S1651</t>
  </si>
  <si>
    <t xml:space="preserve">entstehen + sein</t>
  </si>
  <si>
    <t xml:space="preserve">Missverständnisse entstehen schnell per Chat.</t>
  </si>
  <si>
    <t xml:space="preserve">[ˈmɪsfɐˌʃtɛndnɪsə ʔɛntˈʃteːən ˈʃnɛl pɛɐ̯ (en)tˈʃat(de)]</t>
  </si>
  <si>
    <t xml:space="preserve">Hiểu lầm dễ nảy sinh qua chat.</t>
  </si>
  <si>
    <t xml:space="preserve">entstehen = nảy sinh</t>
  </si>
  <si>
    <t xml:space="preserve">S1652</t>
  </si>
  <si>
    <t xml:space="preserve">zutiefst = sâu sắc</t>
  </si>
  <si>
    <t xml:space="preserve">Sie hat mich zutiefst enttäuscht.</t>
  </si>
  <si>
    <t xml:space="preserve">[ziː hat mɪç tsuːˈtiːfst ʔɛntˈtɔøʃt]</t>
  </si>
  <si>
    <t xml:space="preserve">Cô ấy làm tôi thất vọng sâu sắc.</t>
  </si>
  <si>
    <t xml:space="preserve">S1653</t>
  </si>
  <si>
    <t xml:space="preserve">lassen + Infinitiv</t>
  </si>
  <si>
    <t xml:space="preserve">Wir sollten den Konflikt nicht eskalieren lassen.</t>
  </si>
  <si>
    <t xml:space="preserve">[viːɐ̯ ˌzɔltən deːn kɔnˈflɪkt ˈnɪçt ˌʔɛskaˈliːʁən ˈlasən]</t>
  </si>
  <si>
    <t xml:space="preserve">Chúng ta không nên để xung đột leo thang.</t>
  </si>
  <si>
    <t xml:space="preserve">S1654</t>
  </si>
  <si>
    <t xml:space="preserve">im Gleichgewicht sein</t>
  </si>
  <si>
    <t xml:space="preserve">Nähe und Freiheit müssen im Gleichgewicht sein.</t>
  </si>
  <si>
    <t xml:space="preserve">[ˈnɛːə ʔʊnt ˈfʁaɪhaɪt ˈmysən ʔɪm ˈɡlaɪçɡeːˌvɪçt zaɪn]</t>
  </si>
  <si>
    <t xml:space="preserve">Sự gần gũi và tự do phải cân bằng.</t>
  </si>
  <si>
    <t xml:space="preserve">das Gleichgewicht = sự cân bằng</t>
  </si>
  <si>
    <t xml:space="preserve">S1655</t>
  </si>
  <si>
    <t xml:space="preserve">sich zurückziehen tách</t>
  </si>
  <si>
    <t xml:space="preserve">Er zieht sich immer mehr zurück.</t>
  </si>
  <si>
    <t xml:space="preserve">[ʔɛɐ̯ ˈtsiːt zɪç ˈʔɪmɐ ˈmeːɐ̯ tsuːˈʁyk]</t>
  </si>
  <si>
    <t xml:space="preserve">Anh ấy ngày càng khép mình lại.</t>
  </si>
  <si>
    <t xml:space="preserve">sich zurückziehen = rút lui</t>
  </si>
  <si>
    <t xml:space="preserve">S1656</t>
  </si>
  <si>
    <t xml:space="preserve">wichtiger als + Dativ</t>
  </si>
  <si>
    <t xml:space="preserve">Ehrlichkeit ist mir wichtiger als Harmonie.</t>
  </si>
  <si>
    <t xml:space="preserve">[ˈʔeːɐ̯lɪçˌkaɪt ʔɪst miːɐ̯ ˈvɪçtɪɡɐ ʔals ˌhaʁmoːˈniː]</t>
  </si>
  <si>
    <t xml:space="preserve">Sự thành thật với tôi quan trọng hơn sự hòa thuận.</t>
  </si>
  <si>
    <t xml:space="preserve">die Ehrlichkeit = sự thành thật; die Harmonie = hòa thuận</t>
  </si>
  <si>
    <t xml:space="preserve">S1657</t>
  </si>
  <si>
    <t xml:space="preserve">sich versöhnen</t>
  </si>
  <si>
    <t xml:space="preserve">Wir haben uns wieder versöhnt.</t>
  </si>
  <si>
    <t xml:space="preserve">[viːɐ̯ ˌhaːbən ʔʊns ˈviːdɐ fɛʁˈzøːnt]</t>
  </si>
  <si>
    <t xml:space="preserve">Chúng tôi đã làm lành.</t>
  </si>
  <si>
    <t xml:space="preserve">sich versöhnen = làm lành</t>
  </si>
  <si>
    <t xml:space="preserve">S1658</t>
  </si>
  <si>
    <t xml:space="preserve">persönlich nehmen</t>
  </si>
  <si>
    <t xml:space="preserve">Er nimmt alles persönlich.</t>
  </si>
  <si>
    <t xml:space="preserve">[ʔɛɐ̯ ˈnɪmt ˈʔaləs pɛʁˈzøːnlɪç]</t>
  </si>
  <si>
    <t xml:space="preserve">Anh ấy cái gì cũng nhận về mình.</t>
  </si>
  <si>
    <t xml:space="preserve">persönlich = cá nhân</t>
  </si>
  <si>
    <t xml:space="preserve">S1659</t>
  </si>
  <si>
    <t xml:space="preserve">Akkusativ đầu câu nhấn mạnh</t>
  </si>
  <si>
    <t xml:space="preserve">Gute Freunde merkt man in schweren Zeiten.</t>
  </si>
  <si>
    <t xml:space="preserve">[ˈɡuːtə ˈfʁɔøndə ˈmɛʁkt man ʔɪn ˈʃveːʁən ˈtsaɪtən]</t>
  </si>
  <si>
    <t xml:space="preserve">Bạn tốt thì nhận ra lúc khó khăn.</t>
  </si>
  <si>
    <t xml:space="preserve">merken = nhận ra</t>
  </si>
  <si>
    <t xml:space="preserve">S1660</t>
  </si>
  <si>
    <t xml:space="preserve">lassen + uns; in Ruhe</t>
  </si>
  <si>
    <t xml:space="preserve">Lass uns das in Ruhe besprechen.</t>
  </si>
  <si>
    <t xml:space="preserve">[ˈlas ʔʊns das ʔɪn ˈʁuːə bəˈʃpʁɛçən]</t>
  </si>
  <si>
    <t xml:space="preserve">Mình bình tĩnh nói chuyện đi.</t>
  </si>
  <si>
    <t xml:space="preserve">in Ruhe = bình tĩnh</t>
  </si>
  <si>
    <t xml:space="preserve">S1661</t>
  </si>
  <si>
    <t xml:space="preserve">Đàm phán &amp; thỏa hiệp</t>
  </si>
  <si>
    <t xml:space="preserve">lassen Sie uns</t>
  </si>
  <si>
    <t xml:space="preserve">Lassen Sie uns einen Mittelweg finden.</t>
  </si>
  <si>
    <t xml:space="preserve">[ˈlasən ziː ʔʊns ˌʔaɪnən ˈmɪtəlˌveːk ˈfɪndən]</t>
  </si>
  <si>
    <t xml:space="preserve">Chúng ta tìm một con đường trung dung.</t>
  </si>
  <si>
    <t xml:space="preserve">der Mittelweg = đường trung dung</t>
  </si>
  <si>
    <t xml:space="preserve">S1662</t>
  </si>
  <si>
    <t xml:space="preserve">Unter diesen Bedingungen stimme ich zu.</t>
  </si>
  <si>
    <t xml:space="preserve">[ˌʔʊntɐ ˌdiːzən bəˈdɪŋʊŋən ˈʃtɪmə ʔɪç ˈtsuː]</t>
  </si>
  <si>
    <t xml:space="preserve">Với các điều kiện này tôi đồng ý.</t>
  </si>
  <si>
    <t xml:space="preserve">die Bedingung = điều kiện</t>
  </si>
  <si>
    <t xml:space="preserve">S1663</t>
  </si>
  <si>
    <t xml:space="preserve">Superlativ letzt-</t>
  </si>
  <si>
    <t xml:space="preserve">Das ist mein letztes Angebot.</t>
  </si>
  <si>
    <t xml:space="preserve">[das ʔɪst maɪn ˈlɛtstəs ˈʔanɡəˌboːt]</t>
  </si>
  <si>
    <t xml:space="preserve">Đây là đề nghị cuối cùng của tôi.</t>
  </si>
  <si>
    <t xml:space="preserve">das Angebot = đề nghị</t>
  </si>
  <si>
    <t xml:space="preserve">S1664</t>
  </si>
  <si>
    <t xml:space="preserve">sich in der Mitte treffen</t>
  </si>
  <si>
    <t xml:space="preserve">Könnten wir uns in der Mitte treffen?</t>
  </si>
  <si>
    <t xml:space="preserve">[ˈkœntən viːɐ̯ ʔʊns ʔɪn dɛɐ̯ ˈmɪtə ˈtʁɛfən]</t>
  </si>
  <si>
    <t xml:space="preserve">Chúng ta gặp nhau ở giữa được không?</t>
  </si>
  <si>
    <t xml:space="preserve">die Mitte = ở giữa</t>
  </si>
  <si>
    <t xml:space="preserve">S1665</t>
  </si>
  <si>
    <t xml:space="preserve">entgegenkommen + Dativ + zu</t>
  </si>
  <si>
    <t xml:space="preserve">Ich bin bereit, Ihnen entgegenzukommen.</t>
  </si>
  <si>
    <t xml:space="preserve">[ʔɪç bɪn bəˈʁaɪt, ˌʔiːnən ʔɛntɡeːɡəntsuːˈkɔmən]</t>
  </si>
  <si>
    <t xml:space="preserve">Tôi sẵn sàng nhượng bộ ông/bà.</t>
  </si>
  <si>
    <t xml:space="preserve">entgegenkommen = nhượng bộ</t>
  </si>
  <si>
    <t xml:space="preserve">S1666</t>
  </si>
  <si>
    <t xml:space="preserve">sich einlassen auf + Akkusativ</t>
  </si>
  <si>
    <t xml:space="preserve">Darauf kann ich mich nicht einlassen.</t>
  </si>
  <si>
    <t xml:space="preserve">[daːˈʁaʊf ˌkan ʔɪç mɪç ˈnɪçt ˈʔaɪnˌlasən]</t>
  </si>
  <si>
    <t xml:space="preserve">Tôi không thể chấp nhận chuyện đó.</t>
  </si>
  <si>
    <t xml:space="preserve">sich einlassen auf = dấn vào</t>
  </si>
  <si>
    <t xml:space="preserve">S1667</t>
  </si>
  <si>
    <t xml:space="preserve">die + Verb cuối</t>
  </si>
  <si>
    <t xml:space="preserve">Wir brauchen eine Lösung, die beide zufriedenstellt.</t>
  </si>
  <si>
    <t xml:space="preserve">[viːɐ̯ ˈbʁaʊxən ˌʔaɪnə ˈløːzʊŋ, diː ˈbaɪdə tsuːˈfʁiːdənˌʃtɛlt]</t>
  </si>
  <si>
    <t xml:space="preserve">Chúng ta cần giải pháp làm hài lòng cả hai.</t>
  </si>
  <si>
    <t xml:space="preserve">zufriedenstellen = làm hài lòng</t>
  </si>
  <si>
    <t xml:space="preserve">S1668</t>
  </si>
  <si>
    <t xml:space="preserve">-bar = có thể</t>
  </si>
  <si>
    <t xml:space="preserve">Der Preis ist leider nicht verhandelbar.</t>
  </si>
  <si>
    <t xml:space="preserve">[dɛɐ̯ ˈpʁaɪs ʔɪst ˈlaɪdɐ ˈnɪçt fɛʁˈhandəlˌbaːɐ̯]</t>
  </si>
  <si>
    <t xml:space="preserve">Tiếc là giá không thương lượng được.</t>
  </si>
  <si>
    <t xml:space="preserve">verhandelbar = có thể thương lượng</t>
  </si>
  <si>
    <t xml:space="preserve">S1669</t>
  </si>
  <si>
    <t xml:space="preserve">Ich schlage vor, wir vertagen das.</t>
  </si>
  <si>
    <t xml:space="preserve">[ʔɪç ˈʃlaːɡə ˈfɔɐ̯, viːɐ̯ fɛʁˈtaːɡən das]</t>
  </si>
  <si>
    <t xml:space="preserve">Tôi đề nghị chúng ta hoãn lại.</t>
  </si>
  <si>
    <t xml:space="preserve">S1670</t>
  </si>
  <si>
    <t xml:space="preserve">Was wäre für Sie akzeptabel?</t>
  </si>
  <si>
    <t xml:space="preserve">[ˈvas ˈvɛːʁə fyːɐ̯ ziː ˌʔaktsɛpˈtaːbəl]</t>
  </si>
  <si>
    <t xml:space="preserve">Mức nào thì ông/bà chấp nhận được?</t>
  </si>
  <si>
    <t xml:space="preserve">akzeptabel = chấp nhận được</t>
  </si>
  <si>
    <t xml:space="preserve">S1671</t>
  </si>
  <si>
    <t xml:space="preserve">halten + Adjektiv</t>
  </si>
  <si>
    <t xml:space="preserve">Wir müssen die Erwartungen realistisch halten.</t>
  </si>
  <si>
    <t xml:space="preserve">[viːɐ̯ ˈmysən diː ʔɛʁˈvaʁtʊŋən ˌʁeːaˈlɪstɪʃ ˈhaltən]</t>
  </si>
  <si>
    <t xml:space="preserve">Chúng ta phải giữ kỳ vọng thực tế.</t>
  </si>
  <si>
    <t xml:space="preserve">die Erwartung = kỳ vọng</t>
  </si>
  <si>
    <t xml:space="preserve">S1672</t>
  </si>
  <si>
    <t xml:space="preserve">zu weit gehen</t>
  </si>
  <si>
    <t xml:space="preserve">Dieses Zugeständnis geht zu weit.</t>
  </si>
  <si>
    <t xml:space="preserve">[ˌdiːzəs ˈtsuːɡɛˌʃtɛndnɪs ˈɡeːt tsuː ˈvaɪt]</t>
  </si>
  <si>
    <t xml:space="preserve">Nhượng bộ này đi quá xa.</t>
  </si>
  <si>
    <t xml:space="preserve">das Zugeständnis = sự nhượng bộ</t>
  </si>
  <si>
    <t xml:space="preserve">S1673</t>
  </si>
  <si>
    <t xml:space="preserve">Ich bestehe auf einer schriftlichen Zusage.</t>
  </si>
  <si>
    <t xml:space="preserve">[ʔɪç bəˈʃteːə ʔaʊf ˌʔaɪnɐ ˈʃʁɪftlɪçən tsuːˈzaːɡə]</t>
  </si>
  <si>
    <t xml:space="preserve">Tôi yêu cầu có cam kết bằng văn bản.</t>
  </si>
  <si>
    <t xml:space="preserve">die Zusage = lời cam kết</t>
  </si>
  <si>
    <t xml:space="preserve">S1674</t>
  </si>
  <si>
    <t xml:space="preserve">sich einig sein</t>
  </si>
  <si>
    <t xml:space="preserve">Dann sind wir uns also einig.</t>
  </si>
  <si>
    <t xml:space="preserve">[dan zɪnt viːɐ̯ ʔʊns ˈʔalzoː ˈʔaɪnɪç]</t>
  </si>
  <si>
    <t xml:space="preserve">Vậy là chúng ta thống nhất.</t>
  </si>
  <si>
    <t xml:space="preserve">einig = thống nhất</t>
  </si>
  <si>
    <t xml:space="preserve">S1675</t>
  </si>
  <si>
    <t xml:space="preserve">Ohne Gegenleistung geht das nicht.</t>
  </si>
  <si>
    <t xml:space="preserve">[ˈʔoːnə ɡeːɡənˈlaɪstʊŋ ˈɡeːt das ˈnɪçt]</t>
  </si>
  <si>
    <t xml:space="preserve">Không có gì đổi lại thì không được.</t>
  </si>
  <si>
    <t xml:space="preserve">die Gegenleistung = sự đền đáp</t>
  </si>
  <si>
    <t xml:space="preserve">S1676</t>
  </si>
  <si>
    <t xml:space="preserve">festhalten tách</t>
  </si>
  <si>
    <t xml:space="preserve">Lassen Sie uns das schriftlich festhalten.</t>
  </si>
  <si>
    <t xml:space="preserve">[ˈlasən ziː ʔʊns das ˈʃʁɪftlɪç ˈfɛstˌhaltən]</t>
  </si>
  <si>
    <t xml:space="preserve">Mình ghi lại bằng văn bản nhé.</t>
  </si>
  <si>
    <t xml:space="preserve">festhalten = ghi nhận</t>
  </si>
  <si>
    <t xml:space="preserve">S1677</t>
  </si>
  <si>
    <t xml:space="preserve">der Spielraum = khoảng linh hoạt</t>
  </si>
  <si>
    <t xml:space="preserve">Ich sehe da noch Spielraum.</t>
  </si>
  <si>
    <t xml:space="preserve">[ʔɪç ˈzeːə daː nɔx ˈʃpiːlʁaʊm]</t>
  </si>
  <si>
    <t xml:space="preserve">Tôi thấy vẫn còn khoảng co giãn.</t>
  </si>
  <si>
    <t xml:space="preserve">der Spielraum = dư địa</t>
  </si>
  <si>
    <t xml:space="preserve">S1678</t>
  </si>
  <si>
    <t xml:space="preserve">im Grundsatz</t>
  </si>
  <si>
    <t xml:space="preserve">Wir sind uns im Grundsatz einig.</t>
  </si>
  <si>
    <t xml:space="preserve">[viːɐ̯ zɪnt ʔʊns ʔɪm ˈɡʁʊndzats ˈʔaɪnɪç]</t>
  </si>
  <si>
    <t xml:space="preserve">Về nguyên tắc chúng ta thống nhất.</t>
  </si>
  <si>
    <t xml:space="preserve">der Grundsatz = nguyên tắc</t>
  </si>
  <si>
    <t xml:space="preserve">S1679</t>
  </si>
  <si>
    <t xml:space="preserve">den Rahmen sprengen</t>
  </si>
  <si>
    <t xml:space="preserve">Das würde den Rahmen sprengen.</t>
  </si>
  <si>
    <t xml:space="preserve">[das ˈvyʁdə deːn ˈʁaːmən ˈʃpʁɛŋən]</t>
  </si>
  <si>
    <t xml:space="preserve">Chuyện đó sẽ vượt khuôn khổ.</t>
  </si>
  <si>
    <t xml:space="preserve">der Rahmen = khuôn khổ</t>
  </si>
  <si>
    <t xml:space="preserve">S1680</t>
  </si>
  <si>
    <t xml:space="preserve">nach Rücksprache mit</t>
  </si>
  <si>
    <t xml:space="preserve">Ich melde mich nach Rücksprache mit meinem Team.</t>
  </si>
  <si>
    <t xml:space="preserve">[ʔɪç ˈmɛldə mɪç naːx ˈʁykʃpʁaːxə mɪt ˌmaɪnəm (en)ˈtiːm(de)]</t>
  </si>
  <si>
    <t xml:space="preserve">Tôi sẽ báo lại sau khi bàn với nhóm.</t>
  </si>
  <si>
    <t xml:space="preserve">die Rücksprache = sự trao đổi</t>
  </si>
  <si>
    <t xml:space="preserve">S1681</t>
  </si>
  <si>
    <t xml:space="preserve">Thuyết trình &amp; điều phối</t>
  </si>
  <si>
    <t xml:space="preserve">willkommen zu + Dativ</t>
  </si>
  <si>
    <t xml:space="preserve">Herzlich willkommen zu meinem Vortrag.</t>
  </si>
  <si>
    <t xml:space="preserve">[ˈhɛʁtslɪç vɪlˈkɔmən tsuː ˌmaɪnəm ˈfoːɐ̯ˌtʁaːk]</t>
  </si>
  <si>
    <t xml:space="preserve">Xin chào mừng đến bài thuyết trình của tôi.</t>
  </si>
  <si>
    <t xml:space="preserve">der Vortrag = bài thuyết trình</t>
  </si>
  <si>
    <t xml:space="preserve">S1682</t>
  </si>
  <si>
    <t xml:space="preserve">gliedern in + Akkusativ</t>
  </si>
  <si>
    <t xml:space="preserve">Ich gliedere meinen Vortrag in drei Teile.</t>
  </si>
  <si>
    <t xml:space="preserve">[ʔɪç ˈɡliːdəʁə ˌmaɪnən ˈfoːɐ̯ˌtʁaːk ʔɪn ˈdʁaɪ ˈtaɪlə]</t>
  </si>
  <si>
    <t xml:space="preserve">Tôi chia bài nói thành ba phần.</t>
  </si>
  <si>
    <t xml:space="preserve">gliedern = chia bố cục</t>
  </si>
  <si>
    <t xml:space="preserve">S1683</t>
  </si>
  <si>
    <t xml:space="preserve">einen Überblick geben</t>
  </si>
  <si>
    <t xml:space="preserve">Zunächst gebe ich einen kurzen Überblick.</t>
  </si>
  <si>
    <t xml:space="preserve">[tsuːˈnɛçst ˈɡeːbə ʔɪç ˌʔaɪnən ˈkʊʁtsən ˌʔyːbɐˈblɪk]</t>
  </si>
  <si>
    <t xml:space="preserve">Trước hết tôi đưa ra cái nhìn tổng quan ngắn.</t>
  </si>
  <si>
    <t xml:space="preserve">der Überblick = cái nhìn tổng quan</t>
  </si>
  <si>
    <t xml:space="preserve">S1684</t>
  </si>
  <si>
    <t xml:space="preserve">wie + mệnh đề phụ</t>
  </si>
  <si>
    <t xml:space="preserve">Wie Sie auf der Folie sehen können, steigt die Kurve.</t>
  </si>
  <si>
    <t xml:space="preserve">[viː ziː ʔaʊf dɛɐ̯ ˈfoːlɪə ˈzeːən ˈkœnən, ˈʃtaɪkt diː ˈkʊʁvə]</t>
  </si>
  <si>
    <t xml:space="preserve">Như quý vị thấy trên slide, đường cong đang tăng.</t>
  </si>
  <si>
    <t xml:space="preserve">die Folie = slide; die Kurve = đường cong</t>
  </si>
  <si>
    <t xml:space="preserve">S1685</t>
  </si>
  <si>
    <t xml:space="preserve">kommen wir zu + Dativ</t>
  </si>
  <si>
    <t xml:space="preserve">Kommen wir nun zum zweiten Punkt.</t>
  </si>
  <si>
    <t xml:space="preserve">[ˈkɔmən viːɐ̯ ˈnuːn tsʊm ˈtsvaɪtən ˈpʊŋkt]</t>
  </si>
  <si>
    <t xml:space="preserve">Giờ ta sang điểm thứ hai.</t>
  </si>
  <si>
    <t xml:space="preserve">der Punkt = điểm</t>
  </si>
  <si>
    <t xml:space="preserve">S1686</t>
  </si>
  <si>
    <t xml:space="preserve">Darf ich Sie um Ihre Aufmerksamkeit bitten?</t>
  </si>
  <si>
    <t xml:space="preserve">[ˈdaʁf ʔɪç ziː ʔʊm ˌʔiːʁə ˈʔaʊfˌmɛʁkzaːmˌkaɪt ˈbɪtən]</t>
  </si>
  <si>
    <t xml:space="preserve">Cho tôi xin sự chú ý của quý vị?</t>
  </si>
  <si>
    <t xml:space="preserve">die Aufmerksamkeit = sự chú ý</t>
  </si>
  <si>
    <t xml:space="preserve">S1687</t>
  </si>
  <si>
    <t xml:space="preserve">Ich fasse die wichtigsten Ergebnisse zusammen.</t>
  </si>
  <si>
    <t xml:space="preserve">[ʔɪç ˈfasə diː ˈvɪçtɪçstən ʔɛʁˈɡeːbnɪsə tsuːˈzamən]</t>
  </si>
  <si>
    <t xml:space="preserve">Tôi tóm tắt các kết quả quan trọng nhất.</t>
  </si>
  <si>
    <t xml:space="preserve">S1688</t>
  </si>
  <si>
    <t xml:space="preserve">Haben Sie dazu noch Fragen?</t>
  </si>
  <si>
    <t xml:space="preserve">[ˌhaːbən ziː daːˈtsuː nɔx ˈfʁaːɡən]</t>
  </si>
  <si>
    <t xml:space="preserve">Quý vị còn câu hỏi nào về việc đó không?</t>
  </si>
  <si>
    <t xml:space="preserve">S1689</t>
  </si>
  <si>
    <t xml:space="preserve">eingehen auf + Akkusativ</t>
  </si>
  <si>
    <t xml:space="preserve">Darauf gehe ich später noch ein.</t>
  </si>
  <si>
    <t xml:space="preserve">[daːˈʁaʊf ˈɡeːə ʔɪç ˈʃpɛːtɐ nɔx ˈʔaɪn]</t>
  </si>
  <si>
    <t xml:space="preserve">Tôi sẽ nói kỹ điểm đó sau.</t>
  </si>
  <si>
    <t xml:space="preserve">eingehen auf = đi sâu vào</t>
  </si>
  <si>
    <t xml:space="preserve">S1690</t>
  </si>
  <si>
    <t xml:space="preserve">Kết thúc bài nói chuẩn</t>
  </si>
  <si>
    <t xml:space="preserve">Vielen Dank für Ihre Aufmerksamkeit.</t>
  </si>
  <si>
    <t xml:space="preserve">[ˈfiːlən ˈdaŋk fyːɐ̯ ˌʔiːʁə ˈʔaʊfˌmɛʁkzaːmˌkaɪt]</t>
  </si>
  <si>
    <t xml:space="preserve">Cảm ơn quý vị đã lắng nghe.</t>
  </si>
  <si>
    <t xml:space="preserve">der Dank = lời cảm ơn</t>
  </si>
  <si>
    <t xml:space="preserve">S1691</t>
  </si>
  <si>
    <t xml:space="preserve">anhand + Genitiv</t>
  </si>
  <si>
    <t xml:space="preserve">Lassen Sie mich das anhand eines Beispiels erklären.</t>
  </si>
  <si>
    <t xml:space="preserve">[ˈlasən ziː mɪç das ˈʔanˌhant ˌʔaɪnəs ˈbaɪʃpiːls ʔɛʁˈklɛːʁən]</t>
  </si>
  <si>
    <t xml:space="preserve">Để tôi giải thích bằng một ví dụ.</t>
  </si>
  <si>
    <t xml:space="preserve">anhand = dựa vào</t>
  </si>
  <si>
    <t xml:space="preserve">S1692</t>
  </si>
  <si>
    <t xml:space="preserve">eröffnen = khai mạc</t>
  </si>
  <si>
    <t xml:space="preserve">Ich würde die Diskussion gern eröffnen.</t>
  </si>
  <si>
    <t xml:space="preserve">[ʔɪç ˈvyʁdə diː ˌdɪskʊsˈjoːn ˈɡɛʁn ʔɛˈʁœfnən]</t>
  </si>
  <si>
    <t xml:space="preserve">Tôi xin mở phần thảo luận.</t>
  </si>
  <si>
    <t xml:space="preserve">S1693</t>
  </si>
  <si>
    <t xml:space="preserve">sich melden = xin phát biểu</t>
  </si>
  <si>
    <t xml:space="preserve">Bitte melden Sie sich, wenn Sie etwas sagen möchten.</t>
  </si>
  <si>
    <t xml:space="preserve">[ˈbɪtə ˈmɛldən ziː zɪç, ˌvɛn ziː ˈʔɛtvaːs ˈzaːɡən ˈmœçtən]</t>
  </si>
  <si>
    <t xml:space="preserve">Xin giơ tay nếu quý vị muốn phát biểu.</t>
  </si>
  <si>
    <t xml:space="preserve">sich melden = giơ tay</t>
  </si>
  <si>
    <t xml:space="preserve">S1694</t>
  </si>
  <si>
    <t xml:space="preserve">Wir haben nur noch fünf Minuten.</t>
  </si>
  <si>
    <t xml:space="preserve">[viːɐ̯ ˌhaːbən ˈnuːɐ̯ nɔx ˈfynf miːˈnuːtən]</t>
  </si>
  <si>
    <t xml:space="preserve">Chúng ta chỉ còn năm phút.</t>
  </si>
  <si>
    <t xml:space="preserve">S1695</t>
  </si>
  <si>
    <t xml:space="preserve">Darf ich kurz unterbrechen?</t>
  </si>
  <si>
    <t xml:space="preserve">[ˈdaʁf ʔɪç ˈkʊʁts ˌʔʊntɐˈbʁɛçən]</t>
  </si>
  <si>
    <t xml:space="preserve">Tôi ngắt một chút được không?</t>
  </si>
  <si>
    <t xml:space="preserve">unterbrechen = ngắt</t>
  </si>
  <si>
    <t xml:space="preserve">S1696</t>
  </si>
  <si>
    <t xml:space="preserve">für sich sprechen</t>
  </si>
  <si>
    <t xml:space="preserve">Die Zahlen sprechen für sich.</t>
  </si>
  <si>
    <t xml:space="preserve">[diː ˈtsaːlən ˈʃpʁɛçən fyːɐ̯ zɪç]</t>
  </si>
  <si>
    <t xml:space="preserve">Các con số tự nói lên tất cả.</t>
  </si>
  <si>
    <t xml:space="preserve">für sich sprechen = tự nói lên</t>
  </si>
  <si>
    <t xml:space="preserve">S1697</t>
  </si>
  <si>
    <t xml:space="preserve">zum Schluss kommen</t>
  </si>
  <si>
    <t xml:space="preserve">Ich komme damit zum Schluss.</t>
  </si>
  <si>
    <t xml:space="preserve">[ʔɪç ˈkɔmə daːˈmɪt tsʊm ˈʃlʊs]</t>
  </si>
  <si>
    <t xml:space="preserve">Tôi xin kết thúc ở đây.</t>
  </si>
  <si>
    <t xml:space="preserve">S1698</t>
  </si>
  <si>
    <t xml:space="preserve">Gibt es Anmerkungen aus dem Publikum?</t>
  </si>
  <si>
    <t xml:space="preserve">[ˈɡiːpt ʔɛs ˈʔanˌmɛʁkʊŋən ˌʔaʊs deːm ˈpʊbliːˌkʊm]</t>
  </si>
  <si>
    <t xml:space="preserve">Có ý kiến nào từ khán giả không?</t>
  </si>
  <si>
    <t xml:space="preserve">die Anmerkung = ý kiến/ghi chú</t>
  </si>
  <si>
    <t xml:space="preserve">S1699</t>
  </si>
  <si>
    <t xml:space="preserve">sich kurz halten</t>
  </si>
  <si>
    <t xml:space="preserve">Ich halte mich kurz, versprochen.</t>
  </si>
  <si>
    <t xml:space="preserve">[ʔɪç ˈhaltə mɪç ˈkʊʁts, fɛʁˈʃpʁɔxən]</t>
  </si>
  <si>
    <t xml:space="preserve">Tôi sẽ nói ngắn thôi, hứa đấy.</t>
  </si>
  <si>
    <t xml:space="preserve">sich kurz halten = nói ngắn gọn</t>
  </si>
  <si>
    <t xml:space="preserve">S1700</t>
  </si>
  <si>
    <t xml:space="preserve">im Anschluss = ngay sau</t>
  </si>
  <si>
    <t xml:space="preserve">Die Folien schicke ich Ihnen im Anschluss.</t>
  </si>
  <si>
    <t xml:space="preserve">[diː ˈfoːlɪən ˈʃɪkə ʔɪç ˌʔiːnən ʔɪm ˈʔanˌʃlʊs]</t>
  </si>
  <si>
    <t xml:space="preserve">Tôi sẽ gửi slide cho quý vị sau đó.</t>
  </si>
  <si>
    <t xml:space="preserve">im Anschluss = sau đó</t>
  </si>
  <si>
    <t xml:space="preserve">S1701</t>
  </si>
  <si>
    <t xml:space="preserve">Mô tả số liệu &amp; biểu đồ</t>
  </si>
  <si>
    <t xml:space="preserve">zeigen + Akkusativ</t>
  </si>
  <si>
    <t xml:space="preserve">Die Grafik zeigt die Entwicklung seit 2015.</t>
  </si>
  <si>
    <t xml:space="preserve">[diː ˈɡʁafɪk ˈtsaɪkt diː ʔɛnˈtvɪklʊŋ zaɪt ˈtsvaɪ ˈtaʊzənt ˈfynftseːn]</t>
  </si>
  <si>
    <t xml:space="preserve">Biểu đồ cho thấy diễn biến từ năm 2015.</t>
  </si>
  <si>
    <t xml:space="preserve">die Grafik = biểu đồ</t>
  </si>
  <si>
    <t xml:space="preserve">S1702</t>
  </si>
  <si>
    <t xml:space="preserve">Der Anteil liegt bei knapp dreißig Prozent.</t>
  </si>
  <si>
    <t xml:space="preserve">[dɛɐ̯ ˈʔanˌtaɪl ˈliːkt baɪ ˈknap ˈdʁaɪsɪç pʁoːˈtsɛnt]</t>
  </si>
  <si>
    <t xml:space="preserve">Tỷ lệ ở mức gần ba mươi phần trăm.</t>
  </si>
  <si>
    <t xml:space="preserve">der Anteil = tỷ lệ; knapp = sát/gần</t>
  </si>
  <si>
    <t xml:space="preserve">S1703</t>
  </si>
  <si>
    <t xml:space="preserve">sich verdoppeln</t>
  </si>
  <si>
    <t xml:space="preserve">Die Zahl hat sich seitdem verdoppelt.</t>
  </si>
  <si>
    <t xml:space="preserve">[diː ˈtsaːl hat zɪç ˈzaɪtdəm fɛʁˈdɔpəlt]</t>
  </si>
  <si>
    <t xml:space="preserve">Con số từ đó đã tăng gấp đôi.</t>
  </si>
  <si>
    <t xml:space="preserve">sich verdoppeln = tăng gấp đôi</t>
  </si>
  <si>
    <t xml:space="preserve">S1704</t>
  </si>
  <si>
    <t xml:space="preserve">Im Vergleich zum Vorjahr ist das ein Rückgang.</t>
  </si>
  <si>
    <t xml:space="preserve">[ʔɪm fɛʁˈɡlaɪç tsʊm ˈfoːɐ̯ˌjaːɐ̯ ʔɪst das ʔaɪn ˈʁykɡaŋ]</t>
  </si>
  <si>
    <t xml:space="preserve">So với năm trước thì đó là sự sụt giảm.</t>
  </si>
  <si>
    <t xml:space="preserve">der Rückgang = sự sụt giảm</t>
  </si>
  <si>
    <t xml:space="preserve">S1705</t>
  </si>
  <si>
    <t xml:space="preserve">auffällig = đáng chú ý</t>
  </si>
  <si>
    <t xml:space="preserve">Besonders auffällig ist der Anstieg ab 2020.</t>
  </si>
  <si>
    <t xml:space="preserve">[bəˈzɔndɐs ˈʔaʊfˌfɛlɪç ʔɪst dɛɐ̯ ˈʔanˌʃtiːk ʔap ˈtsvaɪ ˈtaʊzənt ˈtsvantsɪç]</t>
  </si>
  <si>
    <t xml:space="preserve">Đáng chú ý nhất là mức tăng từ năm 2020.</t>
  </si>
  <si>
    <t xml:space="preserve">der Anstieg = mức tăng</t>
  </si>
  <si>
    <t xml:space="preserve">S1706</t>
  </si>
  <si>
    <t xml:space="preserve">verlaufen = diễn tiến</t>
  </si>
  <si>
    <t xml:space="preserve">Die Kurve verläuft relativ konstant.</t>
  </si>
  <si>
    <t xml:space="preserve">[diː ˈkʊʁvə fɛʁˈlɔøft ˌʁeːlaˈtiːf kɔnˈstant]</t>
  </si>
  <si>
    <t xml:space="preserve">Đường cong khá ổn định.</t>
  </si>
  <si>
    <t xml:space="preserve">konstant = ổn định</t>
  </si>
  <si>
    <t xml:space="preserve">S1707</t>
  </si>
  <si>
    <t xml:space="preserve">mehr als die Hälfte + Genitiv</t>
  </si>
  <si>
    <t xml:space="preserve">Mehr als die Hälfte der Befragten stimmte zu.</t>
  </si>
  <si>
    <t xml:space="preserve">[ˈmeːɐ̯ ʔals diː ˈhɛlftə dɛɐ̯ bəˈfʁaːktən ˈʃtɪmtə ˈtsuː]</t>
  </si>
  <si>
    <t xml:space="preserve">Hơn một nửa số người được hỏi đồng ý.</t>
  </si>
  <si>
    <t xml:space="preserve">der Befragte = người được hỏi</t>
  </si>
  <si>
    <t xml:space="preserve">S1708</t>
  </si>
  <si>
    <t xml:space="preserve">den Höhepunkt erreichen</t>
  </si>
  <si>
    <t xml:space="preserve">Der Wert erreichte 2019 seinen Höhepunkt.</t>
  </si>
  <si>
    <t xml:space="preserve">[dɛɐ̯ ˈvɛʁt ʔɛʁˈʁaɪçtə ˈtsvaɪ ˈtaʊzənt ˈnɔøntseːn ˌzaɪnən ˈhøːeːˌpʊŋkt]</t>
  </si>
  <si>
    <t xml:space="preserve">Giá trị đạt đỉnh vào năm 2019.</t>
  </si>
  <si>
    <t xml:space="preserve">der Höhepunkt = đỉnh điểm</t>
  </si>
  <si>
    <t xml:space="preserve">S1709</t>
  </si>
  <si>
    <t xml:space="preserve">sinken -&gt; sank</t>
  </si>
  <si>
    <t xml:space="preserve">Danach sank er deutlich.</t>
  </si>
  <si>
    <t xml:space="preserve">[daˈnax ˈzaŋk ʔɛɐ̯ ˈdɔøtlɪç]</t>
  </si>
  <si>
    <t xml:space="preserve">Sau đó nó giảm rõ rệt.</t>
  </si>
  <si>
    <t xml:space="preserve">sinken = giảm</t>
  </si>
  <si>
    <t xml:space="preserve">S1710</t>
  </si>
  <si>
    <t xml:space="preserve">marginal = không đáng kể</t>
  </si>
  <si>
    <t xml:space="preserve">Die Unterschiede sind marginal.</t>
  </si>
  <si>
    <t xml:space="preserve">[diː ˌʔʊntɐˈʃiːdə zɪnt ˌmaʁɡiːˈnaːl]</t>
  </si>
  <si>
    <t xml:space="preserve">Khác biệt không đáng kể.</t>
  </si>
  <si>
    <t xml:space="preserve">der Unterschied = sự khác biệt</t>
  </si>
  <si>
    <t xml:space="preserve">S1711</t>
  </si>
  <si>
    <t xml:space="preserve">auffallend + dass</t>
  </si>
  <si>
    <t xml:space="preserve">Auffallend ist, dass Frauen häufiger betroffen sind.</t>
  </si>
  <si>
    <t xml:space="preserve">[ˈʔaʊfˌfalənt ʔɪst, das ˈfʁaʊən ˈhɔøfɪɡɐ bəˈtʁɔfən zɪnt]</t>
  </si>
  <si>
    <t xml:space="preserve">Đáng chú ý là phụ nữ bị ảnh hưởng nhiều hơn.</t>
  </si>
  <si>
    <t xml:space="preserve">häufig = thường xuyên</t>
  </si>
  <si>
    <t xml:space="preserve">S1712</t>
  </si>
  <si>
    <t xml:space="preserve">stammen aus + Dativ</t>
  </si>
  <si>
    <t xml:space="preserve">Die Daten stammen aus einer Umfrage.</t>
  </si>
  <si>
    <t xml:space="preserve">[diː ˈdaːtən ˈʃtamən ˌʔaʊs ˌʔaɪnɐ ˈʔʊmˌfʁaːɡə]</t>
  </si>
  <si>
    <t xml:space="preserve">Dữ liệu lấy từ một khảo sát.</t>
  </si>
  <si>
    <t xml:space="preserve">die Umfrage = khảo sát</t>
  </si>
  <si>
    <t xml:space="preserve">S1713</t>
  </si>
  <si>
    <t xml:space="preserve">sich fortsetzen tách</t>
  </si>
  <si>
    <t xml:space="preserve">Der Trend setzt sich voraussichtlich fort.</t>
  </si>
  <si>
    <t xml:space="preserve">[dɛɐ̯ ˈtʁɛnt ˈzɛtst zɪç foːˈʁaʊsˌzɪçtlɪç ˈfɔʁt]</t>
  </si>
  <si>
    <t xml:space="preserve">Xu hướng dự kiến sẽ tiếp diễn.</t>
  </si>
  <si>
    <t xml:space="preserve">der Trend = xu hướng</t>
  </si>
  <si>
    <t xml:space="preserve">S1714</t>
  </si>
  <si>
    <t xml:space="preserve">sich erkennen lassen</t>
  </si>
  <si>
    <t xml:space="preserve">Insgesamt lässt sich ein klarer Anstieg erkennen.</t>
  </si>
  <si>
    <t xml:space="preserve">[ˈʔɪnsɡeːˌzamt ˈlɛst zɪç ʔaɪn ˈklaːʁɐ ˈʔanˌʃtiːk ʔɛʁˈkɛnən]</t>
  </si>
  <si>
    <t xml:space="preserve">Nhìn chung thấy rõ một mức tăng.</t>
  </si>
  <si>
    <t xml:space="preserve">S1715</t>
  </si>
  <si>
    <t xml:space="preserve">schwanken zwischen + Dativ</t>
  </si>
  <si>
    <t xml:space="preserve">Die Werte schwanken zwischen zehn und zwanzig.</t>
  </si>
  <si>
    <t xml:space="preserve">[diː ˈvɛʁtə ˈʃvaŋkən ˈtsvɪʃən ˈtseːn ʔʊnt ˈtsvantsɪç]</t>
  </si>
  <si>
    <t xml:space="preserve">Các giá trị dao động từ mười đến hai mươi.</t>
  </si>
  <si>
    <t xml:space="preserve">schwanken = dao động</t>
  </si>
  <si>
    <t xml:space="preserve">S1716</t>
  </si>
  <si>
    <t xml:space="preserve">rund = khoảng; das Drittel</t>
  </si>
  <si>
    <t xml:space="preserve">Rund ein Drittel gab keine Antwort.</t>
  </si>
  <si>
    <t xml:space="preserve">[ˈʁʊnt ʔaɪn ˈdʁɪtəl ˈɡaːp ˈkaɪnə ˈʔantvɔʁt]</t>
  </si>
  <si>
    <t xml:space="preserve">Khoảng một phần ba không trả lời.</t>
  </si>
  <si>
    <t xml:space="preserve">das Drittel = một phần ba</t>
  </si>
  <si>
    <t xml:space="preserve">S1717</t>
  </si>
  <si>
    <t xml:space="preserve">Die Grafik verdeutlicht den Zusammenhang.</t>
  </si>
  <si>
    <t xml:space="preserve">[diː ˈɡʁafɪk fɛʁˈdɔøtlɪçt deːn tsuːˈzamənˌhaŋ]</t>
  </si>
  <si>
    <t xml:space="preserve">Biểu đồ làm rõ mối liên hệ.</t>
  </si>
  <si>
    <t xml:space="preserve">S1718</t>
  </si>
  <si>
    <t xml:space="preserve">relativ = tương đối</t>
  </si>
  <si>
    <t xml:space="preserve">Die Stichprobe war relativ klein.</t>
  </si>
  <si>
    <t xml:space="preserve">[diː ˈʃtɪçpʁoːbə vaːɐ̯ ˌʁeːlaˈtiːf ˈklaɪn]</t>
  </si>
  <si>
    <t xml:space="preserve">Mẫu khảo sát khá nhỏ.</t>
  </si>
  <si>
    <t xml:space="preserve">die Stichprobe = mẫu khảo sát</t>
  </si>
  <si>
    <t xml:space="preserve">S1719</t>
  </si>
  <si>
    <t xml:space="preserve">mit Vorsicht zu genießen</t>
  </si>
  <si>
    <t xml:space="preserve">Diese Zahlen sind mit Vorsicht zu genießen.</t>
  </si>
  <si>
    <t xml:space="preserve">[ˌdiːzə ˈtsaːlən zɪnt mɪt ˈfoːɐ̯ˌzɪçt tsuː ɡəˈniːsən]</t>
  </si>
  <si>
    <t xml:space="preserve">Các con số này cần được nhìn thận trọng.</t>
  </si>
  <si>
    <t xml:space="preserve">die Vorsicht = sự thận trọng</t>
  </si>
  <si>
    <t xml:space="preserve">S1720</t>
  </si>
  <si>
    <t xml:space="preserve">zusammenfassend</t>
  </si>
  <si>
    <t xml:space="preserve">Zusammenfassend zeigt die Grafik einen klaren Trend.</t>
  </si>
  <si>
    <t xml:space="preserve">[tsuːˈzamənˌfasənt ˈtsaɪkt diː ˈɡʁafɪk ˌʔaɪnən ˈklaːʁən ˈtʁɛnt]</t>
  </si>
  <si>
    <t xml:space="preserve">Tóm lại biểu đồ cho thấy một xu hướng rõ.</t>
  </si>
  <si>
    <t xml:space="preserve">S1721</t>
  </si>
  <si>
    <t xml:space="preserve">Thành ngữ &amp; cụm cố định</t>
  </si>
  <si>
    <t xml:space="preserve">Thành ngữ</t>
  </si>
  <si>
    <t xml:space="preserve">Idiom khẩu ngữ</t>
  </si>
  <si>
    <t xml:space="preserve">Das ist nicht mein Bier.</t>
  </si>
  <si>
    <t xml:space="preserve">[das ʔɪst ˈnɪçt maɪn ˈbiːɐ̯]</t>
  </si>
  <si>
    <t xml:space="preserve">Đó không phải việc của tôi.</t>
  </si>
  <si>
    <t xml:space="preserve">nicht mein Bier = không phải việc của tôi</t>
  </si>
  <si>
    <t xml:space="preserve">S1722</t>
  </si>
  <si>
    <t xml:space="preserve">den Faden verlieren</t>
  </si>
  <si>
    <t xml:space="preserve">Er hat den Faden verloren.</t>
  </si>
  <si>
    <t xml:space="preserve">[ʔɛɐ̯ hat deːn ˈfaːdən fɛʁˈloːʁən]</t>
  </si>
  <si>
    <t xml:space="preserve">Anh ấy mất mạch rồi.</t>
  </si>
  <si>
    <t xml:space="preserve">der Faden = sợi chỉ/mạch</t>
  </si>
  <si>
    <t xml:space="preserve">S1723</t>
  </si>
  <si>
    <t xml:space="preserve">die Daumen drücken</t>
  </si>
  <si>
    <t xml:space="preserve">Ich drücke dir die Daumen.</t>
  </si>
  <si>
    <t xml:space="preserve">[ʔɪç ˈdʁykə diːɐ̯ diː ˈdaʊmən]</t>
  </si>
  <si>
    <t xml:space="preserve">Tôi chúc bạn may mắn.</t>
  </si>
  <si>
    <t xml:space="preserve">der Daumen = ngón cái</t>
  </si>
  <si>
    <t xml:space="preserve">S1724</t>
  </si>
  <si>
    <t xml:space="preserve">auf die Nerven gehen + Dativ</t>
  </si>
  <si>
    <t xml:space="preserve">Das geht mir auf die Nerven.</t>
  </si>
  <si>
    <t xml:space="preserve">[das ˈɡeːt miːɐ̯ ʔaʊf diː ˈnɛʁvən]</t>
  </si>
  <si>
    <t xml:space="preserve">Chuyện đó làm tôi phát bực.</t>
  </si>
  <si>
    <t xml:space="preserve">die Nerven = thần kinh</t>
  </si>
  <si>
    <t xml:space="preserve">S1725</t>
  </si>
  <si>
    <t xml:space="preserve">Idiom so sánh</t>
  </si>
  <si>
    <t xml:space="preserve">Er macht aus einer Mücke einen Elefanten.</t>
  </si>
  <si>
    <t xml:space="preserve">[ʔɛɐ̯ ˈmaxt ˌʔaʊs ˌʔaɪnɐ ˈmykə ˌʔaɪnən ˌʔeːleːˈfantən]</t>
  </si>
  <si>
    <t xml:space="preserve">Anh ta bé xé ra to.</t>
  </si>
  <si>
    <t xml:space="preserve">die Mücke = con muỗi; der Elefant = con voi</t>
  </si>
  <si>
    <t xml:space="preserve">S1726</t>
  </si>
  <si>
    <t xml:space="preserve">Idiom chỉ nguyên nhân thật</t>
  </si>
  <si>
    <t xml:space="preserve">Da liegt der Hund begraben.</t>
  </si>
  <si>
    <t xml:space="preserve">[daː ˈliːkt dɛɐ̯ ˈhʊnt bəˈɡʁaːbən]</t>
  </si>
  <si>
    <t xml:space="preserve">Mấu chốt nằm ở đó.</t>
  </si>
  <si>
    <t xml:space="preserve">begraben = chôn</t>
  </si>
  <si>
    <t xml:space="preserve">S1727</t>
  </si>
  <si>
    <t xml:space="preserve">die Nase voll haben</t>
  </si>
  <si>
    <t xml:space="preserve">Ich habe die Nase voll.</t>
  </si>
  <si>
    <t xml:space="preserve">[ʔɪç haːbə diː ˈnaːzə ˈfɔl]</t>
  </si>
  <si>
    <t xml:space="preserve">Tôi ngán đến tận cổ.</t>
  </si>
  <si>
    <t xml:space="preserve">die Nase = cái mũi</t>
  </si>
  <si>
    <t xml:space="preserve">S1728</t>
  </si>
  <si>
    <t xml:space="preserve">vorkommen + Dativ</t>
  </si>
  <si>
    <t xml:space="preserve">Das kommt mir spanisch vor.</t>
  </si>
  <si>
    <t xml:space="preserve">[das ˈkɔmt miːɐ̯ ˈʃpanɪʃ ˈfɔɐ̯]</t>
  </si>
  <si>
    <t xml:space="preserve">Tôi thấy chuyện này lạ lắm.</t>
  </si>
  <si>
    <t xml:space="preserve">spanisch vorkommen = thấy khả nghi</t>
  </si>
  <si>
    <t xml:space="preserve">S1729</t>
  </si>
  <si>
    <t xml:space="preserve">Schwein haben = may mắn</t>
  </si>
  <si>
    <t xml:space="preserve">Er hat Schwein gehabt.</t>
  </si>
  <si>
    <t xml:space="preserve">[ʔɛɐ̯ hat ˈʃvaɪn ɡəˈhaːpt]</t>
  </si>
  <si>
    <t xml:space="preserve">Anh ấy gặp may.</t>
  </si>
  <si>
    <t xml:space="preserve">Schwein haben = gặp may</t>
  </si>
  <si>
    <t xml:space="preserve">S1730</t>
  </si>
  <si>
    <t xml:space="preserve">die Seite = mặt</t>
  </si>
  <si>
    <t xml:space="preserve">Alles hat zwei Seiten.</t>
  </si>
  <si>
    <t xml:space="preserve">[ˈʔaləs hat ˈtsvaɪ ˈzaɪtən]</t>
  </si>
  <si>
    <t xml:space="preserve">Chuyện gì cũng có hai mặt.</t>
  </si>
  <si>
    <t xml:space="preserve">die Seite = mặt/phía</t>
  </si>
  <si>
    <t xml:space="preserve">S1731</t>
  </si>
  <si>
    <t xml:space="preserve">der Groschen fällt</t>
  </si>
  <si>
    <t xml:space="preserve">Jetzt ist der Groschen gefallen.</t>
  </si>
  <si>
    <t xml:space="preserve">[ˌjɛtst ʔɪst dɛɐ̯ ˈɡʁɔʃən ɡəˈfalən]</t>
  </si>
  <si>
    <t xml:space="preserve">Giờ thì tôi hiểu ra rồi.</t>
  </si>
  <si>
    <t xml:space="preserve">der Groschen = đồng xu</t>
  </si>
  <si>
    <t xml:space="preserve">S1732</t>
  </si>
  <si>
    <t xml:space="preserve">Tục ngữ</t>
  </si>
  <si>
    <t xml:space="preserve">Übung macht den Meister.</t>
  </si>
  <si>
    <t xml:space="preserve">[ˈʔyːbʊŋ ˈmaxt deːn ˈmaɪstɐ]</t>
  </si>
  <si>
    <t xml:space="preserve">Có công mài sắt có ngày nên kim.</t>
  </si>
  <si>
    <t xml:space="preserve">die Übung = luyện tập; der Meister = bậc thầy</t>
  </si>
  <si>
    <t xml:space="preserve">S1733</t>
  </si>
  <si>
    <t xml:space="preserve">um den heißen Brei herumreden</t>
  </si>
  <si>
    <t xml:space="preserve">Er redet um den heißen Brei herum.</t>
  </si>
  <si>
    <t xml:space="preserve">[ʔɛɐ̯ ˈʁeːdət ʔʊm deːn ˈhaɪsən ˈbʁaɪ hɛˈʁʊm]</t>
  </si>
  <si>
    <t xml:space="preserve">Anh ta nói vòng vo.</t>
  </si>
  <si>
    <t xml:space="preserve">der Brei = cháo đặc</t>
  </si>
  <si>
    <t xml:space="preserve">S1734</t>
  </si>
  <si>
    <t xml:space="preserve">Das ist ein Tropfen auf den heißen Stein.</t>
  </si>
  <si>
    <t xml:space="preserve">[das ʔɪst ʔaɪn ˈtʁɔpfən ʔaʊf deːn ˈhaɪsən ˈʃtaɪn]</t>
  </si>
  <si>
    <t xml:space="preserve">Cái đó chỉ như muối bỏ bể.</t>
  </si>
  <si>
    <t xml:space="preserve">der Tropfen = giọt; der Stein = hòn đá</t>
  </si>
  <si>
    <t xml:space="preserve">S1735</t>
  </si>
  <si>
    <t xml:space="preserve">mit seinem Latein am Ende sein</t>
  </si>
  <si>
    <t xml:space="preserve">Ich bin mit meinem Latein am Ende.</t>
  </si>
  <si>
    <t xml:space="preserve">[ʔɪç bɪn mɪt ˌmaɪnəm ˈlataɪn ʔam ˈʔɛndə]</t>
  </si>
  <si>
    <t xml:space="preserve">Tôi hết cách rồi.</t>
  </si>
  <si>
    <t xml:space="preserve">das Latein = tiếng Latinh</t>
  </si>
  <si>
    <t xml:space="preserve">S1736</t>
  </si>
  <si>
    <t xml:space="preserve">Tục ngữ so sánh</t>
  </si>
  <si>
    <t xml:space="preserve">Besser spät als nie.</t>
  </si>
  <si>
    <t xml:space="preserve">[ˈbɛsɐ ˈʃpɛːt ʔals ˈniː]</t>
  </si>
  <si>
    <t xml:space="preserve">Muộn còn hơn không.</t>
  </si>
  <si>
    <t xml:space="preserve">spät = muộn; nie = không bao giờ</t>
  </si>
  <si>
    <t xml:space="preserve">S1737</t>
  </si>
  <si>
    <t xml:space="preserve">Idiom biểu thị phẫn nộ</t>
  </si>
  <si>
    <t xml:space="preserve">Das schlägt dem Fass den Boden aus.</t>
  </si>
  <si>
    <t xml:space="preserve">[das ˈʃlɛːkt deːm ˈfas deːn ˈboːdən ˈʔaʊs]</t>
  </si>
  <si>
    <t xml:space="preserve">Chuyện đó là giọt nước tràn ly.</t>
  </si>
  <si>
    <t xml:space="preserve">das Fass = cái thùng; der Boden = đáy</t>
  </si>
  <si>
    <t xml:space="preserve">S1738</t>
  </si>
  <si>
    <t xml:space="preserve">sich quer stellen</t>
  </si>
  <si>
    <t xml:space="preserve">Er stellt sich quer.</t>
  </si>
  <si>
    <t xml:space="preserve">[ʔɛɐ̯ ˈʃtɛlt zɪç ˈkveːɐ̯]</t>
  </si>
  <si>
    <t xml:space="preserve">Anh ta cố tình cản.</t>
  </si>
  <si>
    <t xml:space="preserve">sich quer stellen = cản trở</t>
  </si>
  <si>
    <t xml:space="preserve">S1739</t>
  </si>
  <si>
    <t xml:space="preserve">Aller Anfang ist schwer.</t>
  </si>
  <si>
    <t xml:space="preserve">[ˈʔalɐ ˈʔanˌfaŋ ʔɪst ˈʃveːɐ̯]</t>
  </si>
  <si>
    <t xml:space="preserve">Vạn sự khởi đầu nan.</t>
  </si>
  <si>
    <t xml:space="preserve">S1740</t>
  </si>
  <si>
    <t xml:space="preserve">Idiom chỉ sự bất khả</t>
  </si>
  <si>
    <t xml:space="preserve">Da beißt die Maus keinen Faden ab.</t>
  </si>
  <si>
    <t xml:space="preserve">[daː ˈbaɪst diː ˈmaʊs ˈkaɪnən ˈfaːdən ˈʔap]</t>
  </si>
  <si>
    <t xml:space="preserve">Chuyện đó không thay đổi được.</t>
  </si>
  <si>
    <t xml:space="preserve">die Maus = con chuột; abbeißen = cắn đứt</t>
  </si>
  <si>
    <t xml:space="preserve">S1741</t>
  </si>
  <si>
    <t xml:space="preserve">Khẩu ngữ so với văn viết</t>
  </si>
  <si>
    <t xml:space="preserve">Khẩu ngữ</t>
  </si>
  <si>
    <t xml:space="preserve">hab = habe rút gọn khi nói</t>
  </si>
  <si>
    <t xml:space="preserve">Ich hab keine Ahnung, ehrlich gesagt.</t>
  </si>
  <si>
    <t xml:space="preserve">[ʔɪç ˈhaːp ˈkaɪnə ˈʔaːnʊŋ, ˈʔeːɐ̯lɪç ɡəˈzaːkt]</t>
  </si>
  <si>
    <t xml:space="preserve">Thật tình tôi chẳng biết gì.</t>
  </si>
  <si>
    <t xml:space="preserve">keine Ahnung = không biết gì</t>
  </si>
  <si>
    <t xml:space="preserve">S1742</t>
  </si>
  <si>
    <t xml:space="preserve">echt = thật (khẩu ngữ)</t>
  </si>
  <si>
    <t xml:space="preserve">Das ist mir echt zu viel.</t>
  </si>
  <si>
    <t xml:space="preserve">[das ʔɪst miːɐ̯ ˈʔɛçt tsuː ˈfiːl]</t>
  </si>
  <si>
    <t xml:space="preserve">Cái đó với tôi là quá nhiều thật.</t>
  </si>
  <si>
    <t xml:space="preserve">echt = thật sự</t>
  </si>
  <si>
    <t xml:space="preserve">S1743</t>
  </si>
  <si>
    <t xml:space="preserve">rüberkommen = herüberkommen</t>
  </si>
  <si>
    <t xml:space="preserve">Kannst du mal kurz rüberkommen?</t>
  </si>
  <si>
    <t xml:space="preserve">[ˌkanst duː ˈmaːl ˈkʊʁts ˈʁyːbɐˌkɔmən]</t>
  </si>
  <si>
    <t xml:space="preserve">Bạn sang đây một lát được không?</t>
  </si>
  <si>
    <t xml:space="preserve">rüberkommen = đi sang</t>
  </si>
  <si>
    <t xml:space="preserve">S1744</t>
  </si>
  <si>
    <t xml:space="preserve">voll = rất (khẩu ngữ giới trẻ)</t>
  </si>
  <si>
    <t xml:space="preserve">Das war voll peinlich.</t>
  </si>
  <si>
    <t xml:space="preserve">[das vaːɐ̯ ˈfɔl ˈpaɪnlɪç]</t>
  </si>
  <si>
    <t xml:space="preserve">Chuyện đó quê cực.</t>
  </si>
  <si>
    <t xml:space="preserve">peinlich = ngượng</t>
  </si>
  <si>
    <t xml:space="preserve">S1745</t>
  </si>
  <si>
    <t xml:space="preserve">ne = nein; lass mal = thôi khỏi</t>
  </si>
  <si>
    <t xml:space="preserve">Ne, lass mal, ich mach das selber.</t>
  </si>
  <si>
    <t xml:space="preserve">[ˈneː, ˈlas ˈmaːl, ʔɪç ˈmax das ˈzɛlbɐ]</t>
  </si>
  <si>
    <t xml:space="preserve">Thôi khỏi, tôi tự làm.</t>
  </si>
  <si>
    <t xml:space="preserve">selber = tự mình</t>
  </si>
  <si>
    <t xml:space="preserve">S1746</t>
  </si>
  <si>
    <t xml:space="preserve">Văn viết</t>
  </si>
  <si>
    <t xml:space="preserve">verfügen über + Akkusativ</t>
  </si>
  <si>
    <t xml:space="preserve">Im Schriftdeutsch würde man formulieren: Ich verfüge nicht über diese Information.</t>
  </si>
  <si>
    <t xml:space="preserve">[ʔɪm ˈʃʁɪftdɔøtʃ ˈvyʁdə man ˌfɔʁmuːˈliːʁən, ʔɪç fɛʁˈfyːɡə ˈnɪçt ˌʔyːbɐ ˌdiːzə ˌʔɪnfɔʁmatsˈjoːn]</t>
  </si>
  <si>
    <t xml:space="preserve">Trong văn viết người ta sẽ viết: Tôi không có thông tin đó.</t>
  </si>
  <si>
    <t xml:space="preserve">verfügen über = có/nắm</t>
  </si>
  <si>
    <t xml:space="preserve">S1747</t>
  </si>
  <si>
    <t xml:space="preserve">sich verstehen</t>
  </si>
  <si>
    <t xml:space="preserve">Wir haben uns echt gut verstanden.</t>
  </si>
  <si>
    <t xml:space="preserve">[viːɐ̯ ˌhaːbən ʔʊns ˈʔɛçt ˈɡuːt fɛʁˈʃtandən]</t>
  </si>
  <si>
    <t xml:space="preserve">Chúng tôi hợp nhau thật sự.</t>
  </si>
  <si>
    <t xml:space="preserve">S1748</t>
  </si>
  <si>
    <t xml:space="preserve">hinkriegen = schaffen</t>
  </si>
  <si>
    <t xml:space="preserve">Das kriegen wir schon hin.</t>
  </si>
  <si>
    <t xml:space="preserve">[das ˈkʁiːɡən viːɐ̯ ˌʃoːn ˈhɪn]</t>
  </si>
  <si>
    <t xml:space="preserve">Rồi mình làm được thôi.</t>
  </si>
  <si>
    <t xml:space="preserve">hinkriegen = xoay xở được</t>
  </si>
  <si>
    <t xml:space="preserve">S1749</t>
  </si>
  <si>
    <t xml:space="preserve">Passiv trong văn hành chính</t>
  </si>
  <si>
    <t xml:space="preserve">Formell heißt es: Die Angelegenheit wird geprüft.</t>
  </si>
  <si>
    <t xml:space="preserve">[fɔʁˈmɛl ˈhaɪst ʔɛs, diː ˈʔanɡəˌleːɡənˌhaɪt ˌvɪʁt ɡəˈpʁyːft]</t>
  </si>
  <si>
    <t xml:space="preserve">Trang trọng thì nói: Vụ việc đang được xem xét.</t>
  </si>
  <si>
    <t xml:space="preserve">die Angelegenheit = vụ việc</t>
  </si>
  <si>
    <t xml:space="preserve">S1750</t>
  </si>
  <si>
    <t xml:space="preserve">machen + hin = nhanh lên</t>
  </si>
  <si>
    <t xml:space="preserve">Mach hin, sonst verpassen wir den Zug!</t>
  </si>
  <si>
    <t xml:space="preserve">[ˈmax ˈhɪn, ˈzɔnst fɛʁˈpasən viːɐ̯ deːn ˈtsuːk]</t>
  </si>
  <si>
    <t xml:space="preserve">Nhanh lên, không thì lỡ tàu!</t>
  </si>
  <si>
    <t xml:space="preserve">S1751</t>
  </si>
  <si>
    <t xml:space="preserve">fertig sein = kiệt sức</t>
  </si>
  <si>
    <t xml:space="preserve">Ich bin total fertig.</t>
  </si>
  <si>
    <t xml:space="preserve">[ʔɪç bɪn toːˈtaːl ˈfɛʁtɪç]</t>
  </si>
  <si>
    <t xml:space="preserve">Tôi kiệt sức rồi.</t>
  </si>
  <si>
    <t xml:space="preserve">fertig = xong/kiệt sức</t>
  </si>
  <si>
    <t xml:space="preserve">S1752</t>
  </si>
  <si>
    <t xml:space="preserve">In der Schriftsprache vermeidet man Füllwörter.</t>
  </si>
  <si>
    <t xml:space="preserve">[ʔɪn dɛɐ̯ ˈʃʁɪftʃpʁaːxə fɛʁˈmaɪdət man ˈfylvœʁtɐ]</t>
  </si>
  <si>
    <t xml:space="preserve">Trong văn viết người ta tránh từ đệm.</t>
  </si>
  <si>
    <t xml:space="preserve">das Füllwort = từ đệm</t>
  </si>
  <si>
    <t xml:space="preserve">S1753</t>
  </si>
  <si>
    <t xml:space="preserve">Wurst sein + Dativ</t>
  </si>
  <si>
    <t xml:space="preserve">Das ist mir Wurst.</t>
  </si>
  <si>
    <t xml:space="preserve">[das ʔɪst miːɐ̯ ˈvuːɐ̯st]</t>
  </si>
  <si>
    <t xml:space="preserve">Tôi chẳng quan tâm.</t>
  </si>
  <si>
    <t xml:space="preserve">die Wurst = xúc xích</t>
  </si>
  <si>
    <t xml:space="preserve">S1754</t>
  </si>
  <si>
    <t xml:space="preserve">gucken = schauen</t>
  </si>
  <si>
    <t xml:space="preserve">Guck mal, was ich gefunden hab!</t>
  </si>
  <si>
    <t xml:space="preserve">[ˈɡʊk ˈmaːl, ˈvas ʔɪç ɡəˈfʊndən ˈhaːp]</t>
  </si>
  <si>
    <t xml:space="preserve">Nhìn này, tôi tìm được gì nè!</t>
  </si>
  <si>
    <t xml:space="preserve">gucken = nhìn</t>
  </si>
  <si>
    <t xml:space="preserve">S1755</t>
  </si>
  <si>
    <t xml:space="preserve">betrachten = xem xét</t>
  </si>
  <si>
    <t xml:space="preserve">Hochdeutsch wäre korrekter: Betrachten Sie bitte Folgendes.</t>
  </si>
  <si>
    <t xml:space="preserve">[ˈhoːxˌdɔøtʃ ˈvɛːʁə kɔˈʁɛktɐ, bəˈtʁaxtən ziː ˈbɪtə ˈfɔlɡəndəs]</t>
  </si>
  <si>
    <t xml:space="preserve">Chuẩn hơn thì là: Xin quý vị xem điều sau đây.</t>
  </si>
  <si>
    <t xml:space="preserve">S1756</t>
  </si>
  <si>
    <t xml:space="preserve">na ja = ừ thì</t>
  </si>
  <si>
    <t xml:space="preserve">Na ja, so schlimm war es auch wieder nicht.</t>
  </si>
  <si>
    <t xml:space="preserve">[ˈnaː ˈjaː, zoː ˈʃlɪm vaːɐ̯ ʔɛs ˌʔaʊx ˈviːdɐ ˈnɪçt]</t>
  </si>
  <si>
    <t xml:space="preserve">Ừ thì cũng không tệ đến thế.</t>
  </si>
  <si>
    <t xml:space="preserve">schlimm = tệ</t>
  </si>
  <si>
    <t xml:space="preserve">S1757</t>
  </si>
  <si>
    <t xml:space="preserve">losgehen tách; bỏ -e</t>
  </si>
  <si>
    <t xml:space="preserve">Ich geh jetzt mal los.</t>
  </si>
  <si>
    <t xml:space="preserve">[ʔɪç ˈɡeː ˌjɛtst ˈmaːl ˈloːs]</t>
  </si>
  <si>
    <t xml:space="preserve">Thôi tôi đi đây.</t>
  </si>
  <si>
    <t xml:space="preserve">losgehen = khởi hành</t>
  </si>
  <si>
    <t xml:space="preserve">S1758</t>
  </si>
  <si>
    <t xml:space="preserve">die Abkürzung = từ viết tắt</t>
  </si>
  <si>
    <t xml:space="preserve">In offiziellen Texten schreibt man keine Abkürzungen.</t>
  </si>
  <si>
    <t xml:space="preserve">[ʔɪn ˌʔɔfiːtsˈjɛlən ˈtɛkstən ˈʃʁaɪpt man ˈkaɪnə ˈʔapˌkyʁtsʊŋən]</t>
  </si>
  <si>
    <t xml:space="preserve">Trong văn bản chính thức không viết tắt.</t>
  </si>
  <si>
    <t xml:space="preserve">die Abkürzung = chữ viết tắt</t>
  </si>
  <si>
    <t xml:space="preserve">S1759</t>
  </si>
  <si>
    <t xml:space="preserve">der Typ = gã (khẩu ngữ)</t>
  </si>
  <si>
    <t xml:space="preserve">Der Typ ist echt nett.</t>
  </si>
  <si>
    <t xml:space="preserve">[dɛɐ̯ ˈtyːp ʔɪst ˈʔɛçt ˈnɛt]</t>
  </si>
  <si>
    <t xml:space="preserve">Gã đó tử tế thật.</t>
  </si>
  <si>
    <t xml:space="preserve">der Typ = người/gã</t>
  </si>
  <si>
    <t xml:space="preserve">S1760</t>
  </si>
  <si>
    <t xml:space="preserve">je ... desto</t>
  </si>
  <si>
    <t xml:space="preserve">Je formeller der Anlass, desto neutraler die Sprache.</t>
  </si>
  <si>
    <t xml:space="preserve">[jeː fɔʁˈmɛlɐ dɛɐ̯ ˈʔanˌlas, ˈdɛstoː nɔøˈtʁaːlɐ diː ˈʃpʁaːxə]</t>
  </si>
  <si>
    <t xml:space="preserve">Dịp càng trang trọng thì ngôn ngữ càng trung tính.</t>
  </si>
  <si>
    <t xml:space="preserve">der Anlass = dịp; neutral = trung tính</t>
  </si>
  <si>
    <t xml:space="preserve">S1761</t>
  </si>
  <si>
    <t xml:space="preserve">Lỗi thường gặp của người Việt</t>
  </si>
  <si>
    <t xml:space="preserve">Lưu ý lỗi</t>
  </si>
  <si>
    <t xml:space="preserve">auf = tương lai, über = đã xảy ra</t>
  </si>
  <si>
    <t xml:space="preserve">Ich freue mich auf das Treffen, nicht über.</t>
  </si>
  <si>
    <t xml:space="preserve">[ʔɪç ˈfʁɔøə mɪç ʔaʊf das ˈtʁɛfən, ˈnɪçt ˈʔyːbɐ]</t>
  </si>
  <si>
    <t xml:space="preserve">Tôi mong buổi gặp, dùng auf chứ không phải über.</t>
  </si>
  <si>
    <t xml:space="preserve">sich freuen auf/über</t>
  </si>
  <si>
    <t xml:space="preserve">S1762</t>
  </si>
  <si>
    <t xml:space="preserve">Es gibt einen Unterschied, nicht es hat.</t>
  </si>
  <si>
    <t xml:space="preserve">[ʔɛs ˈɡiːpt ˌʔaɪnən ˌʔʊntɐˈʃiːt, ˈnɪçt ʔɛs hat]</t>
  </si>
  <si>
    <t xml:space="preserve">Phải nói es gibt, không nói es hat.</t>
  </si>
  <si>
    <t xml:space="preserve">es gibt = có</t>
  </si>
  <si>
    <t xml:space="preserve">S1763</t>
  </si>
  <si>
    <t xml:space="preserve">einverstanden sein (Adjektiv)</t>
  </si>
  <si>
    <t xml:space="preserve">Ich bin einverstanden, nicht ich bin zustimmen.</t>
  </si>
  <si>
    <t xml:space="preserve">[ʔɪç bɪn ˈʔaɪnfɛʁˌʃtandən, ˈnɪçt ʔɪç bɪn tsuːˈʃtɪmən]</t>
  </si>
  <si>
    <t xml:space="preserve">Phải nói ich bin einverstanden.</t>
  </si>
  <si>
    <t xml:space="preserve">S1764</t>
  </si>
  <si>
    <t xml:space="preserve">seit + Präsens</t>
  </si>
  <si>
    <t xml:space="preserve">Seit zwei Jahren wohne ich hier, nicht Perfekt.</t>
  </si>
  <si>
    <t xml:space="preserve">[zaɪt ˈtsvaɪ ˈjaːʁən ˈvoːnə ʔɪç ˈhiːɐ̯, ˈnɪçt pɛʁˈfɛkt]</t>
  </si>
  <si>
    <t xml:space="preserve">Dùng hiện tại với seit, không dùng Perfekt.</t>
  </si>
  <si>
    <t xml:space="preserve">S1765</t>
  </si>
  <si>
    <t xml:space="preserve">Nomen-Verb-Verbindung</t>
  </si>
  <si>
    <t xml:space="preserve">Ich habe Hunger, nicht ich bin hungrig gemacht.</t>
  </si>
  <si>
    <t xml:space="preserve">[ʔɪç haːbə ˈhʊŋɐ, ˈnɪçt ʔɪç bɪn ˈhʊŋɡʁɪç ɡəˈmaxt]</t>
  </si>
  <si>
    <t xml:space="preserve">Phải nói Hunger haben.</t>
  </si>
  <si>
    <t xml:space="preserve">S1766</t>
  </si>
  <si>
    <t xml:space="preserve">Cảm giác dùng Dativ</t>
  </si>
  <si>
    <t xml:space="preserve">Mir ist kalt, nicht ich bin kalt.</t>
  </si>
  <si>
    <t xml:space="preserve">[miːɐ̯ ʔɪst ˈkalt, ˈnɪçt ʔɪç bɪn ˈkalt]</t>
  </si>
  <si>
    <t xml:space="preserve">Phải nói mir ist kalt (Dativ).</t>
  </si>
  <si>
    <t xml:space="preserve">S1767</t>
  </si>
  <si>
    <t xml:space="preserve">Rút gọn giới từ + Artikel</t>
  </si>
  <si>
    <t xml:space="preserve">Ich gehe zum Arzt, nicht zu dem Arzt.</t>
  </si>
  <si>
    <t xml:space="preserve">[ʔɪç ˈɡeːə tsʊm ˈʔaʁtst, ˈnɪçt tsuː deːm ˈʔaʁtst]</t>
  </si>
  <si>
    <t xml:space="preserve">Nên rút gọn zu dem thành zum.</t>
  </si>
  <si>
    <t xml:space="preserve">S1768</t>
  </si>
  <si>
    <t xml:space="preserve">-chen luôn là das</t>
  </si>
  <si>
    <t xml:space="preserve">Das Mädchen ist nett, es ist jung.</t>
  </si>
  <si>
    <t xml:space="preserve">[das ˈmɛːdçən ʔɪst ˈnɛt, ʔɛsɪst ˈjʊŋ]</t>
  </si>
  <si>
    <t xml:space="preserve">Mädchen là trung tính nên dùng es.</t>
  </si>
  <si>
    <t xml:space="preserve">das Mädchen = cô bé</t>
  </si>
  <si>
    <t xml:space="preserve">S1769</t>
  </si>
  <si>
    <t xml:space="preserve">seit vs für</t>
  </si>
  <si>
    <t xml:space="preserve">Ich lerne Deutsch seit drei Monaten, nicht für.</t>
  </si>
  <si>
    <t xml:space="preserve">[ʔɪç ˈlɛʁnə ˈdɔøtʃ zaɪt ˈdʁaɪ ˈmoːnaːtən, ˈnɪçt ˈfyːɐ̯]</t>
  </si>
  <si>
    <t xml:space="preserve">Dùng seit, không dùng für cho khoảng đã qua.</t>
  </si>
  <si>
    <t xml:space="preserve">für = cho (khoảng dự tính)</t>
  </si>
  <si>
    <t xml:space="preserve">S1770</t>
  </si>
  <si>
    <t xml:space="preserve">Trật tự từ mệnh đề phụ</t>
  </si>
  <si>
    <t xml:space="preserve">Weil ich krank bin, bleibe ich zu Hause.</t>
  </si>
  <si>
    <t xml:space="preserve">[ˌvaɪl ʔɪç ˈkʁaŋk bɪn, ˈblaɪbə ʔɪç tsuː ˈhaʊzə]</t>
  </si>
  <si>
    <t xml:space="preserve">weil đẩy động từ xuống cuối, đừng quên.</t>
  </si>
  <si>
    <t xml:space="preserve">S1771</t>
  </si>
  <si>
    <t xml:space="preserve">Giới từ cố định của động từ</t>
  </si>
  <si>
    <t xml:space="preserve">Ich interessiere mich für Musik, nicht an.</t>
  </si>
  <si>
    <t xml:space="preserve">[ʔɪç ˌʔɪntəʁɛˈsiːʁə mɪç fyːɐ̯ muːˈziːk, ˈnɪçt ˈʔan]</t>
  </si>
  <si>
    <t xml:space="preserve">Phải là sich interessieren für.</t>
  </si>
  <si>
    <t xml:space="preserve">S1772</t>
  </si>
  <si>
    <t xml:space="preserve">Quy tắc động từ vị trí 2</t>
  </si>
  <si>
    <t xml:space="preserve">Nächste Woche fahre ich, nicht ich fahre nächste Woche am Anfang.</t>
  </si>
  <si>
    <t xml:space="preserve">[ˈnɛçstə ˈvɔxə ˈfaːʁə ʔɪç, ˈnɪçt ʔɪç ˈfaːʁə ˈnɛçstə ˈvɔxə ʔam ˈʔanˌfaŋ]</t>
  </si>
  <si>
    <t xml:space="preserve">Trạng ngữ đầu câu thì động từ vẫn đứng thứ hai.</t>
  </si>
  <si>
    <t xml:space="preserve">S1773</t>
  </si>
  <si>
    <t xml:space="preserve">Chọn trợ động từ Perfekt</t>
  </si>
  <si>
    <t xml:space="preserve">Ich habe das Buch gelesen, nicht ich bin gelesen.</t>
  </si>
  <si>
    <t xml:space="preserve">[ʔɪç haːbə das ˈbuːx ɡəˈleːzən, ˈnɪçt ʔɪç bɪn ɡəˈleːzən]</t>
  </si>
  <si>
    <t xml:space="preserve">lesen đi với haben, không với sein.</t>
  </si>
  <si>
    <t xml:space="preserve">lesen = đọc</t>
  </si>
  <si>
    <t xml:space="preserve">S1774</t>
  </si>
  <si>
    <t xml:space="preserve">nach + địa danh không Artikel</t>
  </si>
  <si>
    <t xml:space="preserve">Er fährt nach Berlin, nicht zu Berlin.</t>
  </si>
  <si>
    <t xml:space="preserve">[ʔɛɐ̯ ˈfɛːɐ̯t naːx bɛʁˈliːn, ˈnɪçt tsuː bɛʁˈliːn]</t>
  </si>
  <si>
    <t xml:space="preserve">Với tên thành phố dùng nach.</t>
  </si>
  <si>
    <t xml:space="preserve">nach = tới</t>
  </si>
  <si>
    <t xml:space="preserve">S1775</t>
  </si>
  <si>
    <t xml:space="preserve">warten auf</t>
  </si>
  <si>
    <t xml:space="preserve">Ich warte auf dich, nicht ich warte dich.</t>
  </si>
  <si>
    <t xml:space="preserve">[ʔɪç ˈvaʁtə ʔaʊf ˈdɪç, ˈnɪçt ʔɪç ˈvaʁtə ˈdɪç]</t>
  </si>
  <si>
    <t xml:space="preserve">warten luôn đi với auf + Akkusativ.</t>
  </si>
  <si>
    <t xml:space="preserve">S1776</t>
  </si>
  <si>
    <t xml:space="preserve">zu Hause vs nach Hause</t>
  </si>
  <si>
    <t xml:space="preserve">Wir sind zu Hause, aber wir gehen nach Hause.</t>
  </si>
  <si>
    <t xml:space="preserve">[viːɐ̯ zɪnt tsuː ˈhaʊzə, ˌʔaːbɐ viːɐ̯ ˈɡeːən naːx ˈhaʊzə]</t>
  </si>
  <si>
    <t xml:space="preserve">zu Hause là ở nhà, nach Hause là về nhà.</t>
  </si>
  <si>
    <t xml:space="preserve">nach Hause = về nhà</t>
  </si>
  <si>
    <t xml:space="preserve">S1777</t>
  </si>
  <si>
    <t xml:space="preserve">Giống danh từ</t>
  </si>
  <si>
    <t xml:space="preserve">Das Wetter ist schön, nicht die Wetter.</t>
  </si>
  <si>
    <t xml:space="preserve">[das ˈvɛtɐ ʔɪst ˈʃøːn, ˈnɪçt diː ˈvɛtɐ]</t>
  </si>
  <si>
    <t xml:space="preserve">Wetter là trung tính: das Wetter.</t>
  </si>
  <si>
    <t xml:space="preserve">S1778</t>
  </si>
  <si>
    <t xml:space="preserve">kennen vs wissen</t>
  </si>
  <si>
    <t xml:space="preserve">Ich kenne ihn, aber ich weiß das nicht.</t>
  </si>
  <si>
    <t xml:space="preserve">[ʔɪç ˈkɛnə ˈʔiːn, ˌʔaːbɐ ʔɪç ˈvaɪs das ˈnɪçt]</t>
  </si>
  <si>
    <t xml:space="preserve">kennen dùng với người, wissen với sự việc.</t>
  </si>
  <si>
    <t xml:space="preserve">kennen = quen; wissen = biết</t>
  </si>
  <si>
    <t xml:space="preserve">S1779</t>
  </si>
  <si>
    <t xml:space="preserve">Alter mit sein</t>
  </si>
  <si>
    <t xml:space="preserve">Ich bin zwanzig Jahre alt, nicht ich habe zwanzig Jahre.</t>
  </si>
  <si>
    <t xml:space="preserve">[ʔɪç bɪn ˈtsvantsɪç ˈjaːʁə ˈʔalt, ˈnɪçt ʔɪç haːbə ˈtsvantsɪç ˈjaːʁə]</t>
  </si>
  <si>
    <t xml:space="preserve">Tuổi dùng sein, không dùng haben.</t>
  </si>
  <si>
    <t xml:space="preserve">alt = tuổi</t>
  </si>
  <si>
    <t xml:space="preserve">S1780</t>
  </si>
  <si>
    <t xml:space="preserve">Sie hat mir geholfen, nicht sie hat mich geholfen.</t>
  </si>
  <si>
    <t xml:space="preserve">[ziː hat miːɐ̯ ɡəˈhɔlfən, ˈnɪçt ziː hat mɪç ɡəˈhɔlfən]</t>
  </si>
  <si>
    <t xml:space="preserve">helfen đi với Dativ.</t>
  </si>
  <si>
    <t xml:space="preserve">S1781</t>
  </si>
  <si>
    <t xml:space="preserve">Luyện thi B2 (Redemittel)</t>
  </si>
  <si>
    <t xml:space="preserve">Mẫu câu thi</t>
  </si>
  <si>
    <t xml:space="preserve">es geht um + Akkusativ</t>
  </si>
  <si>
    <t xml:space="preserve">In meinem Text geht es um das Thema Umweltschutz.</t>
  </si>
  <si>
    <t xml:space="preserve">[ʔɪn ˌmaɪnəm ˈtɛkst ˈɡeːt ʔɛs ʔʊm das ˈteːmaː ˈʔʊmˌvɛltʃʊts]</t>
  </si>
  <si>
    <t xml:space="preserve">Bài viết của tôi nói về chủ đề bảo vệ môi trường.</t>
  </si>
  <si>
    <t xml:space="preserve">es geht um = nói về</t>
  </si>
  <si>
    <t xml:space="preserve">S1782</t>
  </si>
  <si>
    <t xml:space="preserve">Zunächst möchte ich auf die Vorteile eingehen.</t>
  </si>
  <si>
    <t xml:space="preserve">[tsuːˈnɛçst ˈmœçtə ʔɪç ʔaʊf diː ˈfoːɐ̯ˌtaɪlə ˈʔaɪnˌɡeːən]</t>
  </si>
  <si>
    <t xml:space="preserve">Trước hết tôi muốn đi vào các ưu điểm.</t>
  </si>
  <si>
    <t xml:space="preserve">S1783</t>
  </si>
  <si>
    <t xml:space="preserve">aus eigener Erfahrung</t>
  </si>
  <si>
    <t xml:space="preserve">Aus eigener Erfahrung kann ich sagen, dass das stimmt.</t>
  </si>
  <si>
    <t xml:space="preserve">[ˌʔaʊs ˈʔaɪɡənɐ ʔɛʁˈfaːʁʊŋ ˌkan ʔɪç ˈzaːɡən, das das ˈʃtɪmt]</t>
  </si>
  <si>
    <t xml:space="preserve">Từ kinh nghiệm bản thân tôi có thể nói điều đó đúng.</t>
  </si>
  <si>
    <t xml:space="preserve">die Erfahrung = kinh nghiệm</t>
  </si>
  <si>
    <t xml:space="preserve">S1784</t>
  </si>
  <si>
    <t xml:space="preserve">in meinem Heimatland</t>
  </si>
  <si>
    <t xml:space="preserve">In meinem Heimatland ist die Situation anders.</t>
  </si>
  <si>
    <t xml:space="preserve">[ʔɪn ˌmaɪnəm ˈhaɪmatˌlant ʔɪst diː ˌziːtuːatsˈjoːn ˈʔandɐs]</t>
  </si>
  <si>
    <t xml:space="preserve">Ở quê tôi tình hình khác.</t>
  </si>
  <si>
    <t xml:space="preserve">das Heimatland = quê hương</t>
  </si>
  <si>
    <t xml:space="preserve">S1785</t>
  </si>
  <si>
    <t xml:space="preserve">ein weiteres Argument</t>
  </si>
  <si>
    <t xml:space="preserve">Ein weiteres Argument dafür ist der Kostenaspekt.</t>
  </si>
  <si>
    <t xml:space="preserve">[ʔaɪn ˈvaɪtəʁəs ˌʔaʁɡuːˈmɛnt daːˈfyːɐ̯ ʔɪst dɛɐ̯ ˈkɔstəˌnaspɛkt]</t>
  </si>
  <si>
    <t xml:space="preserve">Một lập luận nữa là khía cạnh chi phí.</t>
  </si>
  <si>
    <t xml:space="preserve">der Aspekt = khía cạnh</t>
  </si>
  <si>
    <t xml:space="preserve">S1786</t>
  </si>
  <si>
    <t xml:space="preserve">bedingt = có điều kiện</t>
  </si>
  <si>
    <t xml:space="preserve">Ich stimme der Aussage nur bedingt zu.</t>
  </si>
  <si>
    <t xml:space="preserve">[ʔɪç ˈʃtɪmə dɛɐ̯ ˈʔaʊsˌzaːɡə ˈnuːɐ̯ bəˈdɪŋt ˈtsuː]</t>
  </si>
  <si>
    <t xml:space="preserve">Tôi chỉ đồng ý có điều kiện với nhận định đó.</t>
  </si>
  <si>
    <t xml:space="preserve">die Aussage = nhận định</t>
  </si>
  <si>
    <t xml:space="preserve">S1787</t>
  </si>
  <si>
    <t xml:space="preserve">sich festhalten lassen</t>
  </si>
  <si>
    <t xml:space="preserve">Abschließend lässt sich festhalten, dass beide Seiten Recht haben.</t>
  </si>
  <si>
    <t xml:space="preserve">[ˈʔapˌʃliːsənt ˈlɛst zɪç ˈfɛstˌhaltən, das ˈbaɪdə ˈzaɪtən ˈʁɛçt ˈhaːbən]</t>
  </si>
  <si>
    <t xml:space="preserve">Tóm lại có thể khẳng định cả hai bên đều có lý.</t>
  </si>
  <si>
    <t xml:space="preserve">S1788</t>
  </si>
  <si>
    <t xml:space="preserve">Was halten Sie von diesem Vorschlag?</t>
  </si>
  <si>
    <t xml:space="preserve">[ˈvas ˈhaltən ziː fɔn ˌdiːzəm ˈfoːɐ̯ˌʃlaːk]</t>
  </si>
  <si>
    <t xml:space="preserve">Ông/bà nghĩ sao về đề xuất này?</t>
  </si>
  <si>
    <t xml:space="preserve">der Vorschlag = đề xuất</t>
  </si>
  <si>
    <t xml:space="preserve">S1789</t>
  </si>
  <si>
    <t xml:space="preserve">vorschlagen + dass</t>
  </si>
  <si>
    <t xml:space="preserve">Ich schlage vor, dass wir uns am Samstag treffen.</t>
  </si>
  <si>
    <t xml:space="preserve">[ʔɪç ˈʃlaːɡə ˈfɔɐ̯, das viːɐ̯ ʔʊns ʔam ˈzamstaːk ˈtʁɛfən]</t>
  </si>
  <si>
    <t xml:space="preserve">Tôi đề nghị chúng ta gặp vào thứ Bảy.</t>
  </si>
  <si>
    <t xml:space="preserve">S1790</t>
  </si>
  <si>
    <t xml:space="preserve">meinen zu + Dativ</t>
  </si>
  <si>
    <t xml:space="preserve">Was meinst du dazu?</t>
  </si>
  <si>
    <t xml:space="preserve">[ˈvas ˈmaɪnst duː daːˈtsuː]</t>
  </si>
  <si>
    <t xml:space="preserve">Bạn nghĩ sao về chuyện đó?</t>
  </si>
  <si>
    <t xml:space="preserve">meinen = nghĩ/cho rằng</t>
  </si>
  <si>
    <t xml:space="preserve">S1791</t>
  </si>
  <si>
    <t xml:space="preserve">Darf ich kurz etwas ergänzen?</t>
  </si>
  <si>
    <t xml:space="preserve">[ˈdaʁf ʔɪç ˈkʊʁts ˈʔɛtvaːs ʔɛʁˈɡɛntsən]</t>
  </si>
  <si>
    <t xml:space="preserve">Tôi bổ sung một chút được không?</t>
  </si>
  <si>
    <t xml:space="preserve">S1792</t>
  </si>
  <si>
    <t xml:space="preserve">sich sicher sein + ob</t>
  </si>
  <si>
    <t xml:space="preserve">Ich bin mir noch nicht sicher, ob das klappt.</t>
  </si>
  <si>
    <t xml:space="preserve">[ʔɪç bɪn miːɐ̯ ˈnɔx ˈnɪçt ˈzɪçɐ, ˌʔɔp das ˈklapt]</t>
  </si>
  <si>
    <t xml:space="preserve">Tôi chưa chắc chuyện đó có ổn không.</t>
  </si>
  <si>
    <t xml:space="preserve">S1793</t>
  </si>
  <si>
    <t xml:space="preserve">sich einigen auf + darauf</t>
  </si>
  <si>
    <t xml:space="preserve">Könnten wir uns darauf einigen?</t>
  </si>
  <si>
    <t xml:space="preserve">[ˈkœntən viːɐ̯ ʔʊns daːˈʁaʊf ˈʔaɪnɪɡən]</t>
  </si>
  <si>
    <t xml:space="preserve">Chúng ta thống nhất điểm đó được không?</t>
  </si>
  <si>
    <t xml:space="preserve">sich einigen = thống nhất</t>
  </si>
  <si>
    <t xml:space="preserve">S1794</t>
  </si>
  <si>
    <t xml:space="preserve">Konjunktiv II + allerdings</t>
  </si>
  <si>
    <t xml:space="preserve">Ein Nachteil wäre allerdings der hohe Aufwand.</t>
  </si>
  <si>
    <t xml:space="preserve">[ʔaɪn ˈnaxtaɪl ˈvɛːʁə ˈʔalɐˌdɪŋs dɛɐ̯ ˈhoːə ˈʔaʊfˌvant]</t>
  </si>
  <si>
    <t xml:space="preserve">Tuy nhiên một nhược điểm là công sức lớn.</t>
  </si>
  <si>
    <t xml:space="preserve">der Aufwand = công sức</t>
  </si>
  <si>
    <t xml:space="preserve">S1795</t>
  </si>
  <si>
    <t xml:space="preserve">finden + es + dass</t>
  </si>
  <si>
    <t xml:space="preserve">Ich finde es wichtig, dass alle mitreden können.</t>
  </si>
  <si>
    <t xml:space="preserve">[ʔɪç ˈfɪndə ʔɛs ˈvɪçtɪç, das ˈʔalə ˈmɪˌtʁeːdən ˈkœnən]</t>
  </si>
  <si>
    <t xml:space="preserve">Tôi thấy quan trọng là ai cũng được nói.</t>
  </si>
  <si>
    <t xml:space="preserve">mitreden = tham gia ý kiến</t>
  </si>
  <si>
    <t xml:space="preserve">S1796</t>
  </si>
  <si>
    <t xml:space="preserve">nachdenken über + darüber</t>
  </si>
  <si>
    <t xml:space="preserve">Darüber habe ich noch nicht nachgedacht.</t>
  </si>
  <si>
    <t xml:space="preserve">[daːˈʁyːbɐ haːbə ʔɪç ˈnɔx ˈnɪçt ˈnaxɡeːˌdaxt]</t>
  </si>
  <si>
    <t xml:space="preserve">Chuyện đó tôi chưa nghĩ tới.</t>
  </si>
  <si>
    <t xml:space="preserve">nachdenken = suy nghĩ</t>
  </si>
  <si>
    <t xml:space="preserve">S1797</t>
  </si>
  <si>
    <t xml:space="preserve">ähnlich wie</t>
  </si>
  <si>
    <t xml:space="preserve">Das sehe ich ähnlich wie du.</t>
  </si>
  <si>
    <t xml:space="preserve">[das ˈzeːə ʔɪç ˈʔɛːnlɪç viː duː]</t>
  </si>
  <si>
    <t xml:space="preserve">Tôi nghĩ gần giống bạn.</t>
  </si>
  <si>
    <t xml:space="preserve">ähnlich = tương tự</t>
  </si>
  <si>
    <t xml:space="preserve">S1798</t>
  </si>
  <si>
    <t xml:space="preserve">durchgehen tách</t>
  </si>
  <si>
    <t xml:space="preserve">Lassen Sie uns das noch einmal durchgehen.</t>
  </si>
  <si>
    <t xml:space="preserve">[ˈlasən ziː ʔʊns das nɔx ˈʔaɪnˌmaːl ˈdʊʁçˌɡeːən]</t>
  </si>
  <si>
    <t xml:space="preserve">Mình rà lại một lần nữa nhé.</t>
  </si>
  <si>
    <t xml:space="preserve">durchgehen = rà soát</t>
  </si>
  <si>
    <t xml:space="preserve">S1799</t>
  </si>
  <si>
    <t xml:space="preserve">dafür / dagegen</t>
  </si>
  <si>
    <t xml:space="preserve">Zusammengefasst spricht mehr dafür als dagegen.</t>
  </si>
  <si>
    <t xml:space="preserve">[tsuːˈzamənɡəˌfast ˈʃpʁɪçt ˈmeːɐ̯ daːˈfyːɐ̯ ʔals daˈɡeːɡən]</t>
  </si>
  <si>
    <t xml:space="preserve">Tóm lại điểm ủng hộ nhiều hơn phản đối.</t>
  </si>
  <si>
    <t xml:space="preserve">zusammengefasst = tóm lại</t>
  </si>
  <si>
    <t xml:space="preserve">S1800</t>
  </si>
  <si>
    <t xml:space="preserve">aufschlussreich = sáng tỏ</t>
  </si>
  <si>
    <t xml:space="preserve">Vielen Dank, das war sehr aufschlussreich.</t>
  </si>
  <si>
    <t xml:space="preserve">[ˈfiːlən ˈdaŋk, das vaːɐ̯ ˈzeːɐ̯ ˈʔaʊfˌʃlʊsʁaɪç]</t>
  </si>
  <si>
    <t xml:space="preserve">Cảm ơn nhiều, điều đó rất sáng tỏ.</t>
  </si>
  <si>
    <t xml:space="preserve">aufschlussreich = làm sáng tỏ</t>
  </si>
  <si>
    <t xml:space="preserve">TỪ VỰNG CHÚ THÍCH THEO TỪNG CÂU  |  dùng AutoFilter để lọc theo loại từ, chủ đề, cấp độ</t>
  </si>
  <si>
    <t xml:space="preserve">STT</t>
  </si>
  <si>
    <t xml:space="preserve">Từ / Cụm từ (Đức)</t>
  </si>
  <si>
    <t xml:space="preserve">Loại từ</t>
  </si>
  <si>
    <t xml:space="preserve">Giống (Artikel)</t>
  </si>
  <si>
    <t xml:space="preserve">ID câu</t>
  </si>
  <si>
    <t xml:space="preserve">Câu chứa từ</t>
  </si>
  <si>
    <t xml:space="preserve">Nghĩa của câu</t>
  </si>
  <si>
    <t xml:space="preserve">Số lần xuất hiện</t>
  </si>
  <si>
    <t xml:space="preserve">Trạng thái câu</t>
  </si>
  <si>
    <t xml:space="preserve">der Morgen</t>
  </si>
  <si>
    <t xml:space="preserve">buổi sáng</t>
  </si>
  <si>
    <t xml:space="preserve">Danh từ</t>
  </si>
  <si>
    <t xml:space="preserve">Đực (der)</t>
  </si>
  <si>
    <t xml:space="preserve">gut</t>
  </si>
  <si>
    <t xml:space="preserve">tốt</t>
  </si>
  <si>
    <t xml:space="preserve">Tính từ / Trạng từ / Khác</t>
  </si>
  <si>
    <t xml:space="preserve">der Tag</t>
  </si>
  <si>
    <t xml:space="preserve">ngày</t>
  </si>
  <si>
    <t xml:space="preserve">gehen</t>
  </si>
  <si>
    <t xml:space="preserve">đi/diễn ra</t>
  </si>
  <si>
    <t xml:space="preserve">Động từ</t>
  </si>
  <si>
    <t xml:space="preserve">dir</t>
  </si>
  <si>
    <t xml:space="preserve">với bạn (Dativ)</t>
  </si>
  <si>
    <t xml:space="preserve">mir</t>
  </si>
  <si>
    <t xml:space="preserve">với tôi (Dativ)</t>
  </si>
  <si>
    <t xml:space="preserve">danke</t>
  </si>
  <si>
    <t xml:space="preserve">cảm ơn</t>
  </si>
  <si>
    <t xml:space="preserve">nicht</t>
  </si>
  <si>
    <t xml:space="preserve">không</t>
  </si>
  <si>
    <t xml:space="preserve">so</t>
  </si>
  <si>
    <t xml:space="preserve">như thế</t>
  </si>
  <si>
    <t xml:space="preserve">und</t>
  </si>
  <si>
    <t xml:space="preserve">và</t>
  </si>
  <si>
    <t xml:space="preserve">der Abend</t>
  </si>
  <si>
    <t xml:space="preserve">buổi tối</t>
  </si>
  <si>
    <t xml:space="preserve">schön</t>
  </si>
  <si>
    <t xml:space="preserve">đẹp/vui</t>
  </si>
  <si>
    <t xml:space="preserve">sehen</t>
  </si>
  <si>
    <t xml:space="preserve">nhìn thấy</t>
  </si>
  <si>
    <t xml:space="preserve">die Nacht</t>
  </si>
  <si>
    <t xml:space="preserve">đêm</t>
  </si>
  <si>
    <t xml:space="preserve">Cái (die)</t>
  </si>
  <si>
    <t xml:space="preserve">schlafen</t>
  </si>
  <si>
    <t xml:space="preserve">ngủ</t>
  </si>
  <si>
    <t xml:space="preserve">wieder</t>
  </si>
  <si>
    <t xml:space="preserve">lại</t>
  </si>
  <si>
    <t xml:space="preserve">bis</t>
  </si>
  <si>
    <t xml:space="preserve">cho đến</t>
  </si>
  <si>
    <t xml:space="preserve">morgen</t>
  </si>
  <si>
    <t xml:space="preserve">ngày mai</t>
  </si>
  <si>
    <t xml:space="preserve">später</t>
  </si>
  <si>
    <t xml:space="preserve">sau này</t>
  </si>
  <si>
    <t xml:space="preserve">bald</t>
  </si>
  <si>
    <t xml:space="preserve">sớm</t>
  </si>
  <si>
    <t xml:space="preserve">willkommen</t>
  </si>
  <si>
    <t xml:space="preserve">chào mừng</t>
  </si>
  <si>
    <t xml:space="preserve">Deutschland</t>
  </si>
  <si>
    <t xml:space="preserve">nước Đức</t>
  </si>
  <si>
    <t xml:space="preserve">Danh từ (không rõ giống)</t>
  </si>
  <si>
    <t xml:space="preserve">noch</t>
  </si>
  <si>
    <t xml:space="preserve">còn nữa</t>
  </si>
  <si>
    <t xml:space="preserve">viel</t>
  </si>
  <si>
    <t xml:space="preserve">nhiều</t>
  </si>
  <si>
    <t xml:space="preserve">für</t>
  </si>
  <si>
    <t xml:space="preserve">cho/vì</t>
  </si>
  <si>
    <t xml:space="preserve">alles</t>
  </si>
  <si>
    <t xml:space="preserve">tất cả</t>
  </si>
  <si>
    <t xml:space="preserve">bitte</t>
  </si>
  <si>
    <t xml:space="preserve">xin mời/làm ơn</t>
  </si>
  <si>
    <t xml:space="preserve">die Entschuldigung</t>
  </si>
  <si>
    <t xml:space="preserve">lời xin lỗi</t>
  </si>
  <si>
    <t xml:space="preserve">dürfen</t>
  </si>
  <si>
    <t xml:space="preserve">được phép</t>
  </si>
  <si>
    <t xml:space="preserve">fragen</t>
  </si>
  <si>
    <t xml:space="preserve">hỏi</t>
  </si>
  <si>
    <t xml:space="preserve">etwas</t>
  </si>
  <si>
    <t xml:space="preserve">một chút</t>
  </si>
  <si>
    <t xml:space="preserve">leidtun</t>
  </si>
  <si>
    <t xml:space="preserve">làm ai tiếc</t>
  </si>
  <si>
    <t xml:space="preserve">das Problem</t>
  </si>
  <si>
    <t xml:space="preserve">vấn đề</t>
  </si>
  <si>
    <t xml:space="preserve">Trung (das)</t>
  </si>
  <si>
    <t xml:space="preserve">kein</t>
  </si>
  <si>
    <t xml:space="preserve">không có</t>
  </si>
  <si>
    <t xml:space="preserve">kennenlernen</t>
  </si>
  <si>
    <t xml:space="preserve">làm quen</t>
  </si>
  <si>
    <t xml:space="preserve">sich freuen</t>
  </si>
  <si>
    <t xml:space="preserve">vui</t>
  </si>
  <si>
    <t xml:space="preserve">Động từ phản thân</t>
  </si>
  <si>
    <t xml:space="preserve">heißen</t>
  </si>
  <si>
    <t xml:space="preserve">tên là</t>
  </si>
  <si>
    <t xml:space="preserve">wie</t>
  </si>
  <si>
    <t xml:space="preserve">như thế nào</t>
  </si>
  <si>
    <t xml:space="preserve">der Name</t>
  </si>
  <si>
    <t xml:space="preserve">tên</t>
  </si>
  <si>
    <t xml:space="preserve">mein</t>
  </si>
  <si>
    <t xml:space="preserve">của tôi</t>
  </si>
  <si>
    <t xml:space="preserve">das Jahr</t>
  </si>
  <si>
    <t xml:space="preserve">năm</t>
  </si>
  <si>
    <t xml:space="preserve">alt</t>
  </si>
  <si>
    <t xml:space="preserve">già/tuổi</t>
  </si>
  <si>
    <t xml:space="preserve">du</t>
  </si>
  <si>
    <t xml:space="preserve">bạn</t>
  </si>
  <si>
    <t xml:space="preserve">kommen</t>
  </si>
  <si>
    <t xml:space="preserve">đến</t>
  </si>
  <si>
    <t xml:space="preserve">aus</t>
  </si>
  <si>
    <t xml:space="preserve">từ</t>
  </si>
  <si>
    <t xml:space="preserve">wohnen</t>
  </si>
  <si>
    <t xml:space="preserve">sống/ở</t>
  </si>
  <si>
    <t xml:space="preserve">jetzt</t>
  </si>
  <si>
    <t xml:space="preserve">bây giờ</t>
  </si>
  <si>
    <t xml:space="preserve">sich vorstellen</t>
  </si>
  <si>
    <t xml:space="preserve">tự giới thiệu</t>
  </si>
  <si>
    <t xml:space="preserve">der Freund</t>
  </si>
  <si>
    <t xml:space="preserve">bạn (nam)</t>
  </si>
  <si>
    <t xml:space="preserve">das</t>
  </si>
  <si>
    <t xml:space="preserve">cái này/đây</t>
  </si>
  <si>
    <t xml:space="preserve">der Student</t>
  </si>
  <si>
    <t xml:space="preserve">sinh viên</t>
  </si>
  <si>
    <t xml:space="preserve">die Universität</t>
  </si>
  <si>
    <t xml:space="preserve">đại học</t>
  </si>
  <si>
    <t xml:space="preserve">machen</t>
  </si>
  <si>
    <t xml:space="preserve">làm</t>
  </si>
  <si>
    <t xml:space="preserve">beruflich</t>
  </si>
  <si>
    <t xml:space="preserve">về nghề nghiệp</t>
  </si>
  <si>
    <t xml:space="preserve">sprechen</t>
  </si>
  <si>
    <t xml:space="preserve">nói</t>
  </si>
  <si>
    <t xml:space="preserve">ein bisschen</t>
  </si>
  <si>
    <t xml:space="preserve">Cụm từ / Thành ngữ</t>
  </si>
  <si>
    <t xml:space="preserve">die Telefonnummer</t>
  </si>
  <si>
    <t xml:space="preserve">số điện thoại</t>
  </si>
  <si>
    <t xml:space="preserve">verheiratet</t>
  </si>
  <si>
    <t xml:space="preserve">đã kết hôn</t>
  </si>
  <si>
    <t xml:space="preserve">vẫn còn</t>
  </si>
  <si>
    <t xml:space="preserve">wo</t>
  </si>
  <si>
    <t xml:space="preserve">ở đâu</t>
  </si>
  <si>
    <t xml:space="preserve">genau</t>
  </si>
  <si>
    <t xml:space="preserve">chính xác</t>
  </si>
  <si>
    <t xml:space="preserve">leben</t>
  </si>
  <si>
    <t xml:space="preserve">sống</t>
  </si>
  <si>
    <t xml:space="preserve">seit</t>
  </si>
  <si>
    <t xml:space="preserve">từ khi</t>
  </si>
  <si>
    <t xml:space="preserve">hier</t>
  </si>
  <si>
    <t xml:space="preserve">ở đây</t>
  </si>
  <si>
    <t xml:space="preserve">wiederholen</t>
  </si>
  <si>
    <t xml:space="preserve">nhắc lại</t>
  </si>
  <si>
    <t xml:space="preserve">arbeiten</t>
  </si>
  <si>
    <t xml:space="preserve">làm việc</t>
  </si>
  <si>
    <t xml:space="preserve">die Firma</t>
  </si>
  <si>
    <t xml:space="preserve">công ty</t>
  </si>
  <si>
    <t xml:space="preserve">bei</t>
  </si>
  <si>
    <t xml:space="preserve">tại</t>
  </si>
  <si>
    <t xml:space="preserve">treffen</t>
  </si>
  <si>
    <t xml:space="preserve">gặp</t>
  </si>
  <si>
    <t xml:space="preserve">sehr</t>
  </si>
  <si>
    <t xml:space="preserve">rất</t>
  </si>
  <si>
    <t xml:space="preserve">woher</t>
  </si>
  <si>
    <t xml:space="preserve">từ đâu</t>
  </si>
  <si>
    <t xml:space="preserve">der Vietnamese</t>
  </si>
  <si>
    <t xml:space="preserve">người Việt (nam)</t>
  </si>
  <si>
    <t xml:space="preserve">die Deutsche</t>
  </si>
  <si>
    <t xml:space="preserve">người Đức (nữ)</t>
  </si>
  <si>
    <t xml:space="preserve">welche</t>
  </si>
  <si>
    <t xml:space="preserve">nào</t>
  </si>
  <si>
    <t xml:space="preserve">die Sprache</t>
  </si>
  <si>
    <t xml:space="preserve">ngôn ngữ</t>
  </si>
  <si>
    <t xml:space="preserve">Englisch</t>
  </si>
  <si>
    <t xml:space="preserve">tiếng Anh</t>
  </si>
  <si>
    <t xml:space="preserve">noch nicht</t>
  </si>
  <si>
    <t xml:space="preserve">vẫn chưa</t>
  </si>
  <si>
    <t xml:space="preserve">langsam</t>
  </si>
  <si>
    <t xml:space="preserve">chậm</t>
  </si>
  <si>
    <t xml:space="preserve">langsamer</t>
  </si>
  <si>
    <t xml:space="preserve">chậm hơn</t>
  </si>
  <si>
    <t xml:space="preserve">verstehen</t>
  </si>
  <si>
    <t xml:space="preserve">hiểu</t>
  </si>
  <si>
    <t xml:space="preserve">bedeuten</t>
  </si>
  <si>
    <t xml:space="preserve">có nghĩa</t>
  </si>
  <si>
    <t xml:space="preserve">das Wort</t>
  </si>
  <si>
    <t xml:space="preserve">man</t>
  </si>
  <si>
    <t xml:space="preserve">người ta</t>
  </si>
  <si>
    <t xml:space="preserve">sagen</t>
  </si>
  <si>
    <t xml:space="preserve">lặp lại</t>
  </si>
  <si>
    <t xml:space="preserve">lernen</t>
  </si>
  <si>
    <t xml:space="preserve">học</t>
  </si>
  <si>
    <t xml:space="preserve">der Monat</t>
  </si>
  <si>
    <t xml:space="preserve">tháng</t>
  </si>
  <si>
    <t xml:space="preserve">einfach</t>
  </si>
  <si>
    <t xml:space="preserve">dễ</t>
  </si>
  <si>
    <t xml:space="preserve">aber</t>
  </si>
  <si>
    <t xml:space="preserve">nhưng</t>
  </si>
  <si>
    <t xml:space="preserve">interessant</t>
  </si>
  <si>
    <t xml:space="preserve">thú vị</t>
  </si>
  <si>
    <t xml:space="preserve">die Stadt</t>
  </si>
  <si>
    <t xml:space="preserve">thành phố</t>
  </si>
  <si>
    <t xml:space="preserve">geboren</t>
  </si>
  <si>
    <t xml:space="preserve">được sinh ra</t>
  </si>
  <si>
    <t xml:space="preserve">die Muttersprache</t>
  </si>
  <si>
    <t xml:space="preserve">tiếng mẹ đẻ</t>
  </si>
  <si>
    <t xml:space="preserve">möchten</t>
  </si>
  <si>
    <t xml:space="preserve">muốn</t>
  </si>
  <si>
    <t xml:space="preserve">verbessern</t>
  </si>
  <si>
    <t xml:space="preserve">cải thiện</t>
  </si>
  <si>
    <t xml:space="preserve">auch</t>
  </si>
  <si>
    <t xml:space="preserve">cũng</t>
  </si>
  <si>
    <t xml:space="preserve">Französisch</t>
  </si>
  <si>
    <t xml:space="preserve">tiếng Pháp</t>
  </si>
  <si>
    <t xml:space="preserve">leider</t>
  </si>
  <si>
    <t xml:space="preserve">tiếc là</t>
  </si>
  <si>
    <t xml:space="preserve">üben</t>
  </si>
  <si>
    <t xml:space="preserve">luyện tập</t>
  </si>
  <si>
    <t xml:space="preserve">jeden Tag</t>
  </si>
  <si>
    <t xml:space="preserve">mỗi ngày</t>
  </si>
  <si>
    <t xml:space="preserve">mich</t>
  </si>
  <si>
    <t xml:space="preserve">tôi (Akkusativ)</t>
  </si>
  <si>
    <t xml:space="preserve">eins/zwei/drei/vier/fünf</t>
  </si>
  <si>
    <t xml:space="preserve">1/2/3/4/5</t>
  </si>
  <si>
    <t xml:space="preserve">sechs/sieben/acht/neun/zehn</t>
  </si>
  <si>
    <t xml:space="preserve">6/7/8/9/10</t>
  </si>
  <si>
    <t xml:space="preserve">haben</t>
  </si>
  <si>
    <t xml:space="preserve">có</t>
  </si>
  <si>
    <t xml:space="preserve">das Kind</t>
  </si>
  <si>
    <t xml:space="preserve">đứa trẻ</t>
  </si>
  <si>
    <t xml:space="preserve">kosten</t>
  </si>
  <si>
    <t xml:space="preserve">có giá</t>
  </si>
  <si>
    <t xml:space="preserve">wie viel</t>
  </si>
  <si>
    <t xml:space="preserve">bao nhiêu</t>
  </si>
  <si>
    <t xml:space="preserve">zwanzig</t>
  </si>
  <si>
    <t xml:space="preserve">hai mươi</t>
  </si>
  <si>
    <t xml:space="preserve">der Euro</t>
  </si>
  <si>
    <t xml:space="preserve">euro</t>
  </si>
  <si>
    <t xml:space="preserve">die Adresse</t>
  </si>
  <si>
    <t xml:space="preserve">địa chỉ</t>
  </si>
  <si>
    <t xml:space="preserve">die Straße</t>
  </si>
  <si>
    <t xml:space="preserve">đường</t>
  </si>
  <si>
    <t xml:space="preserve">die E-Mail</t>
  </si>
  <si>
    <t xml:space="preserve">email</t>
  </si>
  <si>
    <t xml:space="preserve">buchstabieren</t>
  </si>
  <si>
    <t xml:space="preserve">đánh vần</t>
  </si>
  <si>
    <t xml:space="preserve">die Person</t>
  </si>
  <si>
    <t xml:space="preserve">người</t>
  </si>
  <si>
    <t xml:space="preserve">ihr</t>
  </si>
  <si>
    <t xml:space="preserve">các bạn</t>
  </si>
  <si>
    <t xml:space="preserve">wir</t>
  </si>
  <si>
    <t xml:space="preserve">chúng tôi</t>
  </si>
  <si>
    <t xml:space="preserve">die Nummer</t>
  </si>
  <si>
    <t xml:space="preserve">con số</t>
  </si>
  <si>
    <t xml:space="preserve">falsch</t>
  </si>
  <si>
    <t xml:space="preserve">sai</t>
  </si>
  <si>
    <t xml:space="preserve">anrufen</t>
  </si>
  <si>
    <t xml:space="preserve">gọi điện</t>
  </si>
  <si>
    <t xml:space="preserve">schreiben</t>
  </si>
  <si>
    <t xml:space="preserve">viết</t>
  </si>
  <si>
    <t xml:space="preserve">die Nachricht</t>
  </si>
  <si>
    <t xml:space="preserve">tin nhắn</t>
  </si>
  <si>
    <t xml:space="preserve">der Geburtstag</t>
  </si>
  <si>
    <t xml:space="preserve">sinh nhật</t>
  </si>
  <si>
    <t xml:space="preserve">der Mai</t>
  </si>
  <si>
    <t xml:space="preserve">tháng Năm</t>
  </si>
  <si>
    <t xml:space="preserve">spät</t>
  </si>
  <si>
    <t xml:space="preserve">muộn</t>
  </si>
  <si>
    <t xml:space="preserve">halb</t>
  </si>
  <si>
    <t xml:space="preserve">một nửa</t>
  </si>
  <si>
    <t xml:space="preserve">der Kurs</t>
  </si>
  <si>
    <t xml:space="preserve">khóa học</t>
  </si>
  <si>
    <t xml:space="preserve">beginnen</t>
  </si>
  <si>
    <t xml:space="preserve">bắt đầu</t>
  </si>
  <si>
    <t xml:space="preserve">die Uhr</t>
  </si>
  <si>
    <t xml:space="preserve">giờ</t>
  </si>
  <si>
    <t xml:space="preserve">hundert</t>
  </si>
  <si>
    <t xml:space="preserve">một trăm</t>
  </si>
  <si>
    <t xml:space="preserve">dabei</t>
  </si>
  <si>
    <t xml:space="preserve">theo mình</t>
  </si>
  <si>
    <t xml:space="preserve">müde</t>
  </si>
  <si>
    <t xml:space="preserve">mệt</t>
  </si>
  <si>
    <t xml:space="preserve">nett</t>
  </si>
  <si>
    <t xml:space="preserve">tử tế</t>
  </si>
  <si>
    <t xml:space="preserve">der Bruder</t>
  </si>
  <si>
    <t xml:space="preserve">anh/em trai</t>
  </si>
  <si>
    <t xml:space="preserve">krank</t>
  </si>
  <si>
    <t xml:space="preserve">ốm</t>
  </si>
  <si>
    <t xml:space="preserve">heute</t>
  </si>
  <si>
    <t xml:space="preserve">hôm nay</t>
  </si>
  <si>
    <t xml:space="preserve">zu Hause</t>
  </si>
  <si>
    <t xml:space="preserve">ở nhà</t>
  </si>
  <si>
    <t xml:space="preserve">bereit</t>
  </si>
  <si>
    <t xml:space="preserve">sẵn sàng</t>
  </si>
  <si>
    <t xml:space="preserve">freundlich</t>
  </si>
  <si>
    <t xml:space="preserve">thân thiện</t>
  </si>
  <si>
    <t xml:space="preserve">richtig</t>
  </si>
  <si>
    <t xml:space="preserve">đúng</t>
  </si>
  <si>
    <t xml:space="preserve">die Zeit</t>
  </si>
  <si>
    <t xml:space="preserve">thời gian</t>
  </si>
  <si>
    <t xml:space="preserve">der Hunger</t>
  </si>
  <si>
    <t xml:space="preserve">cơn đói</t>
  </si>
  <si>
    <t xml:space="preserve">der Job</t>
  </si>
  <si>
    <t xml:space="preserve">công việc</t>
  </si>
  <si>
    <t xml:space="preserve">neu</t>
  </si>
  <si>
    <t xml:space="preserve">mới</t>
  </si>
  <si>
    <t xml:space="preserve">tun</t>
  </si>
  <si>
    <t xml:space="preserve">der Durst</t>
  </si>
  <si>
    <t xml:space="preserve">cơn khát</t>
  </si>
  <si>
    <t xml:space="preserve">der Anfänger</t>
  </si>
  <si>
    <t xml:space="preserve">người mới bắt đầu</t>
  </si>
  <si>
    <t xml:space="preserve">die Angst</t>
  </si>
  <si>
    <t xml:space="preserve">nỗi sợ</t>
  </si>
  <si>
    <t xml:space="preserve">der Hund</t>
  </si>
  <si>
    <t xml:space="preserve">con chó</t>
  </si>
  <si>
    <t xml:space="preserve">kalt</t>
  </si>
  <si>
    <t xml:space="preserve">lạnh</t>
  </si>
  <si>
    <t xml:space="preserve">pünktlich</t>
  </si>
  <si>
    <t xml:space="preserve">đúng giờ</t>
  </si>
  <si>
    <t xml:space="preserve">ankommen</t>
  </si>
  <si>
    <t xml:space="preserve">đến nơi</t>
  </si>
  <si>
    <t xml:space="preserve">die Frage</t>
  </si>
  <si>
    <t xml:space="preserve">câu hỏi</t>
  </si>
  <si>
    <t xml:space="preserve">sicher</t>
  </si>
  <si>
    <t xml:space="preserve">chắc chắn</t>
  </si>
  <si>
    <t xml:space="preserve">recht haben</t>
  </si>
  <si>
    <t xml:space="preserve">có lý</t>
  </si>
  <si>
    <t xml:space="preserve">die Familie</t>
  </si>
  <si>
    <t xml:space="preserve">gia đình</t>
  </si>
  <si>
    <t xml:space="preserve">älter</t>
  </si>
  <si>
    <t xml:space="preserve">lớn tuổi hơn</t>
  </si>
  <si>
    <t xml:space="preserve">die Schwester</t>
  </si>
  <si>
    <t xml:space="preserve">chị/em gái</t>
  </si>
  <si>
    <t xml:space="preserve">studieren</t>
  </si>
  <si>
    <t xml:space="preserve">học đại học</t>
  </si>
  <si>
    <t xml:space="preserve">der Vater</t>
  </si>
  <si>
    <t xml:space="preserve">bố</t>
  </si>
  <si>
    <t xml:space="preserve">als</t>
  </si>
  <si>
    <t xml:space="preserve">với tư cách</t>
  </si>
  <si>
    <t xml:space="preserve">die Mutter</t>
  </si>
  <si>
    <t xml:space="preserve">mẹ</t>
  </si>
  <si>
    <t xml:space="preserve">die Lehrerin</t>
  </si>
  <si>
    <t xml:space="preserve">cô giáo</t>
  </si>
  <si>
    <t xml:space="preserve">die Geschwister</t>
  </si>
  <si>
    <t xml:space="preserve">anh chị em</t>
  </si>
  <si>
    <t xml:space="preserve">das Einzelkind</t>
  </si>
  <si>
    <t xml:space="preserve">con một</t>
  </si>
  <si>
    <t xml:space="preserve">die Großeltern</t>
  </si>
  <si>
    <t xml:space="preserve">ông bà</t>
  </si>
  <si>
    <t xml:space="preserve">das Land</t>
  </si>
  <si>
    <t xml:space="preserve">nông thôn</t>
  </si>
  <si>
    <t xml:space="preserve">der Sohn</t>
  </si>
  <si>
    <t xml:space="preserve">con trai</t>
  </si>
  <si>
    <t xml:space="preserve">der Kindergarten</t>
  </si>
  <si>
    <t xml:space="preserve">nhà trẻ</t>
  </si>
  <si>
    <t xml:space="preserve">die Tochter</t>
  </si>
  <si>
    <t xml:space="preserve">con gái</t>
  </si>
  <si>
    <t xml:space="preserve">besuchen</t>
  </si>
  <si>
    <t xml:space="preserve">thăm</t>
  </si>
  <si>
    <t xml:space="preserve">die Eltern</t>
  </si>
  <si>
    <t xml:space="preserve">bố mẹ</t>
  </si>
  <si>
    <t xml:space="preserve">oft</t>
  </si>
  <si>
    <t xml:space="preserve">thường</t>
  </si>
  <si>
    <t xml:space="preserve">der Mann</t>
  </si>
  <si>
    <t xml:space="preserve">chồng/người đàn ông</t>
  </si>
  <si>
    <t xml:space="preserve">kochen</t>
  </si>
  <si>
    <t xml:space="preserve">nấu ăn</t>
  </si>
  <si>
    <t xml:space="preserve">die Frau</t>
  </si>
  <si>
    <t xml:space="preserve">vợ/phụ nữ</t>
  </si>
  <si>
    <t xml:space="preserve">das Krankenhaus</t>
  </si>
  <si>
    <t xml:space="preserve">bệnh viện</t>
  </si>
  <si>
    <t xml:space="preserve">hợp nhau</t>
  </si>
  <si>
    <t xml:space="preserve">wichtig</t>
  </si>
  <si>
    <t xml:space="preserve">quan trọng</t>
  </si>
  <si>
    <t xml:space="preserve">das Haustier</t>
  </si>
  <si>
    <t xml:space="preserve">thú cưng</t>
  </si>
  <si>
    <t xml:space="preserve">die Katze</t>
  </si>
  <si>
    <t xml:space="preserve">con mèo</t>
  </si>
  <si>
    <t xml:space="preserve">der Onkel</t>
  </si>
  <si>
    <t xml:space="preserve">chú/bác</t>
  </si>
  <si>
    <t xml:space="preserve">die Tante</t>
  </si>
  <si>
    <t xml:space="preserve">cô/dì</t>
  </si>
  <si>
    <t xml:space="preserve">uns</t>
  </si>
  <si>
    <t xml:space="preserve">chúng tôi (Akk)</t>
  </si>
  <si>
    <t xml:space="preserve">der Cousin</t>
  </si>
  <si>
    <t xml:space="preserve">anh/em họ</t>
  </si>
  <si>
    <t xml:space="preserve">gerade</t>
  </si>
  <si>
    <t xml:space="preserve">ngay lúc này</t>
  </si>
  <si>
    <t xml:space="preserve">wer</t>
  </si>
  <si>
    <t xml:space="preserve">ai</t>
  </si>
  <si>
    <t xml:space="preserve">dieser</t>
  </si>
  <si>
    <t xml:space="preserve">này</t>
  </si>
  <si>
    <t xml:space="preserve">die Toilette</t>
  </si>
  <si>
    <t xml:space="preserve">nhà vệ sinh</t>
  </si>
  <si>
    <t xml:space="preserve">wohin</t>
  </si>
  <si>
    <t xml:space="preserve">đi đâu</t>
  </si>
  <si>
    <t xml:space="preserve">wann</t>
  </si>
  <si>
    <t xml:space="preserve">khi nào</t>
  </si>
  <si>
    <t xml:space="preserve">der Film</t>
  </si>
  <si>
    <t xml:space="preserve">bộ phim</t>
  </si>
  <si>
    <t xml:space="preserve">warum</t>
  </si>
  <si>
    <t xml:space="preserve">tại sao</t>
  </si>
  <si>
    <t xml:space="preserve">traurig</t>
  </si>
  <si>
    <t xml:space="preserve">buồn</t>
  </si>
  <si>
    <t xml:space="preserve">dauern</t>
  </si>
  <si>
    <t xml:space="preserve">kéo dài</t>
  </si>
  <si>
    <t xml:space="preserve">die Fahrt</t>
  </si>
  <si>
    <t xml:space="preserve">chuyến đi</t>
  </si>
  <si>
    <t xml:space="preserve">fahren</t>
  </si>
  <si>
    <t xml:space="preserve">đi (xe)</t>
  </si>
  <si>
    <t xml:space="preserve">nach Hause</t>
  </si>
  <si>
    <t xml:space="preserve">về nhà</t>
  </si>
  <si>
    <t xml:space="preserve">welches</t>
  </si>
  <si>
    <t xml:space="preserve">das Buch</t>
  </si>
  <si>
    <t xml:space="preserve">quyển sách</t>
  </si>
  <si>
    <t xml:space="preserve">lesen</t>
  </si>
  <si>
    <t xml:space="preserve">đọc</t>
  </si>
  <si>
    <t xml:space="preserve">wem</t>
  </si>
  <si>
    <t xml:space="preserve">cho ai</t>
  </si>
  <si>
    <t xml:space="preserve">gehören</t>
  </si>
  <si>
    <t xml:space="preserve">thuộc về</t>
  </si>
  <si>
    <t xml:space="preserve">die Tasche</t>
  </si>
  <si>
    <t xml:space="preserve">cái túi</t>
  </si>
  <si>
    <t xml:space="preserve">wen</t>
  </si>
  <si>
    <t xml:space="preserve">ai (Akkusativ)</t>
  </si>
  <si>
    <t xml:space="preserve">wissen</t>
  </si>
  <si>
    <t xml:space="preserve">biết</t>
  </si>
  <si>
    <t xml:space="preserve">mit</t>
  </si>
  <si>
    <t xml:space="preserve">với</t>
  </si>
  <si>
    <t xml:space="preserve">reden</t>
  </si>
  <si>
    <t xml:space="preserve">nói chuyện</t>
  </si>
  <si>
    <t xml:space="preserve">über</t>
  </si>
  <si>
    <t xml:space="preserve">về</t>
  </si>
  <si>
    <t xml:space="preserve">das Auto</t>
  </si>
  <si>
    <t xml:space="preserve">xe hơi</t>
  </si>
  <si>
    <t xml:space="preserve">đồng hồ/giờ</t>
  </si>
  <si>
    <t xml:space="preserve">weil</t>
  </si>
  <si>
    <t xml:space="preserve">bởi vì</t>
  </si>
  <si>
    <t xml:space="preserve">der Softwareentwickler</t>
  </si>
  <si>
    <t xml:space="preserve">lập trình viên</t>
  </si>
  <si>
    <t xml:space="preserve">der Arbeitstag</t>
  </si>
  <si>
    <t xml:space="preserve">ngày làm việc</t>
  </si>
  <si>
    <t xml:space="preserve">die Stunde</t>
  </si>
  <si>
    <t xml:space="preserve">die Woche</t>
  </si>
  <si>
    <t xml:space="preserve">tuần</t>
  </si>
  <si>
    <t xml:space="preserve">gefallen</t>
  </si>
  <si>
    <t xml:space="preserve">làm hài lòng</t>
  </si>
  <si>
    <t xml:space="preserve">die Arbeit</t>
  </si>
  <si>
    <t xml:space="preserve">der Spaß</t>
  </si>
  <si>
    <t xml:space="preserve">niềm vui</t>
  </si>
  <si>
    <t xml:space="preserve">suchen</t>
  </si>
  <si>
    <t xml:space="preserve">tìm</t>
  </si>
  <si>
    <t xml:space="preserve">die Bewerbung</t>
  </si>
  <si>
    <t xml:space="preserve">đơn xin việc</t>
  </si>
  <si>
    <t xml:space="preserve">das Vorstellungsgespräch</t>
  </si>
  <si>
    <t xml:space="preserve">phỏng vấn</t>
  </si>
  <si>
    <t xml:space="preserve">der Chef</t>
  </si>
  <si>
    <t xml:space="preserve">sếp</t>
  </si>
  <si>
    <t xml:space="preserve">streng</t>
  </si>
  <si>
    <t xml:space="preserve">nghiêm khắc</t>
  </si>
  <si>
    <t xml:space="preserve">das Homeoffice</t>
  </si>
  <si>
    <t xml:space="preserve">làm việc từ xa</t>
  </si>
  <si>
    <t xml:space="preserve">der Termin</t>
  </si>
  <si>
    <t xml:space="preserve">cuộc hẹn</t>
  </si>
  <si>
    <t xml:space="preserve">vereinbaren</t>
  </si>
  <si>
    <t xml:space="preserve">thỏa thuận</t>
  </si>
  <si>
    <t xml:space="preserve">die Besprechung</t>
  </si>
  <si>
    <t xml:space="preserve">cuộc họp</t>
  </si>
  <si>
    <t xml:space="preserve">das Gehalt</t>
  </si>
  <si>
    <t xml:space="preserve">lương</t>
  </si>
  <si>
    <t xml:space="preserve">schlecht</t>
  </si>
  <si>
    <t xml:space="preserve">tệ</t>
  </si>
  <si>
    <t xml:space="preserve">der Urlaub</t>
  </si>
  <si>
    <t xml:space="preserve">kỳ nghỉ</t>
  </si>
  <si>
    <t xml:space="preserve">nächste</t>
  </si>
  <si>
    <t xml:space="preserve">tiếp theo</t>
  </si>
  <si>
    <t xml:space="preserve">kündigen</t>
  </si>
  <si>
    <t xml:space="preserve">nghỉ việc/chấm dứt</t>
  </si>
  <si>
    <t xml:space="preserve">müssen</t>
  </si>
  <si>
    <t xml:space="preserve">phải</t>
  </si>
  <si>
    <t xml:space="preserve">der Mitarbeiter</t>
  </si>
  <si>
    <t xml:space="preserve">nhân viên</t>
  </si>
  <si>
    <t xml:space="preserve">verdienen</t>
  </si>
  <si>
    <t xml:space="preserve">kiếm tiền</t>
  </si>
  <si>
    <t xml:space="preserve">genug</t>
  </si>
  <si>
    <t xml:space="preserve">đủ</t>
  </si>
  <si>
    <t xml:space="preserve">frei haben</t>
  </si>
  <si>
    <t xml:space="preserve">được nghỉ</t>
  </si>
  <si>
    <t xml:space="preserve">der Freitag</t>
  </si>
  <si>
    <t xml:space="preserve">thứ Sáu</t>
  </si>
  <si>
    <t xml:space="preserve">jeden Abend</t>
  </si>
  <si>
    <t xml:space="preserve">mỗi tối</t>
  </si>
  <si>
    <t xml:space="preserve">spielen</t>
  </si>
  <si>
    <t xml:space="preserve">chơi</t>
  </si>
  <si>
    <t xml:space="preserve">gern</t>
  </si>
  <si>
    <t xml:space="preserve">thích</t>
  </si>
  <si>
    <t xml:space="preserve">der Fußball</t>
  </si>
  <si>
    <t xml:space="preserve">bóng đá</t>
  </si>
  <si>
    <t xml:space="preserve">kaufen</t>
  </si>
  <si>
    <t xml:space="preserve">mua</t>
  </si>
  <si>
    <t xml:space="preserve">das Brot</t>
  </si>
  <si>
    <t xml:space="preserve">bánh mì</t>
  </si>
  <si>
    <t xml:space="preserve">der Supermarkt</t>
  </si>
  <si>
    <t xml:space="preserve">siêu thị</t>
  </si>
  <si>
    <t xml:space="preserve">đẹp</t>
  </si>
  <si>
    <t xml:space="preserve">hart</t>
  </si>
  <si>
    <t xml:space="preserve">vất vả</t>
  </si>
  <si>
    <t xml:space="preserve">hören</t>
  </si>
  <si>
    <t xml:space="preserve">nghe</t>
  </si>
  <si>
    <t xml:space="preserve">die Musik</t>
  </si>
  <si>
    <t xml:space="preserve">âm nhạc</t>
  </si>
  <si>
    <t xml:space="preserve">immer</t>
  </si>
  <si>
    <t xml:space="preserve">luôn luôn</t>
  </si>
  <si>
    <t xml:space="preserve">zu viel</t>
  </si>
  <si>
    <t xml:space="preserve">quá nhiều</t>
  </si>
  <si>
    <t xml:space="preserve">warten</t>
  </si>
  <si>
    <t xml:space="preserve">chờ</t>
  </si>
  <si>
    <t xml:space="preserve">der Bus</t>
  </si>
  <si>
    <t xml:space="preserve">xe buýt</t>
  </si>
  <si>
    <t xml:space="preserve">zeigen</t>
  </si>
  <si>
    <t xml:space="preserve">chỉ</t>
  </si>
  <si>
    <t xml:space="preserve">der Weg</t>
  </si>
  <si>
    <t xml:space="preserve">con đường</t>
  </si>
  <si>
    <t xml:space="preserve">brauchen</t>
  </si>
  <si>
    <t xml:space="preserve">cần</t>
  </si>
  <si>
    <t xml:space="preserve">die Hilfe</t>
  </si>
  <si>
    <t xml:space="preserve">sự giúp đỡ</t>
  </si>
  <si>
    <t xml:space="preserve">erklären</t>
  </si>
  <si>
    <t xml:space="preserve">giải thích</t>
  </si>
  <si>
    <t xml:space="preserve">die Regel</t>
  </si>
  <si>
    <t xml:space="preserve">quy tắc</t>
  </si>
  <si>
    <t xml:space="preserve">feiern</t>
  </si>
  <si>
    <t xml:space="preserve">ăn mừng</t>
  </si>
  <si>
    <t xml:space="preserve">weinen</t>
  </si>
  <si>
    <t xml:space="preserve">khóc</t>
  </si>
  <si>
    <t xml:space="preserve">laut</t>
  </si>
  <si>
    <t xml:space="preserve">to/ồn</t>
  </si>
  <si>
    <t xml:space="preserve">bezahlen</t>
  </si>
  <si>
    <t xml:space="preserve">trả tiền</t>
  </si>
  <si>
    <t xml:space="preserve">die Karte</t>
  </si>
  <si>
    <t xml:space="preserve">thẻ</t>
  </si>
  <si>
    <t xml:space="preserve">lächeln</t>
  </si>
  <si>
    <t xml:space="preserve">mỉm cười</t>
  </si>
  <si>
    <t xml:space="preserve">zusammen</t>
  </si>
  <si>
    <t xml:space="preserve">cùng nhau</t>
  </si>
  <si>
    <t xml:space="preserve">die Grammatik</t>
  </si>
  <si>
    <t xml:space="preserve">ngữ pháp</t>
  </si>
  <si>
    <t xml:space="preserve">sammeln</t>
  </si>
  <si>
    <t xml:space="preserve">sưu tầm</t>
  </si>
  <si>
    <t xml:space="preserve">die Briefmarke</t>
  </si>
  <si>
    <t xml:space="preserve">con tem</t>
  </si>
  <si>
    <t xml:space="preserve">danken</t>
  </si>
  <si>
    <t xml:space="preserve">das Herz</t>
  </si>
  <si>
    <t xml:space="preserve">trái tim</t>
  </si>
  <si>
    <t xml:space="preserve">antworten</t>
  </si>
  <si>
    <t xml:space="preserve">trả lời</t>
  </si>
  <si>
    <t xml:space="preserve">der Tisch</t>
  </si>
  <si>
    <t xml:space="preserve">cái bàn</t>
  </si>
  <si>
    <t xml:space="preserve">das Holz</t>
  </si>
  <si>
    <t xml:space="preserve">gỗ</t>
  </si>
  <si>
    <t xml:space="preserve">die Lampe</t>
  </si>
  <si>
    <t xml:space="preserve">cái đèn</t>
  </si>
  <si>
    <t xml:space="preserve">kaputt</t>
  </si>
  <si>
    <t xml:space="preserve">hỏng</t>
  </si>
  <si>
    <t xml:space="preserve">das Fenster</t>
  </si>
  <si>
    <t xml:space="preserve">cửa sổ</t>
  </si>
  <si>
    <t xml:space="preserve">offen</t>
  </si>
  <si>
    <t xml:space="preserve">mở</t>
  </si>
  <si>
    <t xml:space="preserve">liegen</t>
  </si>
  <si>
    <t xml:space="preserve">nằm</t>
  </si>
  <si>
    <t xml:space="preserve">das Buch/die Bücher</t>
  </si>
  <si>
    <t xml:space="preserve">sách</t>
  </si>
  <si>
    <t xml:space="preserve">der Stuhl</t>
  </si>
  <si>
    <t xml:space="preserve">cái ghế</t>
  </si>
  <si>
    <t xml:space="preserve">die Idee</t>
  </si>
  <si>
    <t xml:space="preserve">ý tưởng</t>
  </si>
  <si>
    <t xml:space="preserve">der Nachbar</t>
  </si>
  <si>
    <t xml:space="preserve">hàng xóm</t>
  </si>
  <si>
    <t xml:space="preserve">bellen</t>
  </si>
  <si>
    <t xml:space="preserve">sủa</t>
  </si>
  <si>
    <t xml:space="preserve">geben</t>
  </si>
  <si>
    <t xml:space="preserve">đưa/tặng</t>
  </si>
  <si>
    <t xml:space="preserve">das Geschenk</t>
  </si>
  <si>
    <t xml:space="preserve">món quà</t>
  </si>
  <si>
    <t xml:space="preserve">die Farbe</t>
  </si>
  <si>
    <t xml:space="preserve">màu sắc</t>
  </si>
  <si>
    <t xml:space="preserve">die Wand</t>
  </si>
  <si>
    <t xml:space="preserve">bức tường</t>
  </si>
  <si>
    <t xml:space="preserve">der Mensch</t>
  </si>
  <si>
    <t xml:space="preserve">con người</t>
  </si>
  <si>
    <t xml:space="preserve">der Schlüssel</t>
  </si>
  <si>
    <t xml:space="preserve">chìa khóa</t>
  </si>
  <si>
    <t xml:space="preserve">der Brief</t>
  </si>
  <si>
    <t xml:space="preserve">lá thư</t>
  </si>
  <si>
    <t xml:space="preserve">bekommen</t>
  </si>
  <si>
    <t xml:space="preserve">nhận được</t>
  </si>
  <si>
    <t xml:space="preserve">der Garten</t>
  </si>
  <si>
    <t xml:space="preserve">khu vườn</t>
  </si>
  <si>
    <t xml:space="preserve">die Brille</t>
  </si>
  <si>
    <t xml:space="preserve">cái kính</t>
  </si>
  <si>
    <t xml:space="preserve">neben</t>
  </si>
  <si>
    <t xml:space="preserve">bên cạnh</t>
  </si>
  <si>
    <t xml:space="preserve">die Tür</t>
  </si>
  <si>
    <t xml:space="preserve">cánh cửa</t>
  </si>
  <si>
    <t xml:space="preserve">das Wasser</t>
  </si>
  <si>
    <t xml:space="preserve">nước</t>
  </si>
  <si>
    <t xml:space="preserve">heiß</t>
  </si>
  <si>
    <t xml:space="preserve">nóng</t>
  </si>
  <si>
    <t xml:space="preserve">nehmen</t>
  </si>
  <si>
    <t xml:space="preserve">lấy/đi</t>
  </si>
  <si>
    <t xml:space="preserve">der Zug</t>
  </si>
  <si>
    <t xml:space="preserve">tàu hỏa</t>
  </si>
  <si>
    <t xml:space="preserve">der Preis</t>
  </si>
  <si>
    <t xml:space="preserve">giá</t>
  </si>
  <si>
    <t xml:space="preserve">steigen</t>
  </si>
  <si>
    <t xml:space="preserve">tăng</t>
  </si>
  <si>
    <t xml:space="preserve">das Handy</t>
  </si>
  <si>
    <t xml:space="preserve">điện thoại</t>
  </si>
  <si>
    <t xml:space="preserve">der Akku</t>
  </si>
  <si>
    <t xml:space="preserve">pin</t>
  </si>
  <si>
    <t xml:space="preserve">dort</t>
  </si>
  <si>
    <t xml:space="preserve">đằng kia</t>
  </si>
  <si>
    <t xml:space="preserve">die Zeitung</t>
  </si>
  <si>
    <t xml:space="preserve">tờ báo</t>
  </si>
  <si>
    <t xml:space="preserve">essen</t>
  </si>
  <si>
    <t xml:space="preserve">ăn</t>
  </si>
  <si>
    <t xml:space="preserve">trinken</t>
  </si>
  <si>
    <t xml:space="preserve">uống</t>
  </si>
  <si>
    <t xml:space="preserve">der Kaffee</t>
  </si>
  <si>
    <t xml:space="preserve">cà phê</t>
  </si>
  <si>
    <t xml:space="preserve">die Jacke</t>
  </si>
  <si>
    <t xml:space="preserve">áo khoác</t>
  </si>
  <si>
    <t xml:space="preserve">lieben</t>
  </si>
  <si>
    <t xml:space="preserve">yêu</t>
  </si>
  <si>
    <t xml:space="preserve">dich</t>
  </si>
  <si>
    <t xml:space="preserve">bạn (Akk)</t>
  </si>
  <si>
    <t xml:space="preserve">tôi (Akk)</t>
  </si>
  <si>
    <t xml:space="preserve">ihn</t>
  </si>
  <si>
    <t xml:space="preserve">anh ấy (Akk)</t>
  </si>
  <si>
    <t xml:space="preserve">das Wochenende</t>
  </si>
  <si>
    <t xml:space="preserve">cuối tuần</t>
  </si>
  <si>
    <t xml:space="preserve">kein ... mehr</t>
  </si>
  <si>
    <t xml:space="preserve">không còn nữa</t>
  </si>
  <si>
    <t xml:space="preserve">mitbringen</t>
  </si>
  <si>
    <t xml:space="preserve">mang theo</t>
  </si>
  <si>
    <t xml:space="preserve">finden</t>
  </si>
  <si>
    <t xml:space="preserve">thấy/cho rằng</t>
  </si>
  <si>
    <t xml:space="preserve">langweilig</t>
  </si>
  <si>
    <t xml:space="preserve">chán</t>
  </si>
  <si>
    <t xml:space="preserve">lấy</t>
  </si>
  <si>
    <t xml:space="preserve">ohne</t>
  </si>
  <si>
    <t xml:space="preserve">durch</t>
  </si>
  <si>
    <t xml:space="preserve">xuyên qua</t>
  </si>
  <si>
    <t xml:space="preserve">der Park</t>
  </si>
  <si>
    <t xml:space="preserve">công viên</t>
  </si>
  <si>
    <t xml:space="preserve">um</t>
  </si>
  <si>
    <t xml:space="preserve">quanh</t>
  </si>
  <si>
    <t xml:space="preserve">die Ecke</t>
  </si>
  <si>
    <t xml:space="preserve">góc</t>
  </si>
  <si>
    <t xml:space="preserve">gegen</t>
  </si>
  <si>
    <t xml:space="preserve">ngược/chống</t>
  </si>
  <si>
    <t xml:space="preserve">der Wind</t>
  </si>
  <si>
    <t xml:space="preserve">gió</t>
  </si>
  <si>
    <t xml:space="preserve">schwer</t>
  </si>
  <si>
    <t xml:space="preserve">khó</t>
  </si>
  <si>
    <t xml:space="preserve">kennen</t>
  </si>
  <si>
    <t xml:space="preserve">quen biết</t>
  </si>
  <si>
    <t xml:space="preserve">groß</t>
  </si>
  <si>
    <t xml:space="preserve">lớn</t>
  </si>
  <si>
    <t xml:space="preserve">der Reis</t>
  </si>
  <si>
    <t xml:space="preserve">cơm/gạo</t>
  </si>
  <si>
    <t xml:space="preserve">das Gemüse</t>
  </si>
  <si>
    <t xml:space="preserve">rau</t>
  </si>
  <si>
    <t xml:space="preserve">das Frühstück</t>
  </si>
  <si>
    <t xml:space="preserve">bữa sáng</t>
  </si>
  <si>
    <t xml:space="preserve">der Tee</t>
  </si>
  <si>
    <t xml:space="preserve">trà</t>
  </si>
  <si>
    <t xml:space="preserve">schmecken</t>
  </si>
  <si>
    <t xml:space="preserve">có vị</t>
  </si>
  <si>
    <t xml:space="preserve">das Essen</t>
  </si>
  <si>
    <t xml:space="preserve">món ăn</t>
  </si>
  <si>
    <t xml:space="preserve">das Fleisch</t>
  </si>
  <si>
    <t xml:space="preserve">thịt</t>
  </si>
  <si>
    <t xml:space="preserve">der Vegetarier</t>
  </si>
  <si>
    <t xml:space="preserve">người ăn chay</t>
  </si>
  <si>
    <t xml:space="preserve">der Kuchen</t>
  </si>
  <si>
    <t xml:space="preserve">bánh ngọt</t>
  </si>
  <si>
    <t xml:space="preserve">süß</t>
  </si>
  <si>
    <t xml:space="preserve">ngọt</t>
  </si>
  <si>
    <t xml:space="preserve">die Suppe</t>
  </si>
  <si>
    <t xml:space="preserve">súp</t>
  </si>
  <si>
    <t xml:space="preserve">schon</t>
  </si>
  <si>
    <t xml:space="preserve">đã/rồi</t>
  </si>
  <si>
    <t xml:space="preserve">nichts</t>
  </si>
  <si>
    <t xml:space="preserve">không gì</t>
  </si>
  <si>
    <t xml:space="preserve">frisch</t>
  </si>
  <si>
    <t xml:space="preserve">tươi</t>
  </si>
  <si>
    <t xml:space="preserve">backen</t>
  </si>
  <si>
    <t xml:space="preserve">nướng</t>
  </si>
  <si>
    <t xml:space="preserve">morgens</t>
  </si>
  <si>
    <t xml:space="preserve">vào buổi sáng</t>
  </si>
  <si>
    <t xml:space="preserve">die Milch</t>
  </si>
  <si>
    <t xml:space="preserve">sữa</t>
  </si>
  <si>
    <t xml:space="preserve">sauer</t>
  </si>
  <si>
    <t xml:space="preserve">chua</t>
  </si>
  <si>
    <t xml:space="preserve">das Stück</t>
  </si>
  <si>
    <t xml:space="preserve">miếng</t>
  </si>
  <si>
    <t xml:space="preserve">der Käse</t>
  </si>
  <si>
    <t xml:space="preserve">phô mai</t>
  </si>
  <si>
    <t xml:space="preserve">mögen</t>
  </si>
  <si>
    <t xml:space="preserve">scharf</t>
  </si>
  <si>
    <t xml:space="preserve">cay</t>
  </si>
  <si>
    <t xml:space="preserve">das Mittagessen</t>
  </si>
  <si>
    <t xml:space="preserve">bữa trưa</t>
  </si>
  <si>
    <t xml:space="preserve">die Nudel</t>
  </si>
  <si>
    <t xml:space="preserve">mì</t>
  </si>
  <si>
    <t xml:space="preserve">das Rezept</t>
  </si>
  <si>
    <t xml:space="preserve">công thức</t>
  </si>
  <si>
    <t xml:space="preserve">der Appetit</t>
  </si>
  <si>
    <t xml:space="preserve">sự ngon miệng</t>
  </si>
  <si>
    <t xml:space="preserve">bàn</t>
  </si>
  <si>
    <t xml:space="preserve">die Speisekarte</t>
  </si>
  <si>
    <t xml:space="preserve">thực đơn</t>
  </si>
  <si>
    <t xml:space="preserve">empfehlen</t>
  </si>
  <si>
    <t xml:space="preserve">gợi ý</t>
  </si>
  <si>
    <t xml:space="preserve">das Schnitzel</t>
  </si>
  <si>
    <t xml:space="preserve">thịt tẩm bột rán</t>
  </si>
  <si>
    <t xml:space="preserve">das Glas</t>
  </si>
  <si>
    <t xml:space="preserve">cái ly</t>
  </si>
  <si>
    <t xml:space="preserve">der Wein</t>
  </si>
  <si>
    <t xml:space="preserve">rượu vang</t>
  </si>
  <si>
    <t xml:space="preserve">bestellen</t>
  </si>
  <si>
    <t xml:space="preserve">gọi món</t>
  </si>
  <si>
    <t xml:space="preserve">länger</t>
  </si>
  <si>
    <t xml:space="preserve">lâu hơn</t>
  </si>
  <si>
    <t xml:space="preserve">die Rechnung</t>
  </si>
  <si>
    <t xml:space="preserve">hóa đơn</t>
  </si>
  <si>
    <t xml:space="preserve">getrennt</t>
  </si>
  <si>
    <t xml:space="preserve">riêng</t>
  </si>
  <si>
    <t xml:space="preserve">oder</t>
  </si>
  <si>
    <t xml:space="preserve">hoặc</t>
  </si>
  <si>
    <t xml:space="preserve">zahlen</t>
  </si>
  <si>
    <t xml:space="preserve">stimmen</t>
  </si>
  <si>
    <t xml:space="preserve">das Restaurant</t>
  </si>
  <si>
    <t xml:space="preserve">nhà hàng</t>
  </si>
  <si>
    <t xml:space="preserve">geschlossen</t>
  </si>
  <si>
    <t xml:space="preserve">đóng cửa</t>
  </si>
  <si>
    <t xml:space="preserve">das Gericht</t>
  </si>
  <si>
    <t xml:space="preserve">vegetarisch</t>
  </si>
  <si>
    <t xml:space="preserve">chay</t>
  </si>
  <si>
    <t xml:space="preserve">allergisch</t>
  </si>
  <si>
    <t xml:space="preserve">dị ứng</t>
  </si>
  <si>
    <t xml:space="preserve">die Nuss</t>
  </si>
  <si>
    <t xml:space="preserve">hạt</t>
  </si>
  <si>
    <t xml:space="preserve">das Salz</t>
  </si>
  <si>
    <t xml:space="preserve">muối</t>
  </si>
  <si>
    <t xml:space="preserve">zubereiten</t>
  </si>
  <si>
    <t xml:space="preserve">chế biến</t>
  </si>
  <si>
    <t xml:space="preserve">lecker</t>
  </si>
  <si>
    <t xml:space="preserve">ngon</t>
  </si>
  <si>
    <t xml:space="preserve">wirklich</t>
  </si>
  <si>
    <t xml:space="preserve">thật sự</t>
  </si>
  <si>
    <t xml:space="preserve">hätten gern</t>
  </si>
  <si>
    <t xml:space="preserve">muốn có</t>
  </si>
  <si>
    <t xml:space="preserve">tìm thấy</t>
  </si>
  <si>
    <t xml:space="preserve">das Kilo</t>
  </si>
  <si>
    <t xml:space="preserve">ký</t>
  </si>
  <si>
    <t xml:space="preserve">der Apfel</t>
  </si>
  <si>
    <t xml:space="preserve">quả táo</t>
  </si>
  <si>
    <t xml:space="preserve">teuer</t>
  </si>
  <si>
    <t xml:space="preserve">đắt</t>
  </si>
  <si>
    <t xml:space="preserve">die Größe</t>
  </si>
  <si>
    <t xml:space="preserve">kích cỡ</t>
  </si>
  <si>
    <t xml:space="preserve">anprobieren</t>
  </si>
  <si>
    <t xml:space="preserve">mặc thử</t>
  </si>
  <si>
    <t xml:space="preserve">die Kreditkarte</t>
  </si>
  <si>
    <t xml:space="preserve">thẻ tín dụng</t>
  </si>
  <si>
    <t xml:space="preserve">die Tüte</t>
  </si>
  <si>
    <t xml:space="preserve">túi đựng</t>
  </si>
  <si>
    <t xml:space="preserve">das Angebot</t>
  </si>
  <si>
    <t xml:space="preserve">ưu đãi</t>
  </si>
  <si>
    <t xml:space="preserve">gelten</t>
  </si>
  <si>
    <t xml:space="preserve">có hiệu lực</t>
  </si>
  <si>
    <t xml:space="preserve">nur</t>
  </si>
  <si>
    <t xml:space="preserve">andere</t>
  </si>
  <si>
    <t xml:space="preserve">khác</t>
  </si>
  <si>
    <t xml:space="preserve">umtauschen</t>
  </si>
  <si>
    <t xml:space="preserve">đổi hàng</t>
  </si>
  <si>
    <t xml:space="preserve">der Kassenbon</t>
  </si>
  <si>
    <t xml:space="preserve">hóa đơn tính tiền</t>
  </si>
  <si>
    <t xml:space="preserve">der Laden</t>
  </si>
  <si>
    <t xml:space="preserve">cửa hàng</t>
  </si>
  <si>
    <t xml:space="preserve">schließen</t>
  </si>
  <si>
    <t xml:space="preserve">đóng</t>
  </si>
  <si>
    <t xml:space="preserve">inbegriffen</t>
  </si>
  <si>
    <t xml:space="preserve">đã bao gồm</t>
  </si>
  <si>
    <t xml:space="preserve">lieber</t>
  </si>
  <si>
    <t xml:space="preserve">thích hơn</t>
  </si>
  <si>
    <t xml:space="preserve">bar</t>
  </si>
  <si>
    <t xml:space="preserve">tiền mặt</t>
  </si>
  <si>
    <t xml:space="preserve">der Schuh</t>
  </si>
  <si>
    <t xml:space="preserve">giày</t>
  </si>
  <si>
    <t xml:space="preserve">passen</t>
  </si>
  <si>
    <t xml:space="preserve">vừa</t>
  </si>
  <si>
    <t xml:space="preserve">der Rabatt</t>
  </si>
  <si>
    <t xml:space="preserve">giảm giá</t>
  </si>
  <si>
    <t xml:space="preserve">die Zahnpasta</t>
  </si>
  <si>
    <t xml:space="preserve">kem đánh răng</t>
  </si>
  <si>
    <t xml:space="preserve">die Seife</t>
  </si>
  <si>
    <t xml:space="preserve">xà phòng</t>
  </si>
  <si>
    <t xml:space="preserve">die Kasse</t>
  </si>
  <si>
    <t xml:space="preserve">quầy thu ngân</t>
  </si>
  <si>
    <t xml:space="preserve">đẹp/tốt</t>
  </si>
  <si>
    <t xml:space="preserve">die Lieblingsfarbe</t>
  </si>
  <si>
    <t xml:space="preserve">màu yêu thích</t>
  </si>
  <si>
    <t xml:space="preserve">blau</t>
  </si>
  <si>
    <t xml:space="preserve">xanh dương</t>
  </si>
  <si>
    <t xml:space="preserve">tragen</t>
  </si>
  <si>
    <t xml:space="preserve">mặc</t>
  </si>
  <si>
    <t xml:space="preserve">rot</t>
  </si>
  <si>
    <t xml:space="preserve">đỏ</t>
  </si>
  <si>
    <t xml:space="preserve">das Hemd</t>
  </si>
  <si>
    <t xml:space="preserve">áo sơ mi</t>
  </si>
  <si>
    <t xml:space="preserve">schwarz</t>
  </si>
  <si>
    <t xml:space="preserve">đen</t>
  </si>
  <si>
    <t xml:space="preserve">die Hose</t>
  </si>
  <si>
    <t xml:space="preserve">quần</t>
  </si>
  <si>
    <t xml:space="preserve">weiß</t>
  </si>
  <si>
    <t xml:space="preserve">trắng</t>
  </si>
  <si>
    <t xml:space="preserve">anhaben</t>
  </si>
  <si>
    <t xml:space="preserve">mặc trên người</t>
  </si>
  <si>
    <t xml:space="preserve">grün</t>
  </si>
  <si>
    <t xml:space="preserve">xanh lá</t>
  </si>
  <si>
    <t xml:space="preserve">das Kleid</t>
  </si>
  <si>
    <t xml:space="preserve">váy</t>
  </si>
  <si>
    <t xml:space="preserve">die Socke</t>
  </si>
  <si>
    <t xml:space="preserve">chiếc tất</t>
  </si>
  <si>
    <t xml:space="preserve">am liebsten</t>
  </si>
  <si>
    <t xml:space="preserve">thích nhất</t>
  </si>
  <si>
    <t xml:space="preserve">der Mantel</t>
  </si>
  <si>
    <t xml:space="preserve">áo măng tô</t>
  </si>
  <si>
    <t xml:space="preserve">anziehen</t>
  </si>
  <si>
    <t xml:space="preserve">mặc vào</t>
  </si>
  <si>
    <t xml:space="preserve">der Winter</t>
  </si>
  <si>
    <t xml:space="preserve">mùa đông</t>
  </si>
  <si>
    <t xml:space="preserve">der Handschuh</t>
  </si>
  <si>
    <t xml:space="preserve">găng tay</t>
  </si>
  <si>
    <t xml:space="preserve">stehen</t>
  </si>
  <si>
    <t xml:space="preserve">hợp/đứng</t>
  </si>
  <si>
    <t xml:space="preserve">waschen</t>
  </si>
  <si>
    <t xml:space="preserve">giặt</t>
  </si>
  <si>
    <t xml:space="preserve">die Kleidung</t>
  </si>
  <si>
    <t xml:space="preserve">quần áo</t>
  </si>
  <si>
    <t xml:space="preserve">das Leder</t>
  </si>
  <si>
    <t xml:space="preserve">da</t>
  </si>
  <si>
    <t xml:space="preserve">gelb</t>
  </si>
  <si>
    <t xml:space="preserve">vàng</t>
  </si>
  <si>
    <t xml:space="preserve">der Schal</t>
  </si>
  <si>
    <t xml:space="preserve">khăn quàng</t>
  </si>
  <si>
    <t xml:space="preserve">verlieren</t>
  </si>
  <si>
    <t xml:space="preserve">mất</t>
  </si>
  <si>
    <t xml:space="preserve">das T-Shirt</t>
  </si>
  <si>
    <t xml:space="preserve">áo thun</t>
  </si>
  <si>
    <t xml:space="preserve">der Pullover</t>
  </si>
  <si>
    <t xml:space="preserve">áo len</t>
  </si>
  <si>
    <t xml:space="preserve">die Wolle</t>
  </si>
  <si>
    <t xml:space="preserve">len</t>
  </si>
  <si>
    <t xml:space="preserve">sich umziehen</t>
  </si>
  <si>
    <t xml:space="preserve">thay đồ</t>
  </si>
  <si>
    <t xml:space="preserve">schnell</t>
  </si>
  <si>
    <t xml:space="preserve">nhanh</t>
  </si>
  <si>
    <t xml:space="preserve">grau</t>
  </si>
  <si>
    <t xml:space="preserve">xám</t>
  </si>
  <si>
    <t xml:space="preserve">können</t>
  </si>
  <si>
    <t xml:space="preserve">có thể</t>
  </si>
  <si>
    <t xml:space="preserve">schwimmen</t>
  </si>
  <si>
    <t xml:space="preserve">bơi</t>
  </si>
  <si>
    <t xml:space="preserve">helfen</t>
  </si>
  <si>
    <t xml:space="preserve">giúp</t>
  </si>
  <si>
    <t xml:space="preserve">sich beeilen</t>
  </si>
  <si>
    <t xml:space="preserve">vội</t>
  </si>
  <si>
    <t xml:space="preserve">biết/có thể</t>
  </si>
  <si>
    <t xml:space="preserve">Ihnen</t>
  </si>
  <si>
    <t xml:space="preserve">ông/bà (Dativ)</t>
  </si>
  <si>
    <t xml:space="preserve">aufstehen</t>
  </si>
  <si>
    <t xml:space="preserve">thức dậy</t>
  </si>
  <si>
    <t xml:space="preserve">früh</t>
  </si>
  <si>
    <t xml:space="preserve">die Richtung</t>
  </si>
  <si>
    <t xml:space="preserve">hướng</t>
  </si>
  <si>
    <t xml:space="preserve">parken</t>
  </si>
  <si>
    <t xml:space="preserve">đỗ xe</t>
  </si>
  <si>
    <t xml:space="preserve">konnte</t>
  </si>
  <si>
    <t xml:space="preserve">đã có thể</t>
  </si>
  <si>
    <t xml:space="preserve">gestern</t>
  </si>
  <si>
    <t xml:space="preserve">hôm qua</t>
  </si>
  <si>
    <t xml:space="preserve">mussten</t>
  </si>
  <si>
    <t xml:space="preserve">đã phải</t>
  </si>
  <si>
    <t xml:space="preserve">còn</t>
  </si>
  <si>
    <t xml:space="preserve">sich entscheiden</t>
  </si>
  <si>
    <t xml:space="preserve">quyết định</t>
  </si>
  <si>
    <t xml:space="preserve">kaum</t>
  </si>
  <si>
    <t xml:space="preserve">hầu như không</t>
  </si>
  <si>
    <t xml:space="preserve">glauben</t>
  </si>
  <si>
    <t xml:space="preserve">tin</t>
  </si>
  <si>
    <t xml:space="preserve">jederzeit</t>
  </si>
  <si>
    <t xml:space="preserve">bất cứ lúc nào</t>
  </si>
  <si>
    <t xml:space="preserve">wollen</t>
  </si>
  <si>
    <t xml:space="preserve">ziehen</t>
  </si>
  <si>
    <t xml:space="preserve">chuyển đi</t>
  </si>
  <si>
    <t xml:space="preserve">rauchen</t>
  </si>
  <si>
    <t xml:space="preserve">hút thuốc</t>
  </si>
  <si>
    <t xml:space="preserve">fotografieren</t>
  </si>
  <si>
    <t xml:space="preserve">chụp ảnh</t>
  </si>
  <si>
    <t xml:space="preserve">sollen</t>
  </si>
  <si>
    <t xml:space="preserve">nên</t>
  </si>
  <si>
    <t xml:space="preserve">mehr</t>
  </si>
  <si>
    <t xml:space="preserve">nhiều hơn</t>
  </si>
  <si>
    <t xml:space="preserve">öffnen</t>
  </si>
  <si>
    <t xml:space="preserve">wandern</t>
  </si>
  <si>
    <t xml:space="preserve">đi bộ đường dài</t>
  </si>
  <si>
    <t xml:space="preserve">bleiben</t>
  </si>
  <si>
    <t xml:space="preserve">ở lại</t>
  </si>
  <si>
    <t xml:space="preserve">ausgehen</t>
  </si>
  <si>
    <t xml:space="preserve">ra ngoài chơi</t>
  </si>
  <si>
    <t xml:space="preserve">der Arzt</t>
  </si>
  <si>
    <t xml:space="preserve">bác sĩ</t>
  </si>
  <si>
    <t xml:space="preserve">sich ausruhen</t>
  </si>
  <si>
    <t xml:space="preserve">nghỉ ngơi</t>
  </si>
  <si>
    <t xml:space="preserve">wollte</t>
  </si>
  <si>
    <t xml:space="preserve">đã muốn</t>
  </si>
  <si>
    <t xml:space="preserve">niemand</t>
  </si>
  <si>
    <t xml:space="preserve">không ai</t>
  </si>
  <si>
    <t xml:space="preserve">betreten</t>
  </si>
  <si>
    <t xml:space="preserve">bước vào</t>
  </si>
  <si>
    <t xml:space="preserve">unbedingt</t>
  </si>
  <si>
    <t xml:space="preserve">nhất thiết</t>
  </si>
  <si>
    <t xml:space="preserve">gewinnen</t>
  </si>
  <si>
    <t xml:space="preserve">thắng</t>
  </si>
  <si>
    <t xml:space="preserve">respektieren</t>
  </si>
  <si>
    <t xml:space="preserve">tôn trọng</t>
  </si>
  <si>
    <t xml:space="preserve">zum</t>
  </si>
  <si>
    <t xml:space="preserve">nhân dịp</t>
  </si>
  <si>
    <t xml:space="preserve">losfahren</t>
  </si>
  <si>
    <t xml:space="preserve">khởi hành</t>
  </si>
  <si>
    <t xml:space="preserve">besser</t>
  </si>
  <si>
    <t xml:space="preserve">tốt hơn</t>
  </si>
  <si>
    <t xml:space="preserve">abfahren</t>
  </si>
  <si>
    <t xml:space="preserve">zumachen</t>
  </si>
  <si>
    <t xml:space="preserve">đóng lại</t>
  </si>
  <si>
    <t xml:space="preserve">einkaufen</t>
  </si>
  <si>
    <t xml:space="preserve">đi mua sắm</t>
  </si>
  <si>
    <t xml:space="preserve">anfangen</t>
  </si>
  <si>
    <t xml:space="preserve">der Unterricht</t>
  </si>
  <si>
    <t xml:space="preserve">buổi học</t>
  </si>
  <si>
    <t xml:space="preserve">aufschreiben</t>
  </si>
  <si>
    <t xml:space="preserve">ghi ra</t>
  </si>
  <si>
    <t xml:space="preserve">umziehen</t>
  </si>
  <si>
    <t xml:space="preserve">chuyển nhà</t>
  </si>
  <si>
    <t xml:space="preserve">aussehen</t>
  </si>
  <si>
    <t xml:space="preserve">trông có vẻ</t>
  </si>
  <si>
    <t xml:space="preserve">teilnehmen</t>
  </si>
  <si>
    <t xml:space="preserve">tham dự</t>
  </si>
  <si>
    <t xml:space="preserve">diễn ra</t>
  </si>
  <si>
    <t xml:space="preserve">das Konzert</t>
  </si>
  <si>
    <t xml:space="preserve">hòa nhạc</t>
  </si>
  <si>
    <t xml:space="preserve">abholen</t>
  </si>
  <si>
    <t xml:space="preserve">đón</t>
  </si>
  <si>
    <t xml:space="preserve">der Bahnhof</t>
  </si>
  <si>
    <t xml:space="preserve">nhà ga</t>
  </si>
  <si>
    <t xml:space="preserve">aufhören</t>
  </si>
  <si>
    <t xml:space="preserve">dừng lại</t>
  </si>
  <si>
    <t xml:space="preserve">mang/dẫn theo</t>
  </si>
  <si>
    <t xml:space="preserve">mua sắm</t>
  </si>
  <si>
    <t xml:space="preserve">einladen</t>
  </si>
  <si>
    <t xml:space="preserve">mời</t>
  </si>
  <si>
    <t xml:space="preserve">die Party</t>
  </si>
  <si>
    <t xml:space="preserve">bữa tiệc</t>
  </si>
  <si>
    <t xml:space="preserve">anmachen</t>
  </si>
  <si>
    <t xml:space="preserve">bật</t>
  </si>
  <si>
    <t xml:space="preserve">das Licht</t>
  </si>
  <si>
    <t xml:space="preserve">đèn</t>
  </si>
  <si>
    <t xml:space="preserve">die Minute</t>
  </si>
  <si>
    <t xml:space="preserve">phút</t>
  </si>
  <si>
    <t xml:space="preserve">vorschlagen</t>
  </si>
  <si>
    <t xml:space="preserve">đề nghị</t>
  </si>
  <si>
    <t xml:space="preserve">aufwachen</t>
  </si>
  <si>
    <t xml:space="preserve">thức giấc</t>
  </si>
  <si>
    <t xml:space="preserve">danach</t>
  </si>
  <si>
    <t xml:space="preserve">sau đó</t>
  </si>
  <si>
    <t xml:space="preserve">duschen</t>
  </si>
  <si>
    <t xml:space="preserve">tắm</t>
  </si>
  <si>
    <t xml:space="preserve">die Pause</t>
  </si>
  <si>
    <t xml:space="preserve">giờ nghỉ</t>
  </si>
  <si>
    <t xml:space="preserve">mittags</t>
  </si>
  <si>
    <t xml:space="preserve">buổi trưa</t>
  </si>
  <si>
    <t xml:space="preserve">das Viertel</t>
  </si>
  <si>
    <t xml:space="preserve">một phần tư</t>
  </si>
  <si>
    <t xml:space="preserve">nach</t>
  </si>
  <si>
    <t xml:space="preserve">sau</t>
  </si>
  <si>
    <t xml:space="preserve">vor</t>
  </si>
  <si>
    <t xml:space="preserve">trước</t>
  </si>
  <si>
    <t xml:space="preserve">normalerweise</t>
  </si>
  <si>
    <t xml:space="preserve">thường thì</t>
  </si>
  <si>
    <t xml:space="preserve">fernsehen</t>
  </si>
  <si>
    <t xml:space="preserve">xem tivi</t>
  </si>
  <si>
    <t xml:space="preserve">abends</t>
  </si>
  <si>
    <t xml:space="preserve">meistens</t>
  </si>
  <si>
    <t xml:space="preserve">phần lớn</t>
  </si>
  <si>
    <t xml:space="preserve">das Bett</t>
  </si>
  <si>
    <t xml:space="preserve">giường</t>
  </si>
  <si>
    <t xml:space="preserve">ungefähr</t>
  </si>
  <si>
    <t xml:space="preserve">khoảng</t>
  </si>
  <si>
    <t xml:space="preserve">ganz</t>
  </si>
  <si>
    <t xml:space="preserve">cả/toàn bộ</t>
  </si>
  <si>
    <t xml:space="preserve">spät dran sein</t>
  </si>
  <si>
    <t xml:space="preserve">bị trễ</t>
  </si>
  <si>
    <t xml:space="preserve">aufräumen</t>
  </si>
  <si>
    <t xml:space="preserve">dọn dẹp</t>
  </si>
  <si>
    <t xml:space="preserve">die Küche</t>
  </si>
  <si>
    <t xml:space="preserve">nhà bếp</t>
  </si>
  <si>
    <t xml:space="preserve">der Feierabend</t>
  </si>
  <si>
    <t xml:space="preserve">giờ tan làm</t>
  </si>
  <si>
    <t xml:space="preserve">der Sport</t>
  </si>
  <si>
    <t xml:space="preserve">thể thao</t>
  </si>
  <si>
    <t xml:space="preserve">dreimal</t>
  </si>
  <si>
    <t xml:space="preserve">ba lần</t>
  </si>
  <si>
    <t xml:space="preserve">voll</t>
  </si>
  <si>
    <t xml:space="preserve">đầy</t>
  </si>
  <si>
    <t xml:space="preserve">der Kellner</t>
  </si>
  <si>
    <t xml:space="preserve">phục vụ</t>
  </si>
  <si>
    <t xml:space="preserve">das Geld</t>
  </si>
  <si>
    <t xml:space="preserve">tiền</t>
  </si>
  <si>
    <t xml:space="preserve">hợp</t>
  </si>
  <si>
    <t xml:space="preserve">làm tiếc</t>
  </si>
  <si>
    <t xml:space="preserve">der Schüler</t>
  </si>
  <si>
    <t xml:space="preserve">học sinh</t>
  </si>
  <si>
    <t xml:space="preserve">schicken</t>
  </si>
  <si>
    <t xml:space="preserve">gửi</t>
  </si>
  <si>
    <t xml:space="preserve">der Tourist</t>
  </si>
  <si>
    <t xml:space="preserve">du khách</t>
  </si>
  <si>
    <t xml:space="preserve">ihm</t>
  </si>
  <si>
    <t xml:space="preserve">anh ấy (Dativ)</t>
  </si>
  <si>
    <t xml:space="preserve">chúng tôi (Dativ)</t>
  </si>
  <si>
    <t xml:space="preserve">Bescheid sagen</t>
  </si>
  <si>
    <t xml:space="preserve">báo cho biết</t>
  </si>
  <si>
    <t xml:space="preserve">vertrauen</t>
  </si>
  <si>
    <t xml:space="preserve">tin tưởng</t>
  </si>
  <si>
    <t xml:space="preserve">das Fahrrad</t>
  </si>
  <si>
    <t xml:space="preserve">xe đạp</t>
  </si>
  <si>
    <t xml:space="preserve">die Schule</t>
  </si>
  <si>
    <t xml:space="preserve">trường học</t>
  </si>
  <si>
    <t xml:space="preserve">vom</t>
  </si>
  <si>
    <t xml:space="preserve">từ chỗ</t>
  </si>
  <si>
    <t xml:space="preserve">die Freundin</t>
  </si>
  <si>
    <t xml:space="preserve">bạn gái</t>
  </si>
  <si>
    <t xml:space="preserve">ở chỗ</t>
  </si>
  <si>
    <t xml:space="preserve">außer</t>
  </si>
  <si>
    <t xml:space="preserve">ngoài ra</t>
  </si>
  <si>
    <t xml:space="preserve">ở đó</t>
  </si>
  <si>
    <t xml:space="preserve">gegenüber</t>
  </si>
  <si>
    <t xml:space="preserve">đối diện</t>
  </si>
  <si>
    <t xml:space="preserve">das Café</t>
  </si>
  <si>
    <t xml:space="preserve">quán cà phê</t>
  </si>
  <si>
    <t xml:space="preserve">ab</t>
  </si>
  <si>
    <t xml:space="preserve">das Fitnessstudio</t>
  </si>
  <si>
    <t xml:space="preserve">phòng gym</t>
  </si>
  <si>
    <t xml:space="preserve">der Autor</t>
  </si>
  <si>
    <t xml:space="preserve">tác giả</t>
  </si>
  <si>
    <t xml:space="preserve">das Wetter</t>
  </si>
  <si>
    <t xml:space="preserve">thời tiết</t>
  </si>
  <si>
    <t xml:space="preserve">klein</t>
  </si>
  <si>
    <t xml:space="preserve">nhỏ</t>
  </si>
  <si>
    <t xml:space="preserve">das Kino</t>
  </si>
  <si>
    <t xml:space="preserve">rạp phim</t>
  </si>
  <si>
    <t xml:space="preserve">seiner</t>
  </si>
  <si>
    <t xml:space="preserve">của anh ấy (Dativ)</t>
  </si>
  <si>
    <t xml:space="preserve">der Regen</t>
  </si>
  <si>
    <t xml:space="preserve">mưa</t>
  </si>
  <si>
    <t xml:space="preserve">kühl</t>
  </si>
  <si>
    <t xml:space="preserve">mát</t>
  </si>
  <si>
    <t xml:space="preserve">der Vorschlag</t>
  </si>
  <si>
    <t xml:space="preserve">das Bild</t>
  </si>
  <si>
    <t xml:space="preserve">bức tranh</t>
  </si>
  <si>
    <t xml:space="preserve">hängen</t>
  </si>
  <si>
    <t xml:space="preserve">treo</t>
  </si>
  <si>
    <t xml:space="preserve">treo lên</t>
  </si>
  <si>
    <t xml:space="preserve">das Sofa</t>
  </si>
  <si>
    <t xml:space="preserve">ghế sô pha</t>
  </si>
  <si>
    <t xml:space="preserve">springen</t>
  </si>
  <si>
    <t xml:space="preserve">nhảy</t>
  </si>
  <si>
    <t xml:space="preserve">đi</t>
  </si>
  <si>
    <t xml:space="preserve">unter</t>
  </si>
  <si>
    <t xml:space="preserve">dưới</t>
  </si>
  <si>
    <t xml:space="preserve">stellen</t>
  </si>
  <si>
    <t xml:space="preserve">đặt đứng</t>
  </si>
  <si>
    <t xml:space="preserve">das Haus</t>
  </si>
  <si>
    <t xml:space="preserve">ngôi nhà</t>
  </si>
  <si>
    <t xml:space="preserve">hinter</t>
  </si>
  <si>
    <t xml:space="preserve">phía sau</t>
  </si>
  <si>
    <t xml:space="preserve">phía trên</t>
  </si>
  <si>
    <t xml:space="preserve">sich setzen</t>
  </si>
  <si>
    <t xml:space="preserve">ngồi xuống</t>
  </si>
  <si>
    <t xml:space="preserve">zwischen</t>
  </si>
  <si>
    <t xml:space="preserve">ở giữa</t>
  </si>
  <si>
    <t xml:space="preserve">legen</t>
  </si>
  <si>
    <t xml:space="preserve">đặt nằm</t>
  </si>
  <si>
    <t xml:space="preserve">der Schrank</t>
  </si>
  <si>
    <t xml:space="preserve">cái tủ</t>
  </si>
  <si>
    <t xml:space="preserve">der Baum</t>
  </si>
  <si>
    <t xml:space="preserve">cái cây</t>
  </si>
  <si>
    <t xml:space="preserve">das Ende</t>
  </si>
  <si>
    <t xml:space="preserve">cuối</t>
  </si>
  <si>
    <t xml:space="preserve">die Schlange</t>
  </si>
  <si>
    <t xml:space="preserve">hàng người</t>
  </si>
  <si>
    <t xml:space="preserve">gelernt</t>
  </si>
  <si>
    <t xml:space="preserve">đã học</t>
  </si>
  <si>
    <t xml:space="preserve">gelesen</t>
  </si>
  <si>
    <t xml:space="preserve">đã đọc</t>
  </si>
  <si>
    <t xml:space="preserve">gesehen</t>
  </si>
  <si>
    <t xml:space="preserve">đã xem</t>
  </si>
  <si>
    <t xml:space="preserve">geantwortet</t>
  </si>
  <si>
    <t xml:space="preserve">đã trả lời</t>
  </si>
  <si>
    <t xml:space="preserve">die Hausaufgabe</t>
  </si>
  <si>
    <t xml:space="preserve">bài tập về nhà</t>
  </si>
  <si>
    <t xml:space="preserve">gegessen</t>
  </si>
  <si>
    <t xml:space="preserve">đã ăn</t>
  </si>
  <si>
    <t xml:space="preserve">gearbeitet</t>
  </si>
  <si>
    <t xml:space="preserve">đã làm việc</t>
  </si>
  <si>
    <t xml:space="preserve">vergessen</t>
  </si>
  <si>
    <t xml:space="preserve">quên</t>
  </si>
  <si>
    <t xml:space="preserve">gesprochen</t>
  </si>
  <si>
    <t xml:space="preserve">đã nói</t>
  </si>
  <si>
    <t xml:space="preserve">gekauft</t>
  </si>
  <si>
    <t xml:space="preserve">đã mua</t>
  </si>
  <si>
    <t xml:space="preserve">die Prüfung</t>
  </si>
  <si>
    <t xml:space="preserve">kỳ thi</t>
  </si>
  <si>
    <t xml:space="preserve">bestehen</t>
  </si>
  <si>
    <t xml:space="preserve">thi đỗ</t>
  </si>
  <si>
    <t xml:space="preserve">geschlafen</t>
  </si>
  <si>
    <t xml:space="preserve">đã ngủ</t>
  </si>
  <si>
    <t xml:space="preserve">getroffen</t>
  </si>
  <si>
    <t xml:space="preserve">đã gặp</t>
  </si>
  <si>
    <t xml:space="preserve">gefeiert</t>
  </si>
  <si>
    <t xml:space="preserve">đã ăn mừng</t>
  </si>
  <si>
    <t xml:space="preserve">angerufen</t>
  </si>
  <si>
    <t xml:space="preserve">đã gọi</t>
  </si>
  <si>
    <t xml:space="preserve">bezahlt</t>
  </si>
  <si>
    <t xml:space="preserve">đã trả</t>
  </si>
  <si>
    <t xml:space="preserve">aufgeräumt</t>
  </si>
  <si>
    <t xml:space="preserve">đã dọn dẹp</t>
  </si>
  <si>
    <t xml:space="preserve">gefahren</t>
  </si>
  <si>
    <t xml:space="preserve">đã đi (xe)</t>
  </si>
  <si>
    <t xml:space="preserve">angekommen</t>
  </si>
  <si>
    <t xml:space="preserve">đã đến</t>
  </si>
  <si>
    <t xml:space="preserve">aufgestanden</t>
  </si>
  <si>
    <t xml:space="preserve">đã dậy</t>
  </si>
  <si>
    <t xml:space="preserve">geblieben</t>
  </si>
  <si>
    <t xml:space="preserve">đã ở lại</t>
  </si>
  <si>
    <t xml:space="preserve">gelaufen</t>
  </si>
  <si>
    <t xml:space="preserve">đã chạy</t>
  </si>
  <si>
    <t xml:space="preserve">passieren</t>
  </si>
  <si>
    <t xml:space="preserve">xảy ra</t>
  </si>
  <si>
    <t xml:space="preserve">geworden</t>
  </si>
  <si>
    <t xml:space="preserve">đã trở nên</t>
  </si>
  <si>
    <t xml:space="preserve">letzte</t>
  </si>
  <si>
    <t xml:space="preserve">vừa qua</t>
  </si>
  <si>
    <t xml:space="preserve">spazieren gehen</t>
  </si>
  <si>
    <t xml:space="preserve">đi dạo</t>
  </si>
  <si>
    <t xml:space="preserve">abgefahren</t>
  </si>
  <si>
    <t xml:space="preserve">đã khởi hành</t>
  </si>
  <si>
    <t xml:space="preserve">noch nie</t>
  </si>
  <si>
    <t xml:space="preserve">chưa bao giờ</t>
  </si>
  <si>
    <t xml:space="preserve">gewesen</t>
  </si>
  <si>
    <t xml:space="preserve">đã từng là</t>
  </si>
  <si>
    <t xml:space="preserve">zurückkommen</t>
  </si>
  <si>
    <t xml:space="preserve">quay lại</t>
  </si>
  <si>
    <t xml:space="preserve">fallen</t>
  </si>
  <si>
    <t xml:space="preserve">ngã</t>
  </si>
  <si>
    <t xml:space="preserve">vergehen</t>
  </si>
  <si>
    <t xml:space="preserve">trôi qua</t>
  </si>
  <si>
    <t xml:space="preserve">sterben</t>
  </si>
  <si>
    <t xml:space="preserve">chết</t>
  </si>
  <si>
    <t xml:space="preserve">gekommen</t>
  </si>
  <si>
    <t xml:space="preserve">umgezogen</t>
  </si>
  <si>
    <t xml:space="preserve">đã chuyển nhà</t>
  </si>
  <si>
    <t xml:space="preserve">einschlafen</t>
  </si>
  <si>
    <t xml:space="preserve">ngủ thiếp đi</t>
  </si>
  <si>
    <t xml:space="preserve">die Wohnung</t>
  </si>
  <si>
    <t xml:space="preserve">căn hộ</t>
  </si>
  <si>
    <t xml:space="preserve">das Zimmer</t>
  </si>
  <si>
    <t xml:space="preserve">căn phòng</t>
  </si>
  <si>
    <t xml:space="preserve">das Schlafzimmer</t>
  </si>
  <si>
    <t xml:space="preserve">phòng ngủ</t>
  </si>
  <si>
    <t xml:space="preserve">hell</t>
  </si>
  <si>
    <t xml:space="preserve">sáng</t>
  </si>
  <si>
    <t xml:space="preserve">die Miete</t>
  </si>
  <si>
    <t xml:space="preserve">tiền thuê</t>
  </si>
  <si>
    <t xml:space="preserve">lên tới</t>
  </si>
  <si>
    <t xml:space="preserve">möbliert</t>
  </si>
  <si>
    <t xml:space="preserve">có sẵn nội thất</t>
  </si>
  <si>
    <t xml:space="preserve">der Balkon</t>
  </si>
  <si>
    <t xml:space="preserve">ban công</t>
  </si>
  <si>
    <t xml:space="preserve">der Süden</t>
  </si>
  <si>
    <t xml:space="preserve">hướng nam</t>
  </si>
  <si>
    <t xml:space="preserve">der Kühlschrank</t>
  </si>
  <si>
    <t xml:space="preserve">tủ lạnh</t>
  </si>
  <si>
    <t xml:space="preserve">das Bad</t>
  </si>
  <si>
    <t xml:space="preserve">phòng tắm</t>
  </si>
  <si>
    <t xml:space="preserve">teilen</t>
  </si>
  <si>
    <t xml:space="preserve">chia sẻ</t>
  </si>
  <si>
    <t xml:space="preserve">der Vermieter</t>
  </si>
  <si>
    <t xml:space="preserve">chủ nhà</t>
  </si>
  <si>
    <t xml:space="preserve">das Erdgeschoss</t>
  </si>
  <si>
    <t xml:space="preserve">tầng trệt</t>
  </si>
  <si>
    <t xml:space="preserve">die Heizung</t>
  </si>
  <si>
    <t xml:space="preserve">lò sưởi</t>
  </si>
  <si>
    <t xml:space="preserve">reparieren</t>
  </si>
  <si>
    <t xml:space="preserve">sửa</t>
  </si>
  <si>
    <t xml:space="preserve">das Wohnzimmer</t>
  </si>
  <si>
    <t xml:space="preserve">phòng khách</t>
  </si>
  <si>
    <t xml:space="preserve">die Vase</t>
  </si>
  <si>
    <t xml:space="preserve">bình hoa</t>
  </si>
  <si>
    <t xml:space="preserve">qua</t>
  </si>
  <si>
    <t xml:space="preserve">die Nebenkosten</t>
  </si>
  <si>
    <t xml:space="preserve">chi phí phụ</t>
  </si>
  <si>
    <t xml:space="preserve">der Mietvertrag</t>
  </si>
  <si>
    <t xml:space="preserve">hợp đồng thuê</t>
  </si>
  <si>
    <t xml:space="preserve">der Keller</t>
  </si>
  <si>
    <t xml:space="preserve">tầng hầm</t>
  </si>
  <si>
    <t xml:space="preserve">die Waschmaschine</t>
  </si>
  <si>
    <t xml:space="preserve">máy giặt</t>
  </si>
  <si>
    <t xml:space="preserve">der Stock</t>
  </si>
  <si>
    <t xml:space="preserve">tầng</t>
  </si>
  <si>
    <t xml:space="preserve">dritte</t>
  </si>
  <si>
    <t xml:space="preserve">thứ ba</t>
  </si>
  <si>
    <t xml:space="preserve">zum Glück</t>
  </si>
  <si>
    <t xml:space="preserve">may thay</t>
  </si>
  <si>
    <t xml:space="preserve">der Aufzug</t>
  </si>
  <si>
    <t xml:space="preserve">thang máy</t>
  </si>
  <si>
    <t xml:space="preserve">geradeaus</t>
  </si>
  <si>
    <t xml:space="preserve">đi thẳng</t>
  </si>
  <si>
    <t xml:space="preserve">die Ampel</t>
  </si>
  <si>
    <t xml:space="preserve">đèn giao thông</t>
  </si>
  <si>
    <t xml:space="preserve">abbiegen</t>
  </si>
  <si>
    <t xml:space="preserve">rẽ</t>
  </si>
  <si>
    <t xml:space="preserve">links</t>
  </si>
  <si>
    <t xml:space="preserve">bên trái</t>
  </si>
  <si>
    <t xml:space="preserve">die Post</t>
  </si>
  <si>
    <t xml:space="preserve">bưu điện</t>
  </si>
  <si>
    <t xml:space="preserve">rechts</t>
  </si>
  <si>
    <t xml:space="preserve">bên phải</t>
  </si>
  <si>
    <t xml:space="preserve">weit</t>
  </si>
  <si>
    <t xml:space="preserve">xa</t>
  </si>
  <si>
    <t xml:space="preserve">zu Fuß</t>
  </si>
  <si>
    <t xml:space="preserve">đi bộ</t>
  </si>
  <si>
    <t xml:space="preserve">die U-Bahn</t>
  </si>
  <si>
    <t xml:space="preserve">tàu điện ngầm</t>
  </si>
  <si>
    <t xml:space="preserve">die Linie</t>
  </si>
  <si>
    <t xml:space="preserve">tuyến</t>
  </si>
  <si>
    <t xml:space="preserve">umsteigen</t>
  </si>
  <si>
    <t xml:space="preserve">đổi tàu/xe</t>
  </si>
  <si>
    <t xml:space="preserve">aussteigen</t>
  </si>
  <si>
    <t xml:space="preserve">xuống xe</t>
  </si>
  <si>
    <t xml:space="preserve">verpassen</t>
  </si>
  <si>
    <t xml:space="preserve">bỏ lỡ</t>
  </si>
  <si>
    <t xml:space="preserve">chạy</t>
  </si>
  <si>
    <t xml:space="preserve">alle</t>
  </si>
  <si>
    <t xml:space="preserve">mỗi</t>
  </si>
  <si>
    <t xml:space="preserve">die Fahrkarte</t>
  </si>
  <si>
    <t xml:space="preserve">vé xe</t>
  </si>
  <si>
    <t xml:space="preserve">hin und zurück</t>
  </si>
  <si>
    <t xml:space="preserve">khứ hồi</t>
  </si>
  <si>
    <t xml:space="preserve">die Verspätung</t>
  </si>
  <si>
    <t xml:space="preserve">sự trễ giờ</t>
  </si>
  <si>
    <t xml:space="preserve">das Taxi</t>
  </si>
  <si>
    <t xml:space="preserve">taxi</t>
  </si>
  <si>
    <t xml:space="preserve">wegen</t>
  </si>
  <si>
    <t xml:space="preserve">vì</t>
  </si>
  <si>
    <t xml:space="preserve">gesperrt</t>
  </si>
  <si>
    <t xml:space="preserve">bị chặn</t>
  </si>
  <si>
    <t xml:space="preserve">bản đồ</t>
  </si>
  <si>
    <t xml:space="preserve">sich verlaufen</t>
  </si>
  <si>
    <t xml:space="preserve">lạc đường</t>
  </si>
  <si>
    <t xml:space="preserve">sich fühlen</t>
  </si>
  <si>
    <t xml:space="preserve">cảm thấy</t>
  </si>
  <si>
    <t xml:space="preserve">die Kopfschmerzen</t>
  </si>
  <si>
    <t xml:space="preserve">đau đầu</t>
  </si>
  <si>
    <t xml:space="preserve">stark</t>
  </si>
  <si>
    <t xml:space="preserve">mạnh</t>
  </si>
  <si>
    <t xml:space="preserve">wehtun</t>
  </si>
  <si>
    <t xml:space="preserve">làm đau</t>
  </si>
  <si>
    <t xml:space="preserve">der Bauch</t>
  </si>
  <si>
    <t xml:space="preserve">bụng</t>
  </si>
  <si>
    <t xml:space="preserve">das Fieber</t>
  </si>
  <si>
    <t xml:space="preserve">cơn sốt</t>
  </si>
  <si>
    <t xml:space="preserve">die Beschwerden</t>
  </si>
  <si>
    <t xml:space="preserve">triệu chứng khó chịu</t>
  </si>
  <si>
    <t xml:space="preserve">erkältet</t>
  </si>
  <si>
    <t xml:space="preserve">bị cảm lạnh</t>
  </si>
  <si>
    <t xml:space="preserve">verschreiben</t>
  </si>
  <si>
    <t xml:space="preserve">kê đơn</t>
  </si>
  <si>
    <t xml:space="preserve">das Medikament</t>
  </si>
  <si>
    <t xml:space="preserve">thuốc</t>
  </si>
  <si>
    <t xml:space="preserve">die Tablette</t>
  </si>
  <si>
    <t xml:space="preserve">viên thuốc</t>
  </si>
  <si>
    <t xml:space="preserve">täglich</t>
  </si>
  <si>
    <t xml:space="preserve">hằng ngày</t>
  </si>
  <si>
    <t xml:space="preserve">der Zahnarzt</t>
  </si>
  <si>
    <t xml:space="preserve">nha sĩ</t>
  </si>
  <si>
    <t xml:space="preserve">die Versicherung</t>
  </si>
  <si>
    <t xml:space="preserve">bảo hiểm</t>
  </si>
  <si>
    <t xml:space="preserve">ein paar</t>
  </si>
  <si>
    <t xml:space="preserve">vài</t>
  </si>
  <si>
    <t xml:space="preserve">der Pollen</t>
  </si>
  <si>
    <t xml:space="preserve">phấn hoa</t>
  </si>
  <si>
    <t xml:space="preserve">der Rücken</t>
  </si>
  <si>
    <t xml:space="preserve">lưng</t>
  </si>
  <si>
    <t xml:space="preserve">gesund</t>
  </si>
  <si>
    <t xml:space="preserve">khỏe mạnh</t>
  </si>
  <si>
    <t xml:space="preserve">werden</t>
  </si>
  <si>
    <t xml:space="preserve">trở nên</t>
  </si>
  <si>
    <t xml:space="preserve">die Besserung</t>
  </si>
  <si>
    <t xml:space="preserve">sự hồi phục</t>
  </si>
  <si>
    <t xml:space="preserve">sich verletzen</t>
  </si>
  <si>
    <t xml:space="preserve">bị thương</t>
  </si>
  <si>
    <t xml:space="preserve">wunderschön</t>
  </si>
  <si>
    <t xml:space="preserve">tuyệt đẹp</t>
  </si>
  <si>
    <t xml:space="preserve">regnen</t>
  </si>
  <si>
    <t xml:space="preserve">schneien</t>
  </si>
  <si>
    <t xml:space="preserve">có tuyết</t>
  </si>
  <si>
    <t xml:space="preserve">der Sommer</t>
  </si>
  <si>
    <t xml:space="preserve">mùa hè</t>
  </si>
  <si>
    <t xml:space="preserve">lang</t>
  </si>
  <si>
    <t xml:space="preserve">dài</t>
  </si>
  <si>
    <t xml:space="preserve">der Frühling</t>
  </si>
  <si>
    <t xml:space="preserve">mùa xuân</t>
  </si>
  <si>
    <t xml:space="preserve">die Blume</t>
  </si>
  <si>
    <t xml:space="preserve">bông hoa</t>
  </si>
  <si>
    <t xml:space="preserve">der Herbst</t>
  </si>
  <si>
    <t xml:space="preserve">mùa thu</t>
  </si>
  <si>
    <t xml:space="preserve">die Jahreszeit</t>
  </si>
  <si>
    <t xml:space="preserve">mùa</t>
  </si>
  <si>
    <t xml:space="preserve">windig</t>
  </si>
  <si>
    <t xml:space="preserve">có gió</t>
  </si>
  <si>
    <t xml:space="preserve">draußen</t>
  </si>
  <si>
    <t xml:space="preserve">bên ngoài</t>
  </si>
  <si>
    <t xml:space="preserve">der Regenschirm</t>
  </si>
  <si>
    <t xml:space="preserve">cái ô</t>
  </si>
  <si>
    <t xml:space="preserve">die Sonne</t>
  </si>
  <si>
    <t xml:space="preserve">mặt trời</t>
  </si>
  <si>
    <t xml:space="preserve">scheinen</t>
  </si>
  <si>
    <t xml:space="preserve">chiếu sáng</t>
  </si>
  <si>
    <t xml:space="preserve">der Grad</t>
  </si>
  <si>
    <t xml:space="preserve">độ</t>
  </si>
  <si>
    <t xml:space="preserve">drinnen</t>
  </si>
  <si>
    <t xml:space="preserve">bên trong</t>
  </si>
  <si>
    <t xml:space="preserve">der Himmel</t>
  </si>
  <si>
    <t xml:space="preserve">bầu trời</t>
  </si>
  <si>
    <t xml:space="preserve">geregnet</t>
  </si>
  <si>
    <t xml:space="preserve">đã mưa</t>
  </si>
  <si>
    <t xml:space="preserve">der August</t>
  </si>
  <si>
    <t xml:space="preserve">tháng Tám</t>
  </si>
  <si>
    <t xml:space="preserve">das Meer</t>
  </si>
  <si>
    <t xml:space="preserve">biển</t>
  </si>
  <si>
    <t xml:space="preserve">dunkel</t>
  </si>
  <si>
    <t xml:space="preserve">tối</t>
  </si>
  <si>
    <t xml:space="preserve">eigentlich</t>
  </si>
  <si>
    <t xml:space="preserve">thật ra</t>
  </si>
  <si>
    <t xml:space="preserve">der Sturm</t>
  </si>
  <si>
    <t xml:space="preserve">bão</t>
  </si>
  <si>
    <t xml:space="preserve">ausfallen</t>
  </si>
  <si>
    <t xml:space="preserve">bị hủy</t>
  </si>
  <si>
    <t xml:space="preserve">der Flug</t>
  </si>
  <si>
    <t xml:space="preserve">chuyến bay</t>
  </si>
  <si>
    <t xml:space="preserve">die Freizeit</t>
  </si>
  <si>
    <t xml:space="preserve">thời gian rảnh</t>
  </si>
  <si>
    <t xml:space="preserve">der Roman</t>
  </si>
  <si>
    <t xml:space="preserve">tiểu thuyết</t>
  </si>
  <si>
    <t xml:space="preserve">klassisch</t>
  </si>
  <si>
    <t xml:space="preserve">cổ điển</t>
  </si>
  <si>
    <t xml:space="preserve">die Gitarre</t>
  </si>
  <si>
    <t xml:space="preserve">đàn guitar</t>
  </si>
  <si>
    <t xml:space="preserve">das Schwimmbad</t>
  </si>
  <si>
    <t xml:space="preserve">bể bơi</t>
  </si>
  <si>
    <t xml:space="preserve">die Lust</t>
  </si>
  <si>
    <t xml:space="preserve">hứng thú</t>
  </si>
  <si>
    <t xml:space="preserve">die Geschichte</t>
  </si>
  <si>
    <t xml:space="preserve">lịch sử</t>
  </si>
  <si>
    <t xml:space="preserve">sich treffen</t>
  </si>
  <si>
    <t xml:space="preserve">gặp nhau</t>
  </si>
  <si>
    <t xml:space="preserve">tanzen</t>
  </si>
  <si>
    <t xml:space="preserve">nhảy múa</t>
  </si>
  <si>
    <t xml:space="preserve">das Hobby</t>
  </si>
  <si>
    <t xml:space="preserve">sở thích</t>
  </si>
  <si>
    <t xml:space="preserve">die Serie</t>
  </si>
  <si>
    <t xml:space="preserve">phim bộ</t>
  </si>
  <si>
    <t xml:space="preserve">schauen</t>
  </si>
  <si>
    <t xml:space="preserve">xem</t>
  </si>
  <si>
    <t xml:space="preserve">leidenschaftlich</t>
  </si>
  <si>
    <t xml:space="preserve">đầy đam mê</t>
  </si>
  <si>
    <t xml:space="preserve">lá bài</t>
  </si>
  <si>
    <t xml:space="preserve">die Schallplatte</t>
  </si>
  <si>
    <t xml:space="preserve">đĩa than</t>
  </si>
  <si>
    <t xml:space="preserve">joggen</t>
  </si>
  <si>
    <t xml:space="preserve">chạy bộ</t>
  </si>
  <si>
    <t xml:space="preserve">das Museum</t>
  </si>
  <si>
    <t xml:space="preserve">bảo tàng</t>
  </si>
  <si>
    <t xml:space="preserve">hứng</t>
  </si>
  <si>
    <t xml:space="preserve">sich entspannen</t>
  </si>
  <si>
    <t xml:space="preserve">thư giãn</t>
  </si>
  <si>
    <t xml:space="preserve">der Dienstag</t>
  </si>
  <si>
    <t xml:space="preserve">thứ Ba</t>
  </si>
  <si>
    <t xml:space="preserve">tiện/hợp</t>
  </si>
  <si>
    <t xml:space="preserve">der Donnerstag</t>
  </si>
  <si>
    <t xml:space="preserve">thứ Năm</t>
  </si>
  <si>
    <t xml:space="preserve">klingen</t>
  </si>
  <si>
    <t xml:space="preserve">nghe có vẻ</t>
  </si>
  <si>
    <t xml:space="preserve">verschieben</t>
  </si>
  <si>
    <t xml:space="preserve">dời lại</t>
  </si>
  <si>
    <t xml:space="preserve">báo tin</t>
  </si>
  <si>
    <t xml:space="preserve">der Punkt</t>
  </si>
  <si>
    <t xml:space="preserve">điểm/đúng</t>
  </si>
  <si>
    <t xml:space="preserve">sich irren</t>
  </si>
  <si>
    <t xml:space="preserve">nhầm</t>
  </si>
  <si>
    <t xml:space="preserve">das Datum</t>
  </si>
  <si>
    <t xml:space="preserve">ngày tháng</t>
  </si>
  <si>
    <t xml:space="preserve">wenn</t>
  </si>
  <si>
    <t xml:space="preserve">khi/nếu</t>
  </si>
  <si>
    <t xml:space="preserve">verlegen</t>
  </si>
  <si>
    <t xml:space="preserve">dời</t>
  </si>
  <si>
    <t xml:space="preserve">bị/được</t>
  </si>
  <si>
    <t xml:space="preserve">sich freuen auf</t>
  </si>
  <si>
    <t xml:space="preserve">mong chờ</t>
  </si>
  <si>
    <t xml:space="preserve">lassen</t>
  </si>
  <si>
    <t xml:space="preserve">để/hãy</t>
  </si>
  <si>
    <t xml:space="preserve">absagen</t>
  </si>
  <si>
    <t xml:space="preserve">hủy</t>
  </si>
  <si>
    <t xml:space="preserve">nächste Woche</t>
  </si>
  <si>
    <t xml:space="preserve">tuần sau</t>
  </si>
  <si>
    <t xml:space="preserve">bis dann</t>
  </si>
  <si>
    <t xml:space="preserve">hẹn gặp khi đó</t>
  </si>
  <si>
    <t xml:space="preserve">dass</t>
  </si>
  <si>
    <t xml:space="preserve">rằng</t>
  </si>
  <si>
    <t xml:space="preserve">vui mừng</t>
  </si>
  <si>
    <t xml:space="preserve">hoffen</t>
  </si>
  <si>
    <t xml:space="preserve">hy vọng</t>
  </si>
  <si>
    <t xml:space="preserve">regelmäßig</t>
  </si>
  <si>
    <t xml:space="preserve">đều đặn</t>
  </si>
  <si>
    <t xml:space="preserve">schaffen</t>
  </si>
  <si>
    <t xml:space="preserve">làm được</t>
  </si>
  <si>
    <t xml:space="preserve">meinen</t>
  </si>
  <si>
    <t xml:space="preserve">cho rằng</t>
  </si>
  <si>
    <t xml:space="preserve">sich schonen</t>
  </si>
  <si>
    <t xml:space="preserve">giữ sức</t>
  </si>
  <si>
    <t xml:space="preserve">zu spät</t>
  </si>
  <si>
    <t xml:space="preserve">quá muộn</t>
  </si>
  <si>
    <t xml:space="preserve">verboten</t>
  </si>
  <si>
    <t xml:space="preserve">bị cấm</t>
  </si>
  <si>
    <t xml:space="preserve">die Lage</t>
  </si>
  <si>
    <t xml:space="preserve">tình hình</t>
  </si>
  <si>
    <t xml:space="preserve">auffallen</t>
  </si>
  <si>
    <t xml:space="preserve">gây chú ý</t>
  </si>
  <si>
    <t xml:space="preserve">der Fall</t>
  </si>
  <si>
    <t xml:space="preserve">cách (ngữ pháp)</t>
  </si>
  <si>
    <t xml:space="preserve">schwierig</t>
  </si>
  <si>
    <t xml:space="preserve">sich bewerben</t>
  </si>
  <si>
    <t xml:space="preserve">nộp đơn</t>
  </si>
  <si>
    <t xml:space="preserve">der Feiertag</t>
  </si>
  <si>
    <t xml:space="preserve">ngày lễ</t>
  </si>
  <si>
    <t xml:space="preserve">ärgern</t>
  </si>
  <si>
    <t xml:space="preserve">làm bực</t>
  </si>
  <si>
    <t xml:space="preserve">bezweifeln</t>
  </si>
  <si>
    <t xml:space="preserve">nghi ngờ</t>
  </si>
  <si>
    <t xml:space="preserve">funktionieren</t>
  </si>
  <si>
    <t xml:space="preserve">hoạt động</t>
  </si>
  <si>
    <t xml:space="preserve">wundern</t>
  </si>
  <si>
    <t xml:space="preserve">làm ngạc nhiên</t>
  </si>
  <si>
    <t xml:space="preserve">klappen</t>
  </si>
  <si>
    <t xml:space="preserve">suôn sẻ</t>
  </si>
  <si>
    <t xml:space="preserve">daran denken</t>
  </si>
  <si>
    <t xml:space="preserve">nhớ đến</t>
  </si>
  <si>
    <t xml:space="preserve">vì (trang trọng hơn weil)</t>
  </si>
  <si>
    <t xml:space="preserve">obwohl</t>
  </si>
  <si>
    <t xml:space="preserve">mặc dù</t>
  </si>
  <si>
    <t xml:space="preserve">weiterarbeiten</t>
  </si>
  <si>
    <t xml:space="preserve">làm tiếp</t>
  </si>
  <si>
    <t xml:space="preserve">denn</t>
  </si>
  <si>
    <t xml:space="preserve">mitkommen</t>
  </si>
  <si>
    <t xml:space="preserve">đi cùng</t>
  </si>
  <si>
    <t xml:space="preserve">trotzdem</t>
  </si>
  <si>
    <t xml:space="preserve">dù vậy</t>
  </si>
  <si>
    <t xml:space="preserve">aufgrund</t>
  </si>
  <si>
    <t xml:space="preserve">do</t>
  </si>
  <si>
    <t xml:space="preserve">die Nachfrage</t>
  </si>
  <si>
    <t xml:space="preserve">nhu cầu</t>
  </si>
  <si>
    <t xml:space="preserve">dazwischenkommen</t>
  </si>
  <si>
    <t xml:space="preserve">xen vào bất ngờ</t>
  </si>
  <si>
    <t xml:space="preserve">versprechen</t>
  </si>
  <si>
    <t xml:space="preserve">hứa</t>
  </si>
  <si>
    <t xml:space="preserve">der Einwand</t>
  </si>
  <si>
    <t xml:space="preserve">ý kiến phản đối</t>
  </si>
  <si>
    <t xml:space="preserve">unhöflich</t>
  </si>
  <si>
    <t xml:space="preserve">bất lịch sự</t>
  </si>
  <si>
    <t xml:space="preserve">dank</t>
  </si>
  <si>
    <t xml:space="preserve">nhờ</t>
  </si>
  <si>
    <t xml:space="preserve">trotz</t>
  </si>
  <si>
    <t xml:space="preserve">bất chấp</t>
  </si>
  <si>
    <t xml:space="preserve">das Rad</t>
  </si>
  <si>
    <t xml:space="preserve">schweigen</t>
  </si>
  <si>
    <t xml:space="preserve">im lặng</t>
  </si>
  <si>
    <t xml:space="preserve">die Wahrheit</t>
  </si>
  <si>
    <t xml:space="preserve">sự thật</t>
  </si>
  <si>
    <t xml:space="preserve">ablehnen</t>
  </si>
  <si>
    <t xml:space="preserve">từ chối</t>
  </si>
  <si>
    <t xml:space="preserve">unfair</t>
  </si>
  <si>
    <t xml:space="preserve">không công bằng</t>
  </si>
  <si>
    <t xml:space="preserve">deshalb</t>
  </si>
  <si>
    <t xml:space="preserve">vì vậy</t>
  </si>
  <si>
    <t xml:space="preserve">die Lösung</t>
  </si>
  <si>
    <t xml:space="preserve">giải pháp</t>
  </si>
  <si>
    <t xml:space="preserve">khi (quá khứ)</t>
  </si>
  <si>
    <t xml:space="preserve">beschäftigt</t>
  </si>
  <si>
    <t xml:space="preserve">bận</t>
  </si>
  <si>
    <t xml:space="preserve">während</t>
  </si>
  <si>
    <t xml:space="preserve">trong khi</t>
  </si>
  <si>
    <t xml:space="preserve">bevor</t>
  </si>
  <si>
    <t xml:space="preserve">trước khi</t>
  </si>
  <si>
    <t xml:space="preserve">ausmachen</t>
  </si>
  <si>
    <t xml:space="preserve">tắt</t>
  </si>
  <si>
    <t xml:space="preserve">nachdem</t>
  </si>
  <si>
    <t xml:space="preserve">sau khi</t>
  </si>
  <si>
    <t xml:space="preserve">seitdem</t>
  </si>
  <si>
    <t xml:space="preserve">selten</t>
  </si>
  <si>
    <t xml:space="preserve">hiếm khi</t>
  </si>
  <si>
    <t xml:space="preserve">cho đến khi</t>
  </si>
  <si>
    <t xml:space="preserve">sobald</t>
  </si>
  <si>
    <t xml:space="preserve">ngay khi</t>
  </si>
  <si>
    <t xml:space="preserve">solange</t>
  </si>
  <si>
    <t xml:space="preserve">chừng nào</t>
  </si>
  <si>
    <t xml:space="preserve">fertig</t>
  </si>
  <si>
    <t xml:space="preserve">xong</t>
  </si>
  <si>
    <t xml:space="preserve">der Vertrag</t>
  </si>
  <si>
    <t xml:space="preserve">hợp đồng</t>
  </si>
  <si>
    <t xml:space="preserve">jedes Mal</t>
  </si>
  <si>
    <t xml:space="preserve">mỗi lần</t>
  </si>
  <si>
    <t xml:space="preserve">hereinkommen</t>
  </si>
  <si>
    <t xml:space="preserve">đi vào</t>
  </si>
  <si>
    <t xml:space="preserve">bereisen</t>
  </si>
  <si>
    <t xml:space="preserve">đi khắp</t>
  </si>
  <si>
    <t xml:space="preserve">still</t>
  </si>
  <si>
    <t xml:space="preserve">yên tĩnh</t>
  </si>
  <si>
    <t xml:space="preserve">spannend</t>
  </si>
  <si>
    <t xml:space="preserve">hấp dẫn</t>
  </si>
  <si>
    <t xml:space="preserve">die Leute</t>
  </si>
  <si>
    <t xml:space="preserve">mọi người</t>
  </si>
  <si>
    <t xml:space="preserve">jemand</t>
  </si>
  <si>
    <t xml:space="preserve">ai đó</t>
  </si>
  <si>
    <t xml:space="preserve">giới thiệu</t>
  </si>
  <si>
    <t xml:space="preserve">theo học</t>
  </si>
  <si>
    <t xml:space="preserve">điều gì đó</t>
  </si>
  <si>
    <t xml:space="preserve">tàu</t>
  </si>
  <si>
    <t xml:space="preserve">die Kollegin</t>
  </si>
  <si>
    <t xml:space="preserve">nữ đồng nghiệp</t>
  </si>
  <si>
    <t xml:space="preserve">lösen</t>
  </si>
  <si>
    <t xml:space="preserve">giải quyết</t>
  </si>
  <si>
    <t xml:space="preserve">der Wortschatz</t>
  </si>
  <si>
    <t xml:space="preserve">vốn từ</t>
  </si>
  <si>
    <t xml:space="preserve">die Ausdauer</t>
  </si>
  <si>
    <t xml:space="preserve">sự bền bỉ</t>
  </si>
  <si>
    <t xml:space="preserve">zählen</t>
  </si>
  <si>
    <t xml:space="preserve">có giá trị</t>
  </si>
  <si>
    <t xml:space="preserve">der Artikel</t>
  </si>
  <si>
    <t xml:space="preserve">bài báo</t>
  </si>
  <si>
    <t xml:space="preserve">kritisch</t>
  </si>
  <si>
    <t xml:space="preserve">phê phán</t>
  </si>
  <si>
    <t xml:space="preserve">flexibel</t>
  </si>
  <si>
    <t xml:space="preserve">linh hoạt</t>
  </si>
  <si>
    <t xml:space="preserve">das Gefühl</t>
  </si>
  <si>
    <t xml:space="preserve">cảm giác</t>
  </si>
  <si>
    <t xml:space="preserve">seltsam</t>
  </si>
  <si>
    <t xml:space="preserve">kỳ lạ</t>
  </si>
  <si>
    <t xml:space="preserve">nebenan</t>
  </si>
  <si>
    <t xml:space="preserve">sát bên</t>
  </si>
  <si>
    <t xml:space="preserve">verloren</t>
  </si>
  <si>
    <t xml:space="preserve">bị lạc</t>
  </si>
  <si>
    <t xml:space="preserve">dessen</t>
  </si>
  <si>
    <t xml:space="preserve">mà ... của người đó</t>
  </si>
  <si>
    <t xml:space="preserve">deren</t>
  </si>
  <si>
    <t xml:space="preserve">mà ... của nó</t>
  </si>
  <si>
    <t xml:space="preserve">aufwachsen</t>
  </si>
  <si>
    <t xml:space="preserve">lớn lên</t>
  </si>
  <si>
    <t xml:space="preserve">anspruchsvoll</t>
  </si>
  <si>
    <t xml:space="preserve">đòi hỏi cao</t>
  </si>
  <si>
    <t xml:space="preserve">sprechen mit</t>
  </si>
  <si>
    <t xml:space="preserve">nói chuyện với</t>
  </si>
  <si>
    <t xml:space="preserve">diskutieren</t>
  </si>
  <si>
    <t xml:space="preserve">thảo luận</t>
  </si>
  <si>
    <t xml:space="preserve">komplex</t>
  </si>
  <si>
    <t xml:space="preserve">phức tạp</t>
  </si>
  <si>
    <t xml:space="preserve">der Grund</t>
  </si>
  <si>
    <t xml:space="preserve">lý do</t>
  </si>
  <si>
    <t xml:space="preserve">unklar</t>
  </si>
  <si>
    <t xml:space="preserve">không rõ</t>
  </si>
  <si>
    <t xml:space="preserve">unsicher</t>
  </si>
  <si>
    <t xml:space="preserve">bất định</t>
  </si>
  <si>
    <t xml:space="preserve">ankommen auf</t>
  </si>
  <si>
    <t xml:space="preserve">phụ thuộc vào</t>
  </si>
  <si>
    <t xml:space="preserve">das Projekt</t>
  </si>
  <si>
    <t xml:space="preserve">dự án</t>
  </si>
  <si>
    <t xml:space="preserve">veraltet</t>
  </si>
  <si>
    <t xml:space="preserve">lỗi thời</t>
  </si>
  <si>
    <t xml:space="preserve">vertraulich</t>
  </si>
  <si>
    <t xml:space="preserve">bảo mật</t>
  </si>
  <si>
    <t xml:space="preserve">ging</t>
  </si>
  <si>
    <t xml:space="preserve">đã đi</t>
  </si>
  <si>
    <t xml:space="preserve">damals</t>
  </si>
  <si>
    <t xml:space="preserve">hồi đó</t>
  </si>
  <si>
    <t xml:space="preserve">überrascht</t>
  </si>
  <si>
    <t xml:space="preserve">ngạc nhiên</t>
  </si>
  <si>
    <t xml:space="preserve">der Krieg</t>
  </si>
  <si>
    <t xml:space="preserve">chiến tranh</t>
  </si>
  <si>
    <t xml:space="preserve">nahm</t>
  </si>
  <si>
    <t xml:space="preserve">đã cầm</t>
  </si>
  <si>
    <t xml:space="preserve">las</t>
  </si>
  <si>
    <t xml:space="preserve">schrieb</t>
  </si>
  <si>
    <t xml:space="preserve">đã viết</t>
  </si>
  <si>
    <t xml:space="preserve">hinfallen</t>
  </si>
  <si>
    <t xml:space="preserve">erreichen</t>
  </si>
  <si>
    <t xml:space="preserve">liên lạc được</t>
  </si>
  <si>
    <t xml:space="preserve">es gab</t>
  </si>
  <si>
    <t xml:space="preserve">đã có</t>
  </si>
  <si>
    <t xml:space="preserve">gründen</t>
  </si>
  <si>
    <t xml:space="preserve">thành lập</t>
  </si>
  <si>
    <t xml:space="preserve">der Schluss</t>
  </si>
  <si>
    <t xml:space="preserve">kết thúc</t>
  </si>
  <si>
    <t xml:space="preserve">leise</t>
  </si>
  <si>
    <t xml:space="preserve">khẽ</t>
  </si>
  <si>
    <t xml:space="preserve">damit</t>
  </si>
  <si>
    <t xml:space="preserve">để</t>
  </si>
  <si>
    <t xml:space="preserve">das Fest</t>
  </si>
  <si>
    <t xml:space="preserve">lễ hội</t>
  </si>
  <si>
    <t xml:space="preserve">dachte</t>
  </si>
  <si>
    <t xml:space="preserve">đã nghĩ</t>
  </si>
  <si>
    <t xml:space="preserve">das Studium</t>
  </si>
  <si>
    <t xml:space="preserve">việc học đại học</t>
  </si>
  <si>
    <t xml:space="preserve">die Situation</t>
  </si>
  <si>
    <t xml:space="preserve">tình huống</t>
  </si>
  <si>
    <t xml:space="preserve">hatte gegessen</t>
  </si>
  <si>
    <t xml:space="preserve">đã ăn rồi</t>
  </si>
  <si>
    <t xml:space="preserve">hineinkommen</t>
  </si>
  <si>
    <t xml:space="preserve">vào được</t>
  </si>
  <si>
    <t xml:space="preserve">der Schnee</t>
  </si>
  <si>
    <t xml:space="preserve">tuyết</t>
  </si>
  <si>
    <t xml:space="preserve">zu Ende</t>
  </si>
  <si>
    <t xml:space="preserve">sparen</t>
  </si>
  <si>
    <t xml:space="preserve">tiết kiệm</t>
  </si>
  <si>
    <t xml:space="preserve">heiraten</t>
  </si>
  <si>
    <t xml:space="preserve">cưới</t>
  </si>
  <si>
    <t xml:space="preserve">abreisen</t>
  </si>
  <si>
    <t xml:space="preserve">lên đường</t>
  </si>
  <si>
    <t xml:space="preserve">der Dieb</t>
  </si>
  <si>
    <t xml:space="preserve">tên trộm</t>
  </si>
  <si>
    <t xml:space="preserve">verschwinden</t>
  </si>
  <si>
    <t xml:space="preserve">biến mất</t>
  </si>
  <si>
    <t xml:space="preserve">nass</t>
  </si>
  <si>
    <t xml:space="preserve">ướt</t>
  </si>
  <si>
    <t xml:space="preserve">erleben</t>
  </si>
  <si>
    <t xml:space="preserve">trải qua</t>
  </si>
  <si>
    <t xml:space="preserve">nghỉ việc</t>
  </si>
  <si>
    <t xml:space="preserve">sofort</t>
  </si>
  <si>
    <t xml:space="preserve">ngay</t>
  </si>
  <si>
    <t xml:space="preserve">jahrelang</t>
  </si>
  <si>
    <t xml:space="preserve">nhiều năm liền</t>
  </si>
  <si>
    <t xml:space="preserve">von selbst</t>
  </si>
  <si>
    <t xml:space="preserve">tự nó</t>
  </si>
  <si>
    <t xml:space="preserve">behaupten</t>
  </si>
  <si>
    <t xml:space="preserve">khẳng định</t>
  </si>
  <si>
    <t xml:space="preserve">deutlich</t>
  </si>
  <si>
    <t xml:space="preserve">rõ rệt</t>
  </si>
  <si>
    <t xml:space="preserve">niedrig</t>
  </si>
  <si>
    <t xml:space="preserve">thấp</t>
  </si>
  <si>
    <t xml:space="preserve">merken</t>
  </si>
  <si>
    <t xml:space="preserve">nhận ra</t>
  </si>
  <si>
    <t xml:space="preserve">bereits</t>
  </si>
  <si>
    <t xml:space="preserve">đã</t>
  </si>
  <si>
    <t xml:space="preserve">sẽ</t>
  </si>
  <si>
    <t xml:space="preserve">sắp</t>
  </si>
  <si>
    <t xml:space="preserve">der Stau</t>
  </si>
  <si>
    <t xml:space="preserve">kẹt xe</t>
  </si>
  <si>
    <t xml:space="preserve">wohl</t>
  </si>
  <si>
    <t xml:space="preserve">chắc là</t>
  </si>
  <si>
    <t xml:space="preserve">abschließen</t>
  </si>
  <si>
    <t xml:space="preserve">hoàn tất</t>
  </si>
  <si>
    <t xml:space="preserve">rechtzeitig</t>
  </si>
  <si>
    <t xml:space="preserve">đúng hạn</t>
  </si>
  <si>
    <t xml:space="preserve">bereuen</t>
  </si>
  <si>
    <t xml:space="preserve">hối hận</t>
  </si>
  <si>
    <t xml:space="preserve">wahrscheinlich</t>
  </si>
  <si>
    <t xml:space="preserve">nhiều khả năng</t>
  </si>
  <si>
    <t xml:space="preserve">enttäuschen</t>
  </si>
  <si>
    <t xml:space="preserve">làm thất vọng</t>
  </si>
  <si>
    <t xml:space="preserve">sich verändern</t>
  </si>
  <si>
    <t xml:space="preserve">thay đổi</t>
  </si>
  <si>
    <t xml:space="preserve">der Abschluss</t>
  </si>
  <si>
    <t xml:space="preserve">bằng tốt nghiệp</t>
  </si>
  <si>
    <t xml:space="preserve">dịu đi</t>
  </si>
  <si>
    <t xml:space="preserve">sich überlegen</t>
  </si>
  <si>
    <t xml:space="preserve">cân nhắc</t>
  </si>
  <si>
    <t xml:space="preserve">thấy</t>
  </si>
  <si>
    <t xml:space="preserve">vermutlich</t>
  </si>
  <si>
    <t xml:space="preserve">có lẽ</t>
  </si>
  <si>
    <t xml:space="preserve">wiedersehen</t>
  </si>
  <si>
    <t xml:space="preserve">gặp lại</t>
  </si>
  <si>
    <t xml:space="preserve">fließend</t>
  </si>
  <si>
    <t xml:space="preserve">trôi chảy</t>
  </si>
  <si>
    <t xml:space="preserve">die Stelle</t>
  </si>
  <si>
    <t xml:space="preserve">vị trí việc làm</t>
  </si>
  <si>
    <t xml:space="preserve">ob</t>
  </si>
  <si>
    <t xml:space="preserve">liệu</t>
  </si>
  <si>
    <t xml:space="preserve">sich zeigen</t>
  </si>
  <si>
    <t xml:space="preserve">sẽ lộ ra</t>
  </si>
  <si>
    <t xml:space="preserve">unterschreiben</t>
  </si>
  <si>
    <t xml:space="preserve">zustellen</t>
  </si>
  <si>
    <t xml:space="preserve">giao hàng</t>
  </si>
  <si>
    <t xml:space="preserve">eine Entscheidung treffen</t>
  </si>
  <si>
    <t xml:space="preserve">ra quyết định</t>
  </si>
  <si>
    <t xml:space="preserve">informieren</t>
  </si>
  <si>
    <t xml:space="preserve">thông báo</t>
  </si>
  <si>
    <t xml:space="preserve">ausfüllen</t>
  </si>
  <si>
    <t xml:space="preserve">điền</t>
  </si>
  <si>
    <t xml:space="preserve">das Formular</t>
  </si>
  <si>
    <t xml:space="preserve">biểu mẫu</t>
  </si>
  <si>
    <t xml:space="preserve">die Daten</t>
  </si>
  <si>
    <t xml:space="preserve">dữ liệu</t>
  </si>
  <si>
    <t xml:space="preserve">das Erdbeben</t>
  </si>
  <si>
    <t xml:space="preserve">động đất</t>
  </si>
  <si>
    <t xml:space="preserve">beschädigen</t>
  </si>
  <si>
    <t xml:space="preserve">làm hỏng</t>
  </si>
  <si>
    <t xml:space="preserve">diskutieren über</t>
  </si>
  <si>
    <t xml:space="preserve">bàn về</t>
  </si>
  <si>
    <t xml:space="preserve">anbieten</t>
  </si>
  <si>
    <t xml:space="preserve">cung cấp</t>
  </si>
  <si>
    <t xml:space="preserve">bestätigen</t>
  </si>
  <si>
    <t xml:space="preserve">xác nhận</t>
  </si>
  <si>
    <t xml:space="preserve">benutzen</t>
  </si>
  <si>
    <t xml:space="preserve">sử dụng</t>
  </si>
  <si>
    <t xml:space="preserve">die Kosten</t>
  </si>
  <si>
    <t xml:space="preserve">chi phí</t>
  </si>
  <si>
    <t xml:space="preserve">übernehmen</t>
  </si>
  <si>
    <t xml:space="preserve">gánh</t>
  </si>
  <si>
    <t xml:space="preserve">buchen</t>
  </si>
  <si>
    <t xml:space="preserve">đặt chỗ</t>
  </si>
  <si>
    <t xml:space="preserve">veröffentlichen</t>
  </si>
  <si>
    <t xml:space="preserve">công bố</t>
  </si>
  <si>
    <t xml:space="preserve">das Ergebnis</t>
  </si>
  <si>
    <t xml:space="preserve">kết quả</t>
  </si>
  <si>
    <t xml:space="preserve">bauen</t>
  </si>
  <si>
    <t xml:space="preserve">xây</t>
  </si>
  <si>
    <t xml:space="preserve">abschicken</t>
  </si>
  <si>
    <t xml:space="preserve">gửi đi</t>
  </si>
  <si>
    <t xml:space="preserve">das Gesetz</t>
  </si>
  <si>
    <t xml:space="preserve">đạo luật</t>
  </si>
  <si>
    <t xml:space="preserve">verabschieden</t>
  </si>
  <si>
    <t xml:space="preserve">thông qua</t>
  </si>
  <si>
    <t xml:space="preserve">putzen</t>
  </si>
  <si>
    <t xml:space="preserve">lau</t>
  </si>
  <si>
    <t xml:space="preserve">beantworten</t>
  </si>
  <si>
    <t xml:space="preserve">rửa</t>
  </si>
  <si>
    <t xml:space="preserve">besetzen</t>
  </si>
  <si>
    <t xml:space="preserve">lấp chỗ</t>
  </si>
  <si>
    <t xml:space="preserve">der Patient</t>
  </si>
  <si>
    <t xml:space="preserve">bệnh nhân</t>
  </si>
  <si>
    <t xml:space="preserve">missverstehen</t>
  </si>
  <si>
    <t xml:space="preserve">hiểu sai</t>
  </si>
  <si>
    <t xml:space="preserve">formulieren</t>
  </si>
  <si>
    <t xml:space="preserve">diễn đạt</t>
  </si>
  <si>
    <t xml:space="preserve">stehlen</t>
  </si>
  <si>
    <t xml:space="preserve">trộm</t>
  </si>
  <si>
    <t xml:space="preserve">bekannt geben</t>
  </si>
  <si>
    <t xml:space="preserve">beschließen</t>
  </si>
  <si>
    <t xml:space="preserve">vermieten</t>
  </si>
  <si>
    <t xml:space="preserve">cho thuê</t>
  </si>
  <si>
    <t xml:space="preserve">der Antrag</t>
  </si>
  <si>
    <t xml:space="preserve">đơn</t>
  </si>
  <si>
    <t xml:space="preserve">prüfen</t>
  </si>
  <si>
    <t xml:space="preserve">xét</t>
  </si>
  <si>
    <t xml:space="preserve">der Unfall</t>
  </si>
  <si>
    <t xml:space="preserve">tai nạn</t>
  </si>
  <si>
    <t xml:space="preserve">behandeln</t>
  </si>
  <si>
    <t xml:space="preserve">chữa trị</t>
  </si>
  <si>
    <t xml:space="preserve">installieren</t>
  </si>
  <si>
    <t xml:space="preserve">cài đặt</t>
  </si>
  <si>
    <t xml:space="preserve">hätte</t>
  </si>
  <si>
    <t xml:space="preserve">sẽ có</t>
  </si>
  <si>
    <t xml:space="preserve">würde</t>
  </si>
  <si>
    <t xml:space="preserve">wäre</t>
  </si>
  <si>
    <t xml:space="preserve">sẽ là</t>
  </si>
  <si>
    <t xml:space="preserve">vị trí</t>
  </si>
  <si>
    <t xml:space="preserve">gewusst</t>
  </si>
  <si>
    <t xml:space="preserve">đã biết</t>
  </si>
  <si>
    <t xml:space="preserve">xin lỗi</t>
  </si>
  <si>
    <t xml:space="preserve">wünschen</t>
  </si>
  <si>
    <t xml:space="preserve">ước</t>
  </si>
  <si>
    <t xml:space="preserve">fliegen</t>
  </si>
  <si>
    <t xml:space="preserve">bay</t>
  </si>
  <si>
    <t xml:space="preserve">fast</t>
  </si>
  <si>
    <t xml:space="preserve">suýt</t>
  </si>
  <si>
    <t xml:space="preserve">lỡ</t>
  </si>
  <si>
    <t xml:space="preserve">als ob</t>
  </si>
  <si>
    <t xml:space="preserve">như thể</t>
  </si>
  <si>
    <t xml:space="preserve">denken</t>
  </si>
  <si>
    <t xml:space="preserve">nghĩ</t>
  </si>
  <si>
    <t xml:space="preserve">beinahe</t>
  </si>
  <si>
    <t xml:space="preserve">reagieren</t>
  </si>
  <si>
    <t xml:space="preserve">phản ứng</t>
  </si>
  <si>
    <t xml:space="preserve">trông</t>
  </si>
  <si>
    <t xml:space="preserve">das Leben</t>
  </si>
  <si>
    <t xml:space="preserve">cuộc sống</t>
  </si>
  <si>
    <t xml:space="preserve">erkennen</t>
  </si>
  <si>
    <t xml:space="preserve">der Skandal</t>
  </si>
  <si>
    <t xml:space="preserve">vụ bê bối</t>
  </si>
  <si>
    <t xml:space="preserve">könnten</t>
  </si>
  <si>
    <t xml:space="preserve">có thể (lịch sự)</t>
  </si>
  <si>
    <t xml:space="preserve">sollten</t>
  </si>
  <si>
    <t xml:space="preserve">dürfte</t>
  </si>
  <si>
    <t xml:space="preserve">được phép (lịch sự)</t>
  </si>
  <si>
    <t xml:space="preserve">möglich</t>
  </si>
  <si>
    <t xml:space="preserve">khả thi</t>
  </si>
  <si>
    <t xml:space="preserve">khuyên</t>
  </si>
  <si>
    <t xml:space="preserve">überlegen</t>
  </si>
  <si>
    <t xml:space="preserve">Bescheid geben</t>
  </si>
  <si>
    <t xml:space="preserve">vielleicht</t>
  </si>
  <si>
    <t xml:space="preserve">klären</t>
  </si>
  <si>
    <t xml:space="preserve">làm rõ</t>
  </si>
  <si>
    <t xml:space="preserve">noch einmal</t>
  </si>
  <si>
    <t xml:space="preserve">lần nữa</t>
  </si>
  <si>
    <t xml:space="preserve">die Rückmeldung</t>
  </si>
  <si>
    <t xml:space="preserve">phản hồi</t>
  </si>
  <si>
    <t xml:space="preserve">schade</t>
  </si>
  <si>
    <t xml:space="preserve">tiếc</t>
  </si>
  <si>
    <t xml:space="preserve">der Gefallen</t>
  </si>
  <si>
    <t xml:space="preserve">die Unterlagen</t>
  </si>
  <si>
    <t xml:space="preserve">hồ sơ</t>
  </si>
  <si>
    <t xml:space="preserve">anders</t>
  </si>
  <si>
    <t xml:space="preserve">ruhig</t>
  </si>
  <si>
    <t xml:space="preserve">kompetent</t>
  </si>
  <si>
    <t xml:space="preserve">có năng lực</t>
  </si>
  <si>
    <t xml:space="preserve">der Eindruck</t>
  </si>
  <si>
    <t xml:space="preserve">ấn tượng</t>
  </si>
  <si>
    <t xml:space="preserve">das Dorf</t>
  </si>
  <si>
    <t xml:space="preserve">ngôi làng</t>
  </si>
  <si>
    <t xml:space="preserve">elegant</t>
  </si>
  <si>
    <t xml:space="preserve">thanh lịch</t>
  </si>
  <si>
    <t xml:space="preserve">der Gruß</t>
  </si>
  <si>
    <t xml:space="preserve">lời chào</t>
  </si>
  <si>
    <t xml:space="preserve">das Obst</t>
  </si>
  <si>
    <t xml:space="preserve">trái cây</t>
  </si>
  <si>
    <t xml:space="preserve">die Süßigkeiten</t>
  </si>
  <si>
    <t xml:space="preserve">đồ ngọt</t>
  </si>
  <si>
    <t xml:space="preserve">das Argument</t>
  </si>
  <si>
    <t xml:space="preserve">lập luận</t>
  </si>
  <si>
    <t xml:space="preserve">die Kunst</t>
  </si>
  <si>
    <t xml:space="preserve">nghệ thuật</t>
  </si>
  <si>
    <t xml:space="preserve">modern</t>
  </si>
  <si>
    <t xml:space="preserve">hiện đại</t>
  </si>
  <si>
    <t xml:space="preserve">die Diskussion</t>
  </si>
  <si>
    <t xml:space="preserve">die Überraschung</t>
  </si>
  <si>
    <t xml:space="preserve">bất ngờ</t>
  </si>
  <si>
    <t xml:space="preserve">die Fachkraft</t>
  </si>
  <si>
    <t xml:space="preserve">nhân lực chuyên môn</t>
  </si>
  <si>
    <t xml:space="preserve">das System</t>
  </si>
  <si>
    <t xml:space="preserve">hệ thống</t>
  </si>
  <si>
    <t xml:space="preserve">der Altbau</t>
  </si>
  <si>
    <t xml:space="preserve">nhà cổ</t>
  </si>
  <si>
    <t xml:space="preserve">renovieren</t>
  </si>
  <si>
    <t xml:space="preserve">cải tạo</t>
  </si>
  <si>
    <t xml:space="preserve">nebenbei</t>
  </si>
  <si>
    <t xml:space="preserve">làm thêm</t>
  </si>
  <si>
    <t xml:space="preserve">frei</t>
  </si>
  <si>
    <t xml:space="preserve">rảnh/tự do</t>
  </si>
  <si>
    <t xml:space="preserve">càng ... càng</t>
  </si>
  <si>
    <t xml:space="preserve">fleißig</t>
  </si>
  <si>
    <t xml:space="preserve">chăm chỉ</t>
  </si>
  <si>
    <t xml:space="preserve">die Entscheidung</t>
  </si>
  <si>
    <t xml:space="preserve">eher</t>
  </si>
  <si>
    <t xml:space="preserve">sớm hơn</t>
  </si>
  <si>
    <t xml:space="preserve">die Gesundheit</t>
  </si>
  <si>
    <t xml:space="preserve">sức khỏe</t>
  </si>
  <si>
    <t xml:space="preserve">die Herausforderung</t>
  </si>
  <si>
    <t xml:space="preserve">thử thách</t>
  </si>
  <si>
    <t xml:space="preserve">gefährlich</t>
  </si>
  <si>
    <t xml:space="preserve">nguy hiểm</t>
  </si>
  <si>
    <t xml:space="preserve">erwarten</t>
  </si>
  <si>
    <t xml:space="preserve">mong đợi</t>
  </si>
  <si>
    <t xml:space="preserve">erfahren</t>
  </si>
  <si>
    <t xml:space="preserve">có kinh nghiệm</t>
  </si>
  <si>
    <t xml:space="preserve">nirgendwo</t>
  </si>
  <si>
    <t xml:space="preserve">chẳng đâu</t>
  </si>
  <si>
    <t xml:space="preserve">billig</t>
  </si>
  <si>
    <t xml:space="preserve">rẻ</t>
  </si>
  <si>
    <t xml:space="preserve">der Streik</t>
  </si>
  <si>
    <t xml:space="preserve">cuộc đình công</t>
  </si>
  <si>
    <t xml:space="preserve">die Ferien</t>
  </si>
  <si>
    <t xml:space="preserve">der Lärm</t>
  </si>
  <si>
    <t xml:space="preserve">tiếng ồn</t>
  </si>
  <si>
    <t xml:space="preserve">innerhalb</t>
  </si>
  <si>
    <t xml:space="preserve">trong vòng</t>
  </si>
  <si>
    <t xml:space="preserve">die Öffnungszeit</t>
  </si>
  <si>
    <t xml:space="preserve">giờ mở cửa</t>
  </si>
  <si>
    <t xml:space="preserve">anstatt</t>
  </si>
  <si>
    <t xml:space="preserve">thay vì</t>
  </si>
  <si>
    <t xml:space="preserve">das Recht</t>
  </si>
  <si>
    <t xml:space="preserve">quyền</t>
  </si>
  <si>
    <t xml:space="preserve">der Arbeitnehmer</t>
  </si>
  <si>
    <t xml:space="preserve">người lao động</t>
  </si>
  <si>
    <t xml:space="preserve">technisch</t>
  </si>
  <si>
    <t xml:space="preserve">kỹ thuật</t>
  </si>
  <si>
    <t xml:space="preserve">der Anfang</t>
  </si>
  <si>
    <t xml:space="preserve">khởi đầu</t>
  </si>
  <si>
    <t xml:space="preserve">statt</t>
  </si>
  <si>
    <t xml:space="preserve">die Qualität</t>
  </si>
  <si>
    <t xml:space="preserve">chất lượng</t>
  </si>
  <si>
    <t xml:space="preserve">nachlassen</t>
  </si>
  <si>
    <t xml:space="preserve">suy giảm</t>
  </si>
  <si>
    <t xml:space="preserve">im Laufe</t>
  </si>
  <si>
    <t xml:space="preserve">trong quá trình</t>
  </si>
  <si>
    <t xml:space="preserve">der Wagen</t>
  </si>
  <si>
    <t xml:space="preserve">xe</t>
  </si>
  <si>
    <t xml:space="preserve">der Kollege</t>
  </si>
  <si>
    <t xml:space="preserve">đồng nghiệp</t>
  </si>
  <si>
    <t xml:space="preserve">der Teilnehmer</t>
  </si>
  <si>
    <t xml:space="preserve">người tham gia</t>
  </si>
  <si>
    <t xml:space="preserve">die Erfahrung</t>
  </si>
  <si>
    <t xml:space="preserve">kinh nghiệm</t>
  </si>
  <si>
    <t xml:space="preserve">glatt</t>
  </si>
  <si>
    <t xml:space="preserve">trơn tru</t>
  </si>
  <si>
    <t xml:space="preserve">die Verantwortung</t>
  </si>
  <si>
    <t xml:space="preserve">trách nhiệm</t>
  </si>
  <si>
    <t xml:space="preserve">bewusst</t>
  </si>
  <si>
    <t xml:space="preserve">ý thức</t>
  </si>
  <si>
    <t xml:space="preserve">die Grenze</t>
  </si>
  <si>
    <t xml:space="preserve">biên giới</t>
  </si>
  <si>
    <t xml:space="preserve">sich erinnern</t>
  </si>
  <si>
    <t xml:space="preserve">nhớ</t>
  </si>
  <si>
    <t xml:space="preserve">sich freuen über</t>
  </si>
  <si>
    <t xml:space="preserve">vui vì</t>
  </si>
  <si>
    <t xml:space="preserve">sich verbrennen</t>
  </si>
  <si>
    <t xml:space="preserve">bị bỏng</t>
  </si>
  <si>
    <t xml:space="preserve">lời/từ</t>
  </si>
  <si>
    <t xml:space="preserve">sich hinsetzen</t>
  </si>
  <si>
    <t xml:space="preserve">sich leisten</t>
  </si>
  <si>
    <t xml:space="preserve">kham nổi</t>
  </si>
  <si>
    <t xml:space="preserve">sich sehen</t>
  </si>
  <si>
    <t xml:space="preserve">sich ärgern</t>
  </si>
  <si>
    <t xml:space="preserve">bực mình</t>
  </si>
  <si>
    <t xml:space="preserve">der Fehler</t>
  </si>
  <si>
    <t xml:space="preserve">lỗi</t>
  </si>
  <si>
    <t xml:space="preserve">die Politik</t>
  </si>
  <si>
    <t xml:space="preserve">chính trị</t>
  </si>
  <si>
    <t xml:space="preserve">sich anmelden</t>
  </si>
  <si>
    <t xml:space="preserve">đăng ký</t>
  </si>
  <si>
    <t xml:space="preserve">sich kümmern</t>
  </si>
  <si>
    <t xml:space="preserve">chăm lo</t>
  </si>
  <si>
    <t xml:space="preserve">sich gewöhnen</t>
  </si>
  <si>
    <t xml:space="preserve">sich verabreden</t>
  </si>
  <si>
    <t xml:space="preserve">hẹn nhau</t>
  </si>
  <si>
    <t xml:space="preserve">đáng</t>
  </si>
  <si>
    <t xml:space="preserve">tưởng tượng</t>
  </si>
  <si>
    <t xml:space="preserve">denken an</t>
  </si>
  <si>
    <t xml:space="preserve">nghĩ về</t>
  </si>
  <si>
    <t xml:space="preserve">woran</t>
  </si>
  <si>
    <t xml:space="preserve">về cái gì</t>
  </si>
  <si>
    <t xml:space="preserve">darauf</t>
  </si>
  <si>
    <t xml:space="preserve">về/vào điều đó</t>
  </si>
  <si>
    <t xml:space="preserve">die Heimat</t>
  </si>
  <si>
    <t xml:space="preserve">quê hương</t>
  </si>
  <si>
    <t xml:space="preserve">sprechen über</t>
  </si>
  <si>
    <t xml:space="preserve">nói về</t>
  </si>
  <si>
    <t xml:space="preserve">leiden unter</t>
  </si>
  <si>
    <t xml:space="preserve">chịu đựng</t>
  </si>
  <si>
    <t xml:space="preserve">die Umstände</t>
  </si>
  <si>
    <t xml:space="preserve">hoàn cảnh</t>
  </si>
  <si>
    <t xml:space="preserve">stolz</t>
  </si>
  <si>
    <t xml:space="preserve">tự hào</t>
  </si>
  <si>
    <t xml:space="preserve">rechnen mit</t>
  </si>
  <si>
    <t xml:space="preserve">tính đến</t>
  </si>
  <si>
    <t xml:space="preserve">die Verzögerung</t>
  </si>
  <si>
    <t xml:space="preserve">sự chậm trễ</t>
  </si>
  <si>
    <t xml:space="preserve">sich beschweren</t>
  </si>
  <si>
    <t xml:space="preserve">phàn nàn</t>
  </si>
  <si>
    <t xml:space="preserve">abhängen von</t>
  </si>
  <si>
    <t xml:space="preserve">die Ehrlichkeit</t>
  </si>
  <si>
    <t xml:space="preserve">sự thành thật</t>
  </si>
  <si>
    <t xml:space="preserve">bitten um</t>
  </si>
  <si>
    <t xml:space="preserve">xin</t>
  </si>
  <si>
    <t xml:space="preserve">die Bedenkzeit</t>
  </si>
  <si>
    <t xml:space="preserve">thời gian suy nghĩ</t>
  </si>
  <si>
    <t xml:space="preserve">daran</t>
  </si>
  <si>
    <t xml:space="preserve">về điều đó</t>
  </si>
  <si>
    <t xml:space="preserve">die künstliche Intelligenz</t>
  </si>
  <si>
    <t xml:space="preserve">trí tuệ nhân tạo</t>
  </si>
  <si>
    <t xml:space="preserve">hoffen auf</t>
  </si>
  <si>
    <t xml:space="preserve">hy vọng vào</t>
  </si>
  <si>
    <t xml:space="preserve">das Missverständnis</t>
  </si>
  <si>
    <t xml:space="preserve">hiểu lầm</t>
  </si>
  <si>
    <t xml:space="preserve">womit</t>
  </si>
  <si>
    <t xml:space="preserve">với cái gì</t>
  </si>
  <si>
    <t xml:space="preserve">vorhaben</t>
  </si>
  <si>
    <t xml:space="preserve">dự định</t>
  </si>
  <si>
    <t xml:space="preserve">leicht</t>
  </si>
  <si>
    <t xml:space="preserve">để mà</t>
  </si>
  <si>
    <t xml:space="preserve">ohne ... zu</t>
  </si>
  <si>
    <t xml:space="preserve">mà không</t>
  </si>
  <si>
    <t xml:space="preserve">statt ... zu</t>
  </si>
  <si>
    <t xml:space="preserve">khóa</t>
  </si>
  <si>
    <t xml:space="preserve">versuchen</t>
  </si>
  <si>
    <t xml:space="preserve">cố gắng</t>
  </si>
  <si>
    <t xml:space="preserve">annehmen</t>
  </si>
  <si>
    <t xml:space="preserve">chấp nhận</t>
  </si>
  <si>
    <t xml:space="preserve">sich freuen darauf</t>
  </si>
  <si>
    <t xml:space="preserve">handeln</t>
  </si>
  <si>
    <t xml:space="preserve">hành động</t>
  </si>
  <si>
    <t xml:space="preserve">zögern</t>
  </si>
  <si>
    <t xml:space="preserve">do dự</t>
  </si>
  <si>
    <t xml:space="preserve">so dass</t>
  </si>
  <si>
    <t xml:space="preserve">đến nỗi</t>
  </si>
  <si>
    <t xml:space="preserve">erschöpft</t>
  </si>
  <si>
    <t xml:space="preserve">kiệt sức</t>
  </si>
  <si>
    <t xml:space="preserve">ngủ thiếp</t>
  </si>
  <si>
    <t xml:space="preserve">vermeiden</t>
  </si>
  <si>
    <t xml:space="preserve">tránh</t>
  </si>
  <si>
    <t xml:space="preserve">die Aufgabe</t>
  </si>
  <si>
    <t xml:space="preserve">bài tập</t>
  </si>
  <si>
    <t xml:space="preserve">fit</t>
  </si>
  <si>
    <t xml:space="preserve">khỏe/sung sức</t>
  </si>
  <si>
    <t xml:space="preserve">lùa gió</t>
  </si>
  <si>
    <t xml:space="preserve">kiểm tra</t>
  </si>
  <si>
    <t xml:space="preserve">der Wecker</t>
  </si>
  <si>
    <t xml:space="preserve">đồng hồ báo thức</t>
  </si>
  <si>
    <t xml:space="preserve">verschlafen</t>
  </si>
  <si>
    <t xml:space="preserve">ngủ quên</t>
  </si>
  <si>
    <t xml:space="preserve">der See</t>
  </si>
  <si>
    <t xml:space="preserve">hồ</t>
  </si>
  <si>
    <t xml:space="preserve">zufrieren</t>
  </si>
  <si>
    <t xml:space="preserve">đóng băng</t>
  </si>
  <si>
    <t xml:space="preserve">das Verständnis</t>
  </si>
  <si>
    <t xml:space="preserve">sự hiểu</t>
  </si>
  <si>
    <t xml:space="preserve">das Beispiel</t>
  </si>
  <si>
    <t xml:space="preserve">ví dụ</t>
  </si>
  <si>
    <t xml:space="preserve">falls</t>
  </si>
  <si>
    <t xml:space="preserve">nếu như</t>
  </si>
  <si>
    <t xml:space="preserve">sofern</t>
  </si>
  <si>
    <t xml:space="preserve">miễn là</t>
  </si>
  <si>
    <t xml:space="preserve">arm</t>
  </si>
  <si>
    <t xml:space="preserve">nghèo</t>
  </si>
  <si>
    <t xml:space="preserve">aufgeben</t>
  </si>
  <si>
    <t xml:space="preserve">bỏ cuộc</t>
  </si>
  <si>
    <t xml:space="preserve">das Visum</t>
  </si>
  <si>
    <t xml:space="preserve">thị thực</t>
  </si>
  <si>
    <t xml:space="preserve">einreisen</t>
  </si>
  <si>
    <t xml:space="preserve">nhập cảnh</t>
  </si>
  <si>
    <t xml:space="preserve">angenommen</t>
  </si>
  <si>
    <t xml:space="preserve">giả sử</t>
  </si>
  <si>
    <t xml:space="preserve">es sei denn</t>
  </si>
  <si>
    <t xml:space="preserve">trừ khi</t>
  </si>
  <si>
    <t xml:space="preserve">weiterlernen</t>
  </si>
  <si>
    <t xml:space="preserve">học tiếp</t>
  </si>
  <si>
    <t xml:space="preserve">zustimmen</t>
  </si>
  <si>
    <t xml:space="preserve">đồng ý</t>
  </si>
  <si>
    <t xml:space="preserve">die Absage</t>
  </si>
  <si>
    <t xml:space="preserve">sự hủy bỏ</t>
  </si>
  <si>
    <t xml:space="preserve">sich melden</t>
  </si>
  <si>
    <t xml:space="preserve">liên hệ</t>
  </si>
  <si>
    <t xml:space="preserve">egal</t>
  </si>
  <si>
    <t xml:space="preserve">bất kể</t>
  </si>
  <si>
    <t xml:space="preserve">unterstützen</t>
  </si>
  <si>
    <t xml:space="preserve">ủng hộ</t>
  </si>
  <si>
    <t xml:space="preserve">grillen</t>
  </si>
  <si>
    <t xml:space="preserve">nướng thịt</t>
  </si>
  <si>
    <t xml:space="preserve">zwar</t>
  </si>
  <si>
    <t xml:space="preserve">đúng là</t>
  </si>
  <si>
    <t xml:space="preserve">sonst</t>
  </si>
  <si>
    <t xml:space="preserve">nếu không</t>
  </si>
  <si>
    <t xml:space="preserve">ansonsten</t>
  </si>
  <si>
    <t xml:space="preserve">je nachdem</t>
  </si>
  <si>
    <t xml:space="preserve">tùy theo</t>
  </si>
  <si>
    <t xml:space="preserve">in Angriff nehmen</t>
  </si>
  <si>
    <t xml:space="preserve">khởi sự</t>
  </si>
  <si>
    <t xml:space="preserve">eine Frage stellen</t>
  </si>
  <si>
    <t xml:space="preserve">đặt câu hỏi</t>
  </si>
  <si>
    <t xml:space="preserve">được tính đến</t>
  </si>
  <si>
    <t xml:space="preserve">Rücksicht nehmen</t>
  </si>
  <si>
    <t xml:space="preserve">quan tâm/nể</t>
  </si>
  <si>
    <t xml:space="preserve">phạm lỗi</t>
  </si>
  <si>
    <t xml:space="preserve">có vai trò</t>
  </si>
  <si>
    <t xml:space="preserve">teilnehmen an</t>
  </si>
  <si>
    <t xml:space="preserve">tham gia</t>
  </si>
  <si>
    <t xml:space="preserve">die Vereinbarung</t>
  </si>
  <si>
    <t xml:space="preserve">dành thời gian</t>
  </si>
  <si>
    <t xml:space="preserve">vấp phản ứng</t>
  </si>
  <si>
    <t xml:space="preserve">die Kritik</t>
  </si>
  <si>
    <t xml:space="preserve">chỉ trích</t>
  </si>
  <si>
    <t xml:space="preserve">der Druck</t>
  </si>
  <si>
    <t xml:space="preserve">áp lực</t>
  </si>
  <si>
    <t xml:space="preserve">die Verantwortung übernehmen</t>
  </si>
  <si>
    <t xml:space="preserve">nhận trách nhiệm</t>
  </si>
  <si>
    <t xml:space="preserve">được đề cập</t>
  </si>
  <si>
    <t xml:space="preserve">giữ lời</t>
  </si>
  <si>
    <t xml:space="preserve">das Gespräch</t>
  </si>
  <si>
    <t xml:space="preserve">cuộc nói chuyện</t>
  </si>
  <si>
    <t xml:space="preserve">Wert legen auf</t>
  </si>
  <si>
    <t xml:space="preserve">coi trọng</t>
  </si>
  <si>
    <t xml:space="preserve">beachten</t>
  </si>
  <si>
    <t xml:space="preserve">lưu ý</t>
  </si>
  <si>
    <t xml:space="preserve">der Hinweis</t>
  </si>
  <si>
    <t xml:space="preserve">chỉ dẫn</t>
  </si>
  <si>
    <t xml:space="preserve">das Konto</t>
  </si>
  <si>
    <t xml:space="preserve">tài khoản</t>
  </si>
  <si>
    <t xml:space="preserve">eröffnen</t>
  </si>
  <si>
    <t xml:space="preserve">die Gebühr</t>
  </si>
  <si>
    <t xml:space="preserve">phí</t>
  </si>
  <si>
    <t xml:space="preserve">überweisen</t>
  </si>
  <si>
    <t xml:space="preserve">chuyển khoản</t>
  </si>
  <si>
    <t xml:space="preserve">überziehen</t>
  </si>
  <si>
    <t xml:space="preserve">rút quá hạn mức</t>
  </si>
  <si>
    <t xml:space="preserve">die EC-Karte</t>
  </si>
  <si>
    <t xml:space="preserve">thẻ ghi nợ</t>
  </si>
  <si>
    <t xml:space="preserve">sperren</t>
  </si>
  <si>
    <t xml:space="preserve">khóa/chặn</t>
  </si>
  <si>
    <t xml:space="preserve">der Dauerauftrag</t>
  </si>
  <si>
    <t xml:space="preserve">lệnh chuyển định kỳ</t>
  </si>
  <si>
    <t xml:space="preserve">die Krankenversicherung</t>
  </si>
  <si>
    <t xml:space="preserve">bảo hiểm y tế</t>
  </si>
  <si>
    <t xml:space="preserve">die Pflicht</t>
  </si>
  <si>
    <t xml:space="preserve">nghĩa vụ</t>
  </si>
  <si>
    <t xml:space="preserve">die Zinsen</t>
  </si>
  <si>
    <t xml:space="preserve">lãi suất</t>
  </si>
  <si>
    <t xml:space="preserve">der Kredit</t>
  </si>
  <si>
    <t xml:space="preserve">khoản vay</t>
  </si>
  <si>
    <t xml:space="preserve">überfällig</t>
  </si>
  <si>
    <t xml:space="preserve">quá hạn</t>
  </si>
  <si>
    <t xml:space="preserve">angeben</t>
  </si>
  <si>
    <t xml:space="preserve">khai/cung cấp</t>
  </si>
  <si>
    <t xml:space="preserve">chấm dứt</t>
  </si>
  <si>
    <t xml:space="preserve">die Steuer</t>
  </si>
  <si>
    <t xml:space="preserve">thuế</t>
  </si>
  <si>
    <t xml:space="preserve">der Neukunde</t>
  </si>
  <si>
    <t xml:space="preserve">khách hàng mới</t>
  </si>
  <si>
    <t xml:space="preserve">die Rate</t>
  </si>
  <si>
    <t xml:space="preserve">kỳ trả góp</t>
  </si>
  <si>
    <t xml:space="preserve">das Einwohnermeldeamt</t>
  </si>
  <si>
    <t xml:space="preserve">cơ quan đăng ký cư trú</t>
  </si>
  <si>
    <t xml:space="preserve">die Bescheinigung</t>
  </si>
  <si>
    <t xml:space="preserve">giấy xác nhận</t>
  </si>
  <si>
    <t xml:space="preserve">ablaufen</t>
  </si>
  <si>
    <t xml:space="preserve">hết hạn</t>
  </si>
  <si>
    <t xml:space="preserve">die Aufenthaltserlaubnis</t>
  </si>
  <si>
    <t xml:space="preserve">giấy phép cư trú</t>
  </si>
  <si>
    <t xml:space="preserve">vollständig</t>
  </si>
  <si>
    <t xml:space="preserve">đầy đủ</t>
  </si>
  <si>
    <t xml:space="preserve">das Ausländeramt</t>
  </si>
  <si>
    <t xml:space="preserve">sở ngoại kiều</t>
  </si>
  <si>
    <t xml:space="preserve">die Bearbeitung</t>
  </si>
  <si>
    <t xml:space="preserve">xử lý hồ sơ</t>
  </si>
  <si>
    <t xml:space="preserve">beglaubigt</t>
  </si>
  <si>
    <t xml:space="preserve">công chứng</t>
  </si>
  <si>
    <t xml:space="preserve">die Übersetzung</t>
  </si>
  <si>
    <t xml:space="preserve">bản dịch</t>
  </si>
  <si>
    <t xml:space="preserve">der Reisepass</t>
  </si>
  <si>
    <t xml:space="preserve">hộ chiếu</t>
  </si>
  <si>
    <t xml:space="preserve">gültig</t>
  </si>
  <si>
    <t xml:space="preserve">der Wohnsitz</t>
  </si>
  <si>
    <t xml:space="preserve">nơi cư trú</t>
  </si>
  <si>
    <t xml:space="preserve">ummelden</t>
  </si>
  <si>
    <t xml:space="preserve">đổi đăng ký</t>
  </si>
  <si>
    <t xml:space="preserve">die Behörde</t>
  </si>
  <si>
    <t xml:space="preserve">cơ quan nhà nước</t>
  </si>
  <si>
    <t xml:space="preserve">der Schalter</t>
  </si>
  <si>
    <t xml:space="preserve">quầy</t>
  </si>
  <si>
    <t xml:space="preserve">zuständig</t>
  </si>
  <si>
    <t xml:space="preserve">phụ trách</t>
  </si>
  <si>
    <t xml:space="preserve">lệ phí</t>
  </si>
  <si>
    <t xml:space="preserve">erscheinen</t>
  </si>
  <si>
    <t xml:space="preserve">xuất hiện/có mặt</t>
  </si>
  <si>
    <t xml:space="preserve">der Bescheid</t>
  </si>
  <si>
    <t xml:space="preserve">thông báo chính thức</t>
  </si>
  <si>
    <t xml:space="preserve">der Widerspruch</t>
  </si>
  <si>
    <t xml:space="preserve">khiếu nại</t>
  </si>
  <si>
    <t xml:space="preserve">die Steuererklärung</t>
  </si>
  <si>
    <t xml:space="preserve">tờ khai thuế</t>
  </si>
  <si>
    <t xml:space="preserve">die Kopie</t>
  </si>
  <si>
    <t xml:space="preserve">bản sao</t>
  </si>
  <si>
    <t xml:space="preserve">das Original</t>
  </si>
  <si>
    <t xml:space="preserve">bản gốc</t>
  </si>
  <si>
    <t xml:space="preserve">der Herr</t>
  </si>
  <si>
    <t xml:space="preserve">ông</t>
  </si>
  <si>
    <t xml:space="preserve">verbinden</t>
  </si>
  <si>
    <t xml:space="preserve">nối máy</t>
  </si>
  <si>
    <t xml:space="preserve">der Platz</t>
  </si>
  <si>
    <t xml:space="preserve">chỗ ngồi</t>
  </si>
  <si>
    <t xml:space="preserve">ausrichten</t>
  </si>
  <si>
    <t xml:space="preserve">chuyển lời</t>
  </si>
  <si>
    <t xml:space="preserve">geehrt</t>
  </si>
  <si>
    <t xml:space="preserve">kính trọng</t>
  </si>
  <si>
    <t xml:space="preserve">bezüglich</t>
  </si>
  <si>
    <t xml:space="preserve">liên quan đến</t>
  </si>
  <si>
    <t xml:space="preserve">die Anzeige</t>
  </si>
  <si>
    <t xml:space="preserve">mẩu tin</t>
  </si>
  <si>
    <t xml:space="preserve">anbei</t>
  </si>
  <si>
    <t xml:space="preserve">kèm theo</t>
  </si>
  <si>
    <t xml:space="preserve">sẵn sàng phục vụ</t>
  </si>
  <si>
    <t xml:space="preserve">die Antwort</t>
  </si>
  <si>
    <t xml:space="preserve">câu trả lời</t>
  </si>
  <si>
    <t xml:space="preserve">báo giá</t>
  </si>
  <si>
    <t xml:space="preserve">schriftlich</t>
  </si>
  <si>
    <t xml:space="preserve">bằng văn bản</t>
  </si>
  <si>
    <t xml:space="preserve">im Voraus</t>
  </si>
  <si>
    <t xml:space="preserve">die Mühe</t>
  </si>
  <si>
    <t xml:space="preserve">công sức</t>
  </si>
  <si>
    <t xml:space="preserve">sich beziehen auf</t>
  </si>
  <si>
    <t xml:space="preserve">dẫn chiếu</t>
  </si>
  <si>
    <t xml:space="preserve">das Telefonat</t>
  </si>
  <si>
    <t xml:space="preserve">cuộc gọi</t>
  </si>
  <si>
    <t xml:space="preserve">die Verbindung</t>
  </si>
  <si>
    <t xml:space="preserve">kết nối</t>
  </si>
  <si>
    <t xml:space="preserve">ausgeschrieben</t>
  </si>
  <si>
    <t xml:space="preserve">được đăng tuyển</t>
  </si>
  <si>
    <t xml:space="preserve">die Berufserfahrung</t>
  </si>
  <si>
    <t xml:space="preserve">kinh nghiệm nghề</t>
  </si>
  <si>
    <t xml:space="preserve">die Stärke</t>
  </si>
  <si>
    <t xml:space="preserve">điểm mạnh</t>
  </si>
  <si>
    <t xml:space="preserve">die Genauigkeit</t>
  </si>
  <si>
    <t xml:space="preserve">sự chính xác</t>
  </si>
  <si>
    <t xml:space="preserve">selbstständig</t>
  </si>
  <si>
    <t xml:space="preserve">độc lập</t>
  </si>
  <si>
    <t xml:space="preserve">verfügbar</t>
  </si>
  <si>
    <t xml:space="preserve">der Lebenslauf</t>
  </si>
  <si>
    <t xml:space="preserve">sơ yếu lý lịch</t>
  </si>
  <si>
    <t xml:space="preserve">bằng cấp</t>
  </si>
  <si>
    <t xml:space="preserve">die Informatik</t>
  </si>
  <si>
    <t xml:space="preserve">tin học</t>
  </si>
  <si>
    <t xml:space="preserve">die Gehaltsvorstellung</t>
  </si>
  <si>
    <t xml:space="preserve">mức lương mong muốn</t>
  </si>
  <si>
    <t xml:space="preserve">hình dung bản thân</t>
  </si>
  <si>
    <t xml:space="preserve">sich einarbeiten</t>
  </si>
  <si>
    <t xml:space="preserve">làm quen việc</t>
  </si>
  <si>
    <t xml:space="preserve">befristet</t>
  </si>
  <si>
    <t xml:space="preserve">có thời hạn</t>
  </si>
  <si>
    <t xml:space="preserve">zunächst</t>
  </si>
  <si>
    <t xml:space="preserve">ban đầu</t>
  </si>
  <si>
    <t xml:space="preserve">die Festanstellung</t>
  </si>
  <si>
    <t xml:space="preserve">việc làm chính thức</t>
  </si>
  <si>
    <t xml:space="preserve">das Zeugnis</t>
  </si>
  <si>
    <t xml:space="preserve">giấy chứng nhận</t>
  </si>
  <si>
    <t xml:space="preserve">mehrere</t>
  </si>
  <si>
    <t xml:space="preserve">verlaufen</t>
  </si>
  <si>
    <t xml:space="preserve">sich weiterbilden</t>
  </si>
  <si>
    <t xml:space="preserve">học nâng cao</t>
  </si>
  <si>
    <t xml:space="preserve">besprechen</t>
  </si>
  <si>
    <t xml:space="preserve">bàn bạc</t>
  </si>
  <si>
    <t xml:space="preserve">die Präsentation</t>
  </si>
  <si>
    <t xml:space="preserve">bài thuyết trình</t>
  </si>
  <si>
    <t xml:space="preserve">die Deadline</t>
  </si>
  <si>
    <t xml:space="preserve">hạn chót</t>
  </si>
  <si>
    <t xml:space="preserve">das Protokoll</t>
  </si>
  <si>
    <t xml:space="preserve">biên bản</t>
  </si>
  <si>
    <t xml:space="preserve">die Datei</t>
  </si>
  <si>
    <t xml:space="preserve">tệp</t>
  </si>
  <si>
    <t xml:space="preserve">weiterleiten</t>
  </si>
  <si>
    <t xml:space="preserve">chuyển tiếp</t>
  </si>
  <si>
    <t xml:space="preserve">verteilen</t>
  </si>
  <si>
    <t xml:space="preserve">phân chia</t>
  </si>
  <si>
    <t xml:space="preserve">der Vertrieb</t>
  </si>
  <si>
    <t xml:space="preserve">bộ phận kinh doanh</t>
  </si>
  <si>
    <t xml:space="preserve">das Feedback</t>
  </si>
  <si>
    <t xml:space="preserve">der Zeitplan</t>
  </si>
  <si>
    <t xml:space="preserve">kế hoạch thời gian</t>
  </si>
  <si>
    <t xml:space="preserve">chậm trễ</t>
  </si>
  <si>
    <t xml:space="preserve">die Ressource</t>
  </si>
  <si>
    <t xml:space="preserve">nguồn lực</t>
  </si>
  <si>
    <t xml:space="preserve">dringend</t>
  </si>
  <si>
    <t xml:space="preserve">khẩn</t>
  </si>
  <si>
    <t xml:space="preserve">auf dem Laufenden</t>
  </si>
  <si>
    <t xml:space="preserve">cập nhật</t>
  </si>
  <si>
    <t xml:space="preserve">die Zusammenarbeit</t>
  </si>
  <si>
    <t xml:space="preserve">hợp tác</t>
  </si>
  <si>
    <t xml:space="preserve">reibungslos</t>
  </si>
  <si>
    <t xml:space="preserve">vertagen</t>
  </si>
  <si>
    <t xml:space="preserve">hoãn</t>
  </si>
  <si>
    <t xml:space="preserve">geplant</t>
  </si>
  <si>
    <t xml:space="preserve">đã lên kế hoạch</t>
  </si>
  <si>
    <t xml:space="preserve">leiten</t>
  </si>
  <si>
    <t xml:space="preserve">quản lý</t>
  </si>
  <si>
    <t xml:space="preserve">die Abteilung</t>
  </si>
  <si>
    <t xml:space="preserve">phòng ban</t>
  </si>
  <si>
    <t xml:space="preserve">eintragen</t>
  </si>
  <si>
    <t xml:space="preserve">ghi vào</t>
  </si>
  <si>
    <t xml:space="preserve">der Kalender</t>
  </si>
  <si>
    <t xml:space="preserve">lịch</t>
  </si>
  <si>
    <t xml:space="preserve">der Maschinenbau</t>
  </si>
  <si>
    <t xml:space="preserve">cơ khí</t>
  </si>
  <si>
    <t xml:space="preserve">das Semester</t>
  </si>
  <si>
    <t xml:space="preserve">học kỳ</t>
  </si>
  <si>
    <t xml:space="preserve">die Vorlesung</t>
  </si>
  <si>
    <t xml:space="preserve">bài giảng</t>
  </si>
  <si>
    <t xml:space="preserve">die Hausarbeit</t>
  </si>
  <si>
    <t xml:space="preserve">tiểu luận</t>
  </si>
  <si>
    <t xml:space="preserve">der Februar</t>
  </si>
  <si>
    <t xml:space="preserve">tháng Hai</t>
  </si>
  <si>
    <t xml:space="preserve">die Klausur</t>
  </si>
  <si>
    <t xml:space="preserve">bài thi viết</t>
  </si>
  <si>
    <t xml:space="preserve">durchfallen</t>
  </si>
  <si>
    <t xml:space="preserve">thi trượt</t>
  </si>
  <si>
    <t xml:space="preserve">sich vorbereiten</t>
  </si>
  <si>
    <t xml:space="preserve">chuẩn bị</t>
  </si>
  <si>
    <t xml:space="preserve">die Frist</t>
  </si>
  <si>
    <t xml:space="preserve">thời hạn</t>
  </si>
  <si>
    <t xml:space="preserve">der Credit</t>
  </si>
  <si>
    <t xml:space="preserve">tín chỉ</t>
  </si>
  <si>
    <t xml:space="preserve">die Bachelorarbeit</t>
  </si>
  <si>
    <t xml:space="preserve">khóa luận</t>
  </si>
  <si>
    <t xml:space="preserve">ausgebucht</t>
  </si>
  <si>
    <t xml:space="preserve">hết chỗ</t>
  </si>
  <si>
    <t xml:space="preserve">die Anwesenheit</t>
  </si>
  <si>
    <t xml:space="preserve">sự có mặt</t>
  </si>
  <si>
    <t xml:space="preserve">die Bibliothek</t>
  </si>
  <si>
    <t xml:space="preserve">thư viện</t>
  </si>
  <si>
    <t xml:space="preserve">die Mitschrift</t>
  </si>
  <si>
    <t xml:space="preserve">bản ghi chép</t>
  </si>
  <si>
    <t xml:space="preserve">đề cập</t>
  </si>
  <si>
    <t xml:space="preserve">sich einschreiben</t>
  </si>
  <si>
    <t xml:space="preserve">ghi danh</t>
  </si>
  <si>
    <t xml:space="preserve">die Note</t>
  </si>
  <si>
    <t xml:space="preserve">điểm số</t>
  </si>
  <si>
    <t xml:space="preserve">das Prozent</t>
  </si>
  <si>
    <t xml:space="preserve">phần trăm</t>
  </si>
  <si>
    <t xml:space="preserve">das Stipendium</t>
  </si>
  <si>
    <t xml:space="preserve">học bổng</t>
  </si>
  <si>
    <t xml:space="preserve">der Dozent</t>
  </si>
  <si>
    <t xml:space="preserve">giảng viên</t>
  </si>
  <si>
    <t xml:space="preserve">verständlich</t>
  </si>
  <si>
    <t xml:space="preserve">dễ hiểu</t>
  </si>
  <si>
    <t xml:space="preserve">promovieren</t>
  </si>
  <si>
    <t xml:space="preserve">làm tiến sĩ</t>
  </si>
  <si>
    <t xml:space="preserve">die Zweizimmerwohnung</t>
  </si>
  <si>
    <t xml:space="preserve">căn hộ 2 phòng</t>
  </si>
  <si>
    <t xml:space="preserve">die Kaltmiete</t>
  </si>
  <si>
    <t xml:space="preserve">tiền thuê chưa phí</t>
  </si>
  <si>
    <t xml:space="preserve">die Kaution</t>
  </si>
  <si>
    <t xml:space="preserve">tiền đặt cọc</t>
  </si>
  <si>
    <t xml:space="preserve">besichtigen</t>
  </si>
  <si>
    <t xml:space="preserve">tham quan/xem</t>
  </si>
  <si>
    <t xml:space="preserve">trống</t>
  </si>
  <si>
    <t xml:space="preserve">erlaubt</t>
  </si>
  <si>
    <t xml:space="preserve">die Auskunft</t>
  </si>
  <si>
    <t xml:space="preserve">thông tin/xác nhận</t>
  </si>
  <si>
    <t xml:space="preserve">der Nachweis</t>
  </si>
  <si>
    <t xml:space="preserve">bằng chứng</t>
  </si>
  <si>
    <t xml:space="preserve">das Einkommen</t>
  </si>
  <si>
    <t xml:space="preserve">thu nhập</t>
  </si>
  <si>
    <t xml:space="preserve">der Umzug</t>
  </si>
  <si>
    <t xml:space="preserve">việc chuyển nhà</t>
  </si>
  <si>
    <t xml:space="preserve">bao gồm</t>
  </si>
  <si>
    <t xml:space="preserve">die Kündigungsfrist</t>
  </si>
  <si>
    <t xml:space="preserve">thời hạn báo trước</t>
  </si>
  <si>
    <t xml:space="preserve">übergeben</t>
  </si>
  <si>
    <t xml:space="preserve">bàn giao</t>
  </si>
  <si>
    <t xml:space="preserve">besenrein</t>
  </si>
  <si>
    <t xml:space="preserve">quét sạch</t>
  </si>
  <si>
    <t xml:space="preserve">der Strom</t>
  </si>
  <si>
    <t xml:space="preserve">điện</t>
  </si>
  <si>
    <t xml:space="preserve">abrechnen</t>
  </si>
  <si>
    <t xml:space="preserve">tính toán</t>
  </si>
  <si>
    <t xml:space="preserve">die WG</t>
  </si>
  <si>
    <t xml:space="preserve">nhà ở ghép</t>
  </si>
  <si>
    <t xml:space="preserve">aufbauen</t>
  </si>
  <si>
    <t xml:space="preserve">lắp ráp</t>
  </si>
  <si>
    <t xml:space="preserve">die Möbel</t>
  </si>
  <si>
    <t xml:space="preserve">nội thất</t>
  </si>
  <si>
    <t xml:space="preserve">der Einzug</t>
  </si>
  <si>
    <t xml:space="preserve">việc dọn vào</t>
  </si>
  <si>
    <t xml:space="preserve">zurückbekommen</t>
  </si>
  <si>
    <t xml:space="preserve">nhận lại</t>
  </si>
  <si>
    <t xml:space="preserve">reservieren</t>
  </si>
  <si>
    <t xml:space="preserve">đặt trước</t>
  </si>
  <si>
    <t xml:space="preserve">auschecken</t>
  </si>
  <si>
    <t xml:space="preserve">trả phòng</t>
  </si>
  <si>
    <t xml:space="preserve">der Koffer</t>
  </si>
  <si>
    <t xml:space="preserve">vali</t>
  </si>
  <si>
    <t xml:space="preserve">das Gepäck</t>
  </si>
  <si>
    <t xml:space="preserve">hành lý</t>
  </si>
  <si>
    <t xml:space="preserve">trễ giờ</t>
  </si>
  <si>
    <t xml:space="preserve">das Handgepäck</t>
  </si>
  <si>
    <t xml:space="preserve">hành lý xách tay</t>
  </si>
  <si>
    <t xml:space="preserve">die Klimaanlage</t>
  </si>
  <si>
    <t xml:space="preserve">điều hòa</t>
  </si>
  <si>
    <t xml:space="preserve">die Sehenswürdigkeit</t>
  </si>
  <si>
    <t xml:space="preserve">điểm tham quan</t>
  </si>
  <si>
    <t xml:space="preserve">die Stadtführung</t>
  </si>
  <si>
    <t xml:space="preserve">tour thành phố</t>
  </si>
  <si>
    <t xml:space="preserve">der Flughafen</t>
  </si>
  <si>
    <t xml:space="preserve">sân bay</t>
  </si>
  <si>
    <t xml:space="preserve">zentral</t>
  </si>
  <si>
    <t xml:space="preserve">ở trung tâm</t>
  </si>
  <si>
    <t xml:space="preserve">die Quittung</t>
  </si>
  <si>
    <t xml:space="preserve">biên lai</t>
  </si>
  <si>
    <t xml:space="preserve">die Reise</t>
  </si>
  <si>
    <t xml:space="preserve">einchecken</t>
  </si>
  <si>
    <t xml:space="preserve">làm thủ tục</t>
  </si>
  <si>
    <t xml:space="preserve">der Anschlussflug</t>
  </si>
  <si>
    <t xml:space="preserve">chuyến bay nối</t>
  </si>
  <si>
    <t xml:space="preserve">quốc gia</t>
  </si>
  <si>
    <t xml:space="preserve">die Unterkunft</t>
  </si>
  <si>
    <t xml:space="preserve">chỗ ở</t>
  </si>
  <si>
    <t xml:space="preserve">günstig</t>
  </si>
  <si>
    <t xml:space="preserve">giá tốt</t>
  </si>
  <si>
    <t xml:space="preserve">die Ware</t>
  </si>
  <si>
    <t xml:space="preserve">hàng hóa</t>
  </si>
  <si>
    <t xml:space="preserve">beschädigt</t>
  </si>
  <si>
    <t xml:space="preserve">bị hư hại</t>
  </si>
  <si>
    <t xml:space="preserve">die Lieferung</t>
  </si>
  <si>
    <t xml:space="preserve">die Garantie</t>
  </si>
  <si>
    <t xml:space="preserve">bảo hành</t>
  </si>
  <si>
    <t xml:space="preserve">die Rückerstattung</t>
  </si>
  <si>
    <t xml:space="preserve">hoàn tiền</t>
  </si>
  <si>
    <t xml:space="preserve">das Widerrufsrecht</t>
  </si>
  <si>
    <t xml:space="preserve">quyền hủy mua</t>
  </si>
  <si>
    <t xml:space="preserve">stornieren</t>
  </si>
  <si>
    <t xml:space="preserve">hủy đơn</t>
  </si>
  <si>
    <t xml:space="preserve">die Bestätigung</t>
  </si>
  <si>
    <t xml:space="preserve">vorrätig</t>
  </si>
  <si>
    <t xml:space="preserve">có sẵn</t>
  </si>
  <si>
    <t xml:space="preserve">der Service</t>
  </si>
  <si>
    <t xml:space="preserve">dịch vụ</t>
  </si>
  <si>
    <t xml:space="preserve">die Versandkosten</t>
  </si>
  <si>
    <t xml:space="preserve">phí vận chuyển</t>
  </si>
  <si>
    <t xml:space="preserve">der Beleg</t>
  </si>
  <si>
    <t xml:space="preserve">das Gerät</t>
  </si>
  <si>
    <t xml:space="preserve">thiết bị</t>
  </si>
  <si>
    <t xml:space="preserve">der Defekt</t>
  </si>
  <si>
    <t xml:space="preserve">lỗi kỹ thuật</t>
  </si>
  <si>
    <t xml:space="preserve">die Reklamation</t>
  </si>
  <si>
    <t xml:space="preserve">berechnen</t>
  </si>
  <si>
    <t xml:space="preserve">tính</t>
  </si>
  <si>
    <t xml:space="preserve">korrekt</t>
  </si>
  <si>
    <t xml:space="preserve">der Betrag</t>
  </si>
  <si>
    <t xml:space="preserve">số tiền</t>
  </si>
  <si>
    <t xml:space="preserve">doppelt</t>
  </si>
  <si>
    <t xml:space="preserve">gấp đôi</t>
  </si>
  <si>
    <t xml:space="preserve">der Eingang</t>
  </si>
  <si>
    <t xml:space="preserve">sự tiếp nhận</t>
  </si>
  <si>
    <t xml:space="preserve">die Meinung</t>
  </si>
  <si>
    <t xml:space="preserve">ý kiến</t>
  </si>
  <si>
    <t xml:space="preserve">die Ansicht</t>
  </si>
  <si>
    <t xml:space="preserve">quan điểm</t>
  </si>
  <si>
    <t xml:space="preserve">eingreifen</t>
  </si>
  <si>
    <t xml:space="preserve">can thiệp</t>
  </si>
  <si>
    <t xml:space="preserve">überwiegen</t>
  </si>
  <si>
    <t xml:space="preserve">chiếm ưu thế</t>
  </si>
  <si>
    <t xml:space="preserve">der Vorteil</t>
  </si>
  <si>
    <t xml:space="preserve">ưu điểm</t>
  </si>
  <si>
    <t xml:space="preserve">dafür sprechen</t>
  </si>
  <si>
    <t xml:space="preserve">nói lên ủng hộ</t>
  </si>
  <si>
    <t xml:space="preserve">dagegen sprechen</t>
  </si>
  <si>
    <t xml:space="preserve">chống lại</t>
  </si>
  <si>
    <t xml:space="preserve">cho là</t>
  </si>
  <si>
    <t xml:space="preserve">realistisch</t>
  </si>
  <si>
    <t xml:space="preserve">thực tế</t>
  </si>
  <si>
    <t xml:space="preserve">leugnen</t>
  </si>
  <si>
    <t xml:space="preserve">phủ nhận</t>
  </si>
  <si>
    <t xml:space="preserve">tồn tại</t>
  </si>
  <si>
    <t xml:space="preserve">effektiv</t>
  </si>
  <si>
    <t xml:space="preserve">hiệu quả</t>
  </si>
  <si>
    <t xml:space="preserve">davon ausgehen</t>
  </si>
  <si>
    <t xml:space="preserve">giả định</t>
  </si>
  <si>
    <t xml:space="preserve">die Umsetzung</t>
  </si>
  <si>
    <t xml:space="preserve">sự triển khai</t>
  </si>
  <si>
    <t xml:space="preserve">letztlich</t>
  </si>
  <si>
    <t xml:space="preserve">rốt cuộc</t>
  </si>
  <si>
    <t xml:space="preserve">teilweise</t>
  </si>
  <si>
    <t xml:space="preserve">một phần</t>
  </si>
  <si>
    <t xml:space="preserve">einiges</t>
  </si>
  <si>
    <t xml:space="preserve">vài điều</t>
  </si>
  <si>
    <t xml:space="preserve">vieles</t>
  </si>
  <si>
    <t xml:space="preserve">nhiều điều</t>
  </si>
  <si>
    <t xml:space="preserve">verdeutlichen</t>
  </si>
  <si>
    <t xml:space="preserve">tóm lại</t>
  </si>
  <si>
    <t xml:space="preserve">überzeugt</t>
  </si>
  <si>
    <t xml:space="preserve">tin chắc</t>
  </si>
  <si>
    <t xml:space="preserve">überzeugen</t>
  </si>
  <si>
    <t xml:space="preserve">thuyết phục</t>
  </si>
  <si>
    <t xml:space="preserve">differenziert</t>
  </si>
  <si>
    <t xml:space="preserve">có phân biệt</t>
  </si>
  <si>
    <t xml:space="preserve">betrachten</t>
  </si>
  <si>
    <t xml:space="preserve">xem xét</t>
  </si>
  <si>
    <t xml:space="preserve">einverstanden</t>
  </si>
  <si>
    <t xml:space="preserve">genauso</t>
  </si>
  <si>
    <t xml:space="preserve">y hệt</t>
  </si>
  <si>
    <t xml:space="preserve">widersprechen</t>
  </si>
  <si>
    <t xml:space="preserve">phản bác</t>
  </si>
  <si>
    <t xml:space="preserve">die Ausnahme</t>
  </si>
  <si>
    <t xml:space="preserve">ngoại lệ</t>
  </si>
  <si>
    <t xml:space="preserve">dabeibleiben</t>
  </si>
  <si>
    <t xml:space="preserve">giữ nguyên ý</t>
  </si>
  <si>
    <t xml:space="preserve">der Standpunkt</t>
  </si>
  <si>
    <t xml:space="preserve">entschieden</t>
  </si>
  <si>
    <t xml:space="preserve">dứt khoát</t>
  </si>
  <si>
    <t xml:space="preserve">durchaus</t>
  </si>
  <si>
    <t xml:space="preserve">quả thực</t>
  </si>
  <si>
    <t xml:space="preserve">pauschal</t>
  </si>
  <si>
    <t xml:space="preserve">chung chung</t>
  </si>
  <si>
    <t xml:space="preserve">die Bedenken</t>
  </si>
  <si>
    <t xml:space="preserve">sự lo ngại</t>
  </si>
  <si>
    <t xml:space="preserve">streiten</t>
  </si>
  <si>
    <t xml:space="preserve">tranh cãi</t>
  </si>
  <si>
    <t xml:space="preserve">die Mehrheit</t>
  </si>
  <si>
    <t xml:space="preserve">đa số</t>
  </si>
  <si>
    <t xml:space="preserve">plausibel</t>
  </si>
  <si>
    <t xml:space="preserve">hợp lý</t>
  </si>
  <si>
    <t xml:space="preserve">unbewiesen</t>
  </si>
  <si>
    <t xml:space="preserve">chưa chứng minh</t>
  </si>
  <si>
    <t xml:space="preserve">einräumen</t>
  </si>
  <si>
    <t xml:space="preserve">thừa nhận</t>
  </si>
  <si>
    <t xml:space="preserve">der Respekt</t>
  </si>
  <si>
    <t xml:space="preserve">sự tôn trọng</t>
  </si>
  <si>
    <t xml:space="preserve">insofern</t>
  </si>
  <si>
    <t xml:space="preserve">ở chừng mực</t>
  </si>
  <si>
    <t xml:space="preserve">mâu thuẫn</t>
  </si>
  <si>
    <t xml:space="preserve">präzisieren</t>
  </si>
  <si>
    <t xml:space="preserve">làm chính xác</t>
  </si>
  <si>
    <t xml:space="preserve">dazu</t>
  </si>
  <si>
    <t xml:space="preserve">ausreden</t>
  </si>
  <si>
    <t xml:space="preserve">nói hết lời</t>
  </si>
  <si>
    <t xml:space="preserve">gleich</t>
  </si>
  <si>
    <t xml:space="preserve">das Thema</t>
  </si>
  <si>
    <t xml:space="preserve">chủ đề</t>
  </si>
  <si>
    <t xml:space="preserve">der Kompromiss</t>
  </si>
  <si>
    <t xml:space="preserve">thỏa hiệp</t>
  </si>
  <si>
    <t xml:space="preserve">wegführen</t>
  </si>
  <si>
    <t xml:space="preserve">dẫn đi xa</t>
  </si>
  <si>
    <t xml:space="preserve">der Aspekt</t>
  </si>
  <si>
    <t xml:space="preserve">khía cạnh</t>
  </si>
  <si>
    <t xml:space="preserve">ergänzen</t>
  </si>
  <si>
    <t xml:space="preserve">bổ sung</t>
  </si>
  <si>
    <t xml:space="preserve">hinauswollen</t>
  </si>
  <si>
    <t xml:space="preserve">nhắm tới</t>
  </si>
  <si>
    <t xml:space="preserve">phản biện</t>
  </si>
  <si>
    <t xml:space="preserve">berechtigt</t>
  </si>
  <si>
    <t xml:space="preserve">chính đáng</t>
  </si>
  <si>
    <t xml:space="preserve">plädieren</t>
  </si>
  <si>
    <t xml:space="preserve">bênh vực</t>
  </si>
  <si>
    <t xml:space="preserve">schrittweise</t>
  </si>
  <si>
    <t xml:space="preserve">từng bước</t>
  </si>
  <si>
    <t xml:space="preserve">zusammenfassen</t>
  </si>
  <si>
    <t xml:space="preserve">tóm tắt</t>
  </si>
  <si>
    <t xml:space="preserve">unterbrechen</t>
  </si>
  <si>
    <t xml:space="preserve">ngắt lời</t>
  </si>
  <si>
    <t xml:space="preserve">chưa thấu đáo</t>
  </si>
  <si>
    <t xml:space="preserve">die Ursache</t>
  </si>
  <si>
    <t xml:space="preserve">nguyên nhân</t>
  </si>
  <si>
    <t xml:space="preserve">die Wirkung</t>
  </si>
  <si>
    <t xml:space="preserve">tác động</t>
  </si>
  <si>
    <t xml:space="preserve">die Schuld</t>
  </si>
  <si>
    <t xml:space="preserve">lỗi/tội</t>
  </si>
  <si>
    <t xml:space="preserve">folgend</t>
  </si>
  <si>
    <t xml:space="preserve">sau đây</t>
  </si>
  <si>
    <t xml:space="preserve">sachlich</t>
  </si>
  <si>
    <t xml:space="preserve">khách quan</t>
  </si>
  <si>
    <t xml:space="preserve">đưa ra bàn</t>
  </si>
  <si>
    <t xml:space="preserve">unmöglich</t>
  </si>
  <si>
    <t xml:space="preserve">không thể</t>
  </si>
  <si>
    <t xml:space="preserve">tự xưng là</t>
  </si>
  <si>
    <t xml:space="preserve">nghe nói</t>
  </si>
  <si>
    <t xml:space="preserve">rất có khả năng</t>
  </si>
  <si>
    <t xml:space="preserve">ausreichen</t>
  </si>
  <si>
    <t xml:space="preserve">offenbar</t>
  </si>
  <si>
    <t xml:space="preserve">hiển nhiên</t>
  </si>
  <si>
    <t xml:space="preserve">angeblich</t>
  </si>
  <si>
    <t xml:space="preserve">được cho là</t>
  </si>
  <si>
    <t xml:space="preserve">vorliegen</t>
  </si>
  <si>
    <t xml:space="preserve">hiện có</t>
  </si>
  <si>
    <t xml:space="preserve">möglicherweise</t>
  </si>
  <si>
    <t xml:space="preserve">ausschließen</t>
  </si>
  <si>
    <t xml:space="preserve">loại trừ</t>
  </si>
  <si>
    <t xml:space="preserve">hoàn toàn</t>
  </si>
  <si>
    <t xml:space="preserve">hindeuten</t>
  </si>
  <si>
    <t xml:space="preserve">chỉ dấu</t>
  </si>
  <si>
    <t xml:space="preserve">die Absicht</t>
  </si>
  <si>
    <t xml:space="preserve">ý định</t>
  </si>
  <si>
    <t xml:space="preserve">có vẻ</t>
  </si>
  <si>
    <t xml:space="preserve">die Sicherheit</t>
  </si>
  <si>
    <t xml:space="preserve">sự chắc chắn</t>
  </si>
  <si>
    <t xml:space="preserve">sei</t>
  </si>
  <si>
    <t xml:space="preserve">là (gián tiếp)</t>
  </si>
  <si>
    <t xml:space="preserve">habe</t>
  </si>
  <si>
    <t xml:space="preserve">có (gián tiếp)</t>
  </si>
  <si>
    <t xml:space="preserve">senken</t>
  </si>
  <si>
    <t xml:space="preserve">hạ xuống</t>
  </si>
  <si>
    <t xml:space="preserve">theo</t>
  </si>
  <si>
    <t xml:space="preserve">der Bericht</t>
  </si>
  <si>
    <t xml:space="preserve">báo cáo</t>
  </si>
  <si>
    <t xml:space="preserve">der Zeuge</t>
  </si>
  <si>
    <t xml:space="preserve">nhân chứng</t>
  </si>
  <si>
    <t xml:space="preserve">die Insolvenz</t>
  </si>
  <si>
    <t xml:space="preserve">sự phá sản</t>
  </si>
  <si>
    <t xml:space="preserve">eskalieren</t>
  </si>
  <si>
    <t xml:space="preserve">leo thang</t>
  </si>
  <si>
    <t xml:space="preserve">mitteilen</t>
  </si>
  <si>
    <t xml:space="preserve">raten</t>
  </si>
  <si>
    <t xml:space="preserve">der Beweis</t>
  </si>
  <si>
    <t xml:space="preserve">betonen</t>
  </si>
  <si>
    <t xml:space="preserve">nhấn mạnh</t>
  </si>
  <si>
    <t xml:space="preserve">versichern</t>
  </si>
  <si>
    <t xml:space="preserve">cam đoan</t>
  </si>
  <si>
    <t xml:space="preserve">die Kürzung</t>
  </si>
  <si>
    <t xml:space="preserve">sự cắt giảm</t>
  </si>
  <si>
    <t xml:space="preserve">löschen</t>
  </si>
  <si>
    <t xml:space="preserve">xóa</t>
  </si>
  <si>
    <t xml:space="preserve">der Täter</t>
  </si>
  <si>
    <t xml:space="preserve">thủ phạm</t>
  </si>
  <si>
    <t xml:space="preserve">fassen</t>
  </si>
  <si>
    <t xml:space="preserve">bắt</t>
  </si>
  <si>
    <t xml:space="preserve">geduldig</t>
  </si>
  <si>
    <t xml:space="preserve">kiên nhẫn</t>
  </si>
  <si>
    <t xml:space="preserve">steigend</t>
  </si>
  <si>
    <t xml:space="preserve">đang tăng</t>
  </si>
  <si>
    <t xml:space="preserve">belasten</t>
  </si>
  <si>
    <t xml:space="preserve">gây gánh nặng</t>
  </si>
  <si>
    <t xml:space="preserve">liefern</t>
  </si>
  <si>
    <t xml:space="preserve">der Fachkräftemangel</t>
  </si>
  <si>
    <t xml:space="preserve">thiếu nhân lực</t>
  </si>
  <si>
    <t xml:space="preserve">für Aufsehen sorgen</t>
  </si>
  <si>
    <t xml:space="preserve">gây xôn xao</t>
  </si>
  <si>
    <t xml:space="preserve">verlassen</t>
  </si>
  <si>
    <t xml:space="preserve">rời khỏi</t>
  </si>
  <si>
    <t xml:space="preserve">betreffen</t>
  </si>
  <si>
    <t xml:space="preserve">liên quan/ảnh hưởng</t>
  </si>
  <si>
    <t xml:space="preserve">ausbilden</t>
  </si>
  <si>
    <t xml:space="preserve">đào tạo</t>
  </si>
  <si>
    <t xml:space="preserve">effizient</t>
  </si>
  <si>
    <t xml:space="preserve">erledigen</t>
  </si>
  <si>
    <t xml:space="preserve">hoàn thành</t>
  </si>
  <si>
    <t xml:space="preserve">anblicken</t>
  </si>
  <si>
    <t xml:space="preserve">nhìn</t>
  </si>
  <si>
    <t xml:space="preserve">das Honorar</t>
  </si>
  <si>
    <t xml:space="preserve">thù lao</t>
  </si>
  <si>
    <t xml:space="preserve">entscheidend</t>
  </si>
  <si>
    <t xml:space="preserve">mang tính quyết định</t>
  </si>
  <si>
    <t xml:space="preserve">überzeugend</t>
  </si>
  <si>
    <t xml:space="preserve">loben</t>
  </si>
  <si>
    <t xml:space="preserve">khen</t>
  </si>
  <si>
    <t xml:space="preserve">bescheiden</t>
  </si>
  <si>
    <t xml:space="preserve">khiêm tốn</t>
  </si>
  <si>
    <t xml:space="preserve">treiben</t>
  </si>
  <si>
    <t xml:space="preserve">đẩy</t>
  </si>
  <si>
    <t xml:space="preserve">das Vertrauen</t>
  </si>
  <si>
    <t xml:space="preserve">niềm tin</t>
  </si>
  <si>
    <t xml:space="preserve">zurückgewinnen</t>
  </si>
  <si>
    <t xml:space="preserve">giành lại</t>
  </si>
  <si>
    <t xml:space="preserve">anwesend</t>
  </si>
  <si>
    <t xml:space="preserve">có mặt</t>
  </si>
  <si>
    <t xml:space="preserve">applaudieren</t>
  </si>
  <si>
    <t xml:space="preserve">vỗ tay</t>
  </si>
  <si>
    <t xml:space="preserve">ignorieren</t>
  </si>
  <si>
    <t xml:space="preserve">bỏ qua</t>
  </si>
  <si>
    <t xml:space="preserve">nghiêm</t>
  </si>
  <si>
    <t xml:space="preserve">das Rauchen</t>
  </si>
  <si>
    <t xml:space="preserve">việc hút thuốc</t>
  </si>
  <si>
    <t xml:space="preserve">việc kiểm tra</t>
  </si>
  <si>
    <t xml:space="preserve">entdecken</t>
  </si>
  <si>
    <t xml:space="preserve">phát hiện</t>
  </si>
  <si>
    <t xml:space="preserve">die Bemühung</t>
  </si>
  <si>
    <t xml:space="preserve">nỗ lực</t>
  </si>
  <si>
    <t xml:space="preserve">scheitern</t>
  </si>
  <si>
    <t xml:space="preserve">thất bại</t>
  </si>
  <si>
    <t xml:space="preserve">die Vermeidung</t>
  </si>
  <si>
    <t xml:space="preserve">sự tránh</t>
  </si>
  <si>
    <t xml:space="preserve">die Einführung</t>
  </si>
  <si>
    <t xml:space="preserve">sự đưa vào</t>
  </si>
  <si>
    <t xml:space="preserve">der Widerstand</t>
  </si>
  <si>
    <t xml:space="preserve">phản đối</t>
  </si>
  <si>
    <t xml:space="preserve">die Kultur</t>
  </si>
  <si>
    <t xml:space="preserve">văn hóa</t>
  </si>
  <si>
    <t xml:space="preserve">die Erkrankung</t>
  </si>
  <si>
    <t xml:space="preserve">bệnh</t>
  </si>
  <si>
    <t xml:space="preserve">die Praxis</t>
  </si>
  <si>
    <t xml:space="preserve">phòng khám</t>
  </si>
  <si>
    <t xml:space="preserve">die Priorität</t>
  </si>
  <si>
    <t xml:space="preserve">ưu tiên</t>
  </si>
  <si>
    <t xml:space="preserve">das Nichtgefallen</t>
  </si>
  <si>
    <t xml:space="preserve">sự không hài lòng</t>
  </si>
  <si>
    <t xml:space="preserve">die Entwicklung</t>
  </si>
  <si>
    <t xml:space="preserve">sự phát triển</t>
  </si>
  <si>
    <t xml:space="preserve">das Üben</t>
  </si>
  <si>
    <t xml:space="preserve">việc luyện tập</t>
  </si>
  <si>
    <t xml:space="preserve">der Kontext</t>
  </si>
  <si>
    <t xml:space="preserve">ngữ cảnh</t>
  </si>
  <si>
    <t xml:space="preserve">die Senkung</t>
  </si>
  <si>
    <t xml:space="preserve">sự giảm</t>
  </si>
  <si>
    <t xml:space="preserve">das Ziel</t>
  </si>
  <si>
    <t xml:space="preserve">mục tiêu</t>
  </si>
  <si>
    <t xml:space="preserve">die Sitzung</t>
  </si>
  <si>
    <t xml:space="preserve">phiên họp</t>
  </si>
  <si>
    <t xml:space="preserve">klagen</t>
  </si>
  <si>
    <t xml:space="preserve">than vãn</t>
  </si>
  <si>
    <t xml:space="preserve">ständig</t>
  </si>
  <si>
    <t xml:space="preserve">liên tục</t>
  </si>
  <si>
    <t xml:space="preserve">zunehmend</t>
  </si>
  <si>
    <t xml:space="preserve">ngày càng tăng</t>
  </si>
  <si>
    <t xml:space="preserve">die Teilnahme</t>
  </si>
  <si>
    <t xml:space="preserve">sự tham gia</t>
  </si>
  <si>
    <t xml:space="preserve">freiwillig</t>
  </si>
  <si>
    <t xml:space="preserve">tự nguyện</t>
  </si>
  <si>
    <t xml:space="preserve">sich lassen</t>
  </si>
  <si>
    <t xml:space="preserve">có thể được</t>
  </si>
  <si>
    <t xml:space="preserve">vermeidbar</t>
  </si>
  <si>
    <t xml:space="preserve">có thể tránh</t>
  </si>
  <si>
    <t xml:space="preserve">lesbar</t>
  </si>
  <si>
    <t xml:space="preserve">đọc được</t>
  </si>
  <si>
    <t xml:space="preserve">abrufbar</t>
  </si>
  <si>
    <t xml:space="preserve">truy xuất được</t>
  </si>
  <si>
    <t xml:space="preserve">ändern</t>
  </si>
  <si>
    <t xml:space="preserve">abwarten</t>
  </si>
  <si>
    <t xml:space="preserve">chờ xem</t>
  </si>
  <si>
    <t xml:space="preserve">bedienen</t>
  </si>
  <si>
    <t xml:space="preserve">vận hành</t>
  </si>
  <si>
    <t xml:space="preserve">unterschätzen</t>
  </si>
  <si>
    <t xml:space="preserve">đánh giá thấp</t>
  </si>
  <si>
    <t xml:space="preserve">einhalten</t>
  </si>
  <si>
    <t xml:space="preserve">tuân thủ</t>
  </si>
  <si>
    <t xml:space="preserve">der Schaden</t>
  </si>
  <si>
    <t xml:space="preserve">thiệt hại</t>
  </si>
  <si>
    <t xml:space="preserve">belegen</t>
  </si>
  <si>
    <t xml:space="preserve">chứng minh</t>
  </si>
  <si>
    <t xml:space="preserve">lügen</t>
  </si>
  <si>
    <t xml:space="preserve">nói dối</t>
  </si>
  <si>
    <t xml:space="preserve">vorbeikommen</t>
  </si>
  <si>
    <t xml:space="preserve">ghé qua</t>
  </si>
  <si>
    <t xml:space="preserve">unglaublich</t>
  </si>
  <si>
    <t xml:space="preserve">không tin nổi</t>
  </si>
  <si>
    <t xml:space="preserve">doch</t>
  </si>
  <si>
    <t xml:space="preserve">mà/chứ</t>
  </si>
  <si>
    <t xml:space="preserve">mal</t>
  </si>
  <si>
    <t xml:space="preserve">eben</t>
  </si>
  <si>
    <t xml:space="preserve">vốn dĩ</t>
  </si>
  <si>
    <t xml:space="preserve">halt</t>
  </si>
  <si>
    <t xml:space="preserve">đành vậy</t>
  </si>
  <si>
    <t xml:space="preserve">thế/vậy</t>
  </si>
  <si>
    <t xml:space="preserve">klar</t>
  </si>
  <si>
    <t xml:space="preserve">rõ</t>
  </si>
  <si>
    <t xml:space="preserve">cứ việc</t>
  </si>
  <si>
    <t xml:space="preserve">thật là</t>
  </si>
  <si>
    <t xml:space="preserve">bloß</t>
  </si>
  <si>
    <t xml:space="preserve">chỉ/đấy</t>
  </si>
  <si>
    <t xml:space="preserve">noch mal</t>
  </si>
  <si>
    <t xml:space="preserve">khắt khe</t>
  </si>
  <si>
    <t xml:space="preserve">wahr</t>
  </si>
  <si>
    <t xml:space="preserve">thật</t>
  </si>
  <si>
    <t xml:space="preserve">trước hết</t>
  </si>
  <si>
    <t xml:space="preserve">einführen</t>
  </si>
  <si>
    <t xml:space="preserve">darüber hinaus</t>
  </si>
  <si>
    <t xml:space="preserve">hơn nữa</t>
  </si>
  <si>
    <t xml:space="preserve">das Risiko</t>
  </si>
  <si>
    <t xml:space="preserve">rủi ro</t>
  </si>
  <si>
    <t xml:space="preserve">folglich</t>
  </si>
  <si>
    <t xml:space="preserve">do đó</t>
  </si>
  <si>
    <t xml:space="preserve">umdenken</t>
  </si>
  <si>
    <t xml:space="preserve">nghĩ lại</t>
  </si>
  <si>
    <t xml:space="preserve">dennoch</t>
  </si>
  <si>
    <t xml:space="preserve">tuy vậy</t>
  </si>
  <si>
    <t xml:space="preserve">unbefriedigend</t>
  </si>
  <si>
    <t xml:space="preserve">chưa thỏa</t>
  </si>
  <si>
    <t xml:space="preserve">abschließend</t>
  </si>
  <si>
    <t xml:space="preserve">cuối cùng</t>
  </si>
  <si>
    <t xml:space="preserve">knapp</t>
  </si>
  <si>
    <t xml:space="preserve">eo hẹp</t>
  </si>
  <si>
    <t xml:space="preserve">der Gegensatz</t>
  </si>
  <si>
    <t xml:space="preserve">sự đối lập</t>
  </si>
  <si>
    <t xml:space="preserve">beispielsweise</t>
  </si>
  <si>
    <t xml:space="preserve">erhöhen</t>
  </si>
  <si>
    <t xml:space="preserve">insgesamt</t>
  </si>
  <si>
    <t xml:space="preserve">tổng cộng</t>
  </si>
  <si>
    <t xml:space="preserve">der Haken</t>
  </si>
  <si>
    <t xml:space="preserve">điểm vướng</t>
  </si>
  <si>
    <t xml:space="preserve">das Personal</t>
  </si>
  <si>
    <t xml:space="preserve">nhân sự</t>
  </si>
  <si>
    <t xml:space="preserve">folgen</t>
  </si>
  <si>
    <t xml:space="preserve">suy ra</t>
  </si>
  <si>
    <t xml:space="preserve">die Motivation</t>
  </si>
  <si>
    <t xml:space="preserve">động lực</t>
  </si>
  <si>
    <t xml:space="preserve">die Einigung</t>
  </si>
  <si>
    <t xml:space="preserve">sự thỏa thuận</t>
  </si>
  <si>
    <t xml:space="preserve">erzielen</t>
  </si>
  <si>
    <t xml:space="preserve">đạt được</t>
  </si>
  <si>
    <t xml:space="preserve">betroffen</t>
  </si>
  <si>
    <t xml:space="preserve">bị ảnh hưởng</t>
  </si>
  <si>
    <t xml:space="preserve">demzufolge</t>
  </si>
  <si>
    <t xml:space="preserve">theo đó</t>
  </si>
  <si>
    <t xml:space="preserve">die Einschätzung</t>
  </si>
  <si>
    <t xml:space="preserve">sự đánh giá</t>
  </si>
  <si>
    <t xml:space="preserve">nói ngắn gọn</t>
  </si>
  <si>
    <t xml:space="preserve">der Klimawandel</t>
  </si>
  <si>
    <t xml:space="preserve">biến đổi khí hậu</t>
  </si>
  <si>
    <t xml:space="preserve">der Ausstoß</t>
  </si>
  <si>
    <t xml:space="preserve">lượng phát thải</t>
  </si>
  <si>
    <t xml:space="preserve">giảm</t>
  </si>
  <si>
    <t xml:space="preserve">erneuerbar</t>
  </si>
  <si>
    <t xml:space="preserve">tái tạo</t>
  </si>
  <si>
    <t xml:space="preserve">die Bedeutung</t>
  </si>
  <si>
    <t xml:space="preserve">ý nghĩa</t>
  </si>
  <si>
    <t xml:space="preserve">der Müll</t>
  </si>
  <si>
    <t xml:space="preserve">rác</t>
  </si>
  <si>
    <t xml:space="preserve">verschmutzen</t>
  </si>
  <si>
    <t xml:space="preserve">làm bẩn</t>
  </si>
  <si>
    <t xml:space="preserve">beitragen</t>
  </si>
  <si>
    <t xml:space="preserve">đóng góp</t>
  </si>
  <si>
    <t xml:space="preserve">die Folge</t>
  </si>
  <si>
    <t xml:space="preserve">hậu quả</t>
  </si>
  <si>
    <t xml:space="preserve">spürbar</t>
  </si>
  <si>
    <t xml:space="preserve">cảm nhận được</t>
  </si>
  <si>
    <t xml:space="preserve">verzichten</t>
  </si>
  <si>
    <t xml:space="preserve">từ bỏ</t>
  </si>
  <si>
    <t xml:space="preserve">der Ausbau</t>
  </si>
  <si>
    <t xml:space="preserve">sự mở rộng</t>
  </si>
  <si>
    <t xml:space="preserve">vorangehen</t>
  </si>
  <si>
    <t xml:space="preserve">tiến triển</t>
  </si>
  <si>
    <t xml:space="preserve">die Artenvielfalt</t>
  </si>
  <si>
    <t xml:space="preserve">đa dạng sinh học</t>
  </si>
  <si>
    <t xml:space="preserve">die Nachhaltigkeit</t>
  </si>
  <si>
    <t xml:space="preserve">tính bền vững</t>
  </si>
  <si>
    <t xml:space="preserve">die Temperatur</t>
  </si>
  <si>
    <t xml:space="preserve">nhiệt độ</t>
  </si>
  <si>
    <t xml:space="preserve">das Abkommen</t>
  </si>
  <si>
    <t xml:space="preserve">hiệp định</t>
  </si>
  <si>
    <t xml:space="preserve">der Wille</t>
  </si>
  <si>
    <t xml:space="preserve">ý chí</t>
  </si>
  <si>
    <t xml:space="preserve">die Mülltrennung</t>
  </si>
  <si>
    <t xml:space="preserve">phân loại rác</t>
  </si>
  <si>
    <t xml:space="preserve">der Verbrauch</t>
  </si>
  <si>
    <t xml:space="preserve">mức tiêu thụ</t>
  </si>
  <si>
    <t xml:space="preserve">der Umweltschutz</t>
  </si>
  <si>
    <t xml:space="preserve">bảo vệ môi trường</t>
  </si>
  <si>
    <t xml:space="preserve">die Luftqualität</t>
  </si>
  <si>
    <t xml:space="preserve">chất lượng không khí</t>
  </si>
  <si>
    <t xml:space="preserve">zunehmen</t>
  </si>
  <si>
    <t xml:space="preserve">gia tăng</t>
  </si>
  <si>
    <t xml:space="preserve">weltweit</t>
  </si>
  <si>
    <t xml:space="preserve">toàn cầu</t>
  </si>
  <si>
    <t xml:space="preserve">die Maßnahme</t>
  </si>
  <si>
    <t xml:space="preserve">biện pháp</t>
  </si>
  <si>
    <t xml:space="preserve">radikal</t>
  </si>
  <si>
    <t xml:space="preserve">triệt để</t>
  </si>
  <si>
    <t xml:space="preserve">die Tätigkeit</t>
  </si>
  <si>
    <t xml:space="preserve">automatisieren</t>
  </si>
  <si>
    <t xml:space="preserve">tự động hóa</t>
  </si>
  <si>
    <t xml:space="preserve">der Datenschutz</t>
  </si>
  <si>
    <t xml:space="preserve">bảo vệ dữ liệu</t>
  </si>
  <si>
    <t xml:space="preserve">skeptisch</t>
  </si>
  <si>
    <t xml:space="preserve">hoài nghi</t>
  </si>
  <si>
    <t xml:space="preserve">das Vorurteil</t>
  </si>
  <si>
    <t xml:space="preserve">định kiến</t>
  </si>
  <si>
    <t xml:space="preserve">rasant</t>
  </si>
  <si>
    <t xml:space="preserve">rất nhanh</t>
  </si>
  <si>
    <t xml:space="preserve">sinnvoll</t>
  </si>
  <si>
    <t xml:space="preserve">có ý nghĩa</t>
  </si>
  <si>
    <t xml:space="preserve">das Tool</t>
  </si>
  <si>
    <t xml:space="preserve">công cụ</t>
  </si>
  <si>
    <t xml:space="preserve">aktualisieren</t>
  </si>
  <si>
    <t xml:space="preserve">das Passwort</t>
  </si>
  <si>
    <t xml:space="preserve">mật khẩu</t>
  </si>
  <si>
    <t xml:space="preserve">das Werkzeug</t>
  </si>
  <si>
    <t xml:space="preserve">undenkbar</t>
  </si>
  <si>
    <t xml:space="preserve">không tưởng</t>
  </si>
  <si>
    <t xml:space="preserve">die Quelle</t>
  </si>
  <si>
    <t xml:space="preserve">nguồn</t>
  </si>
  <si>
    <t xml:space="preserve">umgehen</t>
  </si>
  <si>
    <t xml:space="preserve">đối xử</t>
  </si>
  <si>
    <t xml:space="preserve">der Nachteil</t>
  </si>
  <si>
    <t xml:space="preserve">nhược điểm</t>
  </si>
  <si>
    <t xml:space="preserve">der Arbeitsplatz</t>
  </si>
  <si>
    <t xml:space="preserve">chỗ làm</t>
  </si>
  <si>
    <t xml:space="preserve">bedürfen</t>
  </si>
  <si>
    <t xml:space="preserve">gesetzlich</t>
  </si>
  <si>
    <t xml:space="preserve">thuộc pháp luật</t>
  </si>
  <si>
    <t xml:space="preserve">sichern</t>
  </si>
  <si>
    <t xml:space="preserve">bảo vệ/sao lưu</t>
  </si>
  <si>
    <t xml:space="preserve">die Benutzeroberfläche</t>
  </si>
  <si>
    <t xml:space="preserve">giao diện</t>
  </si>
  <si>
    <t xml:space="preserve">der Fortschritt</t>
  </si>
  <si>
    <t xml:space="preserve">tiến bộ</t>
  </si>
  <si>
    <t xml:space="preserve">der Beschäftigte</t>
  </si>
  <si>
    <t xml:space="preserve">ngày càng</t>
  </si>
  <si>
    <t xml:space="preserve">giới hạn</t>
  </si>
  <si>
    <t xml:space="preserve">die Überstunde</t>
  </si>
  <si>
    <t xml:space="preserve">giờ làm thêm</t>
  </si>
  <si>
    <t xml:space="preserve">das Betriebsklima</t>
  </si>
  <si>
    <t xml:space="preserve">bầu không khí công ty</t>
  </si>
  <si>
    <t xml:space="preserve">der Burnout</t>
  </si>
  <si>
    <t xml:space="preserve">die Kinderbetreuung</t>
  </si>
  <si>
    <t xml:space="preserve">việc chăm con</t>
  </si>
  <si>
    <t xml:space="preserve">die Gehaltserhöhung</t>
  </si>
  <si>
    <t xml:space="preserve">tăng lương</t>
  </si>
  <si>
    <t xml:space="preserve">die Kündigung</t>
  </si>
  <si>
    <t xml:space="preserve">sự sa thải</t>
  </si>
  <si>
    <t xml:space="preserve">zurückbleiben</t>
  </si>
  <si>
    <t xml:space="preserve">tụt lại</t>
  </si>
  <si>
    <t xml:space="preserve">die Teilzeit</t>
  </si>
  <si>
    <t xml:space="preserve">bán thời gian</t>
  </si>
  <si>
    <t xml:space="preserve">sich richten nach</t>
  </si>
  <si>
    <t xml:space="preserve">der Sinn</t>
  </si>
  <si>
    <t xml:space="preserve">die Gewerkschaft</t>
  </si>
  <si>
    <t xml:space="preserve">công đoàn</t>
  </si>
  <si>
    <t xml:space="preserve">der Lohn</t>
  </si>
  <si>
    <t xml:space="preserve">tiền công</t>
  </si>
  <si>
    <t xml:space="preserve">dung hòa</t>
  </si>
  <si>
    <t xml:space="preserve">die Elternzeit</t>
  </si>
  <si>
    <t xml:space="preserve">nghỉ chăm con</t>
  </si>
  <si>
    <t xml:space="preserve">die Seltenheit</t>
  </si>
  <si>
    <t xml:space="preserve">sự hiếm</t>
  </si>
  <si>
    <t xml:space="preserve">abschalten</t>
  </si>
  <si>
    <t xml:space="preserve">ngắt kết nối</t>
  </si>
  <si>
    <t xml:space="preserve">die Probezeit</t>
  </si>
  <si>
    <t xml:space="preserve">thời gian thử việc</t>
  </si>
  <si>
    <t xml:space="preserve">anstreben</t>
  </si>
  <si>
    <t xml:space="preserve">hướng tới</t>
  </si>
  <si>
    <t xml:space="preserve">die Führungsposition</t>
  </si>
  <si>
    <t xml:space="preserve">vị trí lãnh đạo</t>
  </si>
  <si>
    <t xml:space="preserve">die Bildung</t>
  </si>
  <si>
    <t xml:space="preserve">giáo dục</t>
  </si>
  <si>
    <t xml:space="preserve">der Aufstieg</t>
  </si>
  <si>
    <t xml:space="preserve">sự thăng tiến</t>
  </si>
  <si>
    <t xml:space="preserve">das Elternhaus</t>
  </si>
  <si>
    <t xml:space="preserve">gia đình gốc</t>
  </si>
  <si>
    <t xml:space="preserve">die Chance</t>
  </si>
  <si>
    <t xml:space="preserve">cơ hội</t>
  </si>
  <si>
    <t xml:space="preserve">die Lehrkraft</t>
  </si>
  <si>
    <t xml:space="preserve">giáo viên</t>
  </si>
  <si>
    <t xml:space="preserve">lebenslang</t>
  </si>
  <si>
    <t xml:space="preserve">suốt đời</t>
  </si>
  <si>
    <t xml:space="preserve">reformieren</t>
  </si>
  <si>
    <t xml:space="preserve">cải cách</t>
  </si>
  <si>
    <t xml:space="preserve">grundlegend</t>
  </si>
  <si>
    <t xml:space="preserve">căn bản</t>
  </si>
  <si>
    <t xml:space="preserve">abbrechen</t>
  </si>
  <si>
    <t xml:space="preserve">bỏ dở</t>
  </si>
  <si>
    <t xml:space="preserve">die Ausbildung</t>
  </si>
  <si>
    <t xml:space="preserve">học nghề</t>
  </si>
  <si>
    <t xml:space="preserve">die Theorie</t>
  </si>
  <si>
    <t xml:space="preserve">lý thuyết</t>
  </si>
  <si>
    <t xml:space="preserve">auslernen</t>
  </si>
  <si>
    <t xml:space="preserve">học xong</t>
  </si>
  <si>
    <t xml:space="preserve">die Studiengebühr</t>
  </si>
  <si>
    <t xml:space="preserve">học phí</t>
  </si>
  <si>
    <t xml:space="preserve">die Sprachkenntnisse</t>
  </si>
  <si>
    <t xml:space="preserve">kiến thức ngôn ngữ</t>
  </si>
  <si>
    <t xml:space="preserve">mangeln an</t>
  </si>
  <si>
    <t xml:space="preserve">thiếu</t>
  </si>
  <si>
    <t xml:space="preserve">giờ học</t>
  </si>
  <si>
    <t xml:space="preserve">der Lernprozess</t>
  </si>
  <si>
    <t xml:space="preserve">quá trình học</t>
  </si>
  <si>
    <t xml:space="preserve">finanzieren</t>
  </si>
  <si>
    <t xml:space="preserve">chi trả</t>
  </si>
  <si>
    <t xml:space="preserve">die Chancengleichheit</t>
  </si>
  <si>
    <t xml:space="preserve">bình đẳng cơ hội</t>
  </si>
  <si>
    <t xml:space="preserve">auseinanderklaffen</t>
  </si>
  <si>
    <t xml:space="preserve">chênh lệch</t>
  </si>
  <si>
    <t xml:space="preserve">bên cạnh/làm thêm</t>
  </si>
  <si>
    <t xml:space="preserve">das Niveau</t>
  </si>
  <si>
    <t xml:space="preserve">trình độ</t>
  </si>
  <si>
    <t xml:space="preserve">sinken</t>
  </si>
  <si>
    <t xml:space="preserve">die Integration</t>
  </si>
  <si>
    <t xml:space="preserve">hội nhập</t>
  </si>
  <si>
    <t xml:space="preserve">der Migrant</t>
  </si>
  <si>
    <t xml:space="preserve">người nhập cư</t>
  </si>
  <si>
    <t xml:space="preserve">die Teilhabe</t>
  </si>
  <si>
    <t xml:space="preserve">sự tham dự</t>
  </si>
  <si>
    <t xml:space="preserve">anerkennen</t>
  </si>
  <si>
    <t xml:space="preserve">công nhận</t>
  </si>
  <si>
    <t xml:space="preserve">die Unwissenheit</t>
  </si>
  <si>
    <t xml:space="preserve">sự thiếu hiểu biết</t>
  </si>
  <si>
    <t xml:space="preserve">der Spracherwerb</t>
  </si>
  <si>
    <t xml:space="preserve">sự tiếp thu ngôn ngữ</t>
  </si>
  <si>
    <t xml:space="preserve">ehrenamtlich</t>
  </si>
  <si>
    <t xml:space="preserve">tình nguyện</t>
  </si>
  <si>
    <t xml:space="preserve">der Geflüchtete</t>
  </si>
  <si>
    <t xml:space="preserve">người tị nạn</t>
  </si>
  <si>
    <t xml:space="preserve">die Herkunft</t>
  </si>
  <si>
    <t xml:space="preserve">xuất thân</t>
  </si>
  <si>
    <t xml:space="preserve">das Heimweh</t>
  </si>
  <si>
    <t xml:space="preserve">nỗi nhớ nhà</t>
  </si>
  <si>
    <t xml:space="preserve">zurückkehren</t>
  </si>
  <si>
    <t xml:space="preserve">quay về</t>
  </si>
  <si>
    <t xml:space="preserve">die Bürokratie</t>
  </si>
  <si>
    <t xml:space="preserve">bộ máy hành chính</t>
  </si>
  <si>
    <t xml:space="preserve">sich einleben</t>
  </si>
  <si>
    <t xml:space="preserve">hòa nhập</t>
  </si>
  <si>
    <t xml:space="preserve">sự đa ngữ</t>
  </si>
  <si>
    <t xml:space="preserve">die Diskriminierung</t>
  </si>
  <si>
    <t xml:space="preserve">phân biệt đối xử</t>
  </si>
  <si>
    <t xml:space="preserve">die Einbürgerung</t>
  </si>
  <si>
    <t xml:space="preserve">nhập quốc tịch</t>
  </si>
  <si>
    <t xml:space="preserve">die Gepflogenheit</t>
  </si>
  <si>
    <t xml:space="preserve">tập quán</t>
  </si>
  <si>
    <t xml:space="preserve">mühelos</t>
  </si>
  <si>
    <t xml:space="preserve">dễ dàng</t>
  </si>
  <si>
    <t xml:space="preserve">die Offenheit</t>
  </si>
  <si>
    <t xml:space="preserve">sự cởi mở</t>
  </si>
  <si>
    <t xml:space="preserve">die Wurzel</t>
  </si>
  <si>
    <t xml:space="preserve">cội nguồn</t>
  </si>
  <si>
    <t xml:space="preserve">vorbeugen</t>
  </si>
  <si>
    <t xml:space="preserve">phòng ngừa</t>
  </si>
  <si>
    <t xml:space="preserve">heilen</t>
  </si>
  <si>
    <t xml:space="preserve">chữa lành</t>
  </si>
  <si>
    <t xml:space="preserve">der Facharzt</t>
  </si>
  <si>
    <t xml:space="preserve">bác sĩ chuyên khoa</t>
  </si>
  <si>
    <t xml:space="preserve">zuzahlen</t>
  </si>
  <si>
    <t xml:space="preserve">trả thêm</t>
  </si>
  <si>
    <t xml:space="preserve">untersuchen</t>
  </si>
  <si>
    <t xml:space="preserve">khám</t>
  </si>
  <si>
    <t xml:space="preserve">krankschreiben</t>
  </si>
  <si>
    <t xml:space="preserve">cấp giấy nghỉ ốm</t>
  </si>
  <si>
    <t xml:space="preserve">psychisch</t>
  </si>
  <si>
    <t xml:space="preserve">thuộc tâm lý</t>
  </si>
  <si>
    <t xml:space="preserve">das Immunsystem</t>
  </si>
  <si>
    <t xml:space="preserve">hệ miễn dịch</t>
  </si>
  <si>
    <t xml:space="preserve">die Vorsorge</t>
  </si>
  <si>
    <t xml:space="preserve">sự phòng ngừa</t>
  </si>
  <si>
    <t xml:space="preserve">die Diagnose</t>
  </si>
  <si>
    <t xml:space="preserve">chẩn đoán</t>
  </si>
  <si>
    <t xml:space="preserve">sich herausstellen</t>
  </si>
  <si>
    <t xml:space="preserve">hóa ra</t>
  </si>
  <si>
    <t xml:space="preserve">der Krebs</t>
  </si>
  <si>
    <t xml:space="preserve">ung thư</t>
  </si>
  <si>
    <t xml:space="preserve">erheblich</t>
  </si>
  <si>
    <t xml:space="preserve">đáng kể</t>
  </si>
  <si>
    <t xml:space="preserve">die Operation</t>
  </si>
  <si>
    <t xml:space="preserve">ca mổ</t>
  </si>
  <si>
    <t xml:space="preserve">die Komplikation</t>
  </si>
  <si>
    <t xml:space="preserve">biến chứng</t>
  </si>
  <si>
    <t xml:space="preserve">einnehmen</t>
  </si>
  <si>
    <t xml:space="preserve">uống thuốc</t>
  </si>
  <si>
    <t xml:space="preserve">sich auswirken</t>
  </si>
  <si>
    <t xml:space="preserve">die Pflegekraft</t>
  </si>
  <si>
    <t xml:space="preserve">nhân viên điều dưỡng</t>
  </si>
  <si>
    <t xml:space="preserve">der Notfall</t>
  </si>
  <si>
    <t xml:space="preserve">trường hợp khẩn</t>
  </si>
  <si>
    <t xml:space="preserve">die Ernährung</t>
  </si>
  <si>
    <t xml:space="preserve">chế độ ăn</t>
  </si>
  <si>
    <t xml:space="preserve">einliefern</t>
  </si>
  <si>
    <t xml:space="preserve">nhập viện</t>
  </si>
  <si>
    <t xml:space="preserve">vertragen</t>
  </si>
  <si>
    <t xml:space="preserve">dung nạp</t>
  </si>
  <si>
    <t xml:space="preserve">die Krankenkasse</t>
  </si>
  <si>
    <t xml:space="preserve">quỹ bảo hiểm y tế</t>
  </si>
  <si>
    <t xml:space="preserve">auf Dauer</t>
  </si>
  <si>
    <t xml:space="preserve">lâu dài</t>
  </si>
  <si>
    <t xml:space="preserve">hinterfragen</t>
  </si>
  <si>
    <t xml:space="preserve">chất vấn</t>
  </si>
  <si>
    <t xml:space="preserve">die Falschmeldung</t>
  </si>
  <si>
    <t xml:space="preserve">tin giả</t>
  </si>
  <si>
    <t xml:space="preserve">sich verbreiten</t>
  </si>
  <si>
    <t xml:space="preserve">lan truyền</t>
  </si>
  <si>
    <t xml:space="preserve">ausführlich</t>
  </si>
  <si>
    <t xml:space="preserve">chi tiết</t>
  </si>
  <si>
    <t xml:space="preserve">die Pressefreiheit</t>
  </si>
  <si>
    <t xml:space="preserve">tự do báo chí</t>
  </si>
  <si>
    <t xml:space="preserve">die Schlagzeile</t>
  </si>
  <si>
    <t xml:space="preserve">tiêu đề</t>
  </si>
  <si>
    <t xml:space="preserve">reißerisch</t>
  </si>
  <si>
    <t xml:space="preserve">giật gân</t>
  </si>
  <si>
    <t xml:space="preserve">sich informieren</t>
  </si>
  <si>
    <t xml:space="preserve">tìm hiểu</t>
  </si>
  <si>
    <t xml:space="preserve">beruhen auf</t>
  </si>
  <si>
    <t xml:space="preserve">dựa trên</t>
  </si>
  <si>
    <t xml:space="preserve">anonym</t>
  </si>
  <si>
    <t xml:space="preserve">ẩn danh</t>
  </si>
  <si>
    <t xml:space="preserve">die Meinungsbildung</t>
  </si>
  <si>
    <t xml:space="preserve">hình thành quan điểm</t>
  </si>
  <si>
    <t xml:space="preserve">die Redaktion</t>
  </si>
  <si>
    <t xml:space="preserve">tòa soạn</t>
  </si>
  <si>
    <t xml:space="preserve">die Objektivität</t>
  </si>
  <si>
    <t xml:space="preserve">tính khách quan</t>
  </si>
  <si>
    <t xml:space="preserve">die Glaubwürdigkeit</t>
  </si>
  <si>
    <t xml:space="preserve">sự đáng tin</t>
  </si>
  <si>
    <t xml:space="preserve">die Sendung</t>
  </si>
  <si>
    <t xml:space="preserve">chương trình</t>
  </si>
  <si>
    <t xml:space="preserve">aufdecken</t>
  </si>
  <si>
    <t xml:space="preserve">vạch trần</t>
  </si>
  <si>
    <t xml:space="preserve">die Boulevardpresse</t>
  </si>
  <si>
    <t xml:space="preserve">báo lá cải</t>
  </si>
  <si>
    <t xml:space="preserve">die Berichterstattung</t>
  </si>
  <si>
    <t xml:space="preserve">việc đưa tin</t>
  </si>
  <si>
    <t xml:space="preserve">das Gerücht</t>
  </si>
  <si>
    <t xml:space="preserve">tin đồn</t>
  </si>
  <si>
    <t xml:space="preserve">der Zusammenhang</t>
  </si>
  <si>
    <t xml:space="preserve">mối liên hệ</t>
  </si>
  <si>
    <t xml:space="preserve">nur noch</t>
  </si>
  <si>
    <t xml:space="preserve">chỉ còn</t>
  </si>
  <si>
    <t xml:space="preserve">widerspiegeln</t>
  </si>
  <si>
    <t xml:space="preserve">phản ánh</t>
  </si>
  <si>
    <t xml:space="preserve">die Medienkompetenz</t>
  </si>
  <si>
    <t xml:space="preserve">năng lực truyền thông</t>
  </si>
  <si>
    <t xml:space="preserve">wählen</t>
  </si>
  <si>
    <t xml:space="preserve">bầu cử</t>
  </si>
  <si>
    <t xml:space="preserve">die Regierung</t>
  </si>
  <si>
    <t xml:space="preserve">chính phủ</t>
  </si>
  <si>
    <t xml:space="preserve">die Opposition</t>
  </si>
  <si>
    <t xml:space="preserve">phe đối lập</t>
  </si>
  <si>
    <t xml:space="preserve">der Haushalt</t>
  </si>
  <si>
    <t xml:space="preserve">ngân sách</t>
  </si>
  <si>
    <t xml:space="preserve">die Wahlbeteiligung</t>
  </si>
  <si>
    <t xml:space="preserve">tỷ lệ đi bầu</t>
  </si>
  <si>
    <t xml:space="preserve">die Koalition</t>
  </si>
  <si>
    <t xml:space="preserve">liên minh</t>
  </si>
  <si>
    <t xml:space="preserve">die Ungleichheit</t>
  </si>
  <si>
    <t xml:space="preserve">bất bình đẳng</t>
  </si>
  <si>
    <t xml:space="preserve">das Grundgesetz</t>
  </si>
  <si>
    <t xml:space="preserve">hiến pháp</t>
  </si>
  <si>
    <t xml:space="preserve">die Meinungsfreiheit</t>
  </si>
  <si>
    <t xml:space="preserve">tự do ngôn luận</t>
  </si>
  <si>
    <t xml:space="preserve">der Bürgermeister</t>
  </si>
  <si>
    <t xml:space="preserve">thị trưởng</t>
  </si>
  <si>
    <t xml:space="preserve">der Bürger</t>
  </si>
  <si>
    <t xml:space="preserve">công dân</t>
  </si>
  <si>
    <t xml:space="preserve">vertreten</t>
  </si>
  <si>
    <t xml:space="preserve">đại diện</t>
  </si>
  <si>
    <t xml:space="preserve">die Debatte</t>
  </si>
  <si>
    <t xml:space="preserve">tranh luận</t>
  </si>
  <si>
    <t xml:space="preserve">heikel</t>
  </si>
  <si>
    <t xml:space="preserve">tế nhị</t>
  </si>
  <si>
    <t xml:space="preserve">die Bürgerinitiative</t>
  </si>
  <si>
    <t xml:space="preserve">sáng kiến công dân</t>
  </si>
  <si>
    <t xml:space="preserve">die Reform</t>
  </si>
  <si>
    <t xml:space="preserve">breit</t>
  </si>
  <si>
    <t xml:space="preserve">rộng</t>
  </si>
  <si>
    <t xml:space="preserve">das Mitmachen</t>
  </si>
  <si>
    <t xml:space="preserve">der Konflikt</t>
  </si>
  <si>
    <t xml:space="preserve">xung đột</t>
  </si>
  <si>
    <t xml:space="preserve">die Korruption</t>
  </si>
  <si>
    <t xml:space="preserve">tham nhũng</t>
  </si>
  <si>
    <t xml:space="preserve">die Stimme</t>
  </si>
  <si>
    <t xml:space="preserve">lá phiếu</t>
  </si>
  <si>
    <t xml:space="preserve">die Inflation</t>
  </si>
  <si>
    <t xml:space="preserve">lạm phát</t>
  </si>
  <si>
    <t xml:space="preserve">hộ gia đình</t>
  </si>
  <si>
    <t xml:space="preserve">übersteigen</t>
  </si>
  <si>
    <t xml:space="preserve">vượt quá</t>
  </si>
  <si>
    <t xml:space="preserve">der Betrieb</t>
  </si>
  <si>
    <t xml:space="preserve">doanh nghiệp</t>
  </si>
  <si>
    <t xml:space="preserve">der Umsatz</t>
  </si>
  <si>
    <t xml:space="preserve">doanh thu</t>
  </si>
  <si>
    <t xml:space="preserve">der Wohlstand</t>
  </si>
  <si>
    <t xml:space="preserve">sự thịnh vượng</t>
  </si>
  <si>
    <t xml:space="preserve">anheben</t>
  </si>
  <si>
    <t xml:space="preserve">nâng lên</t>
  </si>
  <si>
    <t xml:space="preserve">der Export</t>
  </si>
  <si>
    <t xml:space="preserve">xuất khẩu</t>
  </si>
  <si>
    <t xml:space="preserve">die Lieferkette</t>
  </si>
  <si>
    <t xml:space="preserve">chuỗi cung ứng</t>
  </si>
  <si>
    <t xml:space="preserve">der Verbraucher</t>
  </si>
  <si>
    <t xml:space="preserve">người tiêu dùng</t>
  </si>
  <si>
    <t xml:space="preserve">das Wachstum</t>
  </si>
  <si>
    <t xml:space="preserve">tăng trưởng</t>
  </si>
  <si>
    <t xml:space="preserve">weiter</t>
  </si>
  <si>
    <t xml:space="preserve">tiếp tục</t>
  </si>
  <si>
    <t xml:space="preserve">sich auszahlen</t>
  </si>
  <si>
    <t xml:space="preserve">sinh lợi</t>
  </si>
  <si>
    <t xml:space="preserve">das Unternehmen</t>
  </si>
  <si>
    <t xml:space="preserve">empfindlich</t>
  </si>
  <si>
    <t xml:space="preserve">nhạy cảm</t>
  </si>
  <si>
    <t xml:space="preserve">die Ausgabe</t>
  </si>
  <si>
    <t xml:space="preserve">khoản chi</t>
  </si>
  <si>
    <t xml:space="preserve">nachhaltig</t>
  </si>
  <si>
    <t xml:space="preserve">bền vững</t>
  </si>
  <si>
    <t xml:space="preserve">die Arbeitslosenquote</t>
  </si>
  <si>
    <t xml:space="preserve">tỷ lệ thất nghiệp</t>
  </si>
  <si>
    <t xml:space="preserve">das Bedürfnis</t>
  </si>
  <si>
    <t xml:space="preserve">wecken</t>
  </si>
  <si>
    <t xml:space="preserve">đánh thức</t>
  </si>
  <si>
    <t xml:space="preserve">expandieren</t>
  </si>
  <si>
    <t xml:space="preserve">mở rộng</t>
  </si>
  <si>
    <t xml:space="preserve">der Kunde</t>
  </si>
  <si>
    <t xml:space="preserve">khách hàng</t>
  </si>
  <si>
    <t xml:space="preserve">die Studie</t>
  </si>
  <si>
    <t xml:space="preserve">nghiên cứu</t>
  </si>
  <si>
    <t xml:space="preserve">durchführen</t>
  </si>
  <si>
    <t xml:space="preserve">tiến hành</t>
  </si>
  <si>
    <t xml:space="preserve">signifikant</t>
  </si>
  <si>
    <t xml:space="preserve">die These</t>
  </si>
  <si>
    <t xml:space="preserve">luận điểm</t>
  </si>
  <si>
    <t xml:space="preserve">der Forscher</t>
  </si>
  <si>
    <t xml:space="preserve">nhà nghiên cứu</t>
  </si>
  <si>
    <t xml:space="preserve">die Korrelation</t>
  </si>
  <si>
    <t xml:space="preserve">tương quan</t>
  </si>
  <si>
    <t xml:space="preserve">die Kausalität</t>
  </si>
  <si>
    <t xml:space="preserve">quan hệ nhân quả</t>
  </si>
  <si>
    <t xml:space="preserve">das Experiment</t>
  </si>
  <si>
    <t xml:space="preserve">thí nghiệm</t>
  </si>
  <si>
    <t xml:space="preserve">auswerten</t>
  </si>
  <si>
    <t xml:space="preserve">phân tích</t>
  </si>
  <si>
    <t xml:space="preserve">sorgfältig</t>
  </si>
  <si>
    <t xml:space="preserve">cẩn thận</t>
  </si>
  <si>
    <t xml:space="preserve">der Zweifel</t>
  </si>
  <si>
    <t xml:space="preserve">sự hoài nghi</t>
  </si>
  <si>
    <t xml:space="preserve">widerlegen</t>
  </si>
  <si>
    <t xml:space="preserve">bác bỏ</t>
  </si>
  <si>
    <t xml:space="preserve">inzwischen</t>
  </si>
  <si>
    <t xml:space="preserve">trong khi đó</t>
  </si>
  <si>
    <t xml:space="preserve">die Lücke</t>
  </si>
  <si>
    <t xml:space="preserve">lỗ hổng</t>
  </si>
  <si>
    <t xml:space="preserve">die Hypothese</t>
  </si>
  <si>
    <t xml:space="preserve">giả thuyết</t>
  </si>
  <si>
    <t xml:space="preserve">der Fakt</t>
  </si>
  <si>
    <t xml:space="preserve">sự kiện</t>
  </si>
  <si>
    <t xml:space="preserve">die Fachzeitschrift</t>
  </si>
  <si>
    <t xml:space="preserve">tạp chí chuyên ngành</t>
  </si>
  <si>
    <t xml:space="preserve">interdisziplinär</t>
  </si>
  <si>
    <t xml:space="preserve">liên ngành</t>
  </si>
  <si>
    <t xml:space="preserve">die Grundlagenforschung</t>
  </si>
  <si>
    <t xml:space="preserve">nghiên cứu cơ bản</t>
  </si>
  <si>
    <t xml:space="preserve">gering</t>
  </si>
  <si>
    <t xml:space="preserve">thấp/ít</t>
  </si>
  <si>
    <t xml:space="preserve">aufweisen</t>
  </si>
  <si>
    <t xml:space="preserve">cho thấy</t>
  </si>
  <si>
    <t xml:space="preserve">die Schwäche</t>
  </si>
  <si>
    <t xml:space="preserve">điểm yếu</t>
  </si>
  <si>
    <t xml:space="preserve">die Erkenntnis</t>
  </si>
  <si>
    <t xml:space="preserve">nhận thức</t>
  </si>
  <si>
    <t xml:space="preserve">der Nachwuchs</t>
  </si>
  <si>
    <t xml:space="preserve">thế hệ kế cận</t>
  </si>
  <si>
    <t xml:space="preserve">die Entdeckung</t>
  </si>
  <si>
    <t xml:space="preserve">beeindrucken</t>
  </si>
  <si>
    <t xml:space="preserve">gây ấn tượng</t>
  </si>
  <si>
    <t xml:space="preserve">geschickt</t>
  </si>
  <si>
    <t xml:space="preserve">khéo léo</t>
  </si>
  <si>
    <t xml:space="preserve">die Ausstellung</t>
  </si>
  <si>
    <t xml:space="preserve">triển lãm</t>
  </si>
  <si>
    <t xml:space="preserve">vở kịch</t>
  </si>
  <si>
    <t xml:space="preserve">das Publikum</t>
  </si>
  <si>
    <t xml:space="preserve">khán giả</t>
  </si>
  <si>
    <t xml:space="preserve">die Handlung</t>
  </si>
  <si>
    <t xml:space="preserve">cốt truyện</t>
  </si>
  <si>
    <t xml:space="preserve">zitieren</t>
  </si>
  <si>
    <t xml:space="preserve">trích dẫn</t>
  </si>
  <si>
    <t xml:space="preserve">das Werk</t>
  </si>
  <si>
    <t xml:space="preserve">tác phẩm</t>
  </si>
  <si>
    <t xml:space="preserve">thematisieren</t>
  </si>
  <si>
    <t xml:space="preserve">gerecht werden</t>
  </si>
  <si>
    <t xml:space="preserve">xứng đáng với</t>
  </si>
  <si>
    <t xml:space="preserve">đến xem</t>
  </si>
  <si>
    <t xml:space="preserve">die Romantik</t>
  </si>
  <si>
    <t xml:space="preserve">chủ nghĩa lãng mạn</t>
  </si>
  <si>
    <t xml:space="preserve">der Kritiker</t>
  </si>
  <si>
    <t xml:space="preserve">nhà phê bình</t>
  </si>
  <si>
    <t xml:space="preserve">uneinig</t>
  </si>
  <si>
    <t xml:space="preserve">bất đồng</t>
  </si>
  <si>
    <t xml:space="preserve">die Förderung</t>
  </si>
  <si>
    <t xml:space="preserve">sự hỗ trợ</t>
  </si>
  <si>
    <t xml:space="preserve">flüssig</t>
  </si>
  <si>
    <t xml:space="preserve">der Wegbereiter</t>
  </si>
  <si>
    <t xml:space="preserve">người mở đường</t>
  </si>
  <si>
    <t xml:space="preserve">das Gedicht</t>
  </si>
  <si>
    <t xml:space="preserve">bài thơ</t>
  </si>
  <si>
    <t xml:space="preserve">die Inszenierung</t>
  </si>
  <si>
    <t xml:space="preserve">dàn dựng</t>
  </si>
  <si>
    <t xml:space="preserve">mutig</t>
  </si>
  <si>
    <t xml:space="preserve">táo bạo</t>
  </si>
  <si>
    <t xml:space="preserve">der Eintritt</t>
  </si>
  <si>
    <t xml:space="preserve">vé vào cửa</t>
  </si>
  <si>
    <t xml:space="preserve">die Perspektive</t>
  </si>
  <si>
    <t xml:space="preserve">góc nhìn</t>
  </si>
  <si>
    <t xml:space="preserve">überfordert</t>
  </si>
  <si>
    <t xml:space="preserve">quá tải</t>
  </si>
  <si>
    <t xml:space="preserve">die Wut</t>
  </si>
  <si>
    <t xml:space="preserve">cơn giận</t>
  </si>
  <si>
    <t xml:space="preserve">die Reaktion</t>
  </si>
  <si>
    <t xml:space="preserve">schwerfallen</t>
  </si>
  <si>
    <t xml:space="preserve">thấy khó</t>
  </si>
  <si>
    <t xml:space="preserve">neigen zu</t>
  </si>
  <si>
    <t xml:space="preserve">có xu hướng</t>
  </si>
  <si>
    <t xml:space="preserve">der Schmerz</t>
  </si>
  <si>
    <t xml:space="preserve">nỗi đau</t>
  </si>
  <si>
    <t xml:space="preserve">verdrängen</t>
  </si>
  <si>
    <t xml:space="preserve">kìm nén</t>
  </si>
  <si>
    <t xml:space="preserve">der Selbstzweifel</t>
  </si>
  <si>
    <t xml:space="preserve">tự nghi ngờ</t>
  </si>
  <si>
    <t xml:space="preserve">bực</t>
  </si>
  <si>
    <t xml:space="preserve">die Dankbarkeit</t>
  </si>
  <si>
    <t xml:space="preserve">lòng biết ơn</t>
  </si>
  <si>
    <t xml:space="preserve">wirken</t>
  </si>
  <si>
    <t xml:space="preserve">tỏ ra</t>
  </si>
  <si>
    <t xml:space="preserve">innerlich</t>
  </si>
  <si>
    <t xml:space="preserve">die Therapie</t>
  </si>
  <si>
    <t xml:space="preserve">trị liệu</t>
  </si>
  <si>
    <t xml:space="preserve">verarbeiten</t>
  </si>
  <si>
    <t xml:space="preserve">xử lý/tiêu hóa</t>
  </si>
  <si>
    <t xml:space="preserve">die Ruhe</t>
  </si>
  <si>
    <t xml:space="preserve">sự bình tĩnh</t>
  </si>
  <si>
    <t xml:space="preserve">die Erwartung</t>
  </si>
  <si>
    <t xml:space="preserve">kỳ vọng</t>
  </si>
  <si>
    <t xml:space="preserve">die Enttäuschung</t>
  </si>
  <si>
    <t xml:space="preserve">thất vọng</t>
  </si>
  <si>
    <t xml:space="preserve">Nein sagen</t>
  </si>
  <si>
    <t xml:space="preserve">nói không</t>
  </si>
  <si>
    <t xml:space="preserve">die Einsamkeit</t>
  </si>
  <si>
    <t xml:space="preserve">sự cô đơn</t>
  </si>
  <si>
    <t xml:space="preserve">das Verhalten</t>
  </si>
  <si>
    <t xml:space="preserve">hành vi</t>
  </si>
  <si>
    <t xml:space="preserve">irritieren</t>
  </si>
  <si>
    <t xml:space="preserve">làm bối rối</t>
  </si>
  <si>
    <t xml:space="preserve">zu Herzen nehmen</t>
  </si>
  <si>
    <t xml:space="preserve">để bụng</t>
  </si>
  <si>
    <t xml:space="preserve">die Achtsamkeit</t>
  </si>
  <si>
    <t xml:space="preserve">chánh niệm</t>
  </si>
  <si>
    <t xml:space="preserve">sich trennen</t>
  </si>
  <si>
    <t xml:space="preserve">chia tay</t>
  </si>
  <si>
    <t xml:space="preserve">xây dựng</t>
  </si>
  <si>
    <t xml:space="preserve">vorwerfen</t>
  </si>
  <si>
    <t xml:space="preserve">trách</t>
  </si>
  <si>
    <t xml:space="preserve">egoistisch</t>
  </si>
  <si>
    <t xml:space="preserve">ích kỷ</t>
  </si>
  <si>
    <t xml:space="preserve">nói lệch nhau</t>
  </si>
  <si>
    <t xml:space="preserve">cởi mở</t>
  </si>
  <si>
    <t xml:space="preserve">der Streit</t>
  </si>
  <si>
    <t xml:space="preserve">cãi vã</t>
  </si>
  <si>
    <t xml:space="preserve">die Beziehung</t>
  </si>
  <si>
    <t xml:space="preserve">mối quan hệ</t>
  </si>
  <si>
    <t xml:space="preserve">verzeihen</t>
  </si>
  <si>
    <t xml:space="preserve">tha thứ</t>
  </si>
  <si>
    <t xml:space="preserve">aufeinander</t>
  </si>
  <si>
    <t xml:space="preserve">lẫn nhau</t>
  </si>
  <si>
    <t xml:space="preserve">das Versprechen</t>
  </si>
  <si>
    <t xml:space="preserve">lời hứa</t>
  </si>
  <si>
    <t xml:space="preserve">entstehen</t>
  </si>
  <si>
    <t xml:space="preserve">nảy sinh</t>
  </si>
  <si>
    <t xml:space="preserve">das Gleichgewicht</t>
  </si>
  <si>
    <t xml:space="preserve">sự cân bằng</t>
  </si>
  <si>
    <t xml:space="preserve">sich zurückziehen</t>
  </si>
  <si>
    <t xml:space="preserve">rút lui</t>
  </si>
  <si>
    <t xml:space="preserve">die Harmonie</t>
  </si>
  <si>
    <t xml:space="preserve">hòa thuận</t>
  </si>
  <si>
    <t xml:space="preserve">làm lành</t>
  </si>
  <si>
    <t xml:space="preserve">persönlich</t>
  </si>
  <si>
    <t xml:space="preserve">cá nhân</t>
  </si>
  <si>
    <t xml:space="preserve">in Ruhe</t>
  </si>
  <si>
    <t xml:space="preserve">bình tĩnh</t>
  </si>
  <si>
    <t xml:space="preserve">der Mittelweg</t>
  </si>
  <si>
    <t xml:space="preserve">đường trung dung</t>
  </si>
  <si>
    <t xml:space="preserve">die Bedingung</t>
  </si>
  <si>
    <t xml:space="preserve">điều kiện</t>
  </si>
  <si>
    <t xml:space="preserve">die Mitte</t>
  </si>
  <si>
    <t xml:space="preserve">entgegenkommen</t>
  </si>
  <si>
    <t xml:space="preserve">nhượng bộ</t>
  </si>
  <si>
    <t xml:space="preserve">sich einlassen auf</t>
  </si>
  <si>
    <t xml:space="preserve">dấn vào</t>
  </si>
  <si>
    <t xml:space="preserve">zufriedenstellen</t>
  </si>
  <si>
    <t xml:space="preserve">verhandelbar</t>
  </si>
  <si>
    <t xml:space="preserve">có thể thương lượng</t>
  </si>
  <si>
    <t xml:space="preserve">akzeptabel</t>
  </si>
  <si>
    <t xml:space="preserve">chấp nhận được</t>
  </si>
  <si>
    <t xml:space="preserve">das Zugeständnis</t>
  </si>
  <si>
    <t xml:space="preserve">sự nhượng bộ</t>
  </si>
  <si>
    <t xml:space="preserve">die Zusage</t>
  </si>
  <si>
    <t xml:space="preserve">lời cam kết</t>
  </si>
  <si>
    <t xml:space="preserve">einig</t>
  </si>
  <si>
    <t xml:space="preserve">thống nhất</t>
  </si>
  <si>
    <t xml:space="preserve">die Gegenleistung</t>
  </si>
  <si>
    <t xml:space="preserve">sự đền đáp</t>
  </si>
  <si>
    <t xml:space="preserve">festhalten</t>
  </si>
  <si>
    <t xml:space="preserve">ghi nhận</t>
  </si>
  <si>
    <t xml:space="preserve">der Spielraum</t>
  </si>
  <si>
    <t xml:space="preserve">dư địa</t>
  </si>
  <si>
    <t xml:space="preserve">der Grundsatz</t>
  </si>
  <si>
    <t xml:space="preserve">nguyên tắc</t>
  </si>
  <si>
    <t xml:space="preserve">der Rahmen</t>
  </si>
  <si>
    <t xml:space="preserve">khuôn khổ</t>
  </si>
  <si>
    <t xml:space="preserve">die Rücksprache</t>
  </si>
  <si>
    <t xml:space="preserve">sự trao đổi</t>
  </si>
  <si>
    <t xml:space="preserve">der Vortrag</t>
  </si>
  <si>
    <t xml:space="preserve">gliedern</t>
  </si>
  <si>
    <t xml:space="preserve">chia bố cục</t>
  </si>
  <si>
    <t xml:space="preserve">der Überblick</t>
  </si>
  <si>
    <t xml:space="preserve">cái nhìn tổng quan</t>
  </si>
  <si>
    <t xml:space="preserve">die Folie</t>
  </si>
  <si>
    <t xml:space="preserve">slide</t>
  </si>
  <si>
    <t xml:space="preserve">die Kurve</t>
  </si>
  <si>
    <t xml:space="preserve">đường cong</t>
  </si>
  <si>
    <t xml:space="preserve">điểm</t>
  </si>
  <si>
    <t xml:space="preserve">die Aufmerksamkeit</t>
  </si>
  <si>
    <t xml:space="preserve">sự chú ý</t>
  </si>
  <si>
    <t xml:space="preserve">eingehen auf</t>
  </si>
  <si>
    <t xml:space="preserve">đi sâu vào</t>
  </si>
  <si>
    <t xml:space="preserve">der Dank</t>
  </si>
  <si>
    <t xml:space="preserve">lời cảm ơn</t>
  </si>
  <si>
    <t xml:space="preserve">anhand</t>
  </si>
  <si>
    <t xml:space="preserve">dựa vào</t>
  </si>
  <si>
    <t xml:space="preserve">mở ra</t>
  </si>
  <si>
    <t xml:space="preserve">giơ tay</t>
  </si>
  <si>
    <t xml:space="preserve">ngắt</t>
  </si>
  <si>
    <t xml:space="preserve">tự nói lên</t>
  </si>
  <si>
    <t xml:space="preserve">die Anmerkung</t>
  </si>
  <si>
    <t xml:space="preserve">ý kiến/ghi chú</t>
  </si>
  <si>
    <t xml:space="preserve">im Anschluss</t>
  </si>
  <si>
    <t xml:space="preserve">die Grafik</t>
  </si>
  <si>
    <t xml:space="preserve">biểu đồ</t>
  </si>
  <si>
    <t xml:space="preserve">der Anteil</t>
  </si>
  <si>
    <t xml:space="preserve">tỷ lệ</t>
  </si>
  <si>
    <t xml:space="preserve">sát/gần</t>
  </si>
  <si>
    <t xml:space="preserve">tăng gấp đôi</t>
  </si>
  <si>
    <t xml:space="preserve">der Rückgang</t>
  </si>
  <si>
    <t xml:space="preserve">sự sụt giảm</t>
  </si>
  <si>
    <t xml:space="preserve">der Anstieg</t>
  </si>
  <si>
    <t xml:space="preserve">mức tăng</t>
  </si>
  <si>
    <t xml:space="preserve">konstant</t>
  </si>
  <si>
    <t xml:space="preserve">ổn định</t>
  </si>
  <si>
    <t xml:space="preserve">der Befragte</t>
  </si>
  <si>
    <t xml:space="preserve">người được hỏi</t>
  </si>
  <si>
    <t xml:space="preserve">der Höhepunkt</t>
  </si>
  <si>
    <t xml:space="preserve">đỉnh điểm</t>
  </si>
  <si>
    <t xml:space="preserve">der Unterschied</t>
  </si>
  <si>
    <t xml:space="preserve">sự khác biệt</t>
  </si>
  <si>
    <t xml:space="preserve">häufig</t>
  </si>
  <si>
    <t xml:space="preserve">thường xuyên</t>
  </si>
  <si>
    <t xml:space="preserve">die Umfrage</t>
  </si>
  <si>
    <t xml:space="preserve">khảo sát</t>
  </si>
  <si>
    <t xml:space="preserve">der Trend</t>
  </si>
  <si>
    <t xml:space="preserve">xu hướng</t>
  </si>
  <si>
    <t xml:space="preserve">schwanken</t>
  </si>
  <si>
    <t xml:space="preserve">dao động</t>
  </si>
  <si>
    <t xml:space="preserve">das Drittel</t>
  </si>
  <si>
    <t xml:space="preserve">một phần ba</t>
  </si>
  <si>
    <t xml:space="preserve">die Stichprobe</t>
  </si>
  <si>
    <t xml:space="preserve">mẫu khảo sát</t>
  </si>
  <si>
    <t xml:space="preserve">die Vorsicht</t>
  </si>
  <si>
    <t xml:space="preserve">sự thận trọng</t>
  </si>
  <si>
    <t xml:space="preserve">nicht mein Bier</t>
  </si>
  <si>
    <t xml:space="preserve">không phải việc của tôi</t>
  </si>
  <si>
    <t xml:space="preserve">der Faden</t>
  </si>
  <si>
    <t xml:space="preserve">sợi chỉ/mạch</t>
  </si>
  <si>
    <t xml:space="preserve">der Daumen</t>
  </si>
  <si>
    <t xml:space="preserve">ngón cái</t>
  </si>
  <si>
    <t xml:space="preserve">die Nerven</t>
  </si>
  <si>
    <t xml:space="preserve">thần kinh</t>
  </si>
  <si>
    <t xml:space="preserve">die Mücke</t>
  </si>
  <si>
    <t xml:space="preserve">con muỗi</t>
  </si>
  <si>
    <t xml:space="preserve">der Elefant</t>
  </si>
  <si>
    <t xml:space="preserve">con voi</t>
  </si>
  <si>
    <t xml:space="preserve">begraben</t>
  </si>
  <si>
    <t xml:space="preserve">chôn</t>
  </si>
  <si>
    <t xml:space="preserve">die Nase</t>
  </si>
  <si>
    <t xml:space="preserve">cái mũi</t>
  </si>
  <si>
    <t xml:space="preserve">spanisch vorkommen</t>
  </si>
  <si>
    <t xml:space="preserve">thấy khả nghi</t>
  </si>
  <si>
    <t xml:space="preserve">Schwein haben</t>
  </si>
  <si>
    <t xml:space="preserve">gặp may</t>
  </si>
  <si>
    <t xml:space="preserve">die Seite</t>
  </si>
  <si>
    <t xml:space="preserve">mặt/phía</t>
  </si>
  <si>
    <t xml:space="preserve">der Groschen</t>
  </si>
  <si>
    <t xml:space="preserve">đồng xu</t>
  </si>
  <si>
    <t xml:space="preserve">die Übung</t>
  </si>
  <si>
    <t xml:space="preserve">der Meister</t>
  </si>
  <si>
    <t xml:space="preserve">bậc thầy</t>
  </si>
  <si>
    <t xml:space="preserve">der Brei</t>
  </si>
  <si>
    <t xml:space="preserve">cháo đặc</t>
  </si>
  <si>
    <t xml:space="preserve">der Tropfen</t>
  </si>
  <si>
    <t xml:space="preserve">giọt</t>
  </si>
  <si>
    <t xml:space="preserve">der Stein</t>
  </si>
  <si>
    <t xml:space="preserve">hòn đá</t>
  </si>
  <si>
    <t xml:space="preserve">das Latein</t>
  </si>
  <si>
    <t xml:space="preserve">tiếng Latinh</t>
  </si>
  <si>
    <t xml:space="preserve">nie</t>
  </si>
  <si>
    <t xml:space="preserve">không bao giờ</t>
  </si>
  <si>
    <t xml:space="preserve">das Fass</t>
  </si>
  <si>
    <t xml:space="preserve">cái thùng</t>
  </si>
  <si>
    <t xml:space="preserve">der Boden</t>
  </si>
  <si>
    <t xml:space="preserve">đáy</t>
  </si>
  <si>
    <t xml:space="preserve">cản trở</t>
  </si>
  <si>
    <t xml:space="preserve">die Maus</t>
  </si>
  <si>
    <t xml:space="preserve">con chuột</t>
  </si>
  <si>
    <t xml:space="preserve">abbeißen</t>
  </si>
  <si>
    <t xml:space="preserve">cắn đứt</t>
  </si>
  <si>
    <t xml:space="preserve">keine Ahnung</t>
  </si>
  <si>
    <t xml:space="preserve">không biết gì</t>
  </si>
  <si>
    <t xml:space="preserve">echt</t>
  </si>
  <si>
    <t xml:space="preserve">rüberkommen</t>
  </si>
  <si>
    <t xml:space="preserve">đi sang</t>
  </si>
  <si>
    <t xml:space="preserve">peinlich</t>
  </si>
  <si>
    <t xml:space="preserve">ngượng</t>
  </si>
  <si>
    <t xml:space="preserve">selber</t>
  </si>
  <si>
    <t xml:space="preserve">tự mình</t>
  </si>
  <si>
    <t xml:space="preserve">verfügen über</t>
  </si>
  <si>
    <t xml:space="preserve">có/nắm</t>
  </si>
  <si>
    <t xml:space="preserve">hinkriegen</t>
  </si>
  <si>
    <t xml:space="preserve">xoay xở được</t>
  </si>
  <si>
    <t xml:space="preserve">die Angelegenheit</t>
  </si>
  <si>
    <t xml:space="preserve">vụ việc</t>
  </si>
  <si>
    <t xml:space="preserve">xong/kiệt sức</t>
  </si>
  <si>
    <t xml:space="preserve">das Füllwort</t>
  </si>
  <si>
    <t xml:space="preserve">từ đệm</t>
  </si>
  <si>
    <t xml:space="preserve">die Wurst</t>
  </si>
  <si>
    <t xml:space="preserve">xúc xích</t>
  </si>
  <si>
    <t xml:space="preserve">gucken</t>
  </si>
  <si>
    <t xml:space="preserve">schlimm</t>
  </si>
  <si>
    <t xml:space="preserve">losgehen</t>
  </si>
  <si>
    <t xml:space="preserve">die Abkürzung</t>
  </si>
  <si>
    <t xml:space="preserve">chữ viết tắt</t>
  </si>
  <si>
    <t xml:space="preserve">der Typ</t>
  </si>
  <si>
    <t xml:space="preserve">người/gã</t>
  </si>
  <si>
    <t xml:space="preserve">der Anlass</t>
  </si>
  <si>
    <t xml:space="preserve">dịp</t>
  </si>
  <si>
    <t xml:space="preserve">neutral</t>
  </si>
  <si>
    <t xml:space="preserve">trung tính</t>
  </si>
  <si>
    <t xml:space="preserve">es gibt</t>
  </si>
  <si>
    <t xml:space="preserve">zu dem</t>
  </si>
  <si>
    <t xml:space="preserve">das Mädchen</t>
  </si>
  <si>
    <t xml:space="preserve">cô bé</t>
  </si>
  <si>
    <t xml:space="preserve">cho (khoảng dự tính)</t>
  </si>
  <si>
    <t xml:space="preserve">tới</t>
  </si>
  <si>
    <t xml:space="preserve">quen</t>
  </si>
  <si>
    <t xml:space="preserve">tuổi</t>
  </si>
  <si>
    <t xml:space="preserve">es geht um</t>
  </si>
  <si>
    <t xml:space="preserve">das Heimatland</t>
  </si>
  <si>
    <t xml:space="preserve">die Aussage</t>
  </si>
  <si>
    <t xml:space="preserve">nhận định</t>
  </si>
  <si>
    <t xml:space="preserve">đề xuất</t>
  </si>
  <si>
    <t xml:space="preserve">nghĩ/cho rằng</t>
  </si>
  <si>
    <t xml:space="preserve">sich einigen</t>
  </si>
  <si>
    <t xml:space="preserve">der Aufwand</t>
  </si>
  <si>
    <t xml:space="preserve">mitreden</t>
  </si>
  <si>
    <t xml:space="preserve">tham gia ý kiến</t>
  </si>
  <si>
    <t xml:space="preserve">nachdenken</t>
  </si>
  <si>
    <t xml:space="preserve">suy nghĩ</t>
  </si>
  <si>
    <t xml:space="preserve">ähnlich</t>
  </si>
  <si>
    <t xml:space="preserve">tương tự</t>
  </si>
  <si>
    <t xml:space="preserve">durchgehen</t>
  </si>
  <si>
    <t xml:space="preserve">rà soát</t>
  </si>
  <si>
    <t xml:space="preserve">zusammengefasst</t>
  </si>
  <si>
    <t xml:space="preserve">aufschlussreich</t>
  </si>
  <si>
    <t xml:space="preserve">làm sáng tỏ</t>
  </si>
  <si>
    <t xml:space="preserve">NHẬT KÝ 105 NGÀY  (90 ngày kế hoạch + 15 ngày đệm)  |  toàn bộ tự đếm, không cần nhập tay</t>
  </si>
  <si>
    <t xml:space="preserve">Ngày</t>
  </si>
  <si>
    <t xml:space="preserve">Thứ</t>
  </si>
  <si>
    <t xml:space="preserve">Kế hoạch lũy kế</t>
  </si>
  <si>
    <t xml:space="preserve">Câu MỚI học trong ngày</t>
  </si>
  <si>
    <t xml:space="preserve">Lượt ÔN trong ngày</t>
  </si>
  <si>
    <t xml:space="preserve">Tổng hoạt động</t>
  </si>
  <si>
    <t xml:space="preserve">Lũy kế đã học</t>
  </si>
  <si>
    <t xml:space="preserve">Câu còn nợ</t>
  </si>
  <si>
    <t xml:space="preserve">Số ngày trễ</t>
  </si>
  <si>
    <t xml:space="preserve">Trạng thái ngày</t>
  </si>
  <si>
    <t xml:space="preserve">Cảnh báo</t>
  </si>
</sst>
</file>

<file path=xl/styles.xml><?xml version="1.0" encoding="utf-8"?>
<styleSheet xmlns="http://schemas.openxmlformats.org/spreadsheetml/2006/main">
  <numFmts count="8">
    <numFmt numFmtId="164" formatCode="General"/>
    <numFmt numFmtId="165" formatCode="dd/mm/yyyy"/>
    <numFmt numFmtId="166" formatCode="0"/>
    <numFmt numFmtId="167" formatCode="#,##0"/>
    <numFmt numFmtId="168" formatCode="0.0"/>
    <numFmt numFmtId="169" formatCode="0.0%"/>
    <numFmt numFmtId="170" formatCode="General"/>
    <numFmt numFmtId="171" formatCode="0%"/>
  </numFmts>
  <fonts count="2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55555"/>
      <name val="Arial"/>
      <family val="0"/>
      <charset val="1"/>
    </font>
    <font>
      <sz val="10"/>
      <color rgb="FF000000"/>
      <name val="Arial"/>
      <family val="0"/>
      <charset val="1"/>
    </font>
    <font>
      <sz val="10"/>
      <name val="Arial"/>
      <family val="0"/>
      <charset val="1"/>
    </font>
    <font>
      <b val="true"/>
      <sz val="10"/>
      <color rgb="FFC00000"/>
      <name val="Arial"/>
      <family val="0"/>
      <charset val="1"/>
    </font>
    <font>
      <b val="true"/>
      <sz val="18"/>
      <color rgb="FF1F3864"/>
      <name val="Arial"/>
      <family val="0"/>
      <charset val="1"/>
    </font>
    <font>
      <i val="true"/>
      <sz val="10"/>
      <color rgb="FF666666"/>
      <name val="Arial"/>
      <family val="0"/>
      <charset val="1"/>
    </font>
    <font>
      <b val="true"/>
      <sz val="11"/>
      <color rgb="FFFFFFFF"/>
      <name val="Arial"/>
      <family val="0"/>
      <charset val="1"/>
    </font>
    <font>
      <b val="true"/>
      <sz val="10"/>
      <name val="Arial"/>
      <family val="0"/>
      <charset val="1"/>
    </font>
    <font>
      <b val="true"/>
      <sz val="13"/>
      <color rgb="FF1F3864"/>
      <name val="Arial"/>
      <family val="0"/>
      <charset val="1"/>
    </font>
    <font>
      <b val="true"/>
      <sz val="11"/>
      <color rgb="FF1F3864"/>
      <name val="Arial"/>
      <family val="0"/>
      <charset val="1"/>
    </font>
    <font>
      <b val="true"/>
      <sz val="12"/>
      <name val="Arial"/>
      <family val="0"/>
      <charset val="1"/>
    </font>
    <font>
      <b val="true"/>
      <sz val="10"/>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1F3864"/>
      <name val="Arial"/>
      <family val="0"/>
      <charset val="1"/>
    </font>
    <font>
      <b val="true"/>
      <sz val="10"/>
      <color rgb="FF0000FF"/>
      <name val="Arial"/>
      <family val="0"/>
      <charset val="1"/>
    </font>
    <font>
      <i val="true"/>
      <sz val="9"/>
      <color rgb="FF666666"/>
      <name val="Arial"/>
      <family val="0"/>
      <charset val="1"/>
    </font>
    <font>
      <b val="true"/>
      <sz val="10"/>
      <color rgb="FF000000"/>
      <name val="Arial"/>
      <family val="0"/>
      <charset val="1"/>
    </font>
    <font>
      <b val="true"/>
      <sz val="12"/>
      <color rgb="FF1F3864"/>
      <name val="Arial"/>
      <family val="0"/>
      <charset val="1"/>
    </font>
    <font>
      <b val="true"/>
      <sz val="10"/>
      <color rgb="FFFFFFFF"/>
      <name val="Arial"/>
      <family val="0"/>
      <charset val="1"/>
    </font>
    <font>
      <b val="true"/>
      <sz val="11"/>
      <name val="Arial"/>
      <family val="0"/>
      <charset val="1"/>
    </font>
    <font>
      <sz val="10"/>
      <color rgb="FF7030A0"/>
      <name val="Arial Unicode MS"/>
      <family val="0"/>
      <charset val="1"/>
    </font>
    <font>
      <sz val="9"/>
      <color rgb="FF595959"/>
      <name val="Arial"/>
      <family val="0"/>
      <charset val="1"/>
    </font>
  </fonts>
  <fills count="10">
    <fill>
      <patternFill patternType="none"/>
    </fill>
    <fill>
      <patternFill patternType="gray125"/>
    </fill>
    <fill>
      <patternFill patternType="solid">
        <fgColor rgb="FF1F3864"/>
        <bgColor rgb="FF1F4E78"/>
      </patternFill>
    </fill>
    <fill>
      <patternFill patternType="solid">
        <fgColor rgb="FF385723"/>
        <bgColor rgb="FF555555"/>
      </patternFill>
    </fill>
    <fill>
      <patternFill patternType="solid">
        <fgColor rgb="FFFFF2CC"/>
        <bgColor rgb="FFFCE4D6"/>
      </patternFill>
    </fill>
    <fill>
      <patternFill patternType="solid">
        <fgColor rgb="FFE2EFDA"/>
        <bgColor rgb="FFDDEBF7"/>
      </patternFill>
    </fill>
    <fill>
      <patternFill patternType="solid">
        <fgColor rgb="FFDDEBF7"/>
        <bgColor rgb="FFE2EFDA"/>
      </patternFill>
    </fill>
    <fill>
      <patternFill patternType="solid">
        <fgColor rgb="FFFCE4D6"/>
        <bgColor rgb="FFFFF2CC"/>
      </patternFill>
    </fill>
    <fill>
      <patternFill patternType="solid">
        <fgColor rgb="FF7F3F00"/>
        <bgColor rgb="FF9C5700"/>
      </patternFill>
    </fill>
    <fill>
      <patternFill patternType="solid">
        <fgColor rgb="FFF2F2F2"/>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left" vertical="center" textRotation="0" wrapText="false" indent="0" shrinkToFit="false"/>
      <protection locked="true" hidden="false"/>
    </xf>
    <xf numFmtId="164" fontId="11" fillId="3" borderId="0" xfId="0" applyFont="true" applyBorder="false" applyAlignment="true" applyProtection="false">
      <alignment horizontal="left" vertical="center"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center" vertical="center" textRotation="0" wrapText="false" indent="0" shrinkToFit="false"/>
      <protection locked="true" hidden="false"/>
    </xf>
    <xf numFmtId="166" fontId="13" fillId="0" borderId="1" xfId="0" applyFont="true" applyBorder="true" applyAlignment="true" applyProtection="false">
      <alignment horizontal="center" vertical="center" textRotation="0" wrapText="false" indent="0" shrinkToFit="false"/>
      <protection locked="true" hidden="false"/>
    </xf>
    <xf numFmtId="165" fontId="14" fillId="0" borderId="1" xfId="0" applyFont="true" applyBorder="true" applyAlignment="true" applyProtection="false">
      <alignment horizontal="center" vertical="center" textRotation="0" wrapText="false" indent="0" shrinkToFit="false"/>
      <protection locked="true" hidden="false"/>
    </xf>
    <xf numFmtId="166" fontId="14" fillId="0" borderId="1" xfId="0" applyFont="true" applyBorder="true" applyAlignment="true" applyProtection="false">
      <alignment horizontal="center" vertical="center" textRotation="0" wrapText="false" indent="0" shrinkToFit="false"/>
      <protection locked="true" hidden="false"/>
    </xf>
    <xf numFmtId="167" fontId="13" fillId="0" borderId="1" xfId="0" applyFont="true" applyBorder="true" applyAlignment="true" applyProtection="false">
      <alignment horizontal="center" vertical="center" textRotation="0" wrapText="false" indent="0" shrinkToFit="false"/>
      <protection locked="true" hidden="false"/>
    </xf>
    <xf numFmtId="167" fontId="14" fillId="0" borderId="1" xfId="0" applyFont="true" applyBorder="true" applyAlignment="true" applyProtection="false">
      <alignment horizontal="center" vertical="center" textRotation="0" wrapText="false" indent="0" shrinkToFit="false"/>
      <protection locked="true" hidden="false"/>
    </xf>
    <xf numFmtId="168" fontId="14" fillId="0" borderId="1" xfId="0" applyFont="true" applyBorder="true" applyAlignment="true" applyProtection="false">
      <alignment horizontal="center" vertical="center" textRotation="0" wrapText="false" indent="0" shrinkToFit="false"/>
      <protection locked="true" hidden="false"/>
    </xf>
    <xf numFmtId="168" fontId="13" fillId="0" borderId="1" xfId="0" applyFont="true" applyBorder="true" applyAlignment="true" applyProtection="false">
      <alignment horizontal="center" vertical="center" textRotation="0" wrapText="false" indent="0" shrinkToFit="false"/>
      <protection locked="true" hidden="false"/>
    </xf>
    <xf numFmtId="169" fontId="13" fillId="0" borderId="1" xfId="0" applyFont="true" applyBorder="true" applyAlignment="true" applyProtection="false">
      <alignment horizontal="center" vertical="center" textRotation="0" wrapText="false" indent="0" shrinkToFit="false"/>
      <protection locked="true" hidden="false"/>
    </xf>
    <xf numFmtId="164" fontId="15" fillId="4" borderId="2"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21" fillId="4" borderId="1"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false" applyAlignment="true" applyProtection="false">
      <alignment horizontal="general" vertical="center" textRotation="0" wrapText="true" indent="0" shrinkToFit="false"/>
      <protection locked="true" hidden="false"/>
    </xf>
    <xf numFmtId="164" fontId="21" fillId="4" borderId="1" xfId="0" applyFont="true" applyBorder="true" applyAlignment="true" applyProtection="false">
      <alignment horizontal="center" vertical="bottom" textRotation="0" wrapText="false" indent="0" shrinkToFit="false"/>
      <protection locked="true" hidden="false"/>
    </xf>
    <xf numFmtId="170" fontId="23" fillId="0" borderId="1" xfId="0" applyFont="true" applyBorder="true" applyAlignment="true" applyProtection="false">
      <alignment horizontal="center" vertical="bottom" textRotation="0" wrapText="false" indent="0" shrinkToFit="false"/>
      <protection locked="true" hidden="false"/>
    </xf>
    <xf numFmtId="165" fontId="23" fillId="0" borderId="1" xfId="0" applyFont="true" applyBorder="true" applyAlignment="true" applyProtection="fals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26" fillId="0" borderId="1" xfId="0" applyFont="true" applyBorder="true" applyAlignment="true" applyProtection="false">
      <alignment horizontal="general" vertical="center" textRotation="0" wrapText="true" indent="0" shrinkToFit="false"/>
      <protection locked="true" hidden="false"/>
    </xf>
    <xf numFmtId="164" fontId="27" fillId="0" borderId="1" xfId="0" applyFont="true" applyBorder="tru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71" fontId="7" fillId="0"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28" fillId="0" borderId="1" xfId="0" applyFont="true" applyBorder="true" applyAlignment="true" applyProtection="false">
      <alignment horizontal="general" vertical="center" textRotation="0" wrapText="true" indent="0" shrinkToFit="false"/>
      <protection locked="true" hidden="false"/>
    </xf>
    <xf numFmtId="164" fontId="25" fillId="8" borderId="0" xfId="0" applyFont="true" applyBorder="fals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5" fontId="7" fillId="9"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7030A0"/>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9C0006"/>
          <bgColor rgb="FF000000"/>
        </patternFill>
      </fill>
    </dxf>
    <dxf>
      <fill>
        <patternFill patternType="solid">
          <fgColor rgb="FF9C5700"/>
          <bgColor rgb="FF000000"/>
        </patternFill>
      </fill>
    </dxf>
    <dxf>
      <font>
        <name val="Arial"/>
        <charset val="1"/>
        <family val="0"/>
        <b val="1"/>
        <color rgb="FF9C0006"/>
      </font>
      <fill>
        <patternFill>
          <bgColor rgb="FFFFC7CE"/>
        </patternFill>
      </fill>
    </dxf>
    <dxf>
      <font>
        <name val="Arial"/>
        <charset val="1"/>
        <family val="0"/>
        <b val="1"/>
        <color rgb="FF9C5700"/>
      </font>
      <fill>
        <patternFill>
          <bgColor rgb="FFFFEB9C"/>
        </patternFill>
      </fill>
    </dxf>
    <dxf>
      <font>
        <name val="Arial"/>
        <charset val="1"/>
        <family val="0"/>
        <b val="1"/>
        <color rgb="FF1F4E78"/>
      </font>
      <fill>
        <patternFill>
          <bgColor rgb="FFBDD7EE"/>
        </patternFill>
      </fill>
    </dxf>
    <dxf>
      <font>
        <name val="Arial"/>
        <charset val="1"/>
        <family val="0"/>
        <b val="1"/>
        <color rgb="FF006100"/>
      </font>
      <fill>
        <patternFill>
          <bgColor rgb="FFC6EFCE"/>
        </patternFill>
      </fill>
    </dxf>
    <dxf>
      <font>
        <name val="Arial"/>
        <charset val="1"/>
        <family val="0"/>
        <b val="1"/>
        <color rgb="FFFFFFFF"/>
      </font>
      <fill>
        <patternFill>
          <bgColor rgb="FF548235"/>
        </patternFill>
      </fill>
    </dxf>
    <dxf>
      <fill>
        <patternFill patternType="solid">
          <fgColor rgb="FF385723"/>
          <bgColor rgb="FF000000"/>
        </patternFill>
      </fill>
    </dxf>
    <dxf>
      <fill>
        <patternFill patternType="solid">
          <fgColor rgb="FF595959"/>
          <bgColor rgb="FF000000"/>
        </patternFill>
      </fill>
    </dxf>
    <dxf>
      <fill>
        <patternFill patternType="solid">
          <fgColor rgb="FF7F3F00"/>
          <bgColor rgb="FF000000"/>
        </patternFill>
      </fill>
    </dxf>
    <dxf>
      <fill>
        <patternFill patternType="solid">
          <fgColor rgb="FFF2F2F2"/>
          <bgColor rgb="FF000000"/>
        </patternFill>
      </fill>
    </dxf>
    <dxf>
      <font>
        <name val="Arial"/>
        <charset val="1"/>
        <family val="0"/>
        <b val="1"/>
        <color rgb="FF9C0006"/>
      </font>
      <fill>
        <patternFill>
          <bgColor rgb="FFFF9999"/>
        </patternFill>
      </fill>
    </dxf>
  </dxfs>
  <colors>
    <indexedColors>
      <rgbColor rgb="FF000000"/>
      <rgbColor rgb="FFFFFFFF"/>
      <rgbColor rgb="FFC00000"/>
      <rgbColor rgb="FF00FF00"/>
      <rgbColor rgb="FF0000FF"/>
      <rgbColor rgb="FFF2F2F2"/>
      <rgbColor rgb="FFFF00FF"/>
      <rgbColor rgb="FF00FFFF"/>
      <rgbColor rgb="FF9C0006"/>
      <rgbColor rgb="FF006100"/>
      <rgbColor rgb="FF000080"/>
      <rgbColor rgb="FF548235"/>
      <rgbColor rgb="FF800080"/>
      <rgbColor rgb="FF008080"/>
      <rgbColor rgb="FFBFBFBF"/>
      <rgbColor rgb="FF878787"/>
      <rgbColor rgb="FF9999FF"/>
      <rgbColor rgb="FF7030A0"/>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2EFDA"/>
      <rgbColor rgb="FFC6EFCE"/>
      <rgbColor rgb="FFFFEB9C"/>
      <rgbColor rgb="FFA9D08E"/>
      <rgbColor rgb="FFFF9999"/>
      <rgbColor rgb="FFD9D9D9"/>
      <rgbColor rgb="FFFFC7CE"/>
      <rgbColor rgb="FF2E75B6"/>
      <rgbColor rgb="FF33CCCC"/>
      <rgbColor rgb="FF99CC00"/>
      <rgbColor rgb="FFFCE4D6"/>
      <rgbColor rgb="FFFF9900"/>
      <rgbColor rgb="FFFF6600"/>
      <rgbColor rgb="FF666666"/>
      <rgbColor rgb="FFA6A6A6"/>
      <rgbColor rgb="FF1F3864"/>
      <rgbColor rgb="FF595959"/>
      <rgbColor rgb="FF003300"/>
      <rgbColor rgb="FF555555"/>
      <rgbColor rgb="FF7F3F00"/>
      <rgbColor rgb="FF9C5700"/>
      <rgbColor rgb="FF1F4E78"/>
      <rgbColor rgb="FF3857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Tiến độ lũy kế: Kế hoạch vs Thực tế</a:t>
            </a:r>
          </a:p>
        </c:rich>
      </c:tx>
      <c:overlay val="0"/>
      <c:spPr>
        <a:noFill/>
        <a:ln w="0">
          <a:noFill/>
        </a:ln>
      </c:spPr>
    </c:title>
    <c:autoTitleDeleted val="0"/>
    <c:plotArea>
      <c:lineChart>
        <c:grouping val="standard"/>
        <c:varyColors val="0"/>
        <c:ser>
          <c:idx val="0"/>
          <c:order val="0"/>
          <c:tx>
            <c:strRef>
              <c:f>DAILY_LOG!D2</c:f>
              <c:strCache>
                <c:ptCount val="1"/>
                <c:pt idx="0">
                  <c:v>Kế hoạch lũy kế</c:v>
                </c:pt>
              </c:strCache>
            </c:strRef>
          </c:tx>
          <c:spPr>
            <a:solidFill>
              <a:srgbClr val="a6a6a6"/>
            </a:solidFill>
            <a:ln w="20160">
              <a:solidFill>
                <a:srgbClr val="a6a6a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DAILY_LOG!$B$3:$B$107</c:f>
              <c:strCache>
                <c:ptCount val="105"/>
                <c:pt idx="0">
                  <c:v>05/10/2026</c:v>
                </c:pt>
                <c:pt idx="1">
                  <c:v>06/10/2026</c:v>
                </c:pt>
                <c:pt idx="2">
                  <c:v>07/10/2026</c:v>
                </c:pt>
                <c:pt idx="3">
                  <c:v>08/10/2026</c:v>
                </c:pt>
                <c:pt idx="4">
                  <c:v>09/10/2026</c:v>
                </c:pt>
                <c:pt idx="5">
                  <c:v>10/10/2026</c:v>
                </c:pt>
                <c:pt idx="6">
                  <c:v>11/10/2026</c:v>
                </c:pt>
                <c:pt idx="7">
                  <c:v>12/10/2026</c:v>
                </c:pt>
                <c:pt idx="8">
                  <c:v>13/10/2026</c:v>
                </c:pt>
                <c:pt idx="9">
                  <c:v>14/10/2026</c:v>
                </c:pt>
                <c:pt idx="10">
                  <c:v>15/10/2026</c:v>
                </c:pt>
                <c:pt idx="11">
                  <c:v>16/10/2026</c:v>
                </c:pt>
                <c:pt idx="12">
                  <c:v>17/10/2026</c:v>
                </c:pt>
                <c:pt idx="13">
                  <c:v>18/10/2026</c:v>
                </c:pt>
                <c:pt idx="14">
                  <c:v>19/10/2026</c:v>
                </c:pt>
                <c:pt idx="15">
                  <c:v>20/10/2026</c:v>
                </c:pt>
                <c:pt idx="16">
                  <c:v>21/10/2026</c:v>
                </c:pt>
                <c:pt idx="17">
                  <c:v>22/10/2026</c:v>
                </c:pt>
                <c:pt idx="18">
                  <c:v>23/10/2026</c:v>
                </c:pt>
                <c:pt idx="19">
                  <c:v>24/10/2026</c:v>
                </c:pt>
                <c:pt idx="20">
                  <c:v>25/10/2026</c:v>
                </c:pt>
                <c:pt idx="21">
                  <c:v>26/10/2026</c:v>
                </c:pt>
                <c:pt idx="22">
                  <c:v>27/10/2026</c:v>
                </c:pt>
                <c:pt idx="23">
                  <c:v>28/10/2026</c:v>
                </c:pt>
                <c:pt idx="24">
                  <c:v>29/10/2026</c:v>
                </c:pt>
                <c:pt idx="25">
                  <c:v>30/10/2026</c:v>
                </c:pt>
                <c:pt idx="26">
                  <c:v>31/10/2026</c:v>
                </c:pt>
                <c:pt idx="27">
                  <c:v>01/11/2026</c:v>
                </c:pt>
                <c:pt idx="28">
                  <c:v>02/11/2026</c:v>
                </c:pt>
                <c:pt idx="29">
                  <c:v>03/11/2026</c:v>
                </c:pt>
                <c:pt idx="30">
                  <c:v>04/11/2026</c:v>
                </c:pt>
                <c:pt idx="31">
                  <c:v>05/11/2026</c:v>
                </c:pt>
                <c:pt idx="32">
                  <c:v>06/11/2026</c:v>
                </c:pt>
                <c:pt idx="33">
                  <c:v>07/11/2026</c:v>
                </c:pt>
                <c:pt idx="34">
                  <c:v>08/11/2026</c:v>
                </c:pt>
                <c:pt idx="35">
                  <c:v>09/11/2026</c:v>
                </c:pt>
                <c:pt idx="36">
                  <c:v>10/11/2026</c:v>
                </c:pt>
                <c:pt idx="37">
                  <c:v>11/11/2026</c:v>
                </c:pt>
                <c:pt idx="38">
                  <c:v>12/11/2026</c:v>
                </c:pt>
                <c:pt idx="39">
                  <c:v>13/11/2026</c:v>
                </c:pt>
                <c:pt idx="40">
                  <c:v>14/11/2026</c:v>
                </c:pt>
                <c:pt idx="41">
                  <c:v>15/11/2026</c:v>
                </c:pt>
                <c:pt idx="42">
                  <c:v>16/11/2026</c:v>
                </c:pt>
                <c:pt idx="43">
                  <c:v>17/11/2026</c:v>
                </c:pt>
                <c:pt idx="44">
                  <c:v>18/11/2026</c:v>
                </c:pt>
                <c:pt idx="45">
                  <c:v>19/11/2026</c:v>
                </c:pt>
                <c:pt idx="46">
                  <c:v>20/11/2026</c:v>
                </c:pt>
                <c:pt idx="47">
                  <c:v>21/11/2026</c:v>
                </c:pt>
                <c:pt idx="48">
                  <c:v>22/11/2026</c:v>
                </c:pt>
                <c:pt idx="49">
                  <c:v>23/11/2026</c:v>
                </c:pt>
                <c:pt idx="50">
                  <c:v>24/11/2026</c:v>
                </c:pt>
                <c:pt idx="51">
                  <c:v>25/11/2026</c:v>
                </c:pt>
                <c:pt idx="52">
                  <c:v>26/11/2026</c:v>
                </c:pt>
                <c:pt idx="53">
                  <c:v>27/11/2026</c:v>
                </c:pt>
                <c:pt idx="54">
                  <c:v>28/11/2026</c:v>
                </c:pt>
                <c:pt idx="55">
                  <c:v>29/11/2026</c:v>
                </c:pt>
                <c:pt idx="56">
                  <c:v>30/11/2026</c:v>
                </c:pt>
                <c:pt idx="57">
                  <c:v>01/12/2026</c:v>
                </c:pt>
                <c:pt idx="58">
                  <c:v>02/12/2026</c:v>
                </c:pt>
                <c:pt idx="59">
                  <c:v>03/12/2026</c:v>
                </c:pt>
                <c:pt idx="60">
                  <c:v>04/12/2026</c:v>
                </c:pt>
                <c:pt idx="61">
                  <c:v>05/12/2026</c:v>
                </c:pt>
                <c:pt idx="62">
                  <c:v>06/12/2026</c:v>
                </c:pt>
                <c:pt idx="63">
                  <c:v>07/12/2026</c:v>
                </c:pt>
                <c:pt idx="64">
                  <c:v>08/12/2026</c:v>
                </c:pt>
                <c:pt idx="65">
                  <c:v>09/12/2026</c:v>
                </c:pt>
                <c:pt idx="66">
                  <c:v>10/12/2026</c:v>
                </c:pt>
                <c:pt idx="67">
                  <c:v>11/12/2026</c:v>
                </c:pt>
                <c:pt idx="68">
                  <c:v>12/12/2026</c:v>
                </c:pt>
                <c:pt idx="69">
                  <c:v>13/12/2026</c:v>
                </c:pt>
                <c:pt idx="70">
                  <c:v>14/12/2026</c:v>
                </c:pt>
                <c:pt idx="71">
                  <c:v>15/12/2026</c:v>
                </c:pt>
                <c:pt idx="72">
                  <c:v>16/12/2026</c:v>
                </c:pt>
                <c:pt idx="73">
                  <c:v>17/12/2026</c:v>
                </c:pt>
                <c:pt idx="74">
                  <c:v>18/12/2026</c:v>
                </c:pt>
                <c:pt idx="75">
                  <c:v>19/12/2026</c:v>
                </c:pt>
                <c:pt idx="76">
                  <c:v>20/12/2026</c:v>
                </c:pt>
                <c:pt idx="77">
                  <c:v>21/12/2026</c:v>
                </c:pt>
                <c:pt idx="78">
                  <c:v>22/12/2026</c:v>
                </c:pt>
                <c:pt idx="79">
                  <c:v>23/12/2026</c:v>
                </c:pt>
                <c:pt idx="80">
                  <c:v>24/12/2026</c:v>
                </c:pt>
                <c:pt idx="81">
                  <c:v>25/12/2026</c:v>
                </c:pt>
                <c:pt idx="82">
                  <c:v>26/12/2026</c:v>
                </c:pt>
                <c:pt idx="83">
                  <c:v>27/12/2026</c:v>
                </c:pt>
                <c:pt idx="84">
                  <c:v>28/12/2026</c:v>
                </c:pt>
                <c:pt idx="85">
                  <c:v>29/12/2026</c:v>
                </c:pt>
                <c:pt idx="86">
                  <c:v>30/12/2026</c:v>
                </c:pt>
                <c:pt idx="87">
                  <c:v>31/12/2026</c:v>
                </c:pt>
                <c:pt idx="88">
                  <c:v>01/01/2027</c:v>
                </c:pt>
                <c:pt idx="89">
                  <c:v>02/01/2027</c:v>
                </c:pt>
                <c:pt idx="90">
                  <c:v>03/01/2027</c:v>
                </c:pt>
                <c:pt idx="91">
                  <c:v>04/01/2027</c:v>
                </c:pt>
                <c:pt idx="92">
                  <c:v>05/01/2027</c:v>
                </c:pt>
                <c:pt idx="93">
                  <c:v>06/01/2027</c:v>
                </c:pt>
                <c:pt idx="94">
                  <c:v>07/01/2027</c:v>
                </c:pt>
                <c:pt idx="95">
                  <c:v>08/01/2027</c:v>
                </c:pt>
                <c:pt idx="96">
                  <c:v>09/01/2027</c:v>
                </c:pt>
                <c:pt idx="97">
                  <c:v>10/01/2027</c:v>
                </c:pt>
                <c:pt idx="98">
                  <c:v>11/01/2027</c:v>
                </c:pt>
                <c:pt idx="99">
                  <c:v>12/01/2027</c:v>
                </c:pt>
                <c:pt idx="100">
                  <c:v>13/01/2027</c:v>
                </c:pt>
                <c:pt idx="101">
                  <c:v>14/01/2027</c:v>
                </c:pt>
                <c:pt idx="102">
                  <c:v>15/01/2027</c:v>
                </c:pt>
                <c:pt idx="103">
                  <c:v>16/01/2027</c:v>
                </c:pt>
                <c:pt idx="104">
                  <c:v>17/01/2027</c:v>
                </c:pt>
              </c:strCache>
            </c:strRef>
          </c:cat>
          <c:val>
            <c:numRef>
              <c:f>DAILY_LOG!$D$3:$D$107</c:f>
              <c:numCache>
                <c:formatCode>General</c:formatCode>
                <c:ptCount val="105"/>
                <c:pt idx="0">
                  <c:v>20</c:v>
                </c:pt>
                <c:pt idx="1">
                  <c:v>40</c:v>
                </c:pt>
                <c:pt idx="2">
                  <c:v>60</c:v>
                </c:pt>
                <c:pt idx="3">
                  <c:v>80</c:v>
                </c:pt>
                <c:pt idx="4">
                  <c:v>100</c:v>
                </c:pt>
                <c:pt idx="5">
                  <c:v>120</c:v>
                </c:pt>
                <c:pt idx="6">
                  <c:v>140</c:v>
                </c:pt>
                <c:pt idx="7">
                  <c:v>160</c:v>
                </c:pt>
                <c:pt idx="8">
                  <c:v>180</c:v>
                </c:pt>
                <c:pt idx="9">
                  <c:v>200</c:v>
                </c:pt>
                <c:pt idx="10">
                  <c:v>220</c:v>
                </c:pt>
                <c:pt idx="11">
                  <c:v>240</c:v>
                </c:pt>
                <c:pt idx="12">
                  <c:v>260</c:v>
                </c:pt>
                <c:pt idx="13">
                  <c:v>280</c:v>
                </c:pt>
                <c:pt idx="14">
                  <c:v>300</c:v>
                </c:pt>
                <c:pt idx="15">
                  <c:v>320</c:v>
                </c:pt>
                <c:pt idx="16">
                  <c:v>340</c:v>
                </c:pt>
                <c:pt idx="17">
                  <c:v>360</c:v>
                </c:pt>
                <c:pt idx="18">
                  <c:v>380</c:v>
                </c:pt>
                <c:pt idx="19">
                  <c:v>400</c:v>
                </c:pt>
                <c:pt idx="20">
                  <c:v>420</c:v>
                </c:pt>
                <c:pt idx="21">
                  <c:v>440</c:v>
                </c:pt>
                <c:pt idx="22">
                  <c:v>460</c:v>
                </c:pt>
                <c:pt idx="23">
                  <c:v>480</c:v>
                </c:pt>
                <c:pt idx="24">
                  <c:v>500</c:v>
                </c:pt>
                <c:pt idx="25">
                  <c:v>520</c:v>
                </c:pt>
                <c:pt idx="26">
                  <c:v>540</c:v>
                </c:pt>
                <c:pt idx="27">
                  <c:v>560</c:v>
                </c:pt>
                <c:pt idx="28">
                  <c:v>580</c:v>
                </c:pt>
                <c:pt idx="29">
                  <c:v>600</c:v>
                </c:pt>
                <c:pt idx="30">
                  <c:v>620</c:v>
                </c:pt>
                <c:pt idx="31">
                  <c:v>640</c:v>
                </c:pt>
                <c:pt idx="32">
                  <c:v>660</c:v>
                </c:pt>
                <c:pt idx="33">
                  <c:v>680</c:v>
                </c:pt>
                <c:pt idx="34">
                  <c:v>700</c:v>
                </c:pt>
                <c:pt idx="35">
                  <c:v>720</c:v>
                </c:pt>
                <c:pt idx="36">
                  <c:v>740</c:v>
                </c:pt>
                <c:pt idx="37">
                  <c:v>760</c:v>
                </c:pt>
                <c:pt idx="38">
                  <c:v>780</c:v>
                </c:pt>
                <c:pt idx="39">
                  <c:v>800</c:v>
                </c:pt>
                <c:pt idx="40">
                  <c:v>820</c:v>
                </c:pt>
                <c:pt idx="41">
                  <c:v>840</c:v>
                </c:pt>
                <c:pt idx="42">
                  <c:v>860</c:v>
                </c:pt>
                <c:pt idx="43">
                  <c:v>880</c:v>
                </c:pt>
                <c:pt idx="44">
                  <c:v>900</c:v>
                </c:pt>
                <c:pt idx="45">
                  <c:v>920</c:v>
                </c:pt>
                <c:pt idx="46">
                  <c:v>940</c:v>
                </c:pt>
                <c:pt idx="47">
                  <c:v>960</c:v>
                </c:pt>
                <c:pt idx="48">
                  <c:v>980</c:v>
                </c:pt>
                <c:pt idx="49">
                  <c:v>1000</c:v>
                </c:pt>
                <c:pt idx="50">
                  <c:v>1020</c:v>
                </c:pt>
                <c:pt idx="51">
                  <c:v>1040</c:v>
                </c:pt>
                <c:pt idx="52">
                  <c:v>1060</c:v>
                </c:pt>
                <c:pt idx="53">
                  <c:v>1080</c:v>
                </c:pt>
                <c:pt idx="54">
                  <c:v>1100</c:v>
                </c:pt>
                <c:pt idx="55">
                  <c:v>1120</c:v>
                </c:pt>
                <c:pt idx="56">
                  <c:v>1140</c:v>
                </c:pt>
                <c:pt idx="57">
                  <c:v>1160</c:v>
                </c:pt>
                <c:pt idx="58">
                  <c:v>1180</c:v>
                </c:pt>
                <c:pt idx="59">
                  <c:v>1200</c:v>
                </c:pt>
                <c:pt idx="60">
                  <c:v>1220</c:v>
                </c:pt>
                <c:pt idx="61">
                  <c:v>1240</c:v>
                </c:pt>
                <c:pt idx="62">
                  <c:v>1260</c:v>
                </c:pt>
                <c:pt idx="63">
                  <c:v>1280</c:v>
                </c:pt>
                <c:pt idx="64">
                  <c:v>1300</c:v>
                </c:pt>
                <c:pt idx="65">
                  <c:v>1320</c:v>
                </c:pt>
                <c:pt idx="66">
                  <c:v>1340</c:v>
                </c:pt>
                <c:pt idx="67">
                  <c:v>1360</c:v>
                </c:pt>
                <c:pt idx="68">
                  <c:v>1380</c:v>
                </c:pt>
                <c:pt idx="69">
                  <c:v>1400</c:v>
                </c:pt>
                <c:pt idx="70">
                  <c:v>1420</c:v>
                </c:pt>
                <c:pt idx="71">
                  <c:v>1440</c:v>
                </c:pt>
                <c:pt idx="72">
                  <c:v>1460</c:v>
                </c:pt>
                <c:pt idx="73">
                  <c:v>1480</c:v>
                </c:pt>
                <c:pt idx="74">
                  <c:v>1500</c:v>
                </c:pt>
                <c:pt idx="75">
                  <c:v>1520</c:v>
                </c:pt>
                <c:pt idx="76">
                  <c:v>1540</c:v>
                </c:pt>
                <c:pt idx="77">
                  <c:v>1560</c:v>
                </c:pt>
                <c:pt idx="78">
                  <c:v>1580</c:v>
                </c:pt>
                <c:pt idx="79">
                  <c:v>1600</c:v>
                </c:pt>
                <c:pt idx="80">
                  <c:v>1620</c:v>
                </c:pt>
                <c:pt idx="81">
                  <c:v>1640</c:v>
                </c:pt>
                <c:pt idx="82">
                  <c:v>1660</c:v>
                </c:pt>
                <c:pt idx="83">
                  <c:v>1680</c:v>
                </c:pt>
                <c:pt idx="84">
                  <c:v>1700</c:v>
                </c:pt>
                <c:pt idx="85">
                  <c:v>1720</c:v>
                </c:pt>
                <c:pt idx="86">
                  <c:v>1740</c:v>
                </c:pt>
                <c:pt idx="87">
                  <c:v>1760</c:v>
                </c:pt>
                <c:pt idx="88">
                  <c:v>1780</c:v>
                </c:pt>
                <c:pt idx="89">
                  <c:v>1800</c:v>
                </c:pt>
                <c:pt idx="90">
                  <c:v>1800</c:v>
                </c:pt>
                <c:pt idx="91">
                  <c:v>1800</c:v>
                </c:pt>
                <c:pt idx="92">
                  <c:v>1800</c:v>
                </c:pt>
                <c:pt idx="93">
                  <c:v>1800</c:v>
                </c:pt>
                <c:pt idx="94">
                  <c:v>1800</c:v>
                </c:pt>
                <c:pt idx="95">
                  <c:v>1800</c:v>
                </c:pt>
                <c:pt idx="96">
                  <c:v>1800</c:v>
                </c:pt>
                <c:pt idx="97">
                  <c:v>1800</c:v>
                </c:pt>
                <c:pt idx="98">
                  <c:v>1800</c:v>
                </c:pt>
                <c:pt idx="99">
                  <c:v>1800</c:v>
                </c:pt>
                <c:pt idx="100">
                  <c:v>1800</c:v>
                </c:pt>
                <c:pt idx="101">
                  <c:v>1800</c:v>
                </c:pt>
                <c:pt idx="102">
                  <c:v>1800</c:v>
                </c:pt>
                <c:pt idx="103">
                  <c:v>1800</c:v>
                </c:pt>
                <c:pt idx="104">
                  <c:v>1800</c:v>
                </c:pt>
              </c:numCache>
            </c:numRef>
          </c:val>
          <c:smooth val="0"/>
        </c:ser>
        <c:ser>
          <c:idx val="1"/>
          <c:order val="1"/>
          <c:tx>
            <c:strRef>
              <c:f>DAILY_LOG!H2</c:f>
              <c:strCache>
                <c:ptCount val="1"/>
                <c:pt idx="0">
                  <c:v>Lũy kế đã học</c:v>
                </c:pt>
              </c:strCache>
            </c:strRef>
          </c:tx>
          <c:spPr>
            <a:solidFill>
              <a:srgbClr val="2e75b6"/>
            </a:solidFill>
            <a:ln w="28080">
              <a:solidFill>
                <a:srgbClr val="2e75b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DAILY_LOG!$B$3:$B$107</c:f>
              <c:strCache>
                <c:ptCount val="105"/>
                <c:pt idx="0">
                  <c:v>05/10/2026</c:v>
                </c:pt>
                <c:pt idx="1">
                  <c:v>06/10/2026</c:v>
                </c:pt>
                <c:pt idx="2">
                  <c:v>07/10/2026</c:v>
                </c:pt>
                <c:pt idx="3">
                  <c:v>08/10/2026</c:v>
                </c:pt>
                <c:pt idx="4">
                  <c:v>09/10/2026</c:v>
                </c:pt>
                <c:pt idx="5">
                  <c:v>10/10/2026</c:v>
                </c:pt>
                <c:pt idx="6">
                  <c:v>11/10/2026</c:v>
                </c:pt>
                <c:pt idx="7">
                  <c:v>12/10/2026</c:v>
                </c:pt>
                <c:pt idx="8">
                  <c:v>13/10/2026</c:v>
                </c:pt>
                <c:pt idx="9">
                  <c:v>14/10/2026</c:v>
                </c:pt>
                <c:pt idx="10">
                  <c:v>15/10/2026</c:v>
                </c:pt>
                <c:pt idx="11">
                  <c:v>16/10/2026</c:v>
                </c:pt>
                <c:pt idx="12">
                  <c:v>17/10/2026</c:v>
                </c:pt>
                <c:pt idx="13">
                  <c:v>18/10/2026</c:v>
                </c:pt>
                <c:pt idx="14">
                  <c:v>19/10/2026</c:v>
                </c:pt>
                <c:pt idx="15">
                  <c:v>20/10/2026</c:v>
                </c:pt>
                <c:pt idx="16">
                  <c:v>21/10/2026</c:v>
                </c:pt>
                <c:pt idx="17">
                  <c:v>22/10/2026</c:v>
                </c:pt>
                <c:pt idx="18">
                  <c:v>23/10/2026</c:v>
                </c:pt>
                <c:pt idx="19">
                  <c:v>24/10/2026</c:v>
                </c:pt>
                <c:pt idx="20">
                  <c:v>25/10/2026</c:v>
                </c:pt>
                <c:pt idx="21">
                  <c:v>26/10/2026</c:v>
                </c:pt>
                <c:pt idx="22">
                  <c:v>27/10/2026</c:v>
                </c:pt>
                <c:pt idx="23">
                  <c:v>28/10/2026</c:v>
                </c:pt>
                <c:pt idx="24">
                  <c:v>29/10/2026</c:v>
                </c:pt>
                <c:pt idx="25">
                  <c:v>30/10/2026</c:v>
                </c:pt>
                <c:pt idx="26">
                  <c:v>31/10/2026</c:v>
                </c:pt>
                <c:pt idx="27">
                  <c:v>01/11/2026</c:v>
                </c:pt>
                <c:pt idx="28">
                  <c:v>02/11/2026</c:v>
                </c:pt>
                <c:pt idx="29">
                  <c:v>03/11/2026</c:v>
                </c:pt>
                <c:pt idx="30">
                  <c:v>04/11/2026</c:v>
                </c:pt>
                <c:pt idx="31">
                  <c:v>05/11/2026</c:v>
                </c:pt>
                <c:pt idx="32">
                  <c:v>06/11/2026</c:v>
                </c:pt>
                <c:pt idx="33">
                  <c:v>07/11/2026</c:v>
                </c:pt>
                <c:pt idx="34">
                  <c:v>08/11/2026</c:v>
                </c:pt>
                <c:pt idx="35">
                  <c:v>09/11/2026</c:v>
                </c:pt>
                <c:pt idx="36">
                  <c:v>10/11/2026</c:v>
                </c:pt>
                <c:pt idx="37">
                  <c:v>11/11/2026</c:v>
                </c:pt>
                <c:pt idx="38">
                  <c:v>12/11/2026</c:v>
                </c:pt>
                <c:pt idx="39">
                  <c:v>13/11/2026</c:v>
                </c:pt>
                <c:pt idx="40">
                  <c:v>14/11/2026</c:v>
                </c:pt>
                <c:pt idx="41">
                  <c:v>15/11/2026</c:v>
                </c:pt>
                <c:pt idx="42">
                  <c:v>16/11/2026</c:v>
                </c:pt>
                <c:pt idx="43">
                  <c:v>17/11/2026</c:v>
                </c:pt>
                <c:pt idx="44">
                  <c:v>18/11/2026</c:v>
                </c:pt>
                <c:pt idx="45">
                  <c:v>19/11/2026</c:v>
                </c:pt>
                <c:pt idx="46">
                  <c:v>20/11/2026</c:v>
                </c:pt>
                <c:pt idx="47">
                  <c:v>21/11/2026</c:v>
                </c:pt>
                <c:pt idx="48">
                  <c:v>22/11/2026</c:v>
                </c:pt>
                <c:pt idx="49">
                  <c:v>23/11/2026</c:v>
                </c:pt>
                <c:pt idx="50">
                  <c:v>24/11/2026</c:v>
                </c:pt>
                <c:pt idx="51">
                  <c:v>25/11/2026</c:v>
                </c:pt>
                <c:pt idx="52">
                  <c:v>26/11/2026</c:v>
                </c:pt>
                <c:pt idx="53">
                  <c:v>27/11/2026</c:v>
                </c:pt>
                <c:pt idx="54">
                  <c:v>28/11/2026</c:v>
                </c:pt>
                <c:pt idx="55">
                  <c:v>29/11/2026</c:v>
                </c:pt>
                <c:pt idx="56">
                  <c:v>30/11/2026</c:v>
                </c:pt>
                <c:pt idx="57">
                  <c:v>01/12/2026</c:v>
                </c:pt>
                <c:pt idx="58">
                  <c:v>02/12/2026</c:v>
                </c:pt>
                <c:pt idx="59">
                  <c:v>03/12/2026</c:v>
                </c:pt>
                <c:pt idx="60">
                  <c:v>04/12/2026</c:v>
                </c:pt>
                <c:pt idx="61">
                  <c:v>05/12/2026</c:v>
                </c:pt>
                <c:pt idx="62">
                  <c:v>06/12/2026</c:v>
                </c:pt>
                <c:pt idx="63">
                  <c:v>07/12/2026</c:v>
                </c:pt>
                <c:pt idx="64">
                  <c:v>08/12/2026</c:v>
                </c:pt>
                <c:pt idx="65">
                  <c:v>09/12/2026</c:v>
                </c:pt>
                <c:pt idx="66">
                  <c:v>10/12/2026</c:v>
                </c:pt>
                <c:pt idx="67">
                  <c:v>11/12/2026</c:v>
                </c:pt>
                <c:pt idx="68">
                  <c:v>12/12/2026</c:v>
                </c:pt>
                <c:pt idx="69">
                  <c:v>13/12/2026</c:v>
                </c:pt>
                <c:pt idx="70">
                  <c:v>14/12/2026</c:v>
                </c:pt>
                <c:pt idx="71">
                  <c:v>15/12/2026</c:v>
                </c:pt>
                <c:pt idx="72">
                  <c:v>16/12/2026</c:v>
                </c:pt>
                <c:pt idx="73">
                  <c:v>17/12/2026</c:v>
                </c:pt>
                <c:pt idx="74">
                  <c:v>18/12/2026</c:v>
                </c:pt>
                <c:pt idx="75">
                  <c:v>19/12/2026</c:v>
                </c:pt>
                <c:pt idx="76">
                  <c:v>20/12/2026</c:v>
                </c:pt>
                <c:pt idx="77">
                  <c:v>21/12/2026</c:v>
                </c:pt>
                <c:pt idx="78">
                  <c:v>22/12/2026</c:v>
                </c:pt>
                <c:pt idx="79">
                  <c:v>23/12/2026</c:v>
                </c:pt>
                <c:pt idx="80">
                  <c:v>24/12/2026</c:v>
                </c:pt>
                <c:pt idx="81">
                  <c:v>25/12/2026</c:v>
                </c:pt>
                <c:pt idx="82">
                  <c:v>26/12/2026</c:v>
                </c:pt>
                <c:pt idx="83">
                  <c:v>27/12/2026</c:v>
                </c:pt>
                <c:pt idx="84">
                  <c:v>28/12/2026</c:v>
                </c:pt>
                <c:pt idx="85">
                  <c:v>29/12/2026</c:v>
                </c:pt>
                <c:pt idx="86">
                  <c:v>30/12/2026</c:v>
                </c:pt>
                <c:pt idx="87">
                  <c:v>31/12/2026</c:v>
                </c:pt>
                <c:pt idx="88">
                  <c:v>01/01/2027</c:v>
                </c:pt>
                <c:pt idx="89">
                  <c:v>02/01/2027</c:v>
                </c:pt>
                <c:pt idx="90">
                  <c:v>03/01/2027</c:v>
                </c:pt>
                <c:pt idx="91">
                  <c:v>04/01/2027</c:v>
                </c:pt>
                <c:pt idx="92">
                  <c:v>05/01/2027</c:v>
                </c:pt>
                <c:pt idx="93">
                  <c:v>06/01/2027</c:v>
                </c:pt>
                <c:pt idx="94">
                  <c:v>07/01/2027</c:v>
                </c:pt>
                <c:pt idx="95">
                  <c:v>08/01/2027</c:v>
                </c:pt>
                <c:pt idx="96">
                  <c:v>09/01/2027</c:v>
                </c:pt>
                <c:pt idx="97">
                  <c:v>10/01/2027</c:v>
                </c:pt>
                <c:pt idx="98">
                  <c:v>11/01/2027</c:v>
                </c:pt>
                <c:pt idx="99">
                  <c:v>12/01/2027</c:v>
                </c:pt>
                <c:pt idx="100">
                  <c:v>13/01/2027</c:v>
                </c:pt>
                <c:pt idx="101">
                  <c:v>14/01/2027</c:v>
                </c:pt>
                <c:pt idx="102">
                  <c:v>15/01/2027</c:v>
                </c:pt>
                <c:pt idx="103">
                  <c:v>16/01/2027</c:v>
                </c:pt>
                <c:pt idx="104">
                  <c:v>17/01/2027</c:v>
                </c:pt>
              </c:strCache>
            </c:strRef>
          </c:cat>
          <c:val>
            <c:numRef>
              <c:f>DAILY_LOG!$H$3:$H$107</c:f>
              <c:numCache>
                <c:formatCode>General</c:formatCode>
                <c:ptCount val="10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numCache>
            </c:numRef>
          </c:val>
          <c:smooth val="0"/>
        </c:ser>
        <c:hiLowLines>
          <c:spPr>
            <a:ln w="0">
              <a:noFill/>
            </a:ln>
          </c:spPr>
        </c:hiLowLines>
        <c:marker val="0"/>
        <c:axId val="99142821"/>
        <c:axId val="44300748"/>
      </c:lineChart>
      <c:catAx>
        <c:axId val="9914282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Ngày</a:t>
                </a:r>
              </a:p>
            </c:rich>
          </c:tx>
          <c:overlay val="0"/>
          <c:spPr>
            <a:noFill/>
            <a:ln w="0">
              <a:noFill/>
            </a:ln>
          </c:spPr>
        </c:title>
        <c:numFmt formatCode="dd/mm/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300748"/>
        <c:crosses val="autoZero"/>
        <c:auto val="1"/>
        <c:lblAlgn val="ctr"/>
        <c:lblOffset val="100"/>
        <c:noMultiLvlLbl val="0"/>
      </c:catAx>
      <c:valAx>
        <c:axId val="4430074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Số câu</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14282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Hoạt động mỗi ngày: câu học mới + lượt ôn</a:t>
            </a:r>
          </a:p>
        </c:rich>
      </c:tx>
      <c:overlay val="0"/>
      <c:spPr>
        <a:noFill/>
        <a:ln w="0">
          <a:noFill/>
        </a:ln>
      </c:spPr>
    </c:title>
    <c:autoTitleDeleted val="0"/>
    <c:plotArea>
      <c:barChart>
        <c:barDir val="col"/>
        <c:grouping val="stacked"/>
        <c:varyColors val="0"/>
        <c:ser>
          <c:idx val="0"/>
          <c:order val="0"/>
          <c:tx>
            <c:strRef>
              <c:f>DAILY_LOG!E2</c:f>
              <c:strCache>
                <c:ptCount val="1"/>
                <c:pt idx="0">
                  <c:v>Câu MỚI học trong ngày</c:v>
                </c:pt>
              </c:strCache>
            </c:strRef>
          </c:tx>
          <c:spPr>
            <a:solidFill>
              <a:srgbClr val="2e75b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DAILY_LOG!$B$3:$B$107</c:f>
              <c:strCache>
                <c:ptCount val="105"/>
                <c:pt idx="0">
                  <c:v>05/10/2026</c:v>
                </c:pt>
                <c:pt idx="1">
                  <c:v>06/10/2026</c:v>
                </c:pt>
                <c:pt idx="2">
                  <c:v>07/10/2026</c:v>
                </c:pt>
                <c:pt idx="3">
                  <c:v>08/10/2026</c:v>
                </c:pt>
                <c:pt idx="4">
                  <c:v>09/10/2026</c:v>
                </c:pt>
                <c:pt idx="5">
                  <c:v>10/10/2026</c:v>
                </c:pt>
                <c:pt idx="6">
                  <c:v>11/10/2026</c:v>
                </c:pt>
                <c:pt idx="7">
                  <c:v>12/10/2026</c:v>
                </c:pt>
                <c:pt idx="8">
                  <c:v>13/10/2026</c:v>
                </c:pt>
                <c:pt idx="9">
                  <c:v>14/10/2026</c:v>
                </c:pt>
                <c:pt idx="10">
                  <c:v>15/10/2026</c:v>
                </c:pt>
                <c:pt idx="11">
                  <c:v>16/10/2026</c:v>
                </c:pt>
                <c:pt idx="12">
                  <c:v>17/10/2026</c:v>
                </c:pt>
                <c:pt idx="13">
                  <c:v>18/10/2026</c:v>
                </c:pt>
                <c:pt idx="14">
                  <c:v>19/10/2026</c:v>
                </c:pt>
                <c:pt idx="15">
                  <c:v>20/10/2026</c:v>
                </c:pt>
                <c:pt idx="16">
                  <c:v>21/10/2026</c:v>
                </c:pt>
                <c:pt idx="17">
                  <c:v>22/10/2026</c:v>
                </c:pt>
                <c:pt idx="18">
                  <c:v>23/10/2026</c:v>
                </c:pt>
                <c:pt idx="19">
                  <c:v>24/10/2026</c:v>
                </c:pt>
                <c:pt idx="20">
                  <c:v>25/10/2026</c:v>
                </c:pt>
                <c:pt idx="21">
                  <c:v>26/10/2026</c:v>
                </c:pt>
                <c:pt idx="22">
                  <c:v>27/10/2026</c:v>
                </c:pt>
                <c:pt idx="23">
                  <c:v>28/10/2026</c:v>
                </c:pt>
                <c:pt idx="24">
                  <c:v>29/10/2026</c:v>
                </c:pt>
                <c:pt idx="25">
                  <c:v>30/10/2026</c:v>
                </c:pt>
                <c:pt idx="26">
                  <c:v>31/10/2026</c:v>
                </c:pt>
                <c:pt idx="27">
                  <c:v>01/11/2026</c:v>
                </c:pt>
                <c:pt idx="28">
                  <c:v>02/11/2026</c:v>
                </c:pt>
                <c:pt idx="29">
                  <c:v>03/11/2026</c:v>
                </c:pt>
                <c:pt idx="30">
                  <c:v>04/11/2026</c:v>
                </c:pt>
                <c:pt idx="31">
                  <c:v>05/11/2026</c:v>
                </c:pt>
                <c:pt idx="32">
                  <c:v>06/11/2026</c:v>
                </c:pt>
                <c:pt idx="33">
                  <c:v>07/11/2026</c:v>
                </c:pt>
                <c:pt idx="34">
                  <c:v>08/11/2026</c:v>
                </c:pt>
                <c:pt idx="35">
                  <c:v>09/11/2026</c:v>
                </c:pt>
                <c:pt idx="36">
                  <c:v>10/11/2026</c:v>
                </c:pt>
                <c:pt idx="37">
                  <c:v>11/11/2026</c:v>
                </c:pt>
                <c:pt idx="38">
                  <c:v>12/11/2026</c:v>
                </c:pt>
                <c:pt idx="39">
                  <c:v>13/11/2026</c:v>
                </c:pt>
                <c:pt idx="40">
                  <c:v>14/11/2026</c:v>
                </c:pt>
                <c:pt idx="41">
                  <c:v>15/11/2026</c:v>
                </c:pt>
                <c:pt idx="42">
                  <c:v>16/11/2026</c:v>
                </c:pt>
                <c:pt idx="43">
                  <c:v>17/11/2026</c:v>
                </c:pt>
                <c:pt idx="44">
                  <c:v>18/11/2026</c:v>
                </c:pt>
                <c:pt idx="45">
                  <c:v>19/11/2026</c:v>
                </c:pt>
                <c:pt idx="46">
                  <c:v>20/11/2026</c:v>
                </c:pt>
                <c:pt idx="47">
                  <c:v>21/11/2026</c:v>
                </c:pt>
                <c:pt idx="48">
                  <c:v>22/11/2026</c:v>
                </c:pt>
                <c:pt idx="49">
                  <c:v>23/11/2026</c:v>
                </c:pt>
                <c:pt idx="50">
                  <c:v>24/11/2026</c:v>
                </c:pt>
                <c:pt idx="51">
                  <c:v>25/11/2026</c:v>
                </c:pt>
                <c:pt idx="52">
                  <c:v>26/11/2026</c:v>
                </c:pt>
                <c:pt idx="53">
                  <c:v>27/11/2026</c:v>
                </c:pt>
                <c:pt idx="54">
                  <c:v>28/11/2026</c:v>
                </c:pt>
                <c:pt idx="55">
                  <c:v>29/11/2026</c:v>
                </c:pt>
                <c:pt idx="56">
                  <c:v>30/11/2026</c:v>
                </c:pt>
                <c:pt idx="57">
                  <c:v>01/12/2026</c:v>
                </c:pt>
                <c:pt idx="58">
                  <c:v>02/12/2026</c:v>
                </c:pt>
                <c:pt idx="59">
                  <c:v>03/12/2026</c:v>
                </c:pt>
                <c:pt idx="60">
                  <c:v>04/12/2026</c:v>
                </c:pt>
                <c:pt idx="61">
                  <c:v>05/12/2026</c:v>
                </c:pt>
                <c:pt idx="62">
                  <c:v>06/12/2026</c:v>
                </c:pt>
                <c:pt idx="63">
                  <c:v>07/12/2026</c:v>
                </c:pt>
                <c:pt idx="64">
                  <c:v>08/12/2026</c:v>
                </c:pt>
                <c:pt idx="65">
                  <c:v>09/12/2026</c:v>
                </c:pt>
                <c:pt idx="66">
                  <c:v>10/12/2026</c:v>
                </c:pt>
                <c:pt idx="67">
                  <c:v>11/12/2026</c:v>
                </c:pt>
                <c:pt idx="68">
                  <c:v>12/12/2026</c:v>
                </c:pt>
                <c:pt idx="69">
                  <c:v>13/12/2026</c:v>
                </c:pt>
                <c:pt idx="70">
                  <c:v>14/12/2026</c:v>
                </c:pt>
                <c:pt idx="71">
                  <c:v>15/12/2026</c:v>
                </c:pt>
                <c:pt idx="72">
                  <c:v>16/12/2026</c:v>
                </c:pt>
                <c:pt idx="73">
                  <c:v>17/12/2026</c:v>
                </c:pt>
                <c:pt idx="74">
                  <c:v>18/12/2026</c:v>
                </c:pt>
                <c:pt idx="75">
                  <c:v>19/12/2026</c:v>
                </c:pt>
                <c:pt idx="76">
                  <c:v>20/12/2026</c:v>
                </c:pt>
                <c:pt idx="77">
                  <c:v>21/12/2026</c:v>
                </c:pt>
                <c:pt idx="78">
                  <c:v>22/12/2026</c:v>
                </c:pt>
                <c:pt idx="79">
                  <c:v>23/12/2026</c:v>
                </c:pt>
                <c:pt idx="80">
                  <c:v>24/12/2026</c:v>
                </c:pt>
                <c:pt idx="81">
                  <c:v>25/12/2026</c:v>
                </c:pt>
                <c:pt idx="82">
                  <c:v>26/12/2026</c:v>
                </c:pt>
                <c:pt idx="83">
                  <c:v>27/12/2026</c:v>
                </c:pt>
                <c:pt idx="84">
                  <c:v>28/12/2026</c:v>
                </c:pt>
                <c:pt idx="85">
                  <c:v>29/12/2026</c:v>
                </c:pt>
                <c:pt idx="86">
                  <c:v>30/12/2026</c:v>
                </c:pt>
                <c:pt idx="87">
                  <c:v>31/12/2026</c:v>
                </c:pt>
                <c:pt idx="88">
                  <c:v>01/01/2027</c:v>
                </c:pt>
                <c:pt idx="89">
                  <c:v>02/01/2027</c:v>
                </c:pt>
                <c:pt idx="90">
                  <c:v>03/01/2027</c:v>
                </c:pt>
                <c:pt idx="91">
                  <c:v>04/01/2027</c:v>
                </c:pt>
                <c:pt idx="92">
                  <c:v>05/01/2027</c:v>
                </c:pt>
                <c:pt idx="93">
                  <c:v>06/01/2027</c:v>
                </c:pt>
                <c:pt idx="94">
                  <c:v>07/01/2027</c:v>
                </c:pt>
                <c:pt idx="95">
                  <c:v>08/01/2027</c:v>
                </c:pt>
                <c:pt idx="96">
                  <c:v>09/01/2027</c:v>
                </c:pt>
                <c:pt idx="97">
                  <c:v>10/01/2027</c:v>
                </c:pt>
                <c:pt idx="98">
                  <c:v>11/01/2027</c:v>
                </c:pt>
                <c:pt idx="99">
                  <c:v>12/01/2027</c:v>
                </c:pt>
                <c:pt idx="100">
                  <c:v>13/01/2027</c:v>
                </c:pt>
                <c:pt idx="101">
                  <c:v>14/01/2027</c:v>
                </c:pt>
                <c:pt idx="102">
                  <c:v>15/01/2027</c:v>
                </c:pt>
                <c:pt idx="103">
                  <c:v>16/01/2027</c:v>
                </c:pt>
                <c:pt idx="104">
                  <c:v>17/01/2027</c:v>
                </c:pt>
              </c:strCache>
            </c:strRef>
          </c:cat>
          <c:val>
            <c:numRef>
              <c:f>DAILY_LOG!$E$3:$E$107</c:f>
              <c:numCache>
                <c:formatCode>General</c:formatCode>
                <c:ptCount val="10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numCache>
            </c:numRef>
          </c:val>
        </c:ser>
        <c:ser>
          <c:idx val="1"/>
          <c:order val="1"/>
          <c:tx>
            <c:strRef>
              <c:f>DAILY_LOG!F2</c:f>
              <c:strCache>
                <c:ptCount val="1"/>
                <c:pt idx="0">
                  <c:v>Lượt ÔN trong ngày</c:v>
                </c:pt>
              </c:strCache>
            </c:strRef>
          </c:tx>
          <c:spPr>
            <a:solidFill>
              <a:srgbClr val="a9d08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DAILY_LOG!$B$3:$B$107</c:f>
              <c:strCache>
                <c:ptCount val="105"/>
                <c:pt idx="0">
                  <c:v>05/10/2026</c:v>
                </c:pt>
                <c:pt idx="1">
                  <c:v>06/10/2026</c:v>
                </c:pt>
                <c:pt idx="2">
                  <c:v>07/10/2026</c:v>
                </c:pt>
                <c:pt idx="3">
                  <c:v>08/10/2026</c:v>
                </c:pt>
                <c:pt idx="4">
                  <c:v>09/10/2026</c:v>
                </c:pt>
                <c:pt idx="5">
                  <c:v>10/10/2026</c:v>
                </c:pt>
                <c:pt idx="6">
                  <c:v>11/10/2026</c:v>
                </c:pt>
                <c:pt idx="7">
                  <c:v>12/10/2026</c:v>
                </c:pt>
                <c:pt idx="8">
                  <c:v>13/10/2026</c:v>
                </c:pt>
                <c:pt idx="9">
                  <c:v>14/10/2026</c:v>
                </c:pt>
                <c:pt idx="10">
                  <c:v>15/10/2026</c:v>
                </c:pt>
                <c:pt idx="11">
                  <c:v>16/10/2026</c:v>
                </c:pt>
                <c:pt idx="12">
                  <c:v>17/10/2026</c:v>
                </c:pt>
                <c:pt idx="13">
                  <c:v>18/10/2026</c:v>
                </c:pt>
                <c:pt idx="14">
                  <c:v>19/10/2026</c:v>
                </c:pt>
                <c:pt idx="15">
                  <c:v>20/10/2026</c:v>
                </c:pt>
                <c:pt idx="16">
                  <c:v>21/10/2026</c:v>
                </c:pt>
                <c:pt idx="17">
                  <c:v>22/10/2026</c:v>
                </c:pt>
                <c:pt idx="18">
                  <c:v>23/10/2026</c:v>
                </c:pt>
                <c:pt idx="19">
                  <c:v>24/10/2026</c:v>
                </c:pt>
                <c:pt idx="20">
                  <c:v>25/10/2026</c:v>
                </c:pt>
                <c:pt idx="21">
                  <c:v>26/10/2026</c:v>
                </c:pt>
                <c:pt idx="22">
                  <c:v>27/10/2026</c:v>
                </c:pt>
                <c:pt idx="23">
                  <c:v>28/10/2026</c:v>
                </c:pt>
                <c:pt idx="24">
                  <c:v>29/10/2026</c:v>
                </c:pt>
                <c:pt idx="25">
                  <c:v>30/10/2026</c:v>
                </c:pt>
                <c:pt idx="26">
                  <c:v>31/10/2026</c:v>
                </c:pt>
                <c:pt idx="27">
                  <c:v>01/11/2026</c:v>
                </c:pt>
                <c:pt idx="28">
                  <c:v>02/11/2026</c:v>
                </c:pt>
                <c:pt idx="29">
                  <c:v>03/11/2026</c:v>
                </c:pt>
                <c:pt idx="30">
                  <c:v>04/11/2026</c:v>
                </c:pt>
                <c:pt idx="31">
                  <c:v>05/11/2026</c:v>
                </c:pt>
                <c:pt idx="32">
                  <c:v>06/11/2026</c:v>
                </c:pt>
                <c:pt idx="33">
                  <c:v>07/11/2026</c:v>
                </c:pt>
                <c:pt idx="34">
                  <c:v>08/11/2026</c:v>
                </c:pt>
                <c:pt idx="35">
                  <c:v>09/11/2026</c:v>
                </c:pt>
                <c:pt idx="36">
                  <c:v>10/11/2026</c:v>
                </c:pt>
                <c:pt idx="37">
                  <c:v>11/11/2026</c:v>
                </c:pt>
                <c:pt idx="38">
                  <c:v>12/11/2026</c:v>
                </c:pt>
                <c:pt idx="39">
                  <c:v>13/11/2026</c:v>
                </c:pt>
                <c:pt idx="40">
                  <c:v>14/11/2026</c:v>
                </c:pt>
                <c:pt idx="41">
                  <c:v>15/11/2026</c:v>
                </c:pt>
                <c:pt idx="42">
                  <c:v>16/11/2026</c:v>
                </c:pt>
                <c:pt idx="43">
                  <c:v>17/11/2026</c:v>
                </c:pt>
                <c:pt idx="44">
                  <c:v>18/11/2026</c:v>
                </c:pt>
                <c:pt idx="45">
                  <c:v>19/11/2026</c:v>
                </c:pt>
                <c:pt idx="46">
                  <c:v>20/11/2026</c:v>
                </c:pt>
                <c:pt idx="47">
                  <c:v>21/11/2026</c:v>
                </c:pt>
                <c:pt idx="48">
                  <c:v>22/11/2026</c:v>
                </c:pt>
                <c:pt idx="49">
                  <c:v>23/11/2026</c:v>
                </c:pt>
                <c:pt idx="50">
                  <c:v>24/11/2026</c:v>
                </c:pt>
                <c:pt idx="51">
                  <c:v>25/11/2026</c:v>
                </c:pt>
                <c:pt idx="52">
                  <c:v>26/11/2026</c:v>
                </c:pt>
                <c:pt idx="53">
                  <c:v>27/11/2026</c:v>
                </c:pt>
                <c:pt idx="54">
                  <c:v>28/11/2026</c:v>
                </c:pt>
                <c:pt idx="55">
                  <c:v>29/11/2026</c:v>
                </c:pt>
                <c:pt idx="56">
                  <c:v>30/11/2026</c:v>
                </c:pt>
                <c:pt idx="57">
                  <c:v>01/12/2026</c:v>
                </c:pt>
                <c:pt idx="58">
                  <c:v>02/12/2026</c:v>
                </c:pt>
                <c:pt idx="59">
                  <c:v>03/12/2026</c:v>
                </c:pt>
                <c:pt idx="60">
                  <c:v>04/12/2026</c:v>
                </c:pt>
                <c:pt idx="61">
                  <c:v>05/12/2026</c:v>
                </c:pt>
                <c:pt idx="62">
                  <c:v>06/12/2026</c:v>
                </c:pt>
                <c:pt idx="63">
                  <c:v>07/12/2026</c:v>
                </c:pt>
                <c:pt idx="64">
                  <c:v>08/12/2026</c:v>
                </c:pt>
                <c:pt idx="65">
                  <c:v>09/12/2026</c:v>
                </c:pt>
                <c:pt idx="66">
                  <c:v>10/12/2026</c:v>
                </c:pt>
                <c:pt idx="67">
                  <c:v>11/12/2026</c:v>
                </c:pt>
                <c:pt idx="68">
                  <c:v>12/12/2026</c:v>
                </c:pt>
                <c:pt idx="69">
                  <c:v>13/12/2026</c:v>
                </c:pt>
                <c:pt idx="70">
                  <c:v>14/12/2026</c:v>
                </c:pt>
                <c:pt idx="71">
                  <c:v>15/12/2026</c:v>
                </c:pt>
                <c:pt idx="72">
                  <c:v>16/12/2026</c:v>
                </c:pt>
                <c:pt idx="73">
                  <c:v>17/12/2026</c:v>
                </c:pt>
                <c:pt idx="74">
                  <c:v>18/12/2026</c:v>
                </c:pt>
                <c:pt idx="75">
                  <c:v>19/12/2026</c:v>
                </c:pt>
                <c:pt idx="76">
                  <c:v>20/12/2026</c:v>
                </c:pt>
                <c:pt idx="77">
                  <c:v>21/12/2026</c:v>
                </c:pt>
                <c:pt idx="78">
                  <c:v>22/12/2026</c:v>
                </c:pt>
                <c:pt idx="79">
                  <c:v>23/12/2026</c:v>
                </c:pt>
                <c:pt idx="80">
                  <c:v>24/12/2026</c:v>
                </c:pt>
                <c:pt idx="81">
                  <c:v>25/12/2026</c:v>
                </c:pt>
                <c:pt idx="82">
                  <c:v>26/12/2026</c:v>
                </c:pt>
                <c:pt idx="83">
                  <c:v>27/12/2026</c:v>
                </c:pt>
                <c:pt idx="84">
                  <c:v>28/12/2026</c:v>
                </c:pt>
                <c:pt idx="85">
                  <c:v>29/12/2026</c:v>
                </c:pt>
                <c:pt idx="86">
                  <c:v>30/12/2026</c:v>
                </c:pt>
                <c:pt idx="87">
                  <c:v>31/12/2026</c:v>
                </c:pt>
                <c:pt idx="88">
                  <c:v>01/01/2027</c:v>
                </c:pt>
                <c:pt idx="89">
                  <c:v>02/01/2027</c:v>
                </c:pt>
                <c:pt idx="90">
                  <c:v>03/01/2027</c:v>
                </c:pt>
                <c:pt idx="91">
                  <c:v>04/01/2027</c:v>
                </c:pt>
                <c:pt idx="92">
                  <c:v>05/01/2027</c:v>
                </c:pt>
                <c:pt idx="93">
                  <c:v>06/01/2027</c:v>
                </c:pt>
                <c:pt idx="94">
                  <c:v>07/01/2027</c:v>
                </c:pt>
                <c:pt idx="95">
                  <c:v>08/01/2027</c:v>
                </c:pt>
                <c:pt idx="96">
                  <c:v>09/01/2027</c:v>
                </c:pt>
                <c:pt idx="97">
                  <c:v>10/01/2027</c:v>
                </c:pt>
                <c:pt idx="98">
                  <c:v>11/01/2027</c:v>
                </c:pt>
                <c:pt idx="99">
                  <c:v>12/01/2027</c:v>
                </c:pt>
                <c:pt idx="100">
                  <c:v>13/01/2027</c:v>
                </c:pt>
                <c:pt idx="101">
                  <c:v>14/01/2027</c:v>
                </c:pt>
                <c:pt idx="102">
                  <c:v>15/01/2027</c:v>
                </c:pt>
                <c:pt idx="103">
                  <c:v>16/01/2027</c:v>
                </c:pt>
                <c:pt idx="104">
                  <c:v>17/01/2027</c:v>
                </c:pt>
              </c:strCache>
            </c:strRef>
          </c:cat>
          <c:val>
            <c:numRef>
              <c:f>DAILY_LOG!$F$3:$F$107</c:f>
              <c:numCache>
                <c:formatCode>General</c:formatCode>
                <c:ptCount val="10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numCache>
            </c:numRef>
          </c:val>
        </c:ser>
        <c:gapWidth val="150"/>
        <c:overlap val="100"/>
        <c:axId val="49918986"/>
        <c:axId val="24452734"/>
      </c:barChart>
      <c:catAx>
        <c:axId val="4991898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Ngày</a:t>
                </a:r>
              </a:p>
            </c:rich>
          </c:tx>
          <c:overlay val="0"/>
          <c:spPr>
            <a:noFill/>
            <a:ln w="0">
              <a:noFill/>
            </a:ln>
          </c:spPr>
        </c:title>
        <c:numFmt formatCode="dd/mm/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452734"/>
        <c:crosses val="autoZero"/>
        <c:auto val="1"/>
        <c:lblAlgn val="ctr"/>
        <c:lblOffset val="100"/>
        <c:noMultiLvlLbl val="0"/>
      </c:catAx>
      <c:valAx>
        <c:axId val="2445273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Số lượt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91898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25</xdr:row>
      <xdr:rowOff>116280</xdr:rowOff>
    </xdr:from>
    <xdr:to>
      <xdr:col>10</xdr:col>
      <xdr:colOff>295200</xdr:colOff>
      <xdr:row>46</xdr:row>
      <xdr:rowOff>75600</xdr:rowOff>
    </xdr:to>
    <xdr:graphicFrame>
      <xdr:nvGraphicFramePr>
        <xdr:cNvPr id="0" name="Chart 1"/>
        <xdr:cNvGraphicFramePr/>
      </xdr:nvGraphicFramePr>
      <xdr:xfrm>
        <a:off x="211320" y="5143680"/>
        <a:ext cx="1079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52</xdr:row>
      <xdr:rowOff>116280</xdr:rowOff>
    </xdr:from>
    <xdr:to>
      <xdr:col>10</xdr:col>
      <xdr:colOff>295200</xdr:colOff>
      <xdr:row>73</xdr:row>
      <xdr:rowOff>75240</xdr:rowOff>
    </xdr:to>
    <xdr:graphicFrame>
      <xdr:nvGraphicFramePr>
        <xdr:cNvPr id="1" name="Chart 2"/>
        <xdr:cNvGraphicFramePr/>
      </xdr:nvGraphicFramePr>
      <xdr:xfrm>
        <a:off x="211320" y="10287000"/>
        <a:ext cx="10799640" cy="39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92"/>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c r="C5" s="4"/>
    </row>
    <row r="6" customFormat="false" ht="15" hidden="false" customHeight="false" outlineLevel="0" collapsed="false">
      <c r="B6" s="5" t="s">
        <v>2</v>
      </c>
      <c r="C6" s="4"/>
    </row>
    <row r="7" customFormat="false" ht="23.85" hidden="false" customHeight="false" outlineLevel="0" collapsed="false">
      <c r="B7" s="3" t="s">
        <v>3</v>
      </c>
      <c r="C7" s="4" t="s">
        <v>4</v>
      </c>
    </row>
    <row r="8" customFormat="false" ht="23.85" hidden="false" customHeight="false" outlineLevel="0" collapsed="false">
      <c r="B8" s="3" t="s">
        <v>5</v>
      </c>
      <c r="C8" s="4" t="s">
        <v>6</v>
      </c>
    </row>
    <row r="9" customFormat="false" ht="15" hidden="false" customHeight="false" outlineLevel="0" collapsed="false">
      <c r="B9" s="3" t="s">
        <v>7</v>
      </c>
      <c r="C9" s="4" t="s">
        <v>8</v>
      </c>
    </row>
    <row r="10" customFormat="false" ht="15" hidden="false" customHeight="false" outlineLevel="0" collapsed="false">
      <c r="B10" s="3" t="s">
        <v>9</v>
      </c>
      <c r="C10" s="4" t="s">
        <v>10</v>
      </c>
    </row>
    <row r="11" customFormat="false" ht="23.85" hidden="false" customHeight="false" outlineLevel="0" collapsed="false">
      <c r="B11" s="3" t="s">
        <v>11</v>
      </c>
      <c r="C11" s="4" t="s">
        <v>12</v>
      </c>
    </row>
    <row r="12" customFormat="false" ht="15" hidden="false" customHeight="false" outlineLevel="0" collapsed="false">
      <c r="B12" s="3"/>
      <c r="C12" s="4"/>
    </row>
    <row r="13" customFormat="false" ht="15" hidden="false" customHeight="false" outlineLevel="0" collapsed="false">
      <c r="B13" s="5" t="s">
        <v>13</v>
      </c>
      <c r="C13" s="4"/>
    </row>
    <row r="14" customFormat="false" ht="15" hidden="false" customHeight="false" outlineLevel="0" collapsed="false">
      <c r="B14" s="3" t="s">
        <v>14</v>
      </c>
      <c r="C14" s="4" t="s">
        <v>15</v>
      </c>
    </row>
    <row r="15" customFormat="false" ht="15" hidden="false" customHeight="false" outlineLevel="0" collapsed="false">
      <c r="B15" s="3" t="s">
        <v>16</v>
      </c>
      <c r="C15" s="4" t="s">
        <v>17</v>
      </c>
    </row>
    <row r="16" customFormat="false" ht="15" hidden="false" customHeight="false" outlineLevel="0" collapsed="false">
      <c r="B16" s="3" t="s">
        <v>18</v>
      </c>
      <c r="C16" s="4" t="s">
        <v>19</v>
      </c>
    </row>
    <row r="17" customFormat="false" ht="23.85" hidden="false" customHeight="false" outlineLevel="0" collapsed="false">
      <c r="B17" s="3" t="s">
        <v>20</v>
      </c>
      <c r="C17" s="4" t="s">
        <v>21</v>
      </c>
    </row>
    <row r="18" customFormat="false" ht="15" hidden="false" customHeight="false" outlineLevel="0" collapsed="false">
      <c r="B18" s="3" t="s">
        <v>22</v>
      </c>
      <c r="C18" s="4" t="s">
        <v>23</v>
      </c>
    </row>
    <row r="19" customFormat="false" ht="15" hidden="false" customHeight="false" outlineLevel="0" collapsed="false">
      <c r="B19" s="3"/>
      <c r="C19" s="4"/>
    </row>
    <row r="20" customFormat="false" ht="15" hidden="false" customHeight="false" outlineLevel="0" collapsed="false">
      <c r="B20" s="5" t="s">
        <v>24</v>
      </c>
      <c r="C20" s="4"/>
    </row>
    <row r="21" customFormat="false" ht="15" hidden="false" customHeight="false" outlineLevel="0" collapsed="false">
      <c r="B21" s="3" t="s">
        <v>25</v>
      </c>
      <c r="C21" s="4" t="s">
        <v>26</v>
      </c>
    </row>
    <row r="22" customFormat="false" ht="15" hidden="false" customHeight="false" outlineLevel="0" collapsed="false">
      <c r="B22" s="3" t="s">
        <v>27</v>
      </c>
      <c r="C22" s="4" t="s">
        <v>28</v>
      </c>
    </row>
    <row r="23" customFormat="false" ht="15" hidden="false" customHeight="false" outlineLevel="0" collapsed="false">
      <c r="B23" s="3" t="s">
        <v>29</v>
      </c>
      <c r="C23" s="4" t="s">
        <v>30</v>
      </c>
    </row>
    <row r="24" customFormat="false" ht="15" hidden="false" customHeight="false" outlineLevel="0" collapsed="false">
      <c r="B24" s="3"/>
      <c r="C24" s="4"/>
    </row>
    <row r="25" customFormat="false" ht="15" hidden="false" customHeight="false" outlineLevel="0" collapsed="false">
      <c r="B25" s="5" t="s">
        <v>31</v>
      </c>
      <c r="C25" s="4"/>
    </row>
    <row r="26" customFormat="false" ht="15" hidden="false" customHeight="false" outlineLevel="0" collapsed="false">
      <c r="B26" s="3" t="s">
        <v>32</v>
      </c>
      <c r="C26" s="4" t="s">
        <v>33</v>
      </c>
    </row>
    <row r="27" customFormat="false" ht="23.85" hidden="false" customHeight="false" outlineLevel="0" collapsed="false">
      <c r="B27" s="3" t="s">
        <v>34</v>
      </c>
      <c r="C27" s="4" t="s">
        <v>35</v>
      </c>
    </row>
    <row r="28" customFormat="false" ht="15" hidden="false" customHeight="false" outlineLevel="0" collapsed="false">
      <c r="B28" s="3" t="s">
        <v>36</v>
      </c>
      <c r="C28" s="4" t="s">
        <v>37</v>
      </c>
    </row>
    <row r="29" customFormat="false" ht="15" hidden="false" customHeight="false" outlineLevel="0" collapsed="false">
      <c r="B29" s="3"/>
      <c r="C29" s="4"/>
    </row>
    <row r="30" customFormat="false" ht="15" hidden="false" customHeight="false" outlineLevel="0" collapsed="false">
      <c r="B30" s="5" t="s">
        <v>38</v>
      </c>
      <c r="C30" s="4"/>
    </row>
    <row r="31" customFormat="false" ht="23.85" hidden="false" customHeight="false" outlineLevel="0" collapsed="false">
      <c r="B31" s="3" t="s">
        <v>39</v>
      </c>
      <c r="C31" s="4" t="s">
        <v>40</v>
      </c>
    </row>
    <row r="32" customFormat="false" ht="15" hidden="false" customHeight="false" outlineLevel="0" collapsed="false">
      <c r="B32" s="3" t="s">
        <v>41</v>
      </c>
      <c r="C32" s="4" t="s">
        <v>42</v>
      </c>
    </row>
    <row r="33" customFormat="false" ht="15" hidden="false" customHeight="false" outlineLevel="0" collapsed="false">
      <c r="B33" s="3" t="s">
        <v>43</v>
      </c>
      <c r="C33" s="4" t="s">
        <v>44</v>
      </c>
    </row>
    <row r="34" customFormat="false" ht="23.85" hidden="false" customHeight="false" outlineLevel="0" collapsed="false">
      <c r="B34" s="3" t="s">
        <v>45</v>
      </c>
      <c r="C34" s="4" t="s">
        <v>46</v>
      </c>
    </row>
    <row r="35" customFormat="false" ht="15" hidden="false" customHeight="false" outlineLevel="0" collapsed="false">
      <c r="B35" s="3" t="s">
        <v>47</v>
      </c>
      <c r="C35" s="4" t="s">
        <v>48</v>
      </c>
    </row>
    <row r="36" customFormat="false" ht="15" hidden="false" customHeight="false" outlineLevel="0" collapsed="false">
      <c r="B36" s="3" t="s">
        <v>49</v>
      </c>
      <c r="C36" s="4" t="s">
        <v>50</v>
      </c>
    </row>
    <row r="37" customFormat="false" ht="15" hidden="false" customHeight="false" outlineLevel="0" collapsed="false">
      <c r="B37" s="3" t="s">
        <v>51</v>
      </c>
      <c r="C37" s="4" t="s">
        <v>52</v>
      </c>
    </row>
    <row r="38" customFormat="false" ht="15" hidden="false" customHeight="false" outlineLevel="0" collapsed="false">
      <c r="B38" s="3" t="s">
        <v>53</v>
      </c>
      <c r="C38" s="4" t="s">
        <v>54</v>
      </c>
    </row>
    <row r="39" customFormat="false" ht="15" hidden="false" customHeight="false" outlineLevel="0" collapsed="false">
      <c r="B39" s="3" t="s">
        <v>55</v>
      </c>
      <c r="C39" s="4" t="s">
        <v>56</v>
      </c>
    </row>
    <row r="40" customFormat="false" ht="15" hidden="false" customHeight="false" outlineLevel="0" collapsed="false">
      <c r="B40" s="3" t="s">
        <v>57</v>
      </c>
      <c r="C40" s="4" t="s">
        <v>58</v>
      </c>
    </row>
    <row r="41" customFormat="false" ht="23.85" hidden="false" customHeight="false" outlineLevel="0" collapsed="false">
      <c r="B41" s="3" t="s">
        <v>59</v>
      </c>
      <c r="C41" s="4" t="s">
        <v>60</v>
      </c>
    </row>
    <row r="42" customFormat="false" ht="15" hidden="false" customHeight="false" outlineLevel="0" collapsed="false">
      <c r="B42" s="3" t="s">
        <v>61</v>
      </c>
      <c r="C42" s="4" t="s">
        <v>62</v>
      </c>
    </row>
    <row r="43" customFormat="false" ht="23.85" hidden="false" customHeight="false" outlineLevel="0" collapsed="false">
      <c r="B43" s="3" t="s">
        <v>63</v>
      </c>
      <c r="C43" s="4" t="s">
        <v>64</v>
      </c>
    </row>
    <row r="44" customFormat="false" ht="15" hidden="false" customHeight="false" outlineLevel="0" collapsed="false">
      <c r="B44" s="3"/>
      <c r="C44" s="4"/>
    </row>
    <row r="45" customFormat="false" ht="15" hidden="false" customHeight="false" outlineLevel="0" collapsed="false">
      <c r="B45" s="5" t="s">
        <v>65</v>
      </c>
      <c r="C45" s="4"/>
    </row>
    <row r="46" customFormat="false" ht="23.85" hidden="false" customHeight="false" outlineLevel="0" collapsed="false">
      <c r="B46" s="3" t="s">
        <v>66</v>
      </c>
      <c r="C46" s="4" t="s">
        <v>67</v>
      </c>
    </row>
    <row r="47" customFormat="false" ht="23.85" hidden="false" customHeight="false" outlineLevel="0" collapsed="false">
      <c r="B47" s="3" t="s">
        <v>68</v>
      </c>
      <c r="C47" s="4" t="s">
        <v>69</v>
      </c>
    </row>
    <row r="48" customFormat="false" ht="35.05" hidden="false" customHeight="false" outlineLevel="0" collapsed="false">
      <c r="B48" s="3" t="s">
        <v>70</v>
      </c>
      <c r="C48" s="4" t="s">
        <v>71</v>
      </c>
    </row>
    <row r="49" customFormat="false" ht="15" hidden="false" customHeight="false" outlineLevel="0" collapsed="false">
      <c r="B49" s="3" t="s">
        <v>72</v>
      </c>
      <c r="C49" s="4"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8"/>
    <col collapsed="false" customWidth="true" hidden="false" outlineLevel="0" max="4" min="4" style="0" width="4"/>
    <col collapsed="false" customWidth="true" hidden="false" outlineLevel="0" max="5" min="5" style="0" width="40"/>
    <col collapsed="false" customWidth="true" hidden="false" outlineLevel="0" max="6" min="6" style="0" width="18"/>
    <col collapsed="false" customWidth="true" hidden="false" outlineLevel="0" max="7" min="7" style="0" width="3"/>
  </cols>
  <sheetData>
    <row r="2" customFormat="false" ht="22.05" hidden="false" customHeight="false" outlineLevel="0" collapsed="false">
      <c r="B2" s="6" t="s">
        <v>74</v>
      </c>
    </row>
    <row r="3" customFormat="false" ht="15" hidden="false" customHeight="false" outlineLevel="0" collapsed="false">
      <c r="B3" s="7" t="s">
        <v>75</v>
      </c>
    </row>
    <row r="5" customFormat="false" ht="15" hidden="false" customHeight="false" outlineLevel="0" collapsed="false">
      <c r="B5" s="8" t="s">
        <v>76</v>
      </c>
      <c r="E5" s="9" t="s">
        <v>77</v>
      </c>
    </row>
    <row r="6" customFormat="false" ht="16.15" hidden="false" customHeight="false" outlineLevel="0" collapsed="false">
      <c r="B6" s="10" t="s">
        <v>78</v>
      </c>
      <c r="C6" s="11" t="n">
        <f aca="true">TODAY()</f>
        <v>46301</v>
      </c>
      <c r="E6" s="10" t="s">
        <v>79</v>
      </c>
      <c r="F6" s="12" t="n">
        <f aca="false">COUNTIF(SENTENCES!$T$3:$T$1802,"★ HỌC HÔM NAY")</f>
        <v>20</v>
      </c>
    </row>
    <row r="7" customFormat="false" ht="16.15" hidden="false" customHeight="false" outlineLevel="0" collapsed="false">
      <c r="B7" s="10" t="s">
        <v>80</v>
      </c>
      <c r="C7" s="12" t="n">
        <f aca="true">MAX(0,TODAY()-SETTINGS!$C$3+1)</f>
        <v>2</v>
      </c>
      <c r="E7" s="10" t="s">
        <v>81</v>
      </c>
      <c r="F7" s="12" t="n">
        <f aca="false">COUNTIF(SENTENCES!$T$3:$T$1802,"◆ ÔN HÔM NAY")</f>
        <v>0</v>
      </c>
    </row>
    <row r="8" customFormat="false" ht="16.15" hidden="false" customHeight="false" outlineLevel="0" collapsed="false">
      <c r="B8" s="10" t="s">
        <v>82</v>
      </c>
      <c r="C8" s="13" t="n">
        <f aca="false">SETTINGS!$C$3</f>
        <v>46300</v>
      </c>
      <c r="E8" s="10" t="s">
        <v>83</v>
      </c>
      <c r="F8" s="12" t="n">
        <f aca="false">COUNTIF(SENTENCES!$T$3:$T$1802,"⚠ TRỄ ÔN")</f>
        <v>0</v>
      </c>
    </row>
    <row r="9" customFormat="false" ht="16.15" hidden="false" customHeight="false" outlineLevel="0" collapsed="false">
      <c r="B9" s="10" t="s">
        <v>84</v>
      </c>
      <c r="C9" s="13" t="n">
        <f aca="false">SETTINGS!$C$3+SETTINGS!$C$5-1</f>
        <v>46389</v>
      </c>
      <c r="E9" s="10" t="s">
        <v>85</v>
      </c>
      <c r="F9" s="12" t="n">
        <f aca="false">COUNTIF(SENTENCES!$T$3:$T$1802,"⚠ TRỄ HỌC")</f>
        <v>20</v>
      </c>
    </row>
    <row r="10" customFormat="false" ht="16.15" hidden="false" customHeight="false" outlineLevel="0" collapsed="false">
      <c r="B10" s="10" t="s">
        <v>86</v>
      </c>
      <c r="C10" s="13" t="n">
        <f aca="false">SETTINGS!$C$8</f>
        <v>46404</v>
      </c>
      <c r="E10" s="10" t="s">
        <v>87</v>
      </c>
      <c r="F10" s="12" t="n">
        <f aca="false">COUNTIF(SENTENCES!$T$3:$T$1802,"✔ MASTER")</f>
        <v>0</v>
      </c>
    </row>
    <row r="11" customFormat="false" ht="16.15" hidden="false" customHeight="false" outlineLevel="0" collapsed="false">
      <c r="B11" s="10" t="s">
        <v>88</v>
      </c>
      <c r="C11" s="14" t="n">
        <f aca="true">MAX(0,SETTINGS!$C$8-TODAY())</f>
        <v>103</v>
      </c>
      <c r="E11" s="10" t="s">
        <v>89</v>
      </c>
      <c r="F11" s="12" t="n">
        <f aca="false">$F$6+$F$7+$F$8+$F$9</f>
        <v>40</v>
      </c>
    </row>
    <row r="13" customFormat="false" ht="15" hidden="false" customHeight="false" outlineLevel="0" collapsed="false">
      <c r="B13" s="8" t="s">
        <v>90</v>
      </c>
      <c r="E13" s="9" t="s">
        <v>91</v>
      </c>
    </row>
    <row r="14" customFormat="false" ht="16.15" hidden="false" customHeight="false" outlineLevel="0" collapsed="false">
      <c r="B14" s="10" t="s">
        <v>92</v>
      </c>
      <c r="C14" s="15" t="n">
        <f aca="false">SETTINGS!$C$6</f>
        <v>1800</v>
      </c>
      <c r="E14" s="10" t="s">
        <v>93</v>
      </c>
      <c r="F14" s="14" t="n">
        <f aca="false">SUMPRODUCT(--(DAILY_LOG!$E$3:$E$107&gt;0))</f>
        <v>0</v>
      </c>
    </row>
    <row r="15" customFormat="false" ht="15" hidden="false" customHeight="false" outlineLevel="0" collapsed="false">
      <c r="B15" s="10" t="s">
        <v>94</v>
      </c>
      <c r="C15" s="16" t="n">
        <f aca="false">COUNTA(SENTENCES!$H$3:$H$1802)</f>
        <v>1800</v>
      </c>
      <c r="E15" s="10" t="s">
        <v>95</v>
      </c>
      <c r="F15" s="14" t="n">
        <f aca="false">COUNTIF(DAILY_LOG!$K$3:$K$107,"✖ Nghỉ / Miss")</f>
        <v>2</v>
      </c>
    </row>
    <row r="16" customFormat="false" ht="16.15" hidden="false" customHeight="false" outlineLevel="0" collapsed="false">
      <c r="B16" s="10" t="s">
        <v>96</v>
      </c>
      <c r="C16" s="15" t="n">
        <f aca="false">COUNTIFS(SENTENCES!$L$3:$L$1802,"&gt;0")</f>
        <v>0</v>
      </c>
      <c r="E16" s="10" t="s">
        <v>97</v>
      </c>
      <c r="F16" s="14" t="n">
        <f aca="false">COUNTIF(DAILY_LOG!$K$3:$K$107,"✔ Đủ chỉ tiêu")</f>
        <v>0</v>
      </c>
    </row>
    <row r="17" customFormat="false" ht="15" hidden="false" customHeight="false" outlineLevel="0" collapsed="false">
      <c r="B17" s="10" t="s">
        <v>98</v>
      </c>
      <c r="C17" s="16" t="n">
        <f aca="true">MIN(MAX(0,(TODAY()-SETTINGS!$C$3+1))*SETTINGS!$C$4,SETTINGS!$C$6)</f>
        <v>40</v>
      </c>
      <c r="E17" s="10" t="s">
        <v>99</v>
      </c>
      <c r="F17" s="17" t="n">
        <f aca="false">IF($F$14=0,0,ROUND($C$16/$F$14,1))</f>
        <v>0</v>
      </c>
    </row>
    <row r="18" customFormat="false" ht="16.15" hidden="false" customHeight="false" outlineLevel="0" collapsed="false">
      <c r="B18" s="10" t="s">
        <v>100</v>
      </c>
      <c r="C18" s="15" t="n">
        <f aca="false">MAX(0,$C$17-$C$16)</f>
        <v>40</v>
      </c>
      <c r="E18" s="10" t="s">
        <v>101</v>
      </c>
      <c r="F18" s="16" t="n">
        <f aca="false">SUM(SENTENCES!$R$3:$R$1802)</f>
        <v>0</v>
      </c>
    </row>
    <row r="19" customFormat="false" ht="16.15" hidden="false" customHeight="false" outlineLevel="0" collapsed="false">
      <c r="B19" s="10" t="s">
        <v>102</v>
      </c>
      <c r="C19" s="18" t="n">
        <f aca="false">ROUND($C$18/SETTINGS!$C$4,1)</f>
        <v>2</v>
      </c>
      <c r="E19" s="10" t="s">
        <v>103</v>
      </c>
      <c r="F19" s="14" t="n">
        <f aca="false">COUNTIFS(SENTENCES!$D$3:$D$1802,"A1",SENTENCES!$L$3:$L$1802,"&gt;0")</f>
        <v>0</v>
      </c>
    </row>
    <row r="20" customFormat="false" ht="16.15" hidden="false" customHeight="false" outlineLevel="0" collapsed="false">
      <c r="B20" s="10" t="s">
        <v>104</v>
      </c>
      <c r="C20" s="19" t="n">
        <f aca="false">IF(SETTINGS!$C$6=0,0,$C$16/SETTINGS!$C$6)</f>
        <v>0</v>
      </c>
      <c r="E20" s="10" t="s">
        <v>105</v>
      </c>
      <c r="F20" s="14" t="n">
        <f aca="false">COUNTIFS(SENTENCES!$D$3:$D$1802,"A2",SENTENCES!$L$3:$L$1802,"&gt;0")</f>
        <v>0</v>
      </c>
    </row>
    <row r="21" customFormat="false" ht="16.15" hidden="false" customHeight="false" outlineLevel="0" collapsed="false">
      <c r="B21" s="10" t="s">
        <v>106</v>
      </c>
      <c r="C21" s="12" t="n">
        <f aca="true">IF(MAX(1,SETTINGS!$C$8-TODAY())=0,0,ROUNDUP(MAX(0,SETTINGS!$C$6-$C$16)/MAX(1,SETTINGS!$C$8-TODAY()),0))</f>
        <v>18</v>
      </c>
      <c r="E21" s="10" t="s">
        <v>107</v>
      </c>
      <c r="F21" s="16" t="n">
        <f aca="true">COUNTIFS(VOCAB!$G$3:$G$2205,"&lt;="&amp;MAX(0,TODAY()-SETTINGS!$C$3+1))</f>
        <v>70</v>
      </c>
    </row>
    <row r="23" customFormat="false" ht="15" hidden="false" customHeight="false" outlineLevel="0" collapsed="false">
      <c r="B23" s="20" t="str">
        <f aca="false">IF($C$19&gt;SETTINGS!$C$7,"🔴 NGUY HIỂM: đã trễ "&amp;TEXT($C$19,"0.0")&amp;" ngày, vượt ngưỡng đệm "&amp;SETTINGS!$C$7&amp;" ngày. Phải học "&amp;$C$21&amp;" câu/ngày mới kịp hạn chót.",IF($C$19&gt;5,"🟡 CẦN BÙ: đang trễ "&amp;TEXT($C$19,"0.0")&amp;" ngày. Nâng lên "&amp;$C$21&amp;" câu/ngày trong vài hôm là về lại đúng nhịp.",IF($C$16=0,"⚪ CHƯA BẮT ĐẦU: tick ngày học đầu tiên ở tab SENTENCES để hệ thống chạy.","🟢 ĐANG ĐÚNG NHỊP: trễ "&amp;TEXT($C$19,"0.0")&amp;" ngày, vẫn trong vùng an toàn. Giữ "&amp;SETTINGS!$C$4&amp;" câu/ngày.")))</f>
        <v>⚪ CHƯA BẮT ĐẦU: tick ngày học đầu tiên ở tab SENTENCES để hệ thống chạy.</v>
      </c>
      <c r="C23" s="20"/>
      <c r="D23" s="20"/>
      <c r="E23" s="20"/>
      <c r="F23" s="20"/>
    </row>
    <row r="24" customFormat="false" ht="15" hidden="false" customHeight="false" outlineLevel="0" collapsed="false">
      <c r="B24" s="20"/>
      <c r="C24" s="20"/>
      <c r="D24" s="20"/>
      <c r="E24" s="20"/>
      <c r="F24" s="20"/>
    </row>
    <row r="26" customFormat="false" ht="15" hidden="false" customHeight="false" outlineLevel="0" collapsed="false">
      <c r="B26" s="21" t="s">
        <v>108</v>
      </c>
      <c r="C26" s="21"/>
      <c r="D26" s="21"/>
      <c r="E26" s="21"/>
      <c r="F26" s="21"/>
    </row>
    <row r="53" customFormat="false" ht="15" hidden="false" customHeight="false" outlineLevel="0" collapsed="false">
      <c r="B53" s="21" t="s">
        <v>109</v>
      </c>
      <c r="C53" s="21"/>
      <c r="D53" s="21"/>
      <c r="E53" s="21"/>
      <c r="F53" s="21"/>
    </row>
  </sheetData>
  <mergeCells count="3">
    <mergeCell ref="B23:F24"/>
    <mergeCell ref="B26:F26"/>
    <mergeCell ref="B53:F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8"/>
    <col collapsed="false" customWidth="true" hidden="false" outlineLevel="0" max="4" min="4" style="0" width="70"/>
  </cols>
  <sheetData>
    <row r="2" customFormat="false" ht="17.35" hidden="false" customHeight="false" outlineLevel="0" collapsed="false">
      <c r="B2" s="22" t="s">
        <v>110</v>
      </c>
    </row>
    <row r="3" customFormat="false" ht="15" hidden="false" customHeight="false" outlineLevel="0" collapsed="false">
      <c r="B3" s="23" t="s">
        <v>111</v>
      </c>
      <c r="C3" s="24" t="n">
        <v>46300</v>
      </c>
      <c r="D3" s="25" t="s">
        <v>112</v>
      </c>
    </row>
    <row r="4" customFormat="false" ht="15" hidden="false" customHeight="false" outlineLevel="0" collapsed="false">
      <c r="B4" s="23" t="s">
        <v>113</v>
      </c>
      <c r="C4" s="26" t="n">
        <v>20</v>
      </c>
      <c r="D4" s="25" t="s">
        <v>114</v>
      </c>
    </row>
    <row r="5" customFormat="false" ht="15" hidden="false" customHeight="false" outlineLevel="0" collapsed="false">
      <c r="B5" s="23" t="s">
        <v>115</v>
      </c>
      <c r="C5" s="26" t="n">
        <v>90</v>
      </c>
      <c r="D5" s="25" t="s">
        <v>116</v>
      </c>
    </row>
    <row r="6" customFormat="false" ht="15" hidden="false" customHeight="false" outlineLevel="0" collapsed="false">
      <c r="B6" s="23" t="s">
        <v>117</v>
      </c>
      <c r="C6" s="27" t="n">
        <f aca="false">C4*C5</f>
        <v>1800</v>
      </c>
      <c r="D6" s="25" t="s">
        <v>118</v>
      </c>
    </row>
    <row r="7" customFormat="false" ht="15" hidden="false" customHeight="false" outlineLevel="0" collapsed="false">
      <c r="B7" s="23" t="s">
        <v>119</v>
      </c>
      <c r="C7" s="26" t="n">
        <v>15</v>
      </c>
      <c r="D7" s="25" t="s">
        <v>120</v>
      </c>
    </row>
    <row r="8" customFormat="false" ht="15" hidden="false" customHeight="false" outlineLevel="0" collapsed="false">
      <c r="B8" s="23" t="s">
        <v>121</v>
      </c>
      <c r="C8" s="28" t="n">
        <f aca="false">C3+C5-1+C7</f>
        <v>46404</v>
      </c>
      <c r="D8" s="25" t="s">
        <v>122</v>
      </c>
    </row>
    <row r="9" customFormat="false" ht="15" hidden="false" customHeight="false" outlineLevel="0" collapsed="false">
      <c r="B9" s="23" t="s">
        <v>123</v>
      </c>
      <c r="C9" s="26" t="n">
        <v>1</v>
      </c>
      <c r="D9" s="25" t="s">
        <v>124</v>
      </c>
    </row>
    <row r="10" customFormat="false" ht="15" hidden="false" customHeight="false" outlineLevel="0" collapsed="false">
      <c r="B10" s="23" t="s">
        <v>125</v>
      </c>
      <c r="C10" s="26" t="n">
        <v>3</v>
      </c>
      <c r="D10" s="25"/>
    </row>
    <row r="11" customFormat="false" ht="15" hidden="false" customHeight="false" outlineLevel="0" collapsed="false">
      <c r="B11" s="23" t="s">
        <v>126</v>
      </c>
      <c r="C11" s="26" t="n">
        <v>7</v>
      </c>
      <c r="D11" s="25"/>
    </row>
    <row r="12" customFormat="false" ht="15" hidden="false" customHeight="false" outlineLevel="0" collapsed="false">
      <c r="B12" s="23" t="s">
        <v>127</v>
      </c>
      <c r="C12" s="26" t="n">
        <v>16</v>
      </c>
      <c r="D12" s="25"/>
    </row>
    <row r="13" customFormat="false" ht="15" hidden="false" customHeight="false" outlineLevel="0" collapsed="false">
      <c r="B13" s="23" t="s">
        <v>128</v>
      </c>
      <c r="C13" s="26" t="n">
        <v>35</v>
      </c>
      <c r="D13" s="25" t="s">
        <v>129</v>
      </c>
    </row>
    <row r="14" customFormat="false" ht="15" hidden="false" customHeight="false" outlineLevel="0" collapsed="false">
      <c r="B14" s="23" t="s">
        <v>130</v>
      </c>
      <c r="C14" s="28" t="n">
        <f aca="true">TODAY()</f>
        <v>46301</v>
      </c>
      <c r="D14" s="25"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8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13"/>
    <col collapsed="false" customWidth="true" hidden="false" outlineLevel="0" max="4" min="4" style="0" width="8"/>
    <col collapsed="false" customWidth="true" hidden="false" outlineLevel="0" max="5" min="5" style="0" width="28"/>
    <col collapsed="false" customWidth="true" hidden="false" outlineLevel="0" max="6" min="6" style="0" width="17"/>
    <col collapsed="false" customWidth="true" hidden="false" outlineLevel="0" max="7" min="7" style="0" width="36"/>
    <col collapsed="false" customWidth="true" hidden="false" outlineLevel="0" max="9" min="8" style="0" width="48"/>
    <col collapsed="false" customWidth="true" hidden="false" outlineLevel="0" max="10" min="10" style="0" width="42"/>
    <col collapsed="false" customWidth="true" hidden="false" outlineLevel="0" max="11" min="11" style="0" width="46"/>
    <col collapsed="false" customWidth="true" hidden="false" outlineLevel="0" max="12" min="12" style="0" width="13"/>
    <col collapsed="false" customWidth="true" hidden="false" outlineLevel="0" max="17" min="13" style="0" width="11"/>
    <col collapsed="false" customWidth="true" hidden="false" outlineLevel="0" max="18" min="18" style="0" width="9"/>
    <col collapsed="false" customWidth="true" hidden="false" outlineLevel="0" max="19" min="19" style="0" width="14"/>
    <col collapsed="false" customWidth="true" hidden="false" outlineLevel="0" max="20" min="20" style="0" width="19"/>
    <col collapsed="false" customWidth="true" hidden="false" outlineLevel="0" max="21" min="21" style="0" width="11"/>
  </cols>
  <sheetData>
    <row r="1" customFormat="false" ht="15" hidden="false" customHeight="false" outlineLevel="0" collapsed="false">
      <c r="A1" s="29" t="s">
        <v>132</v>
      </c>
    </row>
    <row r="2" customFormat="false" ht="31.5" hidden="false" customHeight="true" outlineLevel="0" collapsed="false">
      <c r="A2" s="30" t="s">
        <v>133</v>
      </c>
      <c r="B2" s="30" t="s">
        <v>134</v>
      </c>
      <c r="C2" s="30" t="s">
        <v>135</v>
      </c>
      <c r="D2" s="30" t="s">
        <v>136</v>
      </c>
      <c r="E2" s="30" t="s">
        <v>137</v>
      </c>
      <c r="F2" s="30" t="s">
        <v>138</v>
      </c>
      <c r="G2" s="30" t="s">
        <v>139</v>
      </c>
      <c r="H2" s="30" t="s">
        <v>140</v>
      </c>
      <c r="I2" s="30" t="s">
        <v>141</v>
      </c>
      <c r="J2" s="30" t="s">
        <v>142</v>
      </c>
      <c r="K2" s="30" t="s">
        <v>143</v>
      </c>
      <c r="L2" s="30" t="s">
        <v>144</v>
      </c>
      <c r="M2" s="30" t="s">
        <v>145</v>
      </c>
      <c r="N2" s="30" t="s">
        <v>146</v>
      </c>
      <c r="O2" s="30" t="s">
        <v>147</v>
      </c>
      <c r="P2" s="30" t="s">
        <v>148</v>
      </c>
      <c r="Q2" s="30" t="s">
        <v>149</v>
      </c>
      <c r="R2" s="30" t="s">
        <v>150</v>
      </c>
      <c r="S2" s="30" t="s">
        <v>27</v>
      </c>
      <c r="T2" s="30" t="s">
        <v>151</v>
      </c>
      <c r="U2" s="30" t="s">
        <v>152</v>
      </c>
    </row>
    <row r="3" customFormat="false" ht="15" hidden="false" customHeight="false" outlineLevel="0" collapsed="false">
      <c r="A3" s="31" t="s">
        <v>153</v>
      </c>
      <c r="B3" s="31" t="n">
        <v>1</v>
      </c>
      <c r="C3" s="32" t="n">
        <f aca="false">SETTINGS!$C$3+$B3-1</f>
        <v>46300</v>
      </c>
      <c r="D3" s="33" t="s">
        <v>154</v>
      </c>
      <c r="E3" s="34" t="s">
        <v>155</v>
      </c>
      <c r="F3" s="34" t="s">
        <v>156</v>
      </c>
      <c r="G3" s="34" t="s">
        <v>157</v>
      </c>
      <c r="H3" s="35" t="s">
        <v>158</v>
      </c>
      <c r="I3" s="36" t="s">
        <v>159</v>
      </c>
      <c r="J3" s="34" t="s">
        <v>160</v>
      </c>
      <c r="K3" s="34" t="s">
        <v>161</v>
      </c>
      <c r="L3" s="37"/>
      <c r="M3" s="37"/>
      <c r="N3" s="37"/>
      <c r="O3" s="37"/>
      <c r="P3" s="37"/>
      <c r="Q3" s="37"/>
      <c r="R3" s="31" t="n">
        <f aca="false">COUNT($M3:$Q3)</f>
        <v>0</v>
      </c>
      <c r="S3" s="32" t="str">
        <f aca="false">IF($L3="","",IF($R3&gt;=5,"",MAX($L3:$Q3)+CHOOSE($R3+1,SETTINGS!$C$9,SETTINGS!$C$10,SETTINGS!$C$11,SETTINGS!$C$12,SETTINGS!$C$13)))</f>
        <v/>
      </c>
      <c r="T3" s="34" t="str">
        <f aca="true">IF($H3="","(chưa có nội dung)",IF($L3="",IF($C3&lt;TODAY(),"⚠ TRỄ HỌC",IF($C3=TODAY(),"★ HỌC HÔM NAY","• Chưa tới")),IF($R3&gt;=5,"✔ MASTER",IF($S3&lt;TODAY(),"⚠ TRỄ ÔN",IF($S3=TODAY(),"◆ ÔN HÔM NAY","✔ Đúng tiến độ")))))</f>
        <v>⚠ TRỄ HỌC</v>
      </c>
      <c r="U3" s="38" t="n">
        <f aca="false">IF($H3="","",$R3/5)</f>
        <v>0</v>
      </c>
    </row>
    <row r="4" customFormat="false" ht="15" hidden="false" customHeight="false" outlineLevel="0" collapsed="false">
      <c r="A4" s="31" t="s">
        <v>162</v>
      </c>
      <c r="B4" s="31" t="n">
        <v>1</v>
      </c>
      <c r="C4" s="32" t="n">
        <f aca="false">SETTINGS!$C$3+$B4-1</f>
        <v>46300</v>
      </c>
      <c r="D4" s="33" t="s">
        <v>154</v>
      </c>
      <c r="E4" s="34" t="s">
        <v>155</v>
      </c>
      <c r="F4" s="34" t="s">
        <v>163</v>
      </c>
      <c r="G4" s="34" t="s">
        <v>164</v>
      </c>
      <c r="H4" s="35" t="s">
        <v>165</v>
      </c>
      <c r="I4" s="36" t="s">
        <v>166</v>
      </c>
      <c r="J4" s="34" t="s">
        <v>167</v>
      </c>
      <c r="K4" s="34" t="s">
        <v>168</v>
      </c>
      <c r="L4" s="37"/>
      <c r="M4" s="37"/>
      <c r="N4" s="37"/>
      <c r="O4" s="37"/>
      <c r="P4" s="37"/>
      <c r="Q4" s="37"/>
      <c r="R4" s="31" t="n">
        <f aca="false">COUNT($M4:$Q4)</f>
        <v>0</v>
      </c>
      <c r="S4" s="32" t="str">
        <f aca="false">IF($L4="","",IF($R4&gt;=5,"",MAX($L4:$Q4)+CHOOSE($R4+1,SETTINGS!$C$9,SETTINGS!$C$10,SETTINGS!$C$11,SETTINGS!$C$12,SETTINGS!$C$13)))</f>
        <v/>
      </c>
      <c r="T4" s="34" t="str">
        <f aca="true">IF($H4="","(chưa có nội dung)",IF($L4="",IF($C4&lt;TODAY(),"⚠ TRỄ HỌC",IF($C4=TODAY(),"★ HỌC HÔM NAY","• Chưa tới")),IF($R4&gt;=5,"✔ MASTER",IF($S4&lt;TODAY(),"⚠ TRỄ ÔN",IF($S4=TODAY(),"◆ ÔN HÔM NAY","✔ Đúng tiến độ")))))</f>
        <v>⚠ TRỄ HỌC</v>
      </c>
      <c r="U4" s="38" t="n">
        <f aca="false">IF($H4="","",$R4/5)</f>
        <v>0</v>
      </c>
    </row>
    <row r="5" customFormat="false" ht="15" hidden="false" customHeight="false" outlineLevel="0" collapsed="false">
      <c r="A5" s="31" t="s">
        <v>169</v>
      </c>
      <c r="B5" s="31" t="n">
        <v>1</v>
      </c>
      <c r="C5" s="32" t="n">
        <f aca="false">SETTINGS!$C$3+$B5-1</f>
        <v>46300</v>
      </c>
      <c r="D5" s="33" t="s">
        <v>154</v>
      </c>
      <c r="E5" s="34" t="s">
        <v>155</v>
      </c>
      <c r="F5" s="34" t="s">
        <v>163</v>
      </c>
      <c r="G5" s="34" t="s">
        <v>170</v>
      </c>
      <c r="H5" s="35" t="s">
        <v>171</v>
      </c>
      <c r="I5" s="36" t="s">
        <v>172</v>
      </c>
      <c r="J5" s="34" t="s">
        <v>173</v>
      </c>
      <c r="K5" s="34" t="s">
        <v>174</v>
      </c>
      <c r="L5" s="37"/>
      <c r="M5" s="37"/>
      <c r="N5" s="37"/>
      <c r="O5" s="37"/>
      <c r="P5" s="37"/>
      <c r="Q5" s="37"/>
      <c r="R5" s="31" t="n">
        <f aca="false">COUNT($M5:$Q5)</f>
        <v>0</v>
      </c>
      <c r="S5" s="32" t="str">
        <f aca="false">IF($L5="","",IF($R5&gt;=5,"",MAX($L5:$Q5)+CHOOSE($R5+1,SETTINGS!$C$9,SETTINGS!$C$10,SETTINGS!$C$11,SETTINGS!$C$12,SETTINGS!$C$13)))</f>
        <v/>
      </c>
      <c r="T5" s="34" t="str">
        <f aca="true">IF($H5="","(chưa có nội dung)",IF($L5="",IF($C5&lt;TODAY(),"⚠ TRỄ HỌC",IF($C5=TODAY(),"★ HỌC HÔM NAY","• Chưa tới")),IF($R5&gt;=5,"✔ MASTER",IF($S5&lt;TODAY(),"⚠ TRỄ ÔN",IF($S5=TODAY(),"◆ ÔN HÔM NAY","✔ Đúng tiến độ")))))</f>
        <v>⚠ TRỄ HỌC</v>
      </c>
      <c r="U5" s="38" t="n">
        <f aca="false">IF($H5="","",$R5/5)</f>
        <v>0</v>
      </c>
    </row>
    <row r="6" customFormat="false" ht="15" hidden="false" customHeight="false" outlineLevel="0" collapsed="false">
      <c r="A6" s="31" t="s">
        <v>175</v>
      </c>
      <c r="B6" s="31" t="n">
        <v>1</v>
      </c>
      <c r="C6" s="32" t="n">
        <f aca="false">SETTINGS!$C$3+$B6-1</f>
        <v>46300</v>
      </c>
      <c r="D6" s="33" t="s">
        <v>154</v>
      </c>
      <c r="E6" s="34" t="s">
        <v>155</v>
      </c>
      <c r="F6" s="34" t="s">
        <v>176</v>
      </c>
      <c r="G6" s="34" t="s">
        <v>177</v>
      </c>
      <c r="H6" s="35" t="s">
        <v>178</v>
      </c>
      <c r="I6" s="36" t="s">
        <v>179</v>
      </c>
      <c r="J6" s="34" t="s">
        <v>180</v>
      </c>
      <c r="K6" s="34" t="s">
        <v>181</v>
      </c>
      <c r="L6" s="37"/>
      <c r="M6" s="37"/>
      <c r="N6" s="37"/>
      <c r="O6" s="37"/>
      <c r="P6" s="37"/>
      <c r="Q6" s="37"/>
      <c r="R6" s="31" t="n">
        <f aca="false">COUNT($M6:$Q6)</f>
        <v>0</v>
      </c>
      <c r="S6" s="32" t="str">
        <f aca="false">IF($L6="","",IF($R6&gt;=5,"",MAX($L6:$Q6)+CHOOSE($R6+1,SETTINGS!$C$9,SETTINGS!$C$10,SETTINGS!$C$11,SETTINGS!$C$12,SETTINGS!$C$13)))</f>
        <v/>
      </c>
      <c r="T6" s="34" t="str">
        <f aca="true">IF($H6="","(chưa có nội dung)",IF($L6="",IF($C6&lt;TODAY(),"⚠ TRỄ HỌC",IF($C6=TODAY(),"★ HỌC HÔM NAY","• Chưa tới")),IF($R6&gt;=5,"✔ MASTER",IF($S6&lt;TODAY(),"⚠ TRỄ ÔN",IF($S6=TODAY(),"◆ ÔN HÔM NAY","✔ Đúng tiến độ")))))</f>
        <v>⚠ TRỄ HỌC</v>
      </c>
      <c r="U6" s="38" t="n">
        <f aca="false">IF($H6="","",$R6/5)</f>
        <v>0</v>
      </c>
    </row>
    <row r="7" customFormat="false" ht="15" hidden="false" customHeight="false" outlineLevel="0" collapsed="false">
      <c r="A7" s="31" t="s">
        <v>182</v>
      </c>
      <c r="B7" s="31" t="n">
        <v>1</v>
      </c>
      <c r="C7" s="32" t="n">
        <f aca="false">SETTINGS!$C$3+$B7-1</f>
        <v>46300</v>
      </c>
      <c r="D7" s="33" t="s">
        <v>154</v>
      </c>
      <c r="E7" s="34" t="s">
        <v>155</v>
      </c>
      <c r="F7" s="34" t="s">
        <v>183</v>
      </c>
      <c r="G7" s="34" t="s">
        <v>184</v>
      </c>
      <c r="H7" s="35" t="s">
        <v>185</v>
      </c>
      <c r="I7" s="36" t="s">
        <v>186</v>
      </c>
      <c r="J7" s="34" t="s">
        <v>187</v>
      </c>
      <c r="K7" s="34" t="s">
        <v>188</v>
      </c>
      <c r="L7" s="37"/>
      <c r="M7" s="37"/>
      <c r="N7" s="37"/>
      <c r="O7" s="37"/>
      <c r="P7" s="37"/>
      <c r="Q7" s="37"/>
      <c r="R7" s="31" t="n">
        <f aca="false">COUNT($M7:$Q7)</f>
        <v>0</v>
      </c>
      <c r="S7" s="32" t="str">
        <f aca="false">IF($L7="","",IF($R7&gt;=5,"",MAX($L7:$Q7)+CHOOSE($R7+1,SETTINGS!$C$9,SETTINGS!$C$10,SETTINGS!$C$11,SETTINGS!$C$12,SETTINGS!$C$13)))</f>
        <v/>
      </c>
      <c r="T7" s="34" t="str">
        <f aca="true">IF($H7="","(chưa có nội dung)",IF($L7="",IF($C7&lt;TODAY(),"⚠ TRỄ HỌC",IF($C7=TODAY(),"★ HỌC HÔM NAY","• Chưa tới")),IF($R7&gt;=5,"✔ MASTER",IF($S7&lt;TODAY(),"⚠ TRỄ ÔN",IF($S7=TODAY(),"◆ ÔN HÔM NAY","✔ Đúng tiến độ")))))</f>
        <v>⚠ TRỄ HỌC</v>
      </c>
      <c r="U7" s="38" t="n">
        <f aca="false">IF($H7="","",$R7/5)</f>
        <v>0</v>
      </c>
    </row>
    <row r="8" customFormat="false" ht="15" hidden="false" customHeight="false" outlineLevel="0" collapsed="false">
      <c r="A8" s="31" t="s">
        <v>189</v>
      </c>
      <c r="B8" s="31" t="n">
        <v>1</v>
      </c>
      <c r="C8" s="32" t="n">
        <f aca="false">SETTINGS!$C$3+$B8-1</f>
        <v>46300</v>
      </c>
      <c r="D8" s="33" t="s">
        <v>154</v>
      </c>
      <c r="E8" s="34" t="s">
        <v>155</v>
      </c>
      <c r="F8" s="34" t="s">
        <v>163</v>
      </c>
      <c r="G8" s="34" t="s">
        <v>190</v>
      </c>
      <c r="H8" s="35" t="s">
        <v>191</v>
      </c>
      <c r="I8" s="36" t="s">
        <v>192</v>
      </c>
      <c r="J8" s="34" t="s">
        <v>193</v>
      </c>
      <c r="K8" s="34" t="s">
        <v>194</v>
      </c>
      <c r="L8" s="37"/>
      <c r="M8" s="37"/>
      <c r="N8" s="37"/>
      <c r="O8" s="37"/>
      <c r="P8" s="37"/>
      <c r="Q8" s="37"/>
      <c r="R8" s="31" t="n">
        <f aca="false">COUNT($M8:$Q8)</f>
        <v>0</v>
      </c>
      <c r="S8" s="32" t="str">
        <f aca="false">IF($L8="","",IF($R8&gt;=5,"",MAX($L8:$Q8)+CHOOSE($R8+1,SETTINGS!$C$9,SETTINGS!$C$10,SETTINGS!$C$11,SETTINGS!$C$12,SETTINGS!$C$13)))</f>
        <v/>
      </c>
      <c r="T8" s="34" t="str">
        <f aca="true">IF($H8="","(chưa có nội dung)",IF($L8="",IF($C8&lt;TODAY(),"⚠ TRỄ HỌC",IF($C8=TODAY(),"★ HỌC HÔM NAY","• Chưa tới")),IF($R8&gt;=5,"✔ MASTER",IF($S8&lt;TODAY(),"⚠ TRỄ ÔN",IF($S8=TODAY(),"◆ ÔN HÔM NAY","✔ Đúng tiến độ")))))</f>
        <v>⚠ TRỄ HỌC</v>
      </c>
      <c r="U8" s="38" t="n">
        <f aca="false">IF($H8="","",$R8/5)</f>
        <v>0</v>
      </c>
    </row>
    <row r="9" customFormat="false" ht="15" hidden="false" customHeight="false" outlineLevel="0" collapsed="false">
      <c r="A9" s="31" t="s">
        <v>195</v>
      </c>
      <c r="B9" s="31" t="n">
        <v>1</v>
      </c>
      <c r="C9" s="32" t="n">
        <f aca="false">SETTINGS!$C$3+$B9-1</f>
        <v>46300</v>
      </c>
      <c r="D9" s="33" t="s">
        <v>154</v>
      </c>
      <c r="E9" s="34" t="s">
        <v>155</v>
      </c>
      <c r="F9" s="34" t="s">
        <v>156</v>
      </c>
      <c r="G9" s="34" t="s">
        <v>196</v>
      </c>
      <c r="H9" s="35" t="s">
        <v>197</v>
      </c>
      <c r="I9" s="36" t="s">
        <v>198</v>
      </c>
      <c r="J9" s="34" t="s">
        <v>199</v>
      </c>
      <c r="K9" s="34" t="s">
        <v>200</v>
      </c>
      <c r="L9" s="37"/>
      <c r="M9" s="37"/>
      <c r="N9" s="37"/>
      <c r="O9" s="37"/>
      <c r="P9" s="37"/>
      <c r="Q9" s="37"/>
      <c r="R9" s="31" t="n">
        <f aca="false">COUNT($M9:$Q9)</f>
        <v>0</v>
      </c>
      <c r="S9" s="32" t="str">
        <f aca="false">IF($L9="","",IF($R9&gt;=5,"",MAX($L9:$Q9)+CHOOSE($R9+1,SETTINGS!$C$9,SETTINGS!$C$10,SETTINGS!$C$11,SETTINGS!$C$12,SETTINGS!$C$13)))</f>
        <v/>
      </c>
      <c r="T9" s="34" t="str">
        <f aca="true">IF($H9="","(chưa có nội dung)",IF($L9="",IF($C9&lt;TODAY(),"⚠ TRỄ HỌC",IF($C9=TODAY(),"★ HỌC HÔM NAY","• Chưa tới")),IF($R9&gt;=5,"✔ MASTER",IF($S9&lt;TODAY(),"⚠ TRỄ ÔN",IF($S9=TODAY(),"◆ ÔN HÔM NAY","✔ Đúng tiến độ")))))</f>
        <v>⚠ TRỄ HỌC</v>
      </c>
      <c r="U9" s="38" t="n">
        <f aca="false">IF($H9="","",$R9/5)</f>
        <v>0</v>
      </c>
    </row>
    <row r="10" customFormat="false" ht="15" hidden="false" customHeight="false" outlineLevel="0" collapsed="false">
      <c r="A10" s="31" t="s">
        <v>201</v>
      </c>
      <c r="B10" s="31" t="n">
        <v>1</v>
      </c>
      <c r="C10" s="32" t="n">
        <f aca="false">SETTINGS!$C$3+$B10-1</f>
        <v>46300</v>
      </c>
      <c r="D10" s="33" t="s">
        <v>154</v>
      </c>
      <c r="E10" s="34" t="s">
        <v>155</v>
      </c>
      <c r="F10" s="34" t="s">
        <v>202</v>
      </c>
      <c r="G10" s="34" t="s">
        <v>203</v>
      </c>
      <c r="H10" s="35" t="s">
        <v>204</v>
      </c>
      <c r="I10" s="36" t="s">
        <v>205</v>
      </c>
      <c r="J10" s="34" t="s">
        <v>206</v>
      </c>
      <c r="K10" s="34" t="s">
        <v>207</v>
      </c>
      <c r="L10" s="37"/>
      <c r="M10" s="37"/>
      <c r="N10" s="37"/>
      <c r="O10" s="37"/>
      <c r="P10" s="37"/>
      <c r="Q10" s="37"/>
      <c r="R10" s="31" t="n">
        <f aca="false">COUNT($M10:$Q10)</f>
        <v>0</v>
      </c>
      <c r="S10" s="32" t="str">
        <f aca="false">IF($L10="","",IF($R10&gt;=5,"",MAX($L10:$Q10)+CHOOSE($R10+1,SETTINGS!$C$9,SETTINGS!$C$10,SETTINGS!$C$11,SETTINGS!$C$12,SETTINGS!$C$13)))</f>
        <v/>
      </c>
      <c r="T10" s="34" t="str">
        <f aca="true">IF($H10="","(chưa có nội dung)",IF($L10="",IF($C10&lt;TODAY(),"⚠ TRỄ HỌC",IF($C10=TODAY(),"★ HỌC HÔM NAY","• Chưa tới")),IF($R10&gt;=5,"✔ MASTER",IF($S10&lt;TODAY(),"⚠ TRỄ ÔN",IF($S10=TODAY(),"◆ ÔN HÔM NAY","✔ Đúng tiến độ")))))</f>
        <v>⚠ TRỄ HỌC</v>
      </c>
      <c r="U10" s="38" t="n">
        <f aca="false">IF($H10="","",$R10/5)</f>
        <v>0</v>
      </c>
    </row>
    <row r="11" customFormat="false" ht="15" hidden="false" customHeight="false" outlineLevel="0" collapsed="false">
      <c r="A11" s="31" t="s">
        <v>208</v>
      </c>
      <c r="B11" s="31" t="n">
        <v>1</v>
      </c>
      <c r="C11" s="32" t="n">
        <f aca="false">SETTINGS!$C$3+$B11-1</f>
        <v>46300</v>
      </c>
      <c r="D11" s="33" t="s">
        <v>154</v>
      </c>
      <c r="E11" s="34" t="s">
        <v>155</v>
      </c>
      <c r="F11" s="34" t="s">
        <v>156</v>
      </c>
      <c r="G11" s="34" t="s">
        <v>209</v>
      </c>
      <c r="H11" s="35" t="s">
        <v>210</v>
      </c>
      <c r="I11" s="36" t="s">
        <v>211</v>
      </c>
      <c r="J11" s="34" t="s">
        <v>212</v>
      </c>
      <c r="K11" s="34" t="s">
        <v>213</v>
      </c>
      <c r="L11" s="37"/>
      <c r="M11" s="37"/>
      <c r="N11" s="37"/>
      <c r="O11" s="37"/>
      <c r="P11" s="37"/>
      <c r="Q11" s="37"/>
      <c r="R11" s="31" t="n">
        <f aca="false">COUNT($M11:$Q11)</f>
        <v>0</v>
      </c>
      <c r="S11" s="32" t="str">
        <f aca="false">IF($L11="","",IF($R11&gt;=5,"",MAX($L11:$Q11)+CHOOSE($R11+1,SETTINGS!$C$9,SETTINGS!$C$10,SETTINGS!$C$11,SETTINGS!$C$12,SETTINGS!$C$13)))</f>
        <v/>
      </c>
      <c r="T11" s="34" t="str">
        <f aca="true">IF($H11="","(chưa có nội dung)",IF($L11="",IF($C11&lt;TODAY(),"⚠ TRỄ HỌC",IF($C11=TODAY(),"★ HỌC HÔM NAY","• Chưa tới")),IF($R11&gt;=5,"✔ MASTER",IF($S11&lt;TODAY(),"⚠ TRỄ ÔN",IF($S11=TODAY(),"◆ ÔN HÔM NAY","✔ Đúng tiến độ")))))</f>
        <v>⚠ TRỄ HỌC</v>
      </c>
      <c r="U11" s="38" t="n">
        <f aca="false">IF($H11="","",$R11/5)</f>
        <v>0</v>
      </c>
    </row>
    <row r="12" customFormat="false" ht="15" hidden="false" customHeight="false" outlineLevel="0" collapsed="false">
      <c r="A12" s="31" t="s">
        <v>214</v>
      </c>
      <c r="B12" s="31" t="n">
        <v>1</v>
      </c>
      <c r="C12" s="32" t="n">
        <f aca="false">SETTINGS!$C$3+$B12-1</f>
        <v>46300</v>
      </c>
      <c r="D12" s="33" t="s">
        <v>154</v>
      </c>
      <c r="E12" s="34" t="s">
        <v>155</v>
      </c>
      <c r="F12" s="34" t="s">
        <v>156</v>
      </c>
      <c r="G12" s="34" t="s">
        <v>215</v>
      </c>
      <c r="H12" s="35" t="s">
        <v>216</v>
      </c>
      <c r="I12" s="36" t="s">
        <v>217</v>
      </c>
      <c r="J12" s="34" t="s">
        <v>218</v>
      </c>
      <c r="K12" s="34" t="s">
        <v>219</v>
      </c>
      <c r="L12" s="37"/>
      <c r="M12" s="37"/>
      <c r="N12" s="37"/>
      <c r="O12" s="37"/>
      <c r="P12" s="37"/>
      <c r="Q12" s="37"/>
      <c r="R12" s="31" t="n">
        <f aca="false">COUNT($M12:$Q12)</f>
        <v>0</v>
      </c>
      <c r="S12" s="32" t="str">
        <f aca="false">IF($L12="","",IF($R12&gt;=5,"",MAX($L12:$Q12)+CHOOSE($R12+1,SETTINGS!$C$9,SETTINGS!$C$10,SETTINGS!$C$11,SETTINGS!$C$12,SETTINGS!$C$13)))</f>
        <v/>
      </c>
      <c r="T12" s="34" t="str">
        <f aca="true">IF($H12="","(chưa có nội dung)",IF($L12="",IF($C12&lt;TODAY(),"⚠ TRỄ HỌC",IF($C12=TODAY(),"★ HỌC HÔM NAY","• Chưa tới")),IF($R12&gt;=5,"✔ MASTER",IF($S12&lt;TODAY(),"⚠ TRỄ ÔN",IF($S12=TODAY(),"◆ ÔN HÔM NAY","✔ Đúng tiến độ")))))</f>
        <v>⚠ TRỄ HỌC</v>
      </c>
      <c r="U12" s="38" t="n">
        <f aca="false">IF($H12="","",$R12/5)</f>
        <v>0</v>
      </c>
    </row>
    <row r="13" customFormat="false" ht="15" hidden="false" customHeight="false" outlineLevel="0" collapsed="false">
      <c r="A13" s="31" t="s">
        <v>220</v>
      </c>
      <c r="B13" s="31" t="n">
        <v>1</v>
      </c>
      <c r="C13" s="32" t="n">
        <f aca="false">SETTINGS!$C$3+$B13-1</f>
        <v>46300</v>
      </c>
      <c r="D13" s="33" t="s">
        <v>154</v>
      </c>
      <c r="E13" s="34" t="s">
        <v>155</v>
      </c>
      <c r="F13" s="34" t="s">
        <v>156</v>
      </c>
      <c r="G13" s="34" t="s">
        <v>221</v>
      </c>
      <c r="H13" s="35" t="s">
        <v>222</v>
      </c>
      <c r="I13" s="36" t="s">
        <v>223</v>
      </c>
      <c r="J13" s="34" t="s">
        <v>224</v>
      </c>
      <c r="K13" s="34" t="s">
        <v>225</v>
      </c>
      <c r="L13" s="37"/>
      <c r="M13" s="37"/>
      <c r="N13" s="37"/>
      <c r="O13" s="37"/>
      <c r="P13" s="37"/>
      <c r="Q13" s="37"/>
      <c r="R13" s="31" t="n">
        <f aca="false">COUNT($M13:$Q13)</f>
        <v>0</v>
      </c>
      <c r="S13" s="32" t="str">
        <f aca="false">IF($L13="","",IF($R13&gt;=5,"",MAX($L13:$Q13)+CHOOSE($R13+1,SETTINGS!$C$9,SETTINGS!$C$10,SETTINGS!$C$11,SETTINGS!$C$12,SETTINGS!$C$13)))</f>
        <v/>
      </c>
      <c r="T13" s="34" t="str">
        <f aca="true">IF($H13="","(chưa có nội dung)",IF($L13="",IF($C13&lt;TODAY(),"⚠ TRỄ HỌC",IF($C13=TODAY(),"★ HỌC HÔM NAY","• Chưa tới")),IF($R13&gt;=5,"✔ MASTER",IF($S13&lt;TODAY(),"⚠ TRỄ ÔN",IF($S13=TODAY(),"◆ ÔN HÔM NAY","✔ Đúng tiến độ")))))</f>
        <v>⚠ TRỄ HỌC</v>
      </c>
      <c r="U13" s="38" t="n">
        <f aca="false">IF($H13="","",$R13/5)</f>
        <v>0</v>
      </c>
    </row>
    <row r="14" customFormat="false" ht="15" hidden="false" customHeight="false" outlineLevel="0" collapsed="false">
      <c r="A14" s="31" t="s">
        <v>226</v>
      </c>
      <c r="B14" s="31" t="n">
        <v>1</v>
      </c>
      <c r="C14" s="32" t="n">
        <f aca="false">SETTINGS!$C$3+$B14-1</f>
        <v>46300</v>
      </c>
      <c r="D14" s="33" t="s">
        <v>154</v>
      </c>
      <c r="E14" s="34" t="s">
        <v>155</v>
      </c>
      <c r="F14" s="34" t="s">
        <v>156</v>
      </c>
      <c r="G14" s="34" t="s">
        <v>209</v>
      </c>
      <c r="H14" s="35" t="s">
        <v>227</v>
      </c>
      <c r="I14" s="36" t="s">
        <v>228</v>
      </c>
      <c r="J14" s="34" t="s">
        <v>229</v>
      </c>
      <c r="K14" s="34" t="s">
        <v>230</v>
      </c>
      <c r="L14" s="37"/>
      <c r="M14" s="37"/>
      <c r="N14" s="37"/>
      <c r="O14" s="37"/>
      <c r="P14" s="37"/>
      <c r="Q14" s="37"/>
      <c r="R14" s="31" t="n">
        <f aca="false">COUNT($M14:$Q14)</f>
        <v>0</v>
      </c>
      <c r="S14" s="32" t="str">
        <f aca="false">IF($L14="","",IF($R14&gt;=5,"",MAX($L14:$Q14)+CHOOSE($R14+1,SETTINGS!$C$9,SETTINGS!$C$10,SETTINGS!$C$11,SETTINGS!$C$12,SETTINGS!$C$13)))</f>
        <v/>
      </c>
      <c r="T14" s="34" t="str">
        <f aca="true">IF($H14="","(chưa có nội dung)",IF($L14="",IF($C14&lt;TODAY(),"⚠ TRỄ HỌC",IF($C14=TODAY(),"★ HỌC HÔM NAY","• Chưa tới")),IF($R14&gt;=5,"✔ MASTER",IF($S14&lt;TODAY(),"⚠ TRỄ ÔN",IF($S14=TODAY(),"◆ ÔN HÔM NAY","✔ Đúng tiến độ")))))</f>
        <v>⚠ TRỄ HỌC</v>
      </c>
      <c r="U14" s="38" t="n">
        <f aca="false">IF($H14="","",$R14/5)</f>
        <v>0</v>
      </c>
    </row>
    <row r="15" customFormat="false" ht="15" hidden="false" customHeight="false" outlineLevel="0" collapsed="false">
      <c r="A15" s="31" t="s">
        <v>231</v>
      </c>
      <c r="B15" s="31" t="n">
        <v>1</v>
      </c>
      <c r="C15" s="32" t="n">
        <f aca="false">SETTINGS!$C$3+$B15-1</f>
        <v>46300</v>
      </c>
      <c r="D15" s="33" t="s">
        <v>154</v>
      </c>
      <c r="E15" s="34" t="s">
        <v>155</v>
      </c>
      <c r="F15" s="34" t="s">
        <v>156</v>
      </c>
      <c r="G15" s="34" t="s">
        <v>232</v>
      </c>
      <c r="H15" s="35" t="s">
        <v>233</v>
      </c>
      <c r="I15" s="36" t="s">
        <v>234</v>
      </c>
      <c r="J15" s="34" t="s">
        <v>235</v>
      </c>
      <c r="K15" s="34" t="s">
        <v>236</v>
      </c>
      <c r="L15" s="37"/>
      <c r="M15" s="37"/>
      <c r="N15" s="37"/>
      <c r="O15" s="37"/>
      <c r="P15" s="37"/>
      <c r="Q15" s="37"/>
      <c r="R15" s="31" t="n">
        <f aca="false">COUNT($M15:$Q15)</f>
        <v>0</v>
      </c>
      <c r="S15" s="32" t="str">
        <f aca="false">IF($L15="","",IF($R15&gt;=5,"",MAX($L15:$Q15)+CHOOSE($R15+1,SETTINGS!$C$9,SETTINGS!$C$10,SETTINGS!$C$11,SETTINGS!$C$12,SETTINGS!$C$13)))</f>
        <v/>
      </c>
      <c r="T15" s="34" t="str">
        <f aca="true">IF($H15="","(chưa có nội dung)",IF($L15="",IF($C15&lt;TODAY(),"⚠ TRỄ HỌC",IF($C15=TODAY(),"★ HỌC HÔM NAY","• Chưa tới")),IF($R15&gt;=5,"✔ MASTER",IF($S15&lt;TODAY(),"⚠ TRỄ ÔN",IF($S15=TODAY(),"◆ ÔN HÔM NAY","✔ Đúng tiến độ")))))</f>
        <v>⚠ TRỄ HỌC</v>
      </c>
      <c r="U15" s="38" t="n">
        <f aca="false">IF($H15="","",$R15/5)</f>
        <v>0</v>
      </c>
    </row>
    <row r="16" customFormat="false" ht="15" hidden="false" customHeight="false" outlineLevel="0" collapsed="false">
      <c r="A16" s="31" t="s">
        <v>237</v>
      </c>
      <c r="B16" s="31" t="n">
        <v>1</v>
      </c>
      <c r="C16" s="32" t="n">
        <f aca="false">SETTINGS!$C$3+$B16-1</f>
        <v>46300</v>
      </c>
      <c r="D16" s="33" t="s">
        <v>154</v>
      </c>
      <c r="E16" s="34" t="s">
        <v>155</v>
      </c>
      <c r="F16" s="34" t="s">
        <v>156</v>
      </c>
      <c r="G16" s="34" t="s">
        <v>238</v>
      </c>
      <c r="H16" s="35" t="s">
        <v>239</v>
      </c>
      <c r="I16" s="36" t="s">
        <v>240</v>
      </c>
      <c r="J16" s="34" t="s">
        <v>241</v>
      </c>
      <c r="K16" s="34" t="s">
        <v>242</v>
      </c>
      <c r="L16" s="37"/>
      <c r="M16" s="37"/>
      <c r="N16" s="37"/>
      <c r="O16" s="37"/>
      <c r="P16" s="37"/>
      <c r="Q16" s="37"/>
      <c r="R16" s="31" t="n">
        <f aca="false">COUNT($M16:$Q16)</f>
        <v>0</v>
      </c>
      <c r="S16" s="32" t="str">
        <f aca="false">IF($L16="","",IF($R16&gt;=5,"",MAX($L16:$Q16)+CHOOSE($R16+1,SETTINGS!$C$9,SETTINGS!$C$10,SETTINGS!$C$11,SETTINGS!$C$12,SETTINGS!$C$13)))</f>
        <v/>
      </c>
      <c r="T16" s="34" t="str">
        <f aca="true">IF($H16="","(chưa có nội dung)",IF($L16="",IF($C16&lt;TODAY(),"⚠ TRỄ HỌC",IF($C16=TODAY(),"★ HỌC HÔM NAY","• Chưa tới")),IF($R16&gt;=5,"✔ MASTER",IF($S16&lt;TODAY(),"⚠ TRỄ ÔN",IF($S16=TODAY(),"◆ ÔN HÔM NAY","✔ Đúng tiến độ")))))</f>
        <v>⚠ TRỄ HỌC</v>
      </c>
      <c r="U16" s="38" t="n">
        <f aca="false">IF($H16="","",$R16/5)</f>
        <v>0</v>
      </c>
    </row>
    <row r="17" customFormat="false" ht="15" hidden="false" customHeight="false" outlineLevel="0" collapsed="false">
      <c r="A17" s="31" t="s">
        <v>243</v>
      </c>
      <c r="B17" s="31" t="n">
        <v>1</v>
      </c>
      <c r="C17" s="32" t="n">
        <f aca="false">SETTINGS!$C$3+$B17-1</f>
        <v>46300</v>
      </c>
      <c r="D17" s="33" t="s">
        <v>154</v>
      </c>
      <c r="E17" s="34" t="s">
        <v>155</v>
      </c>
      <c r="F17" s="34" t="s">
        <v>156</v>
      </c>
      <c r="G17" s="34" t="s">
        <v>244</v>
      </c>
      <c r="H17" s="35" t="s">
        <v>245</v>
      </c>
      <c r="I17" s="36" t="s">
        <v>246</v>
      </c>
      <c r="J17" s="34" t="s">
        <v>247</v>
      </c>
      <c r="K17" s="34" t="s">
        <v>248</v>
      </c>
      <c r="L17" s="37"/>
      <c r="M17" s="37"/>
      <c r="N17" s="37"/>
      <c r="O17" s="37"/>
      <c r="P17" s="37"/>
      <c r="Q17" s="37"/>
      <c r="R17" s="31" t="n">
        <f aca="false">COUNT($M17:$Q17)</f>
        <v>0</v>
      </c>
      <c r="S17" s="32" t="str">
        <f aca="false">IF($L17="","",IF($R17&gt;=5,"",MAX($L17:$Q17)+CHOOSE($R17+1,SETTINGS!$C$9,SETTINGS!$C$10,SETTINGS!$C$11,SETTINGS!$C$12,SETTINGS!$C$13)))</f>
        <v/>
      </c>
      <c r="T17" s="34" t="str">
        <f aca="true">IF($H17="","(chưa có nội dung)",IF($L17="",IF($C17&lt;TODAY(),"⚠ TRỄ HỌC",IF($C17=TODAY(),"★ HỌC HÔM NAY","• Chưa tới")),IF($R17&gt;=5,"✔ MASTER",IF($S17&lt;TODAY(),"⚠ TRỄ ÔN",IF($S17=TODAY(),"◆ ÔN HÔM NAY","✔ Đúng tiến độ")))))</f>
        <v>⚠ TRỄ HỌC</v>
      </c>
      <c r="U17" s="38" t="n">
        <f aca="false">IF($H17="","",$R17/5)</f>
        <v>0</v>
      </c>
    </row>
    <row r="18" customFormat="false" ht="15" hidden="false" customHeight="false" outlineLevel="0" collapsed="false">
      <c r="A18" s="31" t="s">
        <v>249</v>
      </c>
      <c r="B18" s="31" t="n">
        <v>1</v>
      </c>
      <c r="C18" s="32" t="n">
        <f aca="false">SETTINGS!$C$3+$B18-1</f>
        <v>46300</v>
      </c>
      <c r="D18" s="33" t="s">
        <v>154</v>
      </c>
      <c r="E18" s="34" t="s">
        <v>155</v>
      </c>
      <c r="F18" s="34" t="s">
        <v>176</v>
      </c>
      <c r="G18" s="34" t="s">
        <v>209</v>
      </c>
      <c r="H18" s="35" t="s">
        <v>250</v>
      </c>
      <c r="I18" s="36" t="s">
        <v>251</v>
      </c>
      <c r="J18" s="34" t="s">
        <v>252</v>
      </c>
      <c r="K18" s="34" t="s">
        <v>253</v>
      </c>
      <c r="L18" s="37"/>
      <c r="M18" s="37"/>
      <c r="N18" s="37"/>
      <c r="O18" s="37"/>
      <c r="P18" s="37"/>
      <c r="Q18" s="37"/>
      <c r="R18" s="31" t="n">
        <f aca="false">COUNT($M18:$Q18)</f>
        <v>0</v>
      </c>
      <c r="S18" s="32" t="str">
        <f aca="false">IF($L18="","",IF($R18&gt;=5,"",MAX($L18:$Q18)+CHOOSE($R18+1,SETTINGS!$C$9,SETTINGS!$C$10,SETTINGS!$C$11,SETTINGS!$C$12,SETTINGS!$C$13)))</f>
        <v/>
      </c>
      <c r="T18" s="34" t="str">
        <f aca="true">IF($H18="","(chưa có nội dung)",IF($L18="",IF($C18&lt;TODAY(),"⚠ TRỄ HỌC",IF($C18=TODAY(),"★ HỌC HÔM NAY","• Chưa tới")),IF($R18&gt;=5,"✔ MASTER",IF($S18&lt;TODAY(),"⚠ TRỄ ÔN",IF($S18=TODAY(),"◆ ÔN HÔM NAY","✔ Đúng tiến độ")))))</f>
        <v>⚠ TRỄ HỌC</v>
      </c>
      <c r="U18" s="38" t="n">
        <f aca="false">IF($H18="","",$R18/5)</f>
        <v>0</v>
      </c>
    </row>
    <row r="19" customFormat="false" ht="23.85" hidden="false" customHeight="false" outlineLevel="0" collapsed="false">
      <c r="A19" s="31" t="s">
        <v>254</v>
      </c>
      <c r="B19" s="31" t="n">
        <v>1</v>
      </c>
      <c r="C19" s="32" t="n">
        <f aca="false">SETTINGS!$C$3+$B19-1</f>
        <v>46300</v>
      </c>
      <c r="D19" s="33" t="s">
        <v>154</v>
      </c>
      <c r="E19" s="34" t="s">
        <v>155</v>
      </c>
      <c r="F19" s="34" t="s">
        <v>163</v>
      </c>
      <c r="G19" s="34" t="s">
        <v>255</v>
      </c>
      <c r="H19" s="35" t="s">
        <v>256</v>
      </c>
      <c r="I19" s="36" t="s">
        <v>257</v>
      </c>
      <c r="J19" s="34" t="s">
        <v>258</v>
      </c>
      <c r="K19" s="34" t="s">
        <v>259</v>
      </c>
      <c r="L19" s="37"/>
      <c r="M19" s="37"/>
      <c r="N19" s="37"/>
      <c r="O19" s="37"/>
      <c r="P19" s="37"/>
      <c r="Q19" s="37"/>
      <c r="R19" s="31" t="n">
        <f aca="false">COUNT($M19:$Q19)</f>
        <v>0</v>
      </c>
      <c r="S19" s="32" t="str">
        <f aca="false">IF($L19="","",IF($R19&gt;=5,"",MAX($L19:$Q19)+CHOOSE($R19+1,SETTINGS!$C$9,SETTINGS!$C$10,SETTINGS!$C$11,SETTINGS!$C$12,SETTINGS!$C$13)))</f>
        <v/>
      </c>
      <c r="T19" s="34" t="str">
        <f aca="true">IF($H19="","(chưa có nội dung)",IF($L19="",IF($C19&lt;TODAY(),"⚠ TRỄ HỌC",IF($C19=TODAY(),"★ HỌC HÔM NAY","• Chưa tới")),IF($R19&gt;=5,"✔ MASTER",IF($S19&lt;TODAY(),"⚠ TRỄ ÔN",IF($S19=TODAY(),"◆ ÔN HÔM NAY","✔ Đúng tiến độ")))))</f>
        <v>⚠ TRỄ HỌC</v>
      </c>
      <c r="U19" s="38" t="n">
        <f aca="false">IF($H19="","",$R19/5)</f>
        <v>0</v>
      </c>
    </row>
    <row r="20" customFormat="false" ht="15" hidden="false" customHeight="false" outlineLevel="0" collapsed="false">
      <c r="A20" s="31" t="s">
        <v>260</v>
      </c>
      <c r="B20" s="31" t="n">
        <v>1</v>
      </c>
      <c r="C20" s="32" t="n">
        <f aca="false">SETTINGS!$C$3+$B20-1</f>
        <v>46300</v>
      </c>
      <c r="D20" s="33" t="s">
        <v>154</v>
      </c>
      <c r="E20" s="34" t="s">
        <v>155</v>
      </c>
      <c r="F20" s="34" t="s">
        <v>156</v>
      </c>
      <c r="G20" s="34" t="s">
        <v>261</v>
      </c>
      <c r="H20" s="35" t="s">
        <v>262</v>
      </c>
      <c r="I20" s="36" t="s">
        <v>263</v>
      </c>
      <c r="J20" s="34" t="s">
        <v>264</v>
      </c>
      <c r="K20" s="34" t="s">
        <v>265</v>
      </c>
      <c r="L20" s="37"/>
      <c r="M20" s="37"/>
      <c r="N20" s="37"/>
      <c r="O20" s="37"/>
      <c r="P20" s="37"/>
      <c r="Q20" s="37"/>
      <c r="R20" s="31" t="n">
        <f aca="false">COUNT($M20:$Q20)</f>
        <v>0</v>
      </c>
      <c r="S20" s="32" t="str">
        <f aca="false">IF($L20="","",IF($R20&gt;=5,"",MAX($L20:$Q20)+CHOOSE($R20+1,SETTINGS!$C$9,SETTINGS!$C$10,SETTINGS!$C$11,SETTINGS!$C$12,SETTINGS!$C$13)))</f>
        <v/>
      </c>
      <c r="T20" s="34" t="str">
        <f aca="true">IF($H20="","(chưa có nội dung)",IF($L20="",IF($C20&lt;TODAY(),"⚠ TRỄ HỌC",IF($C20=TODAY(),"★ HỌC HÔM NAY","• Chưa tới")),IF($R20&gt;=5,"✔ MASTER",IF($S20&lt;TODAY(),"⚠ TRỄ ÔN",IF($S20=TODAY(),"◆ ÔN HÔM NAY","✔ Đúng tiến độ")))))</f>
        <v>⚠ TRỄ HỌC</v>
      </c>
      <c r="U20" s="38" t="n">
        <f aca="false">IF($H20="","",$R20/5)</f>
        <v>0</v>
      </c>
    </row>
    <row r="21" customFormat="false" ht="15" hidden="false" customHeight="false" outlineLevel="0" collapsed="false">
      <c r="A21" s="31" t="s">
        <v>266</v>
      </c>
      <c r="B21" s="31" t="n">
        <v>1</v>
      </c>
      <c r="C21" s="32" t="n">
        <f aca="false">SETTINGS!$C$3+$B21-1</f>
        <v>46300</v>
      </c>
      <c r="D21" s="33" t="s">
        <v>154</v>
      </c>
      <c r="E21" s="34" t="s">
        <v>155</v>
      </c>
      <c r="F21" s="34" t="s">
        <v>176</v>
      </c>
      <c r="G21" s="34" t="s">
        <v>267</v>
      </c>
      <c r="H21" s="35" t="s">
        <v>268</v>
      </c>
      <c r="I21" s="36" t="s">
        <v>269</v>
      </c>
      <c r="J21" s="34" t="s">
        <v>270</v>
      </c>
      <c r="K21" s="34" t="s">
        <v>271</v>
      </c>
      <c r="L21" s="37"/>
      <c r="M21" s="37"/>
      <c r="N21" s="37"/>
      <c r="O21" s="37"/>
      <c r="P21" s="37"/>
      <c r="Q21" s="37"/>
      <c r="R21" s="31" t="n">
        <f aca="false">COUNT($M21:$Q21)</f>
        <v>0</v>
      </c>
      <c r="S21" s="32" t="str">
        <f aca="false">IF($L21="","",IF($R21&gt;=5,"",MAX($L21:$Q21)+CHOOSE($R21+1,SETTINGS!$C$9,SETTINGS!$C$10,SETTINGS!$C$11,SETTINGS!$C$12,SETTINGS!$C$13)))</f>
        <v/>
      </c>
      <c r="T21" s="34" t="str">
        <f aca="true">IF($H21="","(chưa có nội dung)",IF($L21="",IF($C21&lt;TODAY(),"⚠ TRỄ HỌC",IF($C21=TODAY(),"★ HỌC HÔM NAY","• Chưa tới")),IF($R21&gt;=5,"✔ MASTER",IF($S21&lt;TODAY(),"⚠ TRỄ ÔN",IF($S21=TODAY(),"◆ ÔN HÔM NAY","✔ Đúng tiến độ")))))</f>
        <v>⚠ TRỄ HỌC</v>
      </c>
      <c r="U21" s="38" t="n">
        <f aca="false">IF($H21="","",$R21/5)</f>
        <v>0</v>
      </c>
    </row>
    <row r="22" customFormat="false" ht="15" hidden="false" customHeight="false" outlineLevel="0" collapsed="false">
      <c r="A22" s="31" t="s">
        <v>272</v>
      </c>
      <c r="B22" s="31" t="n">
        <v>1</v>
      </c>
      <c r="C22" s="32" t="n">
        <f aca="false">SETTINGS!$C$3+$B22-1</f>
        <v>46300</v>
      </c>
      <c r="D22" s="33" t="s">
        <v>154</v>
      </c>
      <c r="E22" s="34" t="s">
        <v>155</v>
      </c>
      <c r="F22" s="34" t="s">
        <v>156</v>
      </c>
      <c r="G22" s="34" t="s">
        <v>273</v>
      </c>
      <c r="H22" s="35" t="s">
        <v>274</v>
      </c>
      <c r="I22" s="36" t="s">
        <v>275</v>
      </c>
      <c r="J22" s="34" t="s">
        <v>276</v>
      </c>
      <c r="K22" s="34" t="s">
        <v>277</v>
      </c>
      <c r="L22" s="37"/>
      <c r="M22" s="37"/>
      <c r="N22" s="37"/>
      <c r="O22" s="37"/>
      <c r="P22" s="37"/>
      <c r="Q22" s="37"/>
      <c r="R22" s="31" t="n">
        <f aca="false">COUNT($M22:$Q22)</f>
        <v>0</v>
      </c>
      <c r="S22" s="32" t="str">
        <f aca="false">IF($L22="","",IF($R22&gt;=5,"",MAX($L22:$Q22)+CHOOSE($R22+1,SETTINGS!$C$9,SETTINGS!$C$10,SETTINGS!$C$11,SETTINGS!$C$12,SETTINGS!$C$13)))</f>
        <v/>
      </c>
      <c r="T22" s="34" t="str">
        <f aca="true">IF($H22="","(chưa có nội dung)",IF($L22="",IF($C22&lt;TODAY(),"⚠ TRỄ HỌC",IF($C22=TODAY(),"★ HỌC HÔM NAY","• Chưa tới")),IF($R22&gt;=5,"✔ MASTER",IF($S22&lt;TODAY(),"⚠ TRỄ ÔN",IF($S22=TODAY(),"◆ ÔN HÔM NAY","✔ Đúng tiến độ")))))</f>
        <v>⚠ TRỄ HỌC</v>
      </c>
      <c r="U22" s="38" t="n">
        <f aca="false">IF($H22="","",$R22/5)</f>
        <v>0</v>
      </c>
    </row>
    <row r="23" customFormat="false" ht="15" hidden="false" customHeight="false" outlineLevel="0" collapsed="false">
      <c r="A23" s="31" t="s">
        <v>278</v>
      </c>
      <c r="B23" s="31" t="n">
        <v>2</v>
      </c>
      <c r="C23" s="32" t="n">
        <f aca="false">SETTINGS!$C$3+$B23-1</f>
        <v>46301</v>
      </c>
      <c r="D23" s="33" t="s">
        <v>154</v>
      </c>
      <c r="E23" s="34" t="s">
        <v>279</v>
      </c>
      <c r="F23" s="34" t="s">
        <v>280</v>
      </c>
      <c r="G23" s="34" t="s">
        <v>281</v>
      </c>
      <c r="H23" s="35" t="s">
        <v>282</v>
      </c>
      <c r="I23" s="36" t="s">
        <v>283</v>
      </c>
      <c r="J23" s="34" t="s">
        <v>284</v>
      </c>
      <c r="K23" s="34" t="s">
        <v>285</v>
      </c>
      <c r="L23" s="37"/>
      <c r="M23" s="37"/>
      <c r="N23" s="37"/>
      <c r="O23" s="37"/>
      <c r="P23" s="37"/>
      <c r="Q23" s="37"/>
      <c r="R23" s="31" t="n">
        <f aca="false">COUNT($M23:$Q23)</f>
        <v>0</v>
      </c>
      <c r="S23" s="32" t="str">
        <f aca="false">IF($L23="","",IF($R23&gt;=5,"",MAX($L23:$Q23)+CHOOSE($R23+1,SETTINGS!$C$9,SETTINGS!$C$10,SETTINGS!$C$11,SETTINGS!$C$12,SETTINGS!$C$13)))</f>
        <v/>
      </c>
      <c r="T23" s="34" t="str">
        <f aca="true">IF($H23="","(chưa có nội dung)",IF($L23="",IF($C23&lt;TODAY(),"⚠ TRỄ HỌC",IF($C23=TODAY(),"★ HỌC HÔM NAY","• Chưa tới")),IF($R23&gt;=5,"✔ MASTER",IF($S23&lt;TODAY(),"⚠ TRỄ ÔN",IF($S23=TODAY(),"◆ ÔN HÔM NAY","✔ Đúng tiến độ")))))</f>
        <v>★ HỌC HÔM NAY</v>
      </c>
      <c r="U23" s="38" t="n">
        <f aca="false">IF($H23="","",$R23/5)</f>
        <v>0</v>
      </c>
    </row>
    <row r="24" customFormat="false" ht="15" hidden="false" customHeight="false" outlineLevel="0" collapsed="false">
      <c r="A24" s="31" t="s">
        <v>286</v>
      </c>
      <c r="B24" s="31" t="n">
        <v>2</v>
      </c>
      <c r="C24" s="32" t="n">
        <f aca="false">SETTINGS!$C$3+$B24-1</f>
        <v>46301</v>
      </c>
      <c r="D24" s="33" t="s">
        <v>154</v>
      </c>
      <c r="E24" s="34" t="s">
        <v>279</v>
      </c>
      <c r="F24" s="34" t="s">
        <v>163</v>
      </c>
      <c r="G24" s="34" t="s">
        <v>287</v>
      </c>
      <c r="H24" s="35" t="s">
        <v>288</v>
      </c>
      <c r="I24" s="36" t="s">
        <v>289</v>
      </c>
      <c r="J24" s="34" t="s">
        <v>290</v>
      </c>
      <c r="K24" s="34" t="s">
        <v>291</v>
      </c>
      <c r="L24" s="37"/>
      <c r="M24" s="37"/>
      <c r="N24" s="37"/>
      <c r="O24" s="37"/>
      <c r="P24" s="37"/>
      <c r="Q24" s="37"/>
      <c r="R24" s="31" t="n">
        <f aca="false">COUNT($M24:$Q24)</f>
        <v>0</v>
      </c>
      <c r="S24" s="32" t="str">
        <f aca="false">IF($L24="","",IF($R24&gt;=5,"",MAX($L24:$Q24)+CHOOSE($R24+1,SETTINGS!$C$9,SETTINGS!$C$10,SETTINGS!$C$11,SETTINGS!$C$12,SETTINGS!$C$13)))</f>
        <v/>
      </c>
      <c r="T24" s="34" t="str">
        <f aca="true">IF($H24="","(chưa có nội dung)",IF($L24="",IF($C24&lt;TODAY(),"⚠ TRỄ HỌC",IF($C24=TODAY(),"★ HỌC HÔM NAY","• Chưa tới")),IF($R24&gt;=5,"✔ MASTER",IF($S24&lt;TODAY(),"⚠ TRỄ ÔN",IF($S24=TODAY(),"◆ ÔN HÔM NAY","✔ Đúng tiến độ")))))</f>
        <v>★ HỌC HÔM NAY</v>
      </c>
      <c r="U24" s="38" t="n">
        <f aca="false">IF($H24="","",$R24/5)</f>
        <v>0</v>
      </c>
    </row>
    <row r="25" customFormat="false" ht="15" hidden="false" customHeight="false" outlineLevel="0" collapsed="false">
      <c r="A25" s="31" t="s">
        <v>292</v>
      </c>
      <c r="B25" s="31" t="n">
        <v>2</v>
      </c>
      <c r="C25" s="32" t="n">
        <f aca="false">SETTINGS!$C$3+$B25-1</f>
        <v>46301</v>
      </c>
      <c r="D25" s="33" t="s">
        <v>154</v>
      </c>
      <c r="E25" s="34" t="s">
        <v>279</v>
      </c>
      <c r="F25" s="34" t="s">
        <v>280</v>
      </c>
      <c r="G25" s="34" t="s">
        <v>293</v>
      </c>
      <c r="H25" s="35" t="s">
        <v>294</v>
      </c>
      <c r="I25" s="36" t="s">
        <v>295</v>
      </c>
      <c r="J25" s="34" t="s">
        <v>296</v>
      </c>
      <c r="K25" s="34" t="s">
        <v>297</v>
      </c>
      <c r="L25" s="37"/>
      <c r="M25" s="37"/>
      <c r="N25" s="37"/>
      <c r="O25" s="37"/>
      <c r="P25" s="37"/>
      <c r="Q25" s="37"/>
      <c r="R25" s="31" t="n">
        <f aca="false">COUNT($M25:$Q25)</f>
        <v>0</v>
      </c>
      <c r="S25" s="32" t="str">
        <f aca="false">IF($L25="","",IF($R25&gt;=5,"",MAX($L25:$Q25)+CHOOSE($R25+1,SETTINGS!$C$9,SETTINGS!$C$10,SETTINGS!$C$11,SETTINGS!$C$12,SETTINGS!$C$13)))</f>
        <v/>
      </c>
      <c r="T25" s="34" t="str">
        <f aca="true">IF($H25="","(chưa có nội dung)",IF($L25="",IF($C25&lt;TODAY(),"⚠ TRỄ HỌC",IF($C25=TODAY(),"★ HỌC HÔM NAY","• Chưa tới")),IF($R25&gt;=5,"✔ MASTER",IF($S25&lt;TODAY(),"⚠ TRỄ ÔN",IF($S25=TODAY(),"◆ ÔN HÔM NAY","✔ Đúng tiến độ")))))</f>
        <v>★ HỌC HÔM NAY</v>
      </c>
      <c r="U25" s="38" t="n">
        <f aca="false">IF($H25="","",$R25/5)</f>
        <v>0</v>
      </c>
    </row>
    <row r="26" customFormat="false" ht="15" hidden="false" customHeight="false" outlineLevel="0" collapsed="false">
      <c r="A26" s="31" t="s">
        <v>298</v>
      </c>
      <c r="B26" s="31" t="n">
        <v>2</v>
      </c>
      <c r="C26" s="32" t="n">
        <f aca="false">SETTINGS!$C$3+$B26-1</f>
        <v>46301</v>
      </c>
      <c r="D26" s="33" t="s">
        <v>154</v>
      </c>
      <c r="E26" s="34" t="s">
        <v>279</v>
      </c>
      <c r="F26" s="34" t="s">
        <v>280</v>
      </c>
      <c r="G26" s="34" t="s">
        <v>299</v>
      </c>
      <c r="H26" s="35" t="s">
        <v>300</v>
      </c>
      <c r="I26" s="36" t="s">
        <v>301</v>
      </c>
      <c r="J26" s="34" t="s">
        <v>302</v>
      </c>
      <c r="K26" s="34" t="s">
        <v>303</v>
      </c>
      <c r="L26" s="37"/>
      <c r="M26" s="37"/>
      <c r="N26" s="37"/>
      <c r="O26" s="37"/>
      <c r="P26" s="37"/>
      <c r="Q26" s="37"/>
      <c r="R26" s="31" t="n">
        <f aca="false">COUNT($M26:$Q26)</f>
        <v>0</v>
      </c>
      <c r="S26" s="32" t="str">
        <f aca="false">IF($L26="","",IF($R26&gt;=5,"",MAX($L26:$Q26)+CHOOSE($R26+1,SETTINGS!$C$9,SETTINGS!$C$10,SETTINGS!$C$11,SETTINGS!$C$12,SETTINGS!$C$13)))</f>
        <v/>
      </c>
      <c r="T26" s="34" t="str">
        <f aca="true">IF($H26="","(chưa có nội dung)",IF($L26="",IF($C26&lt;TODAY(),"⚠ TRỄ HỌC",IF($C26=TODAY(),"★ HỌC HÔM NAY","• Chưa tới")),IF($R26&gt;=5,"✔ MASTER",IF($S26&lt;TODAY(),"⚠ TRỄ ÔN",IF($S26=TODAY(),"◆ ÔN HÔM NAY","✔ Đúng tiến độ")))))</f>
        <v>★ HỌC HÔM NAY</v>
      </c>
      <c r="U26" s="38" t="n">
        <f aca="false">IF($H26="","",$R26/5)</f>
        <v>0</v>
      </c>
    </row>
    <row r="27" customFormat="false" ht="15" hidden="false" customHeight="false" outlineLevel="0" collapsed="false">
      <c r="A27" s="31" t="s">
        <v>304</v>
      </c>
      <c r="B27" s="31" t="n">
        <v>2</v>
      </c>
      <c r="C27" s="32" t="n">
        <f aca="false">SETTINGS!$C$3+$B27-1</f>
        <v>46301</v>
      </c>
      <c r="D27" s="33" t="s">
        <v>154</v>
      </c>
      <c r="E27" s="34" t="s">
        <v>279</v>
      </c>
      <c r="F27" s="34" t="s">
        <v>163</v>
      </c>
      <c r="G27" s="34" t="s">
        <v>305</v>
      </c>
      <c r="H27" s="35" t="s">
        <v>306</v>
      </c>
      <c r="I27" s="36" t="s">
        <v>307</v>
      </c>
      <c r="J27" s="34" t="s">
        <v>308</v>
      </c>
      <c r="K27" s="34" t="s">
        <v>309</v>
      </c>
      <c r="L27" s="37"/>
      <c r="M27" s="37"/>
      <c r="N27" s="37"/>
      <c r="O27" s="37"/>
      <c r="P27" s="37"/>
      <c r="Q27" s="37"/>
      <c r="R27" s="31" t="n">
        <f aca="false">COUNT($M27:$Q27)</f>
        <v>0</v>
      </c>
      <c r="S27" s="32" t="str">
        <f aca="false">IF($L27="","",IF($R27&gt;=5,"",MAX($L27:$Q27)+CHOOSE($R27+1,SETTINGS!$C$9,SETTINGS!$C$10,SETTINGS!$C$11,SETTINGS!$C$12,SETTINGS!$C$13)))</f>
        <v/>
      </c>
      <c r="T27" s="34" t="str">
        <f aca="true">IF($H27="","(chưa có nội dung)",IF($L27="",IF($C27&lt;TODAY(),"⚠ TRỄ HỌC",IF($C27=TODAY(),"★ HỌC HÔM NAY","• Chưa tới")),IF($R27&gt;=5,"✔ MASTER",IF($S27&lt;TODAY(),"⚠ TRỄ ÔN",IF($S27=TODAY(),"◆ ÔN HÔM NAY","✔ Đúng tiến độ")))))</f>
        <v>★ HỌC HÔM NAY</v>
      </c>
      <c r="U27" s="38" t="n">
        <f aca="false">IF($H27="","",$R27/5)</f>
        <v>0</v>
      </c>
    </row>
    <row r="28" customFormat="false" ht="15" hidden="false" customHeight="false" outlineLevel="0" collapsed="false">
      <c r="A28" s="31" t="s">
        <v>310</v>
      </c>
      <c r="B28" s="31" t="n">
        <v>2</v>
      </c>
      <c r="C28" s="32" t="n">
        <f aca="false">SETTINGS!$C$3+$B28-1</f>
        <v>46301</v>
      </c>
      <c r="D28" s="33" t="s">
        <v>154</v>
      </c>
      <c r="E28" s="34" t="s">
        <v>279</v>
      </c>
      <c r="F28" s="34" t="s">
        <v>280</v>
      </c>
      <c r="G28" s="34" t="s">
        <v>311</v>
      </c>
      <c r="H28" s="35" t="s">
        <v>312</v>
      </c>
      <c r="I28" s="36" t="s">
        <v>313</v>
      </c>
      <c r="J28" s="34" t="s">
        <v>314</v>
      </c>
      <c r="K28" s="34" t="s">
        <v>315</v>
      </c>
      <c r="L28" s="37"/>
      <c r="M28" s="37"/>
      <c r="N28" s="37"/>
      <c r="O28" s="37"/>
      <c r="P28" s="37"/>
      <c r="Q28" s="37"/>
      <c r="R28" s="31" t="n">
        <f aca="false">COUNT($M28:$Q28)</f>
        <v>0</v>
      </c>
      <c r="S28" s="32" t="str">
        <f aca="false">IF($L28="","",IF($R28&gt;=5,"",MAX($L28:$Q28)+CHOOSE($R28+1,SETTINGS!$C$9,SETTINGS!$C$10,SETTINGS!$C$11,SETTINGS!$C$12,SETTINGS!$C$13)))</f>
        <v/>
      </c>
      <c r="T28" s="34" t="str">
        <f aca="true">IF($H28="","(chưa có nội dung)",IF($L28="",IF($C28&lt;TODAY(),"⚠ TRỄ HỌC",IF($C28=TODAY(),"★ HỌC HÔM NAY","• Chưa tới")),IF($R28&gt;=5,"✔ MASTER",IF($S28&lt;TODAY(),"⚠ TRỄ ÔN",IF($S28=TODAY(),"◆ ÔN HÔM NAY","✔ Đúng tiến độ")))))</f>
        <v>★ HỌC HÔM NAY</v>
      </c>
      <c r="U28" s="38" t="n">
        <f aca="false">IF($H28="","",$R28/5)</f>
        <v>0</v>
      </c>
    </row>
    <row r="29" customFormat="false" ht="15" hidden="false" customHeight="false" outlineLevel="0" collapsed="false">
      <c r="A29" s="31" t="s">
        <v>316</v>
      </c>
      <c r="B29" s="31" t="n">
        <v>2</v>
      </c>
      <c r="C29" s="32" t="n">
        <f aca="false">SETTINGS!$C$3+$B29-1</f>
        <v>46301</v>
      </c>
      <c r="D29" s="33" t="s">
        <v>154</v>
      </c>
      <c r="E29" s="34" t="s">
        <v>279</v>
      </c>
      <c r="F29" s="34" t="s">
        <v>280</v>
      </c>
      <c r="G29" s="34" t="s">
        <v>317</v>
      </c>
      <c r="H29" s="35" t="s">
        <v>318</v>
      </c>
      <c r="I29" s="36" t="s">
        <v>319</v>
      </c>
      <c r="J29" s="34" t="s">
        <v>320</v>
      </c>
      <c r="K29" s="34" t="s">
        <v>321</v>
      </c>
      <c r="L29" s="37"/>
      <c r="M29" s="37"/>
      <c r="N29" s="37"/>
      <c r="O29" s="37"/>
      <c r="P29" s="37"/>
      <c r="Q29" s="37"/>
      <c r="R29" s="31" t="n">
        <f aca="false">COUNT($M29:$Q29)</f>
        <v>0</v>
      </c>
      <c r="S29" s="32" t="str">
        <f aca="false">IF($L29="","",IF($R29&gt;=5,"",MAX($L29:$Q29)+CHOOSE($R29+1,SETTINGS!$C$9,SETTINGS!$C$10,SETTINGS!$C$11,SETTINGS!$C$12,SETTINGS!$C$13)))</f>
        <v/>
      </c>
      <c r="T29" s="34" t="str">
        <f aca="true">IF($H29="","(chưa có nội dung)",IF($L29="",IF($C29&lt;TODAY(),"⚠ TRỄ HỌC",IF($C29=TODAY(),"★ HỌC HÔM NAY","• Chưa tới")),IF($R29&gt;=5,"✔ MASTER",IF($S29&lt;TODAY(),"⚠ TRỄ ÔN",IF($S29=TODAY(),"◆ ÔN HÔM NAY","✔ Đúng tiến độ")))))</f>
        <v>★ HỌC HÔM NAY</v>
      </c>
      <c r="U29" s="38" t="n">
        <f aca="false">IF($H29="","",$R29/5)</f>
        <v>0</v>
      </c>
    </row>
    <row r="30" customFormat="false" ht="15" hidden="false" customHeight="false" outlineLevel="0" collapsed="false">
      <c r="A30" s="31" t="s">
        <v>322</v>
      </c>
      <c r="B30" s="31" t="n">
        <v>2</v>
      </c>
      <c r="C30" s="32" t="n">
        <f aca="false">SETTINGS!$C$3+$B30-1</f>
        <v>46301</v>
      </c>
      <c r="D30" s="33" t="s">
        <v>154</v>
      </c>
      <c r="E30" s="34" t="s">
        <v>279</v>
      </c>
      <c r="F30" s="34" t="s">
        <v>163</v>
      </c>
      <c r="G30" s="34" t="s">
        <v>323</v>
      </c>
      <c r="H30" s="35" t="s">
        <v>324</v>
      </c>
      <c r="I30" s="36" t="s">
        <v>325</v>
      </c>
      <c r="J30" s="34" t="s">
        <v>326</v>
      </c>
      <c r="K30" s="34" t="s">
        <v>327</v>
      </c>
      <c r="L30" s="37"/>
      <c r="M30" s="37"/>
      <c r="N30" s="37"/>
      <c r="O30" s="37"/>
      <c r="P30" s="37"/>
      <c r="Q30" s="37"/>
      <c r="R30" s="31" t="n">
        <f aca="false">COUNT($M30:$Q30)</f>
        <v>0</v>
      </c>
      <c r="S30" s="32" t="str">
        <f aca="false">IF($L30="","",IF($R30&gt;=5,"",MAX($L30:$Q30)+CHOOSE($R30+1,SETTINGS!$C$9,SETTINGS!$C$10,SETTINGS!$C$11,SETTINGS!$C$12,SETTINGS!$C$13)))</f>
        <v/>
      </c>
      <c r="T30" s="34" t="str">
        <f aca="true">IF($H30="","(chưa có nội dung)",IF($L30="",IF($C30&lt;TODAY(),"⚠ TRỄ HỌC",IF($C30=TODAY(),"★ HỌC HÔM NAY","• Chưa tới")),IF($R30&gt;=5,"✔ MASTER",IF($S30&lt;TODAY(),"⚠ TRỄ ÔN",IF($S30=TODAY(),"◆ ÔN HÔM NAY","✔ Đúng tiến độ")))))</f>
        <v>★ HỌC HÔM NAY</v>
      </c>
      <c r="U30" s="38" t="n">
        <f aca="false">IF($H30="","",$R30/5)</f>
        <v>0</v>
      </c>
    </row>
    <row r="31" customFormat="false" ht="15" hidden="false" customHeight="false" outlineLevel="0" collapsed="false">
      <c r="A31" s="31" t="s">
        <v>328</v>
      </c>
      <c r="B31" s="31" t="n">
        <v>2</v>
      </c>
      <c r="C31" s="32" t="n">
        <f aca="false">SETTINGS!$C$3+$B31-1</f>
        <v>46301</v>
      </c>
      <c r="D31" s="33" t="s">
        <v>154</v>
      </c>
      <c r="E31" s="34" t="s">
        <v>279</v>
      </c>
      <c r="F31" s="34" t="s">
        <v>280</v>
      </c>
      <c r="G31" s="34" t="s">
        <v>329</v>
      </c>
      <c r="H31" s="35" t="s">
        <v>330</v>
      </c>
      <c r="I31" s="36" t="s">
        <v>331</v>
      </c>
      <c r="J31" s="34" t="s">
        <v>332</v>
      </c>
      <c r="K31" s="34" t="s">
        <v>333</v>
      </c>
      <c r="L31" s="37"/>
      <c r="M31" s="37"/>
      <c r="N31" s="37"/>
      <c r="O31" s="37"/>
      <c r="P31" s="37"/>
      <c r="Q31" s="37"/>
      <c r="R31" s="31" t="n">
        <f aca="false">COUNT($M31:$Q31)</f>
        <v>0</v>
      </c>
      <c r="S31" s="32" t="str">
        <f aca="false">IF($L31="","",IF($R31&gt;=5,"",MAX($L31:$Q31)+CHOOSE($R31+1,SETTINGS!$C$9,SETTINGS!$C$10,SETTINGS!$C$11,SETTINGS!$C$12,SETTINGS!$C$13)))</f>
        <v/>
      </c>
      <c r="T31" s="34" t="str">
        <f aca="true">IF($H31="","(chưa có nội dung)",IF($L31="",IF($C31&lt;TODAY(),"⚠ TRỄ HỌC",IF($C31=TODAY(),"★ HỌC HÔM NAY","• Chưa tới")),IF($R31&gt;=5,"✔ MASTER",IF($S31&lt;TODAY(),"⚠ TRỄ ÔN",IF($S31=TODAY(),"◆ ÔN HÔM NAY","✔ Đúng tiến độ")))))</f>
        <v>★ HỌC HÔM NAY</v>
      </c>
      <c r="U31" s="38" t="n">
        <f aca="false">IF($H31="","",$R31/5)</f>
        <v>0</v>
      </c>
    </row>
    <row r="32" customFormat="false" ht="15" hidden="false" customHeight="false" outlineLevel="0" collapsed="false">
      <c r="A32" s="31" t="s">
        <v>334</v>
      </c>
      <c r="B32" s="31" t="n">
        <v>2</v>
      </c>
      <c r="C32" s="32" t="n">
        <f aca="false">SETTINGS!$C$3+$B32-1</f>
        <v>46301</v>
      </c>
      <c r="D32" s="33" t="s">
        <v>154</v>
      </c>
      <c r="E32" s="34" t="s">
        <v>279</v>
      </c>
      <c r="F32" s="34" t="s">
        <v>280</v>
      </c>
      <c r="G32" s="34" t="s">
        <v>335</v>
      </c>
      <c r="H32" s="35" t="s">
        <v>336</v>
      </c>
      <c r="I32" s="36" t="s">
        <v>337</v>
      </c>
      <c r="J32" s="34" t="s">
        <v>338</v>
      </c>
      <c r="K32" s="34" t="s">
        <v>339</v>
      </c>
      <c r="L32" s="37"/>
      <c r="M32" s="37"/>
      <c r="N32" s="37"/>
      <c r="O32" s="37"/>
      <c r="P32" s="37"/>
      <c r="Q32" s="37"/>
      <c r="R32" s="31" t="n">
        <f aca="false">COUNT($M32:$Q32)</f>
        <v>0</v>
      </c>
      <c r="S32" s="32" t="str">
        <f aca="false">IF($L32="","",IF($R32&gt;=5,"",MAX($L32:$Q32)+CHOOSE($R32+1,SETTINGS!$C$9,SETTINGS!$C$10,SETTINGS!$C$11,SETTINGS!$C$12,SETTINGS!$C$13)))</f>
        <v/>
      </c>
      <c r="T32" s="34" t="str">
        <f aca="true">IF($H32="","(chưa có nội dung)",IF($L32="",IF($C32&lt;TODAY(),"⚠ TRỄ HỌC",IF($C32=TODAY(),"★ HỌC HÔM NAY","• Chưa tới")),IF($R32&gt;=5,"✔ MASTER",IF($S32&lt;TODAY(),"⚠ TRỄ ÔN",IF($S32=TODAY(),"◆ ÔN HÔM NAY","✔ Đúng tiến độ")))))</f>
        <v>★ HỌC HÔM NAY</v>
      </c>
      <c r="U32" s="38" t="n">
        <f aca="false">IF($H32="","",$R32/5)</f>
        <v>0</v>
      </c>
    </row>
    <row r="33" customFormat="false" ht="15" hidden="false" customHeight="false" outlineLevel="0" collapsed="false">
      <c r="A33" s="31" t="s">
        <v>340</v>
      </c>
      <c r="B33" s="31" t="n">
        <v>2</v>
      </c>
      <c r="C33" s="32" t="n">
        <f aca="false">SETTINGS!$C$3+$B33-1</f>
        <v>46301</v>
      </c>
      <c r="D33" s="33" t="s">
        <v>154</v>
      </c>
      <c r="E33" s="34" t="s">
        <v>279</v>
      </c>
      <c r="F33" s="34" t="s">
        <v>163</v>
      </c>
      <c r="G33" s="34" t="s">
        <v>341</v>
      </c>
      <c r="H33" s="35" t="s">
        <v>342</v>
      </c>
      <c r="I33" s="36" t="s">
        <v>343</v>
      </c>
      <c r="J33" s="34" t="s">
        <v>344</v>
      </c>
      <c r="K33" s="34" t="s">
        <v>345</v>
      </c>
      <c r="L33" s="37"/>
      <c r="M33" s="37"/>
      <c r="N33" s="37"/>
      <c r="O33" s="37"/>
      <c r="P33" s="37"/>
      <c r="Q33" s="37"/>
      <c r="R33" s="31" t="n">
        <f aca="false">COUNT($M33:$Q33)</f>
        <v>0</v>
      </c>
      <c r="S33" s="32" t="str">
        <f aca="false">IF($L33="","",IF($R33&gt;=5,"",MAX($L33:$Q33)+CHOOSE($R33+1,SETTINGS!$C$9,SETTINGS!$C$10,SETTINGS!$C$11,SETTINGS!$C$12,SETTINGS!$C$13)))</f>
        <v/>
      </c>
      <c r="T33" s="34" t="str">
        <f aca="true">IF($H33="","(chưa có nội dung)",IF($L33="",IF($C33&lt;TODAY(),"⚠ TRỄ HỌC",IF($C33=TODAY(),"★ HỌC HÔM NAY","• Chưa tới")),IF($R33&gt;=5,"✔ MASTER",IF($S33&lt;TODAY(),"⚠ TRỄ ÔN",IF($S33=TODAY(),"◆ ÔN HÔM NAY","✔ Đúng tiến độ")))))</f>
        <v>★ HỌC HÔM NAY</v>
      </c>
      <c r="U33" s="38" t="n">
        <f aca="false">IF($H33="","",$R33/5)</f>
        <v>0</v>
      </c>
    </row>
    <row r="34" customFormat="false" ht="15" hidden="false" customHeight="false" outlineLevel="0" collapsed="false">
      <c r="A34" s="31" t="s">
        <v>346</v>
      </c>
      <c r="B34" s="31" t="n">
        <v>2</v>
      </c>
      <c r="C34" s="32" t="n">
        <f aca="false">SETTINGS!$C$3+$B34-1</f>
        <v>46301</v>
      </c>
      <c r="D34" s="33" t="s">
        <v>154</v>
      </c>
      <c r="E34" s="34" t="s">
        <v>279</v>
      </c>
      <c r="F34" s="34" t="s">
        <v>280</v>
      </c>
      <c r="G34" s="34" t="s">
        <v>347</v>
      </c>
      <c r="H34" s="35" t="s">
        <v>348</v>
      </c>
      <c r="I34" s="36" t="s">
        <v>349</v>
      </c>
      <c r="J34" s="34" t="s">
        <v>350</v>
      </c>
      <c r="K34" s="34" t="s">
        <v>351</v>
      </c>
      <c r="L34" s="37"/>
      <c r="M34" s="37"/>
      <c r="N34" s="37"/>
      <c r="O34" s="37"/>
      <c r="P34" s="37"/>
      <c r="Q34" s="37"/>
      <c r="R34" s="31" t="n">
        <f aca="false">COUNT($M34:$Q34)</f>
        <v>0</v>
      </c>
      <c r="S34" s="32" t="str">
        <f aca="false">IF($L34="","",IF($R34&gt;=5,"",MAX($L34:$Q34)+CHOOSE($R34+1,SETTINGS!$C$9,SETTINGS!$C$10,SETTINGS!$C$11,SETTINGS!$C$12,SETTINGS!$C$13)))</f>
        <v/>
      </c>
      <c r="T34" s="34" t="str">
        <f aca="true">IF($H34="","(chưa có nội dung)",IF($L34="",IF($C34&lt;TODAY(),"⚠ TRỄ HỌC",IF($C34=TODAY(),"★ HỌC HÔM NAY","• Chưa tới")),IF($R34&gt;=5,"✔ MASTER",IF($S34&lt;TODAY(),"⚠ TRỄ ÔN",IF($S34=TODAY(),"◆ ÔN HÔM NAY","✔ Đúng tiến độ")))))</f>
        <v>★ HỌC HÔM NAY</v>
      </c>
      <c r="U34" s="38" t="n">
        <f aca="false">IF($H34="","",$R34/5)</f>
        <v>0</v>
      </c>
    </row>
    <row r="35" customFormat="false" ht="15" hidden="false" customHeight="false" outlineLevel="0" collapsed="false">
      <c r="A35" s="31" t="s">
        <v>352</v>
      </c>
      <c r="B35" s="31" t="n">
        <v>2</v>
      </c>
      <c r="C35" s="32" t="n">
        <f aca="false">SETTINGS!$C$3+$B35-1</f>
        <v>46301</v>
      </c>
      <c r="D35" s="33" t="s">
        <v>154</v>
      </c>
      <c r="E35" s="34" t="s">
        <v>279</v>
      </c>
      <c r="F35" s="34" t="s">
        <v>280</v>
      </c>
      <c r="G35" s="34" t="s">
        <v>353</v>
      </c>
      <c r="H35" s="35" t="s">
        <v>354</v>
      </c>
      <c r="I35" s="36" t="s">
        <v>355</v>
      </c>
      <c r="J35" s="34" t="s">
        <v>356</v>
      </c>
      <c r="K35" s="34" t="s">
        <v>357</v>
      </c>
      <c r="L35" s="37"/>
      <c r="M35" s="37"/>
      <c r="N35" s="37"/>
      <c r="O35" s="37"/>
      <c r="P35" s="37"/>
      <c r="Q35" s="37"/>
      <c r="R35" s="31" t="n">
        <f aca="false">COUNT($M35:$Q35)</f>
        <v>0</v>
      </c>
      <c r="S35" s="32" t="str">
        <f aca="false">IF($L35="","",IF($R35&gt;=5,"",MAX($L35:$Q35)+CHOOSE($R35+1,SETTINGS!$C$9,SETTINGS!$C$10,SETTINGS!$C$11,SETTINGS!$C$12,SETTINGS!$C$13)))</f>
        <v/>
      </c>
      <c r="T35" s="34" t="str">
        <f aca="true">IF($H35="","(chưa có nội dung)",IF($L35="",IF($C35&lt;TODAY(),"⚠ TRỄ HỌC",IF($C35=TODAY(),"★ HỌC HÔM NAY","• Chưa tới")),IF($R35&gt;=5,"✔ MASTER",IF($S35&lt;TODAY(),"⚠ TRỄ ÔN",IF($S35=TODAY(),"◆ ÔN HÔM NAY","✔ Đúng tiến độ")))))</f>
        <v>★ HỌC HÔM NAY</v>
      </c>
      <c r="U35" s="38" t="n">
        <f aca="false">IF($H35="","",$R35/5)</f>
        <v>0</v>
      </c>
    </row>
    <row r="36" customFormat="false" ht="15" hidden="false" customHeight="false" outlineLevel="0" collapsed="false">
      <c r="A36" s="31" t="s">
        <v>358</v>
      </c>
      <c r="B36" s="31" t="n">
        <v>2</v>
      </c>
      <c r="C36" s="32" t="n">
        <f aca="false">SETTINGS!$C$3+$B36-1</f>
        <v>46301</v>
      </c>
      <c r="D36" s="33" t="s">
        <v>154</v>
      </c>
      <c r="E36" s="34" t="s">
        <v>279</v>
      </c>
      <c r="F36" s="34" t="s">
        <v>280</v>
      </c>
      <c r="G36" s="34" t="s">
        <v>359</v>
      </c>
      <c r="H36" s="35" t="s">
        <v>360</v>
      </c>
      <c r="I36" s="36" t="s">
        <v>361</v>
      </c>
      <c r="J36" s="34" t="s">
        <v>362</v>
      </c>
      <c r="K36" s="34" t="s">
        <v>363</v>
      </c>
      <c r="L36" s="37"/>
      <c r="M36" s="37"/>
      <c r="N36" s="37"/>
      <c r="O36" s="37"/>
      <c r="P36" s="37"/>
      <c r="Q36" s="37"/>
      <c r="R36" s="31" t="n">
        <f aca="false">COUNT($M36:$Q36)</f>
        <v>0</v>
      </c>
      <c r="S36" s="32" t="str">
        <f aca="false">IF($L36="","",IF($R36&gt;=5,"",MAX($L36:$Q36)+CHOOSE($R36+1,SETTINGS!$C$9,SETTINGS!$C$10,SETTINGS!$C$11,SETTINGS!$C$12,SETTINGS!$C$13)))</f>
        <v/>
      </c>
      <c r="T36" s="34" t="str">
        <f aca="true">IF($H36="","(chưa có nội dung)",IF($L36="",IF($C36&lt;TODAY(),"⚠ TRỄ HỌC",IF($C36=TODAY(),"★ HỌC HÔM NAY","• Chưa tới")),IF($R36&gt;=5,"✔ MASTER",IF($S36&lt;TODAY(),"⚠ TRỄ ÔN",IF($S36=TODAY(),"◆ ÔN HÔM NAY","✔ Đúng tiến độ")))))</f>
        <v>★ HỌC HÔM NAY</v>
      </c>
      <c r="U36" s="38" t="n">
        <f aca="false">IF($H36="","",$R36/5)</f>
        <v>0</v>
      </c>
    </row>
    <row r="37" customFormat="false" ht="15" hidden="false" customHeight="false" outlineLevel="0" collapsed="false">
      <c r="A37" s="31" t="s">
        <v>364</v>
      </c>
      <c r="B37" s="31" t="n">
        <v>2</v>
      </c>
      <c r="C37" s="32" t="n">
        <f aca="false">SETTINGS!$C$3+$B37-1</f>
        <v>46301</v>
      </c>
      <c r="D37" s="33" t="s">
        <v>154</v>
      </c>
      <c r="E37" s="34" t="s">
        <v>279</v>
      </c>
      <c r="F37" s="34" t="s">
        <v>280</v>
      </c>
      <c r="G37" s="34" t="s">
        <v>365</v>
      </c>
      <c r="H37" s="35" t="s">
        <v>366</v>
      </c>
      <c r="I37" s="36" t="s">
        <v>367</v>
      </c>
      <c r="J37" s="34" t="s">
        <v>368</v>
      </c>
      <c r="K37" s="34" t="s">
        <v>365</v>
      </c>
      <c r="L37" s="37"/>
      <c r="M37" s="37"/>
      <c r="N37" s="37"/>
      <c r="O37" s="37"/>
      <c r="P37" s="37"/>
      <c r="Q37" s="37"/>
      <c r="R37" s="31" t="n">
        <f aca="false">COUNT($M37:$Q37)</f>
        <v>0</v>
      </c>
      <c r="S37" s="32" t="str">
        <f aca="false">IF($L37="","",IF($R37&gt;=5,"",MAX($L37:$Q37)+CHOOSE($R37+1,SETTINGS!$C$9,SETTINGS!$C$10,SETTINGS!$C$11,SETTINGS!$C$12,SETTINGS!$C$13)))</f>
        <v/>
      </c>
      <c r="T37" s="34" t="str">
        <f aca="true">IF($H37="","(chưa có nội dung)",IF($L37="",IF($C37&lt;TODAY(),"⚠ TRỄ HỌC",IF($C37=TODAY(),"★ HỌC HÔM NAY","• Chưa tới")),IF($R37&gt;=5,"✔ MASTER",IF($S37&lt;TODAY(),"⚠ TRỄ ÔN",IF($S37=TODAY(),"◆ ÔN HÔM NAY","✔ Đúng tiến độ")))))</f>
        <v>★ HỌC HÔM NAY</v>
      </c>
      <c r="U37" s="38" t="n">
        <f aca="false">IF($H37="","",$R37/5)</f>
        <v>0</v>
      </c>
    </row>
    <row r="38" customFormat="false" ht="15" hidden="false" customHeight="false" outlineLevel="0" collapsed="false">
      <c r="A38" s="31" t="s">
        <v>369</v>
      </c>
      <c r="B38" s="31" t="n">
        <v>2</v>
      </c>
      <c r="C38" s="32" t="n">
        <f aca="false">SETTINGS!$C$3+$B38-1</f>
        <v>46301</v>
      </c>
      <c r="D38" s="33" t="s">
        <v>154</v>
      </c>
      <c r="E38" s="34" t="s">
        <v>279</v>
      </c>
      <c r="F38" s="34" t="s">
        <v>163</v>
      </c>
      <c r="G38" s="34" t="s">
        <v>370</v>
      </c>
      <c r="H38" s="35" t="s">
        <v>371</v>
      </c>
      <c r="I38" s="36" t="s">
        <v>372</v>
      </c>
      <c r="J38" s="34" t="s">
        <v>373</v>
      </c>
      <c r="K38" s="34" t="s">
        <v>374</v>
      </c>
      <c r="L38" s="37"/>
      <c r="M38" s="37"/>
      <c r="N38" s="37"/>
      <c r="O38" s="37"/>
      <c r="P38" s="37"/>
      <c r="Q38" s="37"/>
      <c r="R38" s="31" t="n">
        <f aca="false">COUNT($M38:$Q38)</f>
        <v>0</v>
      </c>
      <c r="S38" s="32" t="str">
        <f aca="false">IF($L38="","",IF($R38&gt;=5,"",MAX($L38:$Q38)+CHOOSE($R38+1,SETTINGS!$C$9,SETTINGS!$C$10,SETTINGS!$C$11,SETTINGS!$C$12,SETTINGS!$C$13)))</f>
        <v/>
      </c>
      <c r="T38" s="34" t="str">
        <f aca="true">IF($H38="","(chưa có nội dung)",IF($L38="",IF($C38&lt;TODAY(),"⚠ TRỄ HỌC",IF($C38=TODAY(),"★ HỌC HÔM NAY","• Chưa tới")),IF($R38&gt;=5,"✔ MASTER",IF($S38&lt;TODAY(),"⚠ TRỄ ÔN",IF($S38=TODAY(),"◆ ÔN HÔM NAY","✔ Đúng tiến độ")))))</f>
        <v>★ HỌC HÔM NAY</v>
      </c>
      <c r="U38" s="38" t="n">
        <f aca="false">IF($H38="","",$R38/5)</f>
        <v>0</v>
      </c>
    </row>
    <row r="39" customFormat="false" ht="15" hidden="false" customHeight="false" outlineLevel="0" collapsed="false">
      <c r="A39" s="31" t="s">
        <v>375</v>
      </c>
      <c r="B39" s="31" t="n">
        <v>2</v>
      </c>
      <c r="C39" s="32" t="n">
        <f aca="false">SETTINGS!$C$3+$B39-1</f>
        <v>46301</v>
      </c>
      <c r="D39" s="33" t="s">
        <v>154</v>
      </c>
      <c r="E39" s="34" t="s">
        <v>279</v>
      </c>
      <c r="F39" s="34" t="s">
        <v>280</v>
      </c>
      <c r="G39" s="34" t="s">
        <v>376</v>
      </c>
      <c r="H39" s="35" t="s">
        <v>377</v>
      </c>
      <c r="I39" s="36" t="s">
        <v>378</v>
      </c>
      <c r="J39" s="34" t="s">
        <v>379</v>
      </c>
      <c r="K39" s="34" t="s">
        <v>380</v>
      </c>
      <c r="L39" s="37"/>
      <c r="M39" s="37"/>
      <c r="N39" s="37"/>
      <c r="O39" s="37"/>
      <c r="P39" s="37"/>
      <c r="Q39" s="37"/>
      <c r="R39" s="31" t="n">
        <f aca="false">COUNT($M39:$Q39)</f>
        <v>0</v>
      </c>
      <c r="S39" s="32" t="str">
        <f aca="false">IF($L39="","",IF($R39&gt;=5,"",MAX($L39:$Q39)+CHOOSE($R39+1,SETTINGS!$C$9,SETTINGS!$C$10,SETTINGS!$C$11,SETTINGS!$C$12,SETTINGS!$C$13)))</f>
        <v/>
      </c>
      <c r="T39" s="34" t="str">
        <f aca="true">IF($H39="","(chưa có nội dung)",IF($L39="",IF($C39&lt;TODAY(),"⚠ TRỄ HỌC",IF($C39=TODAY(),"★ HỌC HÔM NAY","• Chưa tới")),IF($R39&gt;=5,"✔ MASTER",IF($S39&lt;TODAY(),"⚠ TRỄ ÔN",IF($S39=TODAY(),"◆ ÔN HÔM NAY","✔ Đúng tiến độ")))))</f>
        <v>★ HỌC HÔM NAY</v>
      </c>
      <c r="U39" s="38" t="n">
        <f aca="false">IF($H39="","",$R39/5)</f>
        <v>0</v>
      </c>
    </row>
    <row r="40" customFormat="false" ht="15" hidden="false" customHeight="false" outlineLevel="0" collapsed="false">
      <c r="A40" s="31" t="s">
        <v>381</v>
      </c>
      <c r="B40" s="31" t="n">
        <v>2</v>
      </c>
      <c r="C40" s="32" t="n">
        <f aca="false">SETTINGS!$C$3+$B40-1</f>
        <v>46301</v>
      </c>
      <c r="D40" s="33" t="s">
        <v>154</v>
      </c>
      <c r="E40" s="34" t="s">
        <v>279</v>
      </c>
      <c r="F40" s="34" t="s">
        <v>163</v>
      </c>
      <c r="G40" s="34" t="s">
        <v>382</v>
      </c>
      <c r="H40" s="35" t="s">
        <v>383</v>
      </c>
      <c r="I40" s="36" t="s">
        <v>384</v>
      </c>
      <c r="J40" s="34" t="s">
        <v>385</v>
      </c>
      <c r="K40" s="34" t="s">
        <v>386</v>
      </c>
      <c r="L40" s="37"/>
      <c r="M40" s="37"/>
      <c r="N40" s="37"/>
      <c r="O40" s="37"/>
      <c r="P40" s="37"/>
      <c r="Q40" s="37"/>
      <c r="R40" s="31" t="n">
        <f aca="false">COUNT($M40:$Q40)</f>
        <v>0</v>
      </c>
      <c r="S40" s="32" t="str">
        <f aca="false">IF($L40="","",IF($R40&gt;=5,"",MAX($L40:$Q40)+CHOOSE($R40+1,SETTINGS!$C$9,SETTINGS!$C$10,SETTINGS!$C$11,SETTINGS!$C$12,SETTINGS!$C$13)))</f>
        <v/>
      </c>
      <c r="T40" s="34" t="str">
        <f aca="true">IF($H40="","(chưa có nội dung)",IF($L40="",IF($C40&lt;TODAY(),"⚠ TRỄ HỌC",IF($C40=TODAY(),"★ HỌC HÔM NAY","• Chưa tới")),IF($R40&gt;=5,"✔ MASTER",IF($S40&lt;TODAY(),"⚠ TRỄ ÔN",IF($S40=TODAY(),"◆ ÔN HÔM NAY","✔ Đúng tiến độ")))))</f>
        <v>★ HỌC HÔM NAY</v>
      </c>
      <c r="U40" s="38" t="n">
        <f aca="false">IF($H40="","",$R40/5)</f>
        <v>0</v>
      </c>
    </row>
    <row r="41" customFormat="false" ht="15" hidden="false" customHeight="false" outlineLevel="0" collapsed="false">
      <c r="A41" s="31" t="s">
        <v>387</v>
      </c>
      <c r="B41" s="31" t="n">
        <v>2</v>
      </c>
      <c r="C41" s="32" t="n">
        <f aca="false">SETTINGS!$C$3+$B41-1</f>
        <v>46301</v>
      </c>
      <c r="D41" s="33" t="s">
        <v>154</v>
      </c>
      <c r="E41" s="34" t="s">
        <v>279</v>
      </c>
      <c r="F41" s="34" t="s">
        <v>280</v>
      </c>
      <c r="G41" s="34" t="s">
        <v>388</v>
      </c>
      <c r="H41" s="35" t="s">
        <v>389</v>
      </c>
      <c r="I41" s="36" t="s">
        <v>390</v>
      </c>
      <c r="J41" s="34" t="s">
        <v>391</v>
      </c>
      <c r="K41" s="34" t="s">
        <v>392</v>
      </c>
      <c r="L41" s="37"/>
      <c r="M41" s="37"/>
      <c r="N41" s="37"/>
      <c r="O41" s="37"/>
      <c r="P41" s="37"/>
      <c r="Q41" s="37"/>
      <c r="R41" s="31" t="n">
        <f aca="false">COUNT($M41:$Q41)</f>
        <v>0</v>
      </c>
      <c r="S41" s="32" t="str">
        <f aca="false">IF($L41="","",IF($R41&gt;=5,"",MAX($L41:$Q41)+CHOOSE($R41+1,SETTINGS!$C$9,SETTINGS!$C$10,SETTINGS!$C$11,SETTINGS!$C$12,SETTINGS!$C$13)))</f>
        <v/>
      </c>
      <c r="T41" s="34" t="str">
        <f aca="true">IF($H41="","(chưa có nội dung)",IF($L41="",IF($C41&lt;TODAY(),"⚠ TRỄ HỌC",IF($C41=TODAY(),"★ HỌC HÔM NAY","• Chưa tới")),IF($R41&gt;=5,"✔ MASTER",IF($S41&lt;TODAY(),"⚠ TRỄ ÔN",IF($S41=TODAY(),"◆ ÔN HÔM NAY","✔ Đúng tiến độ")))))</f>
        <v>★ HỌC HÔM NAY</v>
      </c>
      <c r="U41" s="38" t="n">
        <f aca="false">IF($H41="","",$R41/5)</f>
        <v>0</v>
      </c>
    </row>
    <row r="42" customFormat="false" ht="15" hidden="false" customHeight="false" outlineLevel="0" collapsed="false">
      <c r="A42" s="31" t="s">
        <v>393</v>
      </c>
      <c r="B42" s="31" t="n">
        <v>2</v>
      </c>
      <c r="C42" s="32" t="n">
        <f aca="false">SETTINGS!$C$3+$B42-1</f>
        <v>46301</v>
      </c>
      <c r="D42" s="33" t="s">
        <v>154</v>
      </c>
      <c r="E42" s="34" t="s">
        <v>279</v>
      </c>
      <c r="F42" s="34" t="s">
        <v>156</v>
      </c>
      <c r="G42" s="34" t="s">
        <v>394</v>
      </c>
      <c r="H42" s="35" t="s">
        <v>395</v>
      </c>
      <c r="I42" s="36" t="s">
        <v>396</v>
      </c>
      <c r="J42" s="34" t="s">
        <v>397</v>
      </c>
      <c r="K42" s="34" t="s">
        <v>398</v>
      </c>
      <c r="L42" s="37"/>
      <c r="M42" s="37"/>
      <c r="N42" s="37"/>
      <c r="O42" s="37"/>
      <c r="P42" s="37"/>
      <c r="Q42" s="37"/>
      <c r="R42" s="31" t="n">
        <f aca="false">COUNT($M42:$Q42)</f>
        <v>0</v>
      </c>
      <c r="S42" s="32" t="str">
        <f aca="false">IF($L42="","",IF($R42&gt;=5,"",MAX($L42:$Q42)+CHOOSE($R42+1,SETTINGS!$C$9,SETTINGS!$C$10,SETTINGS!$C$11,SETTINGS!$C$12,SETTINGS!$C$13)))</f>
        <v/>
      </c>
      <c r="T42" s="34" t="str">
        <f aca="true">IF($H42="","(chưa có nội dung)",IF($L42="",IF($C42&lt;TODAY(),"⚠ TRỄ HỌC",IF($C42=TODAY(),"★ HỌC HÔM NAY","• Chưa tới")),IF($R42&gt;=5,"✔ MASTER",IF($S42&lt;TODAY(),"⚠ TRỄ ÔN",IF($S42=TODAY(),"◆ ÔN HÔM NAY","✔ Đúng tiến độ")))))</f>
        <v>★ HỌC HÔM NAY</v>
      </c>
      <c r="U42" s="38" t="n">
        <f aca="false">IF($H42="","",$R42/5)</f>
        <v>0</v>
      </c>
    </row>
    <row r="43" customFormat="false" ht="15" hidden="false" customHeight="false" outlineLevel="0" collapsed="false">
      <c r="A43" s="31" t="s">
        <v>399</v>
      </c>
      <c r="B43" s="31" t="n">
        <v>3</v>
      </c>
      <c r="C43" s="32" t="n">
        <f aca="false">SETTINGS!$C$3+$B43-1</f>
        <v>46302</v>
      </c>
      <c r="D43" s="33" t="s">
        <v>154</v>
      </c>
      <c r="E43" s="34" t="s">
        <v>400</v>
      </c>
      <c r="F43" s="34" t="s">
        <v>163</v>
      </c>
      <c r="G43" s="34" t="s">
        <v>401</v>
      </c>
      <c r="H43" s="35" t="s">
        <v>402</v>
      </c>
      <c r="I43" s="36" t="s">
        <v>403</v>
      </c>
      <c r="J43" s="34" t="s">
        <v>404</v>
      </c>
      <c r="K43" s="34" t="s">
        <v>405</v>
      </c>
      <c r="L43" s="37"/>
      <c r="M43" s="37"/>
      <c r="N43" s="37"/>
      <c r="O43" s="37"/>
      <c r="P43" s="37"/>
      <c r="Q43" s="37"/>
      <c r="R43" s="31" t="n">
        <f aca="false">COUNT($M43:$Q43)</f>
        <v>0</v>
      </c>
      <c r="S43" s="32" t="str">
        <f aca="false">IF($L43="","",IF($R43&gt;=5,"",MAX($L43:$Q43)+CHOOSE($R43+1,SETTINGS!$C$9,SETTINGS!$C$10,SETTINGS!$C$11,SETTINGS!$C$12,SETTINGS!$C$13)))</f>
        <v/>
      </c>
      <c r="T43" s="34" t="str">
        <f aca="true">IF($H43="","(chưa có nội dung)",IF($L43="",IF($C43&lt;TODAY(),"⚠ TRỄ HỌC",IF($C43=TODAY(),"★ HỌC HÔM NAY","• Chưa tới")),IF($R43&gt;=5,"✔ MASTER",IF($S43&lt;TODAY(),"⚠ TRỄ ÔN",IF($S43=TODAY(),"◆ ÔN HÔM NAY","✔ Đúng tiến độ")))))</f>
        <v>• Chưa tới</v>
      </c>
      <c r="U43" s="38" t="n">
        <f aca="false">IF($H43="","",$R43/5)</f>
        <v>0</v>
      </c>
    </row>
    <row r="44" customFormat="false" ht="15" hidden="false" customHeight="false" outlineLevel="0" collapsed="false">
      <c r="A44" s="31" t="s">
        <v>406</v>
      </c>
      <c r="B44" s="31" t="n">
        <v>3</v>
      </c>
      <c r="C44" s="32" t="n">
        <f aca="false">SETTINGS!$C$3+$B44-1</f>
        <v>46302</v>
      </c>
      <c r="D44" s="33" t="s">
        <v>154</v>
      </c>
      <c r="E44" s="34" t="s">
        <v>400</v>
      </c>
      <c r="F44" s="34" t="s">
        <v>280</v>
      </c>
      <c r="G44" s="34" t="s">
        <v>407</v>
      </c>
      <c r="H44" s="35" t="s">
        <v>408</v>
      </c>
      <c r="I44" s="36" t="s">
        <v>409</v>
      </c>
      <c r="J44" s="34" t="s">
        <v>410</v>
      </c>
      <c r="K44" s="34" t="s">
        <v>411</v>
      </c>
      <c r="L44" s="37"/>
      <c r="M44" s="37"/>
      <c r="N44" s="37"/>
      <c r="O44" s="37"/>
      <c r="P44" s="37"/>
      <c r="Q44" s="37"/>
      <c r="R44" s="31" t="n">
        <f aca="false">COUNT($M44:$Q44)</f>
        <v>0</v>
      </c>
      <c r="S44" s="32" t="str">
        <f aca="false">IF($L44="","",IF($R44&gt;=5,"",MAX($L44:$Q44)+CHOOSE($R44+1,SETTINGS!$C$9,SETTINGS!$C$10,SETTINGS!$C$11,SETTINGS!$C$12,SETTINGS!$C$13)))</f>
        <v/>
      </c>
      <c r="T44" s="34" t="str">
        <f aca="true">IF($H44="","(chưa có nội dung)",IF($L44="",IF($C44&lt;TODAY(),"⚠ TRỄ HỌC",IF($C44=TODAY(),"★ HỌC HÔM NAY","• Chưa tới")),IF($R44&gt;=5,"✔ MASTER",IF($S44&lt;TODAY(),"⚠ TRỄ ÔN",IF($S44=TODAY(),"◆ ÔN HÔM NAY","✔ Đúng tiến độ")))))</f>
        <v>• Chưa tới</v>
      </c>
      <c r="U44" s="38" t="n">
        <f aca="false">IF($H44="","",$R44/5)</f>
        <v>0</v>
      </c>
    </row>
    <row r="45" customFormat="false" ht="15" hidden="false" customHeight="false" outlineLevel="0" collapsed="false">
      <c r="A45" s="31" t="s">
        <v>412</v>
      </c>
      <c r="B45" s="31" t="n">
        <v>3</v>
      </c>
      <c r="C45" s="32" t="n">
        <f aca="false">SETTINGS!$C$3+$B45-1</f>
        <v>46302</v>
      </c>
      <c r="D45" s="33" t="s">
        <v>154</v>
      </c>
      <c r="E45" s="34" t="s">
        <v>400</v>
      </c>
      <c r="F45" s="34" t="s">
        <v>280</v>
      </c>
      <c r="G45" s="34" t="s">
        <v>413</v>
      </c>
      <c r="H45" s="35" t="s">
        <v>414</v>
      </c>
      <c r="I45" s="36" t="s">
        <v>415</v>
      </c>
      <c r="J45" s="34" t="s">
        <v>416</v>
      </c>
      <c r="K45" s="34" t="s">
        <v>417</v>
      </c>
      <c r="L45" s="37"/>
      <c r="M45" s="37"/>
      <c r="N45" s="37"/>
      <c r="O45" s="37"/>
      <c r="P45" s="37"/>
      <c r="Q45" s="37"/>
      <c r="R45" s="31" t="n">
        <f aca="false">COUNT($M45:$Q45)</f>
        <v>0</v>
      </c>
      <c r="S45" s="32" t="str">
        <f aca="false">IF($L45="","",IF($R45&gt;=5,"",MAX($L45:$Q45)+CHOOSE($R45+1,SETTINGS!$C$9,SETTINGS!$C$10,SETTINGS!$C$11,SETTINGS!$C$12,SETTINGS!$C$13)))</f>
        <v/>
      </c>
      <c r="T45" s="34" t="str">
        <f aca="true">IF($H45="","(chưa có nội dung)",IF($L45="",IF($C45&lt;TODAY(),"⚠ TRỄ HỌC",IF($C45=TODAY(),"★ HỌC HÔM NAY","• Chưa tới")),IF($R45&gt;=5,"✔ MASTER",IF($S45&lt;TODAY(),"⚠ TRỄ ÔN",IF($S45=TODAY(),"◆ ÔN HÔM NAY","✔ Đúng tiến độ")))))</f>
        <v>• Chưa tới</v>
      </c>
      <c r="U45" s="38" t="n">
        <f aca="false">IF($H45="","",$R45/5)</f>
        <v>0</v>
      </c>
    </row>
    <row r="46" customFormat="false" ht="15" hidden="false" customHeight="false" outlineLevel="0" collapsed="false">
      <c r="A46" s="31" t="s">
        <v>418</v>
      </c>
      <c r="B46" s="31" t="n">
        <v>3</v>
      </c>
      <c r="C46" s="32" t="n">
        <f aca="false">SETTINGS!$C$3+$B46-1</f>
        <v>46302</v>
      </c>
      <c r="D46" s="33" t="s">
        <v>154</v>
      </c>
      <c r="E46" s="34" t="s">
        <v>400</v>
      </c>
      <c r="F46" s="34" t="s">
        <v>163</v>
      </c>
      <c r="G46" s="34" t="s">
        <v>419</v>
      </c>
      <c r="H46" s="35" t="s">
        <v>420</v>
      </c>
      <c r="I46" s="36" t="s">
        <v>421</v>
      </c>
      <c r="J46" s="34" t="s">
        <v>422</v>
      </c>
      <c r="K46" s="34" t="s">
        <v>423</v>
      </c>
      <c r="L46" s="37"/>
      <c r="M46" s="37"/>
      <c r="N46" s="37"/>
      <c r="O46" s="37"/>
      <c r="P46" s="37"/>
      <c r="Q46" s="37"/>
      <c r="R46" s="31" t="n">
        <f aca="false">COUNT($M46:$Q46)</f>
        <v>0</v>
      </c>
      <c r="S46" s="32" t="str">
        <f aca="false">IF($L46="","",IF($R46&gt;=5,"",MAX($L46:$Q46)+CHOOSE($R46+1,SETTINGS!$C$9,SETTINGS!$C$10,SETTINGS!$C$11,SETTINGS!$C$12,SETTINGS!$C$13)))</f>
        <v/>
      </c>
      <c r="T46" s="34" t="str">
        <f aca="true">IF($H46="","(chưa có nội dung)",IF($L46="",IF($C46&lt;TODAY(),"⚠ TRỄ HỌC",IF($C46=TODAY(),"★ HỌC HÔM NAY","• Chưa tới")),IF($R46&gt;=5,"✔ MASTER",IF($S46&lt;TODAY(),"⚠ TRỄ ÔN",IF($S46=TODAY(),"◆ ÔN HÔM NAY","✔ Đúng tiến độ")))))</f>
        <v>• Chưa tới</v>
      </c>
      <c r="U46" s="38" t="n">
        <f aca="false">IF($H46="","",$R46/5)</f>
        <v>0</v>
      </c>
    </row>
    <row r="47" customFormat="false" ht="15" hidden="false" customHeight="false" outlineLevel="0" collapsed="false">
      <c r="A47" s="31" t="s">
        <v>424</v>
      </c>
      <c r="B47" s="31" t="n">
        <v>3</v>
      </c>
      <c r="C47" s="32" t="n">
        <f aca="false">SETTINGS!$C$3+$B47-1</f>
        <v>46302</v>
      </c>
      <c r="D47" s="33" t="s">
        <v>154</v>
      </c>
      <c r="E47" s="34" t="s">
        <v>400</v>
      </c>
      <c r="F47" s="34" t="s">
        <v>280</v>
      </c>
      <c r="G47" s="34" t="s">
        <v>425</v>
      </c>
      <c r="H47" s="35" t="s">
        <v>426</v>
      </c>
      <c r="I47" s="36" t="s">
        <v>427</v>
      </c>
      <c r="J47" s="34" t="s">
        <v>428</v>
      </c>
      <c r="K47" s="34" t="s">
        <v>429</v>
      </c>
      <c r="L47" s="37"/>
      <c r="M47" s="37"/>
      <c r="N47" s="37"/>
      <c r="O47" s="37"/>
      <c r="P47" s="37"/>
      <c r="Q47" s="37"/>
      <c r="R47" s="31" t="n">
        <f aca="false">COUNT($M47:$Q47)</f>
        <v>0</v>
      </c>
      <c r="S47" s="32" t="str">
        <f aca="false">IF($L47="","",IF($R47&gt;=5,"",MAX($L47:$Q47)+CHOOSE($R47+1,SETTINGS!$C$9,SETTINGS!$C$10,SETTINGS!$C$11,SETTINGS!$C$12,SETTINGS!$C$13)))</f>
        <v/>
      </c>
      <c r="T47" s="34" t="str">
        <f aca="true">IF($H47="","(chưa có nội dung)",IF($L47="",IF($C47&lt;TODAY(),"⚠ TRỄ HỌC",IF($C47=TODAY(),"★ HỌC HÔM NAY","• Chưa tới")),IF($R47&gt;=5,"✔ MASTER",IF($S47&lt;TODAY(),"⚠ TRỄ ÔN",IF($S47=TODAY(),"◆ ÔN HÔM NAY","✔ Đúng tiến độ")))))</f>
        <v>• Chưa tới</v>
      </c>
      <c r="U47" s="38" t="n">
        <f aca="false">IF($H47="","",$R47/5)</f>
        <v>0</v>
      </c>
    </row>
    <row r="48" customFormat="false" ht="15" hidden="false" customHeight="false" outlineLevel="0" collapsed="false">
      <c r="A48" s="31" t="s">
        <v>430</v>
      </c>
      <c r="B48" s="31" t="n">
        <v>3</v>
      </c>
      <c r="C48" s="32" t="n">
        <f aca="false">SETTINGS!$C$3+$B48-1</f>
        <v>46302</v>
      </c>
      <c r="D48" s="33" t="s">
        <v>154</v>
      </c>
      <c r="E48" s="34" t="s">
        <v>400</v>
      </c>
      <c r="F48" s="34" t="s">
        <v>183</v>
      </c>
      <c r="G48" s="34" t="s">
        <v>431</v>
      </c>
      <c r="H48" s="35" t="s">
        <v>432</v>
      </c>
      <c r="I48" s="36" t="s">
        <v>433</v>
      </c>
      <c r="J48" s="34" t="s">
        <v>434</v>
      </c>
      <c r="K48" s="34" t="s">
        <v>431</v>
      </c>
      <c r="L48" s="37"/>
      <c r="M48" s="37"/>
      <c r="N48" s="37"/>
      <c r="O48" s="37"/>
      <c r="P48" s="37"/>
      <c r="Q48" s="37"/>
      <c r="R48" s="31" t="n">
        <f aca="false">COUNT($M48:$Q48)</f>
        <v>0</v>
      </c>
      <c r="S48" s="32" t="str">
        <f aca="false">IF($L48="","",IF($R48&gt;=5,"",MAX($L48:$Q48)+CHOOSE($R48+1,SETTINGS!$C$9,SETTINGS!$C$10,SETTINGS!$C$11,SETTINGS!$C$12,SETTINGS!$C$13)))</f>
        <v/>
      </c>
      <c r="T48" s="34" t="str">
        <f aca="true">IF($H48="","(chưa có nội dung)",IF($L48="",IF($C48&lt;TODAY(),"⚠ TRỄ HỌC",IF($C48=TODAY(),"★ HỌC HÔM NAY","• Chưa tới")),IF($R48&gt;=5,"✔ MASTER",IF($S48&lt;TODAY(),"⚠ TRỄ ÔN",IF($S48=TODAY(),"◆ ÔN HÔM NAY","✔ Đúng tiến độ")))))</f>
        <v>• Chưa tới</v>
      </c>
      <c r="U48" s="38" t="n">
        <f aca="false">IF($H48="","",$R48/5)</f>
        <v>0</v>
      </c>
    </row>
    <row r="49" customFormat="false" ht="15" hidden="false" customHeight="false" outlineLevel="0" collapsed="false">
      <c r="A49" s="31" t="s">
        <v>435</v>
      </c>
      <c r="B49" s="31" t="n">
        <v>3</v>
      </c>
      <c r="C49" s="32" t="n">
        <f aca="false">SETTINGS!$C$3+$B49-1</f>
        <v>46302</v>
      </c>
      <c r="D49" s="33" t="s">
        <v>154</v>
      </c>
      <c r="E49" s="34" t="s">
        <v>400</v>
      </c>
      <c r="F49" s="34" t="s">
        <v>163</v>
      </c>
      <c r="G49" s="34" t="s">
        <v>436</v>
      </c>
      <c r="H49" s="35" t="s">
        <v>437</v>
      </c>
      <c r="I49" s="36" t="s">
        <v>438</v>
      </c>
      <c r="J49" s="34" t="s">
        <v>439</v>
      </c>
      <c r="K49" s="34" t="s">
        <v>440</v>
      </c>
      <c r="L49" s="37"/>
      <c r="M49" s="37"/>
      <c r="N49" s="37"/>
      <c r="O49" s="37"/>
      <c r="P49" s="37"/>
      <c r="Q49" s="37"/>
      <c r="R49" s="31" t="n">
        <f aca="false">COUNT($M49:$Q49)</f>
        <v>0</v>
      </c>
      <c r="S49" s="32" t="str">
        <f aca="false">IF($L49="","",IF($R49&gt;=5,"",MAX($L49:$Q49)+CHOOSE($R49+1,SETTINGS!$C$9,SETTINGS!$C$10,SETTINGS!$C$11,SETTINGS!$C$12,SETTINGS!$C$13)))</f>
        <v/>
      </c>
      <c r="T49" s="34" t="str">
        <f aca="true">IF($H49="","(chưa có nội dung)",IF($L49="",IF($C49&lt;TODAY(),"⚠ TRỄ HỌC",IF($C49=TODAY(),"★ HỌC HÔM NAY","• Chưa tới")),IF($R49&gt;=5,"✔ MASTER",IF($S49&lt;TODAY(),"⚠ TRỄ ÔN",IF($S49=TODAY(),"◆ ÔN HÔM NAY","✔ Đúng tiến độ")))))</f>
        <v>• Chưa tới</v>
      </c>
      <c r="U49" s="38" t="n">
        <f aca="false">IF($H49="","",$R49/5)</f>
        <v>0</v>
      </c>
    </row>
    <row r="50" customFormat="false" ht="15" hidden="false" customHeight="false" outlineLevel="0" collapsed="false">
      <c r="A50" s="31" t="s">
        <v>441</v>
      </c>
      <c r="B50" s="31" t="n">
        <v>3</v>
      </c>
      <c r="C50" s="32" t="n">
        <f aca="false">SETTINGS!$C$3+$B50-1</f>
        <v>46302</v>
      </c>
      <c r="D50" s="33" t="s">
        <v>154</v>
      </c>
      <c r="E50" s="34" t="s">
        <v>400</v>
      </c>
      <c r="F50" s="34" t="s">
        <v>183</v>
      </c>
      <c r="G50" s="34" t="s">
        <v>442</v>
      </c>
      <c r="H50" s="35" t="s">
        <v>443</v>
      </c>
      <c r="I50" s="36" t="s">
        <v>444</v>
      </c>
      <c r="J50" s="34" t="s">
        <v>445</v>
      </c>
      <c r="K50" s="34" t="s">
        <v>446</v>
      </c>
      <c r="L50" s="37"/>
      <c r="M50" s="37"/>
      <c r="N50" s="37"/>
      <c r="O50" s="37"/>
      <c r="P50" s="37"/>
      <c r="Q50" s="37"/>
      <c r="R50" s="31" t="n">
        <f aca="false">COUNT($M50:$Q50)</f>
        <v>0</v>
      </c>
      <c r="S50" s="32" t="str">
        <f aca="false">IF($L50="","",IF($R50&gt;=5,"",MAX($L50:$Q50)+CHOOSE($R50+1,SETTINGS!$C$9,SETTINGS!$C$10,SETTINGS!$C$11,SETTINGS!$C$12,SETTINGS!$C$13)))</f>
        <v/>
      </c>
      <c r="T50" s="34" t="str">
        <f aca="true">IF($H50="","(chưa có nội dung)",IF($L50="",IF($C50&lt;TODAY(),"⚠ TRỄ HỌC",IF($C50=TODAY(),"★ HỌC HÔM NAY","• Chưa tới")),IF($R50&gt;=5,"✔ MASTER",IF($S50&lt;TODAY(),"⚠ TRỄ ÔN",IF($S50=TODAY(),"◆ ÔN HÔM NAY","✔ Đúng tiến độ")))))</f>
        <v>• Chưa tới</v>
      </c>
      <c r="U50" s="38" t="n">
        <f aca="false">IF($H50="","",$R50/5)</f>
        <v>0</v>
      </c>
    </row>
    <row r="51" customFormat="false" ht="15" hidden="false" customHeight="false" outlineLevel="0" collapsed="false">
      <c r="A51" s="31" t="s">
        <v>447</v>
      </c>
      <c r="B51" s="31" t="n">
        <v>3</v>
      </c>
      <c r="C51" s="32" t="n">
        <f aca="false">SETTINGS!$C$3+$B51-1</f>
        <v>46302</v>
      </c>
      <c r="D51" s="33" t="s">
        <v>154</v>
      </c>
      <c r="E51" s="34" t="s">
        <v>400</v>
      </c>
      <c r="F51" s="34" t="s">
        <v>163</v>
      </c>
      <c r="G51" s="34" t="s">
        <v>448</v>
      </c>
      <c r="H51" s="35" t="s">
        <v>449</v>
      </c>
      <c r="I51" s="36" t="s">
        <v>450</v>
      </c>
      <c r="J51" s="34" t="s">
        <v>451</v>
      </c>
      <c r="K51" s="34" t="s">
        <v>452</v>
      </c>
      <c r="L51" s="37"/>
      <c r="M51" s="37"/>
      <c r="N51" s="37"/>
      <c r="O51" s="37"/>
      <c r="P51" s="37"/>
      <c r="Q51" s="37"/>
      <c r="R51" s="31" t="n">
        <f aca="false">COUNT($M51:$Q51)</f>
        <v>0</v>
      </c>
      <c r="S51" s="32" t="str">
        <f aca="false">IF($L51="","",IF($R51&gt;=5,"",MAX($L51:$Q51)+CHOOSE($R51+1,SETTINGS!$C$9,SETTINGS!$C$10,SETTINGS!$C$11,SETTINGS!$C$12,SETTINGS!$C$13)))</f>
        <v/>
      </c>
      <c r="T51" s="34" t="str">
        <f aca="true">IF($H51="","(chưa có nội dung)",IF($L51="",IF($C51&lt;TODAY(),"⚠ TRỄ HỌC",IF($C51=TODAY(),"★ HỌC HÔM NAY","• Chưa tới")),IF($R51&gt;=5,"✔ MASTER",IF($S51&lt;TODAY(),"⚠ TRỄ ÔN",IF($S51=TODAY(),"◆ ÔN HÔM NAY","✔ Đúng tiến độ")))))</f>
        <v>• Chưa tới</v>
      </c>
      <c r="U51" s="38" t="n">
        <f aca="false">IF($H51="","",$R51/5)</f>
        <v>0</v>
      </c>
    </row>
    <row r="52" customFormat="false" ht="15" hidden="false" customHeight="false" outlineLevel="0" collapsed="false">
      <c r="A52" s="31" t="s">
        <v>453</v>
      </c>
      <c r="B52" s="31" t="n">
        <v>3</v>
      </c>
      <c r="C52" s="32" t="n">
        <f aca="false">SETTINGS!$C$3+$B52-1</f>
        <v>46302</v>
      </c>
      <c r="D52" s="33" t="s">
        <v>154</v>
      </c>
      <c r="E52" s="34" t="s">
        <v>400</v>
      </c>
      <c r="F52" s="34" t="s">
        <v>163</v>
      </c>
      <c r="G52" s="34" t="s">
        <v>454</v>
      </c>
      <c r="H52" s="35" t="s">
        <v>455</v>
      </c>
      <c r="I52" s="36" t="s">
        <v>456</v>
      </c>
      <c r="J52" s="34" t="s">
        <v>457</v>
      </c>
      <c r="K52" s="34" t="s">
        <v>458</v>
      </c>
      <c r="L52" s="37"/>
      <c r="M52" s="37"/>
      <c r="N52" s="37"/>
      <c r="O52" s="37"/>
      <c r="P52" s="37"/>
      <c r="Q52" s="37"/>
      <c r="R52" s="31" t="n">
        <f aca="false">COUNT($M52:$Q52)</f>
        <v>0</v>
      </c>
      <c r="S52" s="32" t="str">
        <f aca="false">IF($L52="","",IF($R52&gt;=5,"",MAX($L52:$Q52)+CHOOSE($R52+1,SETTINGS!$C$9,SETTINGS!$C$10,SETTINGS!$C$11,SETTINGS!$C$12,SETTINGS!$C$13)))</f>
        <v/>
      </c>
      <c r="T52" s="34" t="str">
        <f aca="true">IF($H52="","(chưa có nội dung)",IF($L52="",IF($C52&lt;TODAY(),"⚠ TRỄ HỌC",IF($C52=TODAY(),"★ HỌC HÔM NAY","• Chưa tới")),IF($R52&gt;=5,"✔ MASTER",IF($S52&lt;TODAY(),"⚠ TRỄ ÔN",IF($S52=TODAY(),"◆ ÔN HÔM NAY","✔ Đúng tiến độ")))))</f>
        <v>• Chưa tới</v>
      </c>
      <c r="U52" s="38" t="n">
        <f aca="false">IF($H52="","",$R52/5)</f>
        <v>0</v>
      </c>
    </row>
    <row r="53" customFormat="false" ht="15" hidden="false" customHeight="false" outlineLevel="0" collapsed="false">
      <c r="A53" s="31" t="s">
        <v>459</v>
      </c>
      <c r="B53" s="31" t="n">
        <v>3</v>
      </c>
      <c r="C53" s="32" t="n">
        <f aca="false">SETTINGS!$C$3+$B53-1</f>
        <v>46302</v>
      </c>
      <c r="D53" s="33" t="s">
        <v>154</v>
      </c>
      <c r="E53" s="34" t="s">
        <v>400</v>
      </c>
      <c r="F53" s="34" t="s">
        <v>163</v>
      </c>
      <c r="G53" s="34" t="s">
        <v>460</v>
      </c>
      <c r="H53" s="35" t="s">
        <v>461</v>
      </c>
      <c r="I53" s="36" t="s">
        <v>462</v>
      </c>
      <c r="J53" s="34" t="s">
        <v>463</v>
      </c>
      <c r="K53" s="34" t="s">
        <v>464</v>
      </c>
      <c r="L53" s="37"/>
      <c r="M53" s="37"/>
      <c r="N53" s="37"/>
      <c r="O53" s="37"/>
      <c r="P53" s="37"/>
      <c r="Q53" s="37"/>
      <c r="R53" s="31" t="n">
        <f aca="false">COUNT($M53:$Q53)</f>
        <v>0</v>
      </c>
      <c r="S53" s="32" t="str">
        <f aca="false">IF($L53="","",IF($R53&gt;=5,"",MAX($L53:$Q53)+CHOOSE($R53+1,SETTINGS!$C$9,SETTINGS!$C$10,SETTINGS!$C$11,SETTINGS!$C$12,SETTINGS!$C$13)))</f>
        <v/>
      </c>
      <c r="T53" s="34" t="str">
        <f aca="true">IF($H53="","(chưa có nội dung)",IF($L53="",IF($C53&lt;TODAY(),"⚠ TRỄ HỌC",IF($C53=TODAY(),"★ HỌC HÔM NAY","• Chưa tới")),IF($R53&gt;=5,"✔ MASTER",IF($S53&lt;TODAY(),"⚠ TRỄ ÔN",IF($S53=TODAY(),"◆ ÔN HÔM NAY","✔ Đúng tiến độ")))))</f>
        <v>• Chưa tới</v>
      </c>
      <c r="U53" s="38" t="n">
        <f aca="false">IF($H53="","",$R53/5)</f>
        <v>0</v>
      </c>
    </row>
    <row r="54" customFormat="false" ht="15" hidden="false" customHeight="false" outlineLevel="0" collapsed="false">
      <c r="A54" s="31" t="s">
        <v>465</v>
      </c>
      <c r="B54" s="31" t="n">
        <v>3</v>
      </c>
      <c r="C54" s="32" t="n">
        <f aca="false">SETTINGS!$C$3+$B54-1</f>
        <v>46302</v>
      </c>
      <c r="D54" s="33" t="s">
        <v>154</v>
      </c>
      <c r="E54" s="34" t="s">
        <v>400</v>
      </c>
      <c r="F54" s="34" t="s">
        <v>280</v>
      </c>
      <c r="G54" s="34" t="s">
        <v>466</v>
      </c>
      <c r="H54" s="35" t="s">
        <v>467</v>
      </c>
      <c r="I54" s="36" t="s">
        <v>468</v>
      </c>
      <c r="J54" s="34" t="s">
        <v>469</v>
      </c>
      <c r="K54" s="34" t="s">
        <v>470</v>
      </c>
      <c r="L54" s="37"/>
      <c r="M54" s="37"/>
      <c r="N54" s="37"/>
      <c r="O54" s="37"/>
      <c r="P54" s="37"/>
      <c r="Q54" s="37"/>
      <c r="R54" s="31" t="n">
        <f aca="false">COUNT($M54:$Q54)</f>
        <v>0</v>
      </c>
      <c r="S54" s="32" t="str">
        <f aca="false">IF($L54="","",IF($R54&gt;=5,"",MAX($L54:$Q54)+CHOOSE($R54+1,SETTINGS!$C$9,SETTINGS!$C$10,SETTINGS!$C$11,SETTINGS!$C$12,SETTINGS!$C$13)))</f>
        <v/>
      </c>
      <c r="T54" s="34" t="str">
        <f aca="true">IF($H54="","(chưa có nội dung)",IF($L54="",IF($C54&lt;TODAY(),"⚠ TRỄ HỌC",IF($C54=TODAY(),"★ HỌC HÔM NAY","• Chưa tới")),IF($R54&gt;=5,"✔ MASTER",IF($S54&lt;TODAY(),"⚠ TRỄ ÔN",IF($S54=TODAY(),"◆ ÔN HÔM NAY","✔ Đúng tiến độ")))))</f>
        <v>• Chưa tới</v>
      </c>
      <c r="U54" s="38" t="n">
        <f aca="false">IF($H54="","",$R54/5)</f>
        <v>0</v>
      </c>
    </row>
    <row r="55" customFormat="false" ht="15" hidden="false" customHeight="false" outlineLevel="0" collapsed="false">
      <c r="A55" s="31" t="s">
        <v>471</v>
      </c>
      <c r="B55" s="31" t="n">
        <v>3</v>
      </c>
      <c r="C55" s="32" t="n">
        <f aca="false">SETTINGS!$C$3+$B55-1</f>
        <v>46302</v>
      </c>
      <c r="D55" s="33" t="s">
        <v>154</v>
      </c>
      <c r="E55" s="34" t="s">
        <v>400</v>
      </c>
      <c r="F55" s="34" t="s">
        <v>472</v>
      </c>
      <c r="G55" s="34" t="s">
        <v>473</v>
      </c>
      <c r="H55" s="35" t="s">
        <v>474</v>
      </c>
      <c r="I55" s="36" t="s">
        <v>475</v>
      </c>
      <c r="J55" s="34" t="s">
        <v>476</v>
      </c>
      <c r="K55" s="34" t="s">
        <v>477</v>
      </c>
      <c r="L55" s="37"/>
      <c r="M55" s="37"/>
      <c r="N55" s="37"/>
      <c r="O55" s="37"/>
      <c r="P55" s="37"/>
      <c r="Q55" s="37"/>
      <c r="R55" s="31" t="n">
        <f aca="false">COUNT($M55:$Q55)</f>
        <v>0</v>
      </c>
      <c r="S55" s="32" t="str">
        <f aca="false">IF($L55="","",IF($R55&gt;=5,"",MAX($L55:$Q55)+CHOOSE($R55+1,SETTINGS!$C$9,SETTINGS!$C$10,SETTINGS!$C$11,SETTINGS!$C$12,SETTINGS!$C$13)))</f>
        <v/>
      </c>
      <c r="T55" s="34" t="str">
        <f aca="true">IF($H55="","(chưa có nội dung)",IF($L55="",IF($C55&lt;TODAY(),"⚠ TRỄ HỌC",IF($C55=TODAY(),"★ HỌC HÔM NAY","• Chưa tới")),IF($R55&gt;=5,"✔ MASTER",IF($S55&lt;TODAY(),"⚠ TRỄ ÔN",IF($S55=TODAY(),"◆ ÔN HÔM NAY","✔ Đúng tiến độ")))))</f>
        <v>• Chưa tới</v>
      </c>
      <c r="U55" s="38" t="n">
        <f aca="false">IF($H55="","",$R55/5)</f>
        <v>0</v>
      </c>
    </row>
    <row r="56" customFormat="false" ht="15" hidden="false" customHeight="false" outlineLevel="0" collapsed="false">
      <c r="A56" s="31" t="s">
        <v>478</v>
      </c>
      <c r="B56" s="31" t="n">
        <v>3</v>
      </c>
      <c r="C56" s="32" t="n">
        <f aca="false">SETTINGS!$C$3+$B56-1</f>
        <v>46302</v>
      </c>
      <c r="D56" s="33" t="s">
        <v>154</v>
      </c>
      <c r="E56" s="34" t="s">
        <v>400</v>
      </c>
      <c r="F56" s="34" t="s">
        <v>163</v>
      </c>
      <c r="G56" s="34" t="s">
        <v>479</v>
      </c>
      <c r="H56" s="35" t="s">
        <v>480</v>
      </c>
      <c r="I56" s="36" t="s">
        <v>481</v>
      </c>
      <c r="J56" s="34" t="s">
        <v>482</v>
      </c>
      <c r="K56" s="34" t="s">
        <v>483</v>
      </c>
      <c r="L56" s="37"/>
      <c r="M56" s="37"/>
      <c r="N56" s="37"/>
      <c r="O56" s="37"/>
      <c r="P56" s="37"/>
      <c r="Q56" s="37"/>
      <c r="R56" s="31" t="n">
        <f aca="false">COUNT($M56:$Q56)</f>
        <v>0</v>
      </c>
      <c r="S56" s="32" t="str">
        <f aca="false">IF($L56="","",IF($R56&gt;=5,"",MAX($L56:$Q56)+CHOOSE($R56+1,SETTINGS!$C$9,SETTINGS!$C$10,SETTINGS!$C$11,SETTINGS!$C$12,SETTINGS!$C$13)))</f>
        <v/>
      </c>
      <c r="T56" s="34" t="str">
        <f aca="true">IF($H56="","(chưa có nội dung)",IF($L56="",IF($C56&lt;TODAY(),"⚠ TRỄ HỌC",IF($C56=TODAY(),"★ HỌC HÔM NAY","• Chưa tới")),IF($R56&gt;=5,"✔ MASTER",IF($S56&lt;TODAY(),"⚠ TRỄ ÔN",IF($S56=TODAY(),"◆ ÔN HÔM NAY","✔ Đúng tiến độ")))))</f>
        <v>• Chưa tới</v>
      </c>
      <c r="U56" s="38" t="n">
        <f aca="false">IF($H56="","",$R56/5)</f>
        <v>0</v>
      </c>
    </row>
    <row r="57" customFormat="false" ht="15" hidden="false" customHeight="false" outlineLevel="0" collapsed="false">
      <c r="A57" s="31" t="s">
        <v>484</v>
      </c>
      <c r="B57" s="31" t="n">
        <v>3</v>
      </c>
      <c r="C57" s="32" t="n">
        <f aca="false">SETTINGS!$C$3+$B57-1</f>
        <v>46302</v>
      </c>
      <c r="D57" s="33" t="s">
        <v>154</v>
      </c>
      <c r="E57" s="34" t="s">
        <v>400</v>
      </c>
      <c r="F57" s="34" t="s">
        <v>280</v>
      </c>
      <c r="G57" s="34" t="s">
        <v>485</v>
      </c>
      <c r="H57" s="35" t="s">
        <v>486</v>
      </c>
      <c r="I57" s="36" t="s">
        <v>487</v>
      </c>
      <c r="J57" s="34" t="s">
        <v>488</v>
      </c>
      <c r="K57" s="34" t="s">
        <v>489</v>
      </c>
      <c r="L57" s="37"/>
      <c r="M57" s="37"/>
      <c r="N57" s="37"/>
      <c r="O57" s="37"/>
      <c r="P57" s="37"/>
      <c r="Q57" s="37"/>
      <c r="R57" s="31" t="n">
        <f aca="false">COUNT($M57:$Q57)</f>
        <v>0</v>
      </c>
      <c r="S57" s="32" t="str">
        <f aca="false">IF($L57="","",IF($R57&gt;=5,"",MAX($L57:$Q57)+CHOOSE($R57+1,SETTINGS!$C$9,SETTINGS!$C$10,SETTINGS!$C$11,SETTINGS!$C$12,SETTINGS!$C$13)))</f>
        <v/>
      </c>
      <c r="T57" s="34" t="str">
        <f aca="true">IF($H57="","(chưa có nội dung)",IF($L57="",IF($C57&lt;TODAY(),"⚠ TRỄ HỌC",IF($C57=TODAY(),"★ HỌC HÔM NAY","• Chưa tới")),IF($R57&gt;=5,"✔ MASTER",IF($S57&lt;TODAY(),"⚠ TRỄ ÔN",IF($S57=TODAY(),"◆ ÔN HÔM NAY","✔ Đúng tiến độ")))))</f>
        <v>• Chưa tới</v>
      </c>
      <c r="U57" s="38" t="n">
        <f aca="false">IF($H57="","",$R57/5)</f>
        <v>0</v>
      </c>
    </row>
    <row r="58" customFormat="false" ht="15" hidden="false" customHeight="false" outlineLevel="0" collapsed="false">
      <c r="A58" s="31" t="s">
        <v>490</v>
      </c>
      <c r="B58" s="31" t="n">
        <v>3</v>
      </c>
      <c r="C58" s="32" t="n">
        <f aca="false">SETTINGS!$C$3+$B58-1</f>
        <v>46302</v>
      </c>
      <c r="D58" s="33" t="s">
        <v>154</v>
      </c>
      <c r="E58" s="34" t="s">
        <v>400</v>
      </c>
      <c r="F58" s="34" t="s">
        <v>280</v>
      </c>
      <c r="G58" s="34" t="s">
        <v>491</v>
      </c>
      <c r="H58" s="35" t="s">
        <v>492</v>
      </c>
      <c r="I58" s="36" t="s">
        <v>493</v>
      </c>
      <c r="J58" s="34" t="s">
        <v>494</v>
      </c>
      <c r="K58" s="34" t="s">
        <v>495</v>
      </c>
      <c r="L58" s="37"/>
      <c r="M58" s="37"/>
      <c r="N58" s="37"/>
      <c r="O58" s="37"/>
      <c r="P58" s="37"/>
      <c r="Q58" s="37"/>
      <c r="R58" s="31" t="n">
        <f aca="false">COUNT($M58:$Q58)</f>
        <v>0</v>
      </c>
      <c r="S58" s="32" t="str">
        <f aca="false">IF($L58="","",IF($R58&gt;=5,"",MAX($L58:$Q58)+CHOOSE($R58+1,SETTINGS!$C$9,SETTINGS!$C$10,SETTINGS!$C$11,SETTINGS!$C$12,SETTINGS!$C$13)))</f>
        <v/>
      </c>
      <c r="T58" s="34" t="str">
        <f aca="true">IF($H58="","(chưa có nội dung)",IF($L58="",IF($C58&lt;TODAY(),"⚠ TRỄ HỌC",IF($C58=TODAY(),"★ HỌC HÔM NAY","• Chưa tới")),IF($R58&gt;=5,"✔ MASTER",IF($S58&lt;TODAY(),"⚠ TRỄ ÔN",IF($S58=TODAY(),"◆ ÔN HÔM NAY","✔ Đúng tiến độ")))))</f>
        <v>• Chưa tới</v>
      </c>
      <c r="U58" s="38" t="n">
        <f aca="false">IF($H58="","",$R58/5)</f>
        <v>0</v>
      </c>
    </row>
    <row r="59" customFormat="false" ht="15" hidden="false" customHeight="false" outlineLevel="0" collapsed="false">
      <c r="A59" s="31" t="s">
        <v>496</v>
      </c>
      <c r="B59" s="31" t="n">
        <v>3</v>
      </c>
      <c r="C59" s="32" t="n">
        <f aca="false">SETTINGS!$C$3+$B59-1</f>
        <v>46302</v>
      </c>
      <c r="D59" s="33" t="s">
        <v>154</v>
      </c>
      <c r="E59" s="34" t="s">
        <v>400</v>
      </c>
      <c r="F59" s="34" t="s">
        <v>497</v>
      </c>
      <c r="G59" s="34" t="s">
        <v>498</v>
      </c>
      <c r="H59" s="35" t="s">
        <v>499</v>
      </c>
      <c r="I59" s="36" t="s">
        <v>500</v>
      </c>
      <c r="J59" s="34" t="s">
        <v>501</v>
      </c>
      <c r="K59" s="34" t="s">
        <v>502</v>
      </c>
      <c r="L59" s="37"/>
      <c r="M59" s="37"/>
      <c r="N59" s="37"/>
      <c r="O59" s="37"/>
      <c r="P59" s="37"/>
      <c r="Q59" s="37"/>
      <c r="R59" s="31" t="n">
        <f aca="false">COUNT($M59:$Q59)</f>
        <v>0</v>
      </c>
      <c r="S59" s="32" t="str">
        <f aca="false">IF($L59="","",IF($R59&gt;=5,"",MAX($L59:$Q59)+CHOOSE($R59+1,SETTINGS!$C$9,SETTINGS!$C$10,SETTINGS!$C$11,SETTINGS!$C$12,SETTINGS!$C$13)))</f>
        <v/>
      </c>
      <c r="T59" s="34" t="str">
        <f aca="true">IF($H59="","(chưa có nội dung)",IF($L59="",IF($C59&lt;TODAY(),"⚠ TRỄ HỌC",IF($C59=TODAY(),"★ HỌC HÔM NAY","• Chưa tới")),IF($R59&gt;=5,"✔ MASTER",IF($S59&lt;TODAY(),"⚠ TRỄ ÔN",IF($S59=TODAY(),"◆ ÔN HÔM NAY","✔ Đúng tiến độ")))))</f>
        <v>• Chưa tới</v>
      </c>
      <c r="U59" s="38" t="n">
        <f aca="false">IF($H59="","",$R59/5)</f>
        <v>0</v>
      </c>
    </row>
    <row r="60" customFormat="false" ht="15" hidden="false" customHeight="false" outlineLevel="0" collapsed="false">
      <c r="A60" s="31" t="s">
        <v>503</v>
      </c>
      <c r="B60" s="31" t="n">
        <v>3</v>
      </c>
      <c r="C60" s="32" t="n">
        <f aca="false">SETTINGS!$C$3+$B60-1</f>
        <v>46302</v>
      </c>
      <c r="D60" s="33" t="s">
        <v>154</v>
      </c>
      <c r="E60" s="34" t="s">
        <v>400</v>
      </c>
      <c r="F60" s="34" t="s">
        <v>176</v>
      </c>
      <c r="G60" s="34" t="s">
        <v>504</v>
      </c>
      <c r="H60" s="35" t="s">
        <v>505</v>
      </c>
      <c r="I60" s="36" t="s">
        <v>506</v>
      </c>
      <c r="J60" s="34" t="s">
        <v>507</v>
      </c>
      <c r="K60" s="34" t="s">
        <v>508</v>
      </c>
      <c r="L60" s="37"/>
      <c r="M60" s="37"/>
      <c r="N60" s="37"/>
      <c r="O60" s="37"/>
      <c r="P60" s="37"/>
      <c r="Q60" s="37"/>
      <c r="R60" s="31" t="n">
        <f aca="false">COUNT($M60:$Q60)</f>
        <v>0</v>
      </c>
      <c r="S60" s="32" t="str">
        <f aca="false">IF($L60="","",IF($R60&gt;=5,"",MAX($L60:$Q60)+CHOOSE($R60+1,SETTINGS!$C$9,SETTINGS!$C$10,SETTINGS!$C$11,SETTINGS!$C$12,SETTINGS!$C$13)))</f>
        <v/>
      </c>
      <c r="T60" s="34" t="str">
        <f aca="true">IF($H60="","(chưa có nội dung)",IF($L60="",IF($C60&lt;TODAY(),"⚠ TRỄ HỌC",IF($C60=TODAY(),"★ HỌC HÔM NAY","• Chưa tới")),IF($R60&gt;=5,"✔ MASTER",IF($S60&lt;TODAY(),"⚠ TRỄ ÔN",IF($S60=TODAY(),"◆ ÔN HÔM NAY","✔ Đúng tiến độ")))))</f>
        <v>• Chưa tới</v>
      </c>
      <c r="U60" s="38" t="n">
        <f aca="false">IF($H60="","",$R60/5)</f>
        <v>0</v>
      </c>
    </row>
    <row r="61" customFormat="false" ht="15" hidden="false" customHeight="false" outlineLevel="0" collapsed="false">
      <c r="A61" s="31" t="s">
        <v>509</v>
      </c>
      <c r="B61" s="31" t="n">
        <v>3</v>
      </c>
      <c r="C61" s="32" t="n">
        <f aca="false">SETTINGS!$C$3+$B61-1</f>
        <v>46302</v>
      </c>
      <c r="D61" s="33" t="s">
        <v>154</v>
      </c>
      <c r="E61" s="34" t="s">
        <v>400</v>
      </c>
      <c r="F61" s="34" t="s">
        <v>280</v>
      </c>
      <c r="G61" s="34" t="s">
        <v>510</v>
      </c>
      <c r="H61" s="35" t="s">
        <v>511</v>
      </c>
      <c r="I61" s="36" t="s">
        <v>512</v>
      </c>
      <c r="J61" s="34" t="s">
        <v>513</v>
      </c>
      <c r="K61" s="34" t="s">
        <v>514</v>
      </c>
      <c r="L61" s="37"/>
      <c r="M61" s="37"/>
      <c r="N61" s="37"/>
      <c r="O61" s="37"/>
      <c r="P61" s="37"/>
      <c r="Q61" s="37"/>
      <c r="R61" s="31" t="n">
        <f aca="false">COUNT($M61:$Q61)</f>
        <v>0</v>
      </c>
      <c r="S61" s="32" t="str">
        <f aca="false">IF($L61="","",IF($R61&gt;=5,"",MAX($L61:$Q61)+CHOOSE($R61+1,SETTINGS!$C$9,SETTINGS!$C$10,SETTINGS!$C$11,SETTINGS!$C$12,SETTINGS!$C$13)))</f>
        <v/>
      </c>
      <c r="T61" s="34" t="str">
        <f aca="true">IF($H61="","(chưa có nội dung)",IF($L61="",IF($C61&lt;TODAY(),"⚠ TRỄ HỌC",IF($C61=TODAY(),"★ HỌC HÔM NAY","• Chưa tới")),IF($R61&gt;=5,"✔ MASTER",IF($S61&lt;TODAY(),"⚠ TRỄ ÔN",IF($S61=TODAY(),"◆ ÔN HÔM NAY","✔ Đúng tiến độ")))))</f>
        <v>• Chưa tới</v>
      </c>
      <c r="U61" s="38" t="n">
        <f aca="false">IF($H61="","",$R61/5)</f>
        <v>0</v>
      </c>
    </row>
    <row r="62" customFormat="false" ht="15" hidden="false" customHeight="false" outlineLevel="0" collapsed="false">
      <c r="A62" s="31" t="s">
        <v>515</v>
      </c>
      <c r="B62" s="31" t="n">
        <v>3</v>
      </c>
      <c r="C62" s="32" t="n">
        <f aca="false">SETTINGS!$C$3+$B62-1</f>
        <v>46302</v>
      </c>
      <c r="D62" s="33" t="s">
        <v>154</v>
      </c>
      <c r="E62" s="34" t="s">
        <v>400</v>
      </c>
      <c r="F62" s="34" t="s">
        <v>497</v>
      </c>
      <c r="G62" s="34" t="s">
        <v>516</v>
      </c>
      <c r="H62" s="35" t="s">
        <v>517</v>
      </c>
      <c r="I62" s="36" t="s">
        <v>518</v>
      </c>
      <c r="J62" s="34" t="s">
        <v>519</v>
      </c>
      <c r="K62" s="34" t="s">
        <v>520</v>
      </c>
      <c r="L62" s="37"/>
      <c r="M62" s="37"/>
      <c r="N62" s="37"/>
      <c r="O62" s="37"/>
      <c r="P62" s="37"/>
      <c r="Q62" s="37"/>
      <c r="R62" s="31" t="n">
        <f aca="false">COUNT($M62:$Q62)</f>
        <v>0</v>
      </c>
      <c r="S62" s="32" t="str">
        <f aca="false">IF($L62="","",IF($R62&gt;=5,"",MAX($L62:$Q62)+CHOOSE($R62+1,SETTINGS!$C$9,SETTINGS!$C$10,SETTINGS!$C$11,SETTINGS!$C$12,SETTINGS!$C$13)))</f>
        <v/>
      </c>
      <c r="T62" s="34" t="str">
        <f aca="true">IF($H62="","(chưa có nội dung)",IF($L62="",IF($C62&lt;TODAY(),"⚠ TRỄ HỌC",IF($C62=TODAY(),"★ HỌC HÔM NAY","• Chưa tới")),IF($R62&gt;=5,"✔ MASTER",IF($S62&lt;TODAY(),"⚠ TRỄ ÔN",IF($S62=TODAY(),"◆ ÔN HÔM NAY","✔ Đúng tiến độ")))))</f>
        <v>• Chưa tới</v>
      </c>
      <c r="U62" s="38" t="n">
        <f aca="false">IF($H62="","",$R62/5)</f>
        <v>0</v>
      </c>
    </row>
    <row r="63" customFormat="false" ht="15" hidden="false" customHeight="false" outlineLevel="0" collapsed="false">
      <c r="A63" s="31" t="s">
        <v>521</v>
      </c>
      <c r="B63" s="31" t="n">
        <v>4</v>
      </c>
      <c r="C63" s="32" t="n">
        <f aca="false">SETTINGS!$C$3+$B63-1</f>
        <v>46303</v>
      </c>
      <c r="D63" s="33" t="s">
        <v>154</v>
      </c>
      <c r="E63" s="34" t="s">
        <v>522</v>
      </c>
      <c r="F63" s="34" t="s">
        <v>523</v>
      </c>
      <c r="G63" s="34" t="s">
        <v>524</v>
      </c>
      <c r="H63" s="35" t="s">
        <v>525</v>
      </c>
      <c r="I63" s="36" t="s">
        <v>526</v>
      </c>
      <c r="J63" s="34" t="s">
        <v>527</v>
      </c>
      <c r="K63" s="34" t="s">
        <v>528</v>
      </c>
      <c r="L63" s="37"/>
      <c r="M63" s="37"/>
      <c r="N63" s="37"/>
      <c r="O63" s="37"/>
      <c r="P63" s="37"/>
      <c r="Q63" s="37"/>
      <c r="R63" s="31" t="n">
        <f aca="false">COUNT($M63:$Q63)</f>
        <v>0</v>
      </c>
      <c r="S63" s="32" t="str">
        <f aca="false">IF($L63="","",IF($R63&gt;=5,"",MAX($L63:$Q63)+CHOOSE($R63+1,SETTINGS!$C$9,SETTINGS!$C$10,SETTINGS!$C$11,SETTINGS!$C$12,SETTINGS!$C$13)))</f>
        <v/>
      </c>
      <c r="T63" s="34" t="str">
        <f aca="true">IF($H63="","(chưa có nội dung)",IF($L63="",IF($C63&lt;TODAY(),"⚠ TRỄ HỌC",IF($C63=TODAY(),"★ HỌC HÔM NAY","• Chưa tới")),IF($R63&gt;=5,"✔ MASTER",IF($S63&lt;TODAY(),"⚠ TRỄ ÔN",IF($S63=TODAY(),"◆ ÔN HÔM NAY","✔ Đúng tiến độ")))))</f>
        <v>• Chưa tới</v>
      </c>
      <c r="U63" s="38" t="n">
        <f aca="false">IF($H63="","",$R63/5)</f>
        <v>0</v>
      </c>
    </row>
    <row r="64" customFormat="false" ht="15" hidden="false" customHeight="false" outlineLevel="0" collapsed="false">
      <c r="A64" s="31" t="s">
        <v>529</v>
      </c>
      <c r="B64" s="31" t="n">
        <v>4</v>
      </c>
      <c r="C64" s="32" t="n">
        <f aca="false">SETTINGS!$C$3+$B64-1</f>
        <v>46303</v>
      </c>
      <c r="D64" s="33" t="s">
        <v>154</v>
      </c>
      <c r="E64" s="34" t="s">
        <v>522</v>
      </c>
      <c r="F64" s="34" t="s">
        <v>523</v>
      </c>
      <c r="G64" s="34" t="s">
        <v>530</v>
      </c>
      <c r="H64" s="35" t="s">
        <v>531</v>
      </c>
      <c r="I64" s="36" t="s">
        <v>532</v>
      </c>
      <c r="J64" s="34" t="s">
        <v>533</v>
      </c>
      <c r="K64" s="34" t="s">
        <v>534</v>
      </c>
      <c r="L64" s="37"/>
      <c r="M64" s="37"/>
      <c r="N64" s="37"/>
      <c r="O64" s="37"/>
      <c r="P64" s="37"/>
      <c r="Q64" s="37"/>
      <c r="R64" s="31" t="n">
        <f aca="false">COUNT($M64:$Q64)</f>
        <v>0</v>
      </c>
      <c r="S64" s="32" t="str">
        <f aca="false">IF($L64="","",IF($R64&gt;=5,"",MAX($L64:$Q64)+CHOOSE($R64+1,SETTINGS!$C$9,SETTINGS!$C$10,SETTINGS!$C$11,SETTINGS!$C$12,SETTINGS!$C$13)))</f>
        <v/>
      </c>
      <c r="T64" s="34" t="str">
        <f aca="true">IF($H64="","(chưa có nội dung)",IF($L64="",IF($C64&lt;TODAY(),"⚠ TRỄ HỌC",IF($C64=TODAY(),"★ HỌC HÔM NAY","• Chưa tới")),IF($R64&gt;=5,"✔ MASTER",IF($S64&lt;TODAY(),"⚠ TRỄ ÔN",IF($S64=TODAY(),"◆ ÔN HÔM NAY","✔ Đúng tiến độ")))))</f>
        <v>• Chưa tới</v>
      </c>
      <c r="U64" s="38" t="n">
        <f aca="false">IF($H64="","",$R64/5)</f>
        <v>0</v>
      </c>
    </row>
    <row r="65" customFormat="false" ht="15" hidden="false" customHeight="false" outlineLevel="0" collapsed="false">
      <c r="A65" s="31" t="s">
        <v>535</v>
      </c>
      <c r="B65" s="31" t="n">
        <v>4</v>
      </c>
      <c r="C65" s="32" t="n">
        <f aca="false">SETTINGS!$C$3+$B65-1</f>
        <v>46303</v>
      </c>
      <c r="D65" s="33" t="s">
        <v>154</v>
      </c>
      <c r="E65" s="34" t="s">
        <v>522</v>
      </c>
      <c r="F65" s="34" t="s">
        <v>280</v>
      </c>
      <c r="G65" s="34" t="s">
        <v>536</v>
      </c>
      <c r="H65" s="35" t="s">
        <v>537</v>
      </c>
      <c r="I65" s="36" t="s">
        <v>538</v>
      </c>
      <c r="J65" s="34" t="s">
        <v>539</v>
      </c>
      <c r="K65" s="34" t="s">
        <v>540</v>
      </c>
      <c r="L65" s="37"/>
      <c r="M65" s="37"/>
      <c r="N65" s="37"/>
      <c r="O65" s="37"/>
      <c r="P65" s="37"/>
      <c r="Q65" s="37"/>
      <c r="R65" s="31" t="n">
        <f aca="false">COUNT($M65:$Q65)</f>
        <v>0</v>
      </c>
      <c r="S65" s="32" t="str">
        <f aca="false">IF($L65="","",IF($R65&gt;=5,"",MAX($L65:$Q65)+CHOOSE($R65+1,SETTINGS!$C$9,SETTINGS!$C$10,SETTINGS!$C$11,SETTINGS!$C$12,SETTINGS!$C$13)))</f>
        <v/>
      </c>
      <c r="T65" s="34" t="str">
        <f aca="true">IF($H65="","(chưa có nội dung)",IF($L65="",IF($C65&lt;TODAY(),"⚠ TRỄ HỌC",IF($C65=TODAY(),"★ HỌC HÔM NAY","• Chưa tới")),IF($R65&gt;=5,"✔ MASTER",IF($S65&lt;TODAY(),"⚠ TRỄ ÔN",IF($S65=TODAY(),"◆ ÔN HÔM NAY","✔ Đúng tiến độ")))))</f>
        <v>• Chưa tới</v>
      </c>
      <c r="U65" s="38" t="n">
        <f aca="false">IF($H65="","",$R65/5)</f>
        <v>0</v>
      </c>
    </row>
    <row r="66" customFormat="false" ht="15" hidden="false" customHeight="false" outlineLevel="0" collapsed="false">
      <c r="A66" s="31" t="s">
        <v>541</v>
      </c>
      <c r="B66" s="31" t="n">
        <v>4</v>
      </c>
      <c r="C66" s="32" t="n">
        <f aca="false">SETTINGS!$C$3+$B66-1</f>
        <v>46303</v>
      </c>
      <c r="D66" s="33" t="s">
        <v>154</v>
      </c>
      <c r="E66" s="34" t="s">
        <v>522</v>
      </c>
      <c r="F66" s="34" t="s">
        <v>163</v>
      </c>
      <c r="G66" s="34" t="s">
        <v>542</v>
      </c>
      <c r="H66" s="35" t="s">
        <v>543</v>
      </c>
      <c r="I66" s="36" t="s">
        <v>544</v>
      </c>
      <c r="J66" s="34" t="s">
        <v>545</v>
      </c>
      <c r="K66" s="34" t="s">
        <v>546</v>
      </c>
      <c r="L66" s="37"/>
      <c r="M66" s="37"/>
      <c r="N66" s="37"/>
      <c r="O66" s="37"/>
      <c r="P66" s="37"/>
      <c r="Q66" s="37"/>
      <c r="R66" s="31" t="n">
        <f aca="false">COUNT($M66:$Q66)</f>
        <v>0</v>
      </c>
      <c r="S66" s="32" t="str">
        <f aca="false">IF($L66="","",IF($R66&gt;=5,"",MAX($L66:$Q66)+CHOOSE($R66+1,SETTINGS!$C$9,SETTINGS!$C$10,SETTINGS!$C$11,SETTINGS!$C$12,SETTINGS!$C$13)))</f>
        <v/>
      </c>
      <c r="T66" s="34" t="str">
        <f aca="true">IF($H66="","(chưa có nội dung)",IF($L66="",IF($C66&lt;TODAY(),"⚠ TRỄ HỌC",IF($C66=TODAY(),"★ HỌC HÔM NAY","• Chưa tới")),IF($R66&gt;=5,"✔ MASTER",IF($S66&lt;TODAY(),"⚠ TRỄ ÔN",IF($S66=TODAY(),"◆ ÔN HÔM NAY","✔ Đúng tiến độ")))))</f>
        <v>• Chưa tới</v>
      </c>
      <c r="U66" s="38" t="n">
        <f aca="false">IF($H66="","",$R66/5)</f>
        <v>0</v>
      </c>
    </row>
    <row r="67" customFormat="false" ht="15" hidden="false" customHeight="false" outlineLevel="0" collapsed="false">
      <c r="A67" s="31" t="s">
        <v>547</v>
      </c>
      <c r="B67" s="31" t="n">
        <v>4</v>
      </c>
      <c r="C67" s="32" t="n">
        <f aca="false">SETTINGS!$C$3+$B67-1</f>
        <v>46303</v>
      </c>
      <c r="D67" s="33" t="s">
        <v>154</v>
      </c>
      <c r="E67" s="34" t="s">
        <v>522</v>
      </c>
      <c r="F67" s="34" t="s">
        <v>280</v>
      </c>
      <c r="G67" s="34" t="s">
        <v>548</v>
      </c>
      <c r="H67" s="35" t="s">
        <v>549</v>
      </c>
      <c r="I67" s="36" t="s">
        <v>550</v>
      </c>
      <c r="J67" s="34" t="s">
        <v>551</v>
      </c>
      <c r="K67" s="34" t="s">
        <v>552</v>
      </c>
      <c r="L67" s="37"/>
      <c r="M67" s="37"/>
      <c r="N67" s="37"/>
      <c r="O67" s="37"/>
      <c r="P67" s="37"/>
      <c r="Q67" s="37"/>
      <c r="R67" s="31" t="n">
        <f aca="false">COUNT($M67:$Q67)</f>
        <v>0</v>
      </c>
      <c r="S67" s="32" t="str">
        <f aca="false">IF($L67="","",IF($R67&gt;=5,"",MAX($L67:$Q67)+CHOOSE($R67+1,SETTINGS!$C$9,SETTINGS!$C$10,SETTINGS!$C$11,SETTINGS!$C$12,SETTINGS!$C$13)))</f>
        <v/>
      </c>
      <c r="T67" s="34" t="str">
        <f aca="true">IF($H67="","(chưa có nội dung)",IF($L67="",IF($C67&lt;TODAY(),"⚠ TRỄ HỌC",IF($C67=TODAY(),"★ HỌC HÔM NAY","• Chưa tới")),IF($R67&gt;=5,"✔ MASTER",IF($S67&lt;TODAY(),"⚠ TRỄ ÔN",IF($S67=TODAY(),"◆ ÔN HÔM NAY","✔ Đúng tiến độ")))))</f>
        <v>• Chưa tới</v>
      </c>
      <c r="U67" s="38" t="n">
        <f aca="false">IF($H67="","",$R67/5)</f>
        <v>0</v>
      </c>
    </row>
    <row r="68" customFormat="false" ht="15" hidden="false" customHeight="false" outlineLevel="0" collapsed="false">
      <c r="A68" s="31" t="s">
        <v>553</v>
      </c>
      <c r="B68" s="31" t="n">
        <v>4</v>
      </c>
      <c r="C68" s="32" t="n">
        <f aca="false">SETTINGS!$C$3+$B68-1</f>
        <v>46303</v>
      </c>
      <c r="D68" s="33" t="s">
        <v>154</v>
      </c>
      <c r="E68" s="34" t="s">
        <v>522</v>
      </c>
      <c r="F68" s="34" t="s">
        <v>280</v>
      </c>
      <c r="G68" s="34" t="s">
        <v>554</v>
      </c>
      <c r="H68" s="35" t="s">
        <v>555</v>
      </c>
      <c r="I68" s="36" t="s">
        <v>556</v>
      </c>
      <c r="J68" s="34" t="s">
        <v>557</v>
      </c>
      <c r="K68" s="34" t="s">
        <v>558</v>
      </c>
      <c r="L68" s="37"/>
      <c r="M68" s="37"/>
      <c r="N68" s="37"/>
      <c r="O68" s="37"/>
      <c r="P68" s="37"/>
      <c r="Q68" s="37"/>
      <c r="R68" s="31" t="n">
        <f aca="false">COUNT($M68:$Q68)</f>
        <v>0</v>
      </c>
      <c r="S68" s="32" t="str">
        <f aca="false">IF($L68="","",IF($R68&gt;=5,"",MAX($L68:$Q68)+CHOOSE($R68+1,SETTINGS!$C$9,SETTINGS!$C$10,SETTINGS!$C$11,SETTINGS!$C$12,SETTINGS!$C$13)))</f>
        <v/>
      </c>
      <c r="T68" s="34" t="str">
        <f aca="true">IF($H68="","(chưa có nội dung)",IF($L68="",IF($C68&lt;TODAY(),"⚠ TRỄ HỌC",IF($C68=TODAY(),"★ HỌC HÔM NAY","• Chưa tới")),IF($R68&gt;=5,"✔ MASTER",IF($S68&lt;TODAY(),"⚠ TRỄ ÔN",IF($S68=TODAY(),"◆ ÔN HÔM NAY","✔ Đúng tiến độ")))))</f>
        <v>• Chưa tới</v>
      </c>
      <c r="U68" s="38" t="n">
        <f aca="false">IF($H68="","",$R68/5)</f>
        <v>0</v>
      </c>
    </row>
    <row r="69" customFormat="false" ht="15" hidden="false" customHeight="false" outlineLevel="0" collapsed="false">
      <c r="A69" s="31" t="s">
        <v>559</v>
      </c>
      <c r="B69" s="31" t="n">
        <v>4</v>
      </c>
      <c r="C69" s="32" t="n">
        <f aca="false">SETTINGS!$C$3+$B69-1</f>
        <v>46303</v>
      </c>
      <c r="D69" s="33" t="s">
        <v>154</v>
      </c>
      <c r="E69" s="34" t="s">
        <v>522</v>
      </c>
      <c r="F69" s="34" t="s">
        <v>163</v>
      </c>
      <c r="G69" s="34" t="s">
        <v>560</v>
      </c>
      <c r="H69" s="35" t="s">
        <v>561</v>
      </c>
      <c r="I69" s="36" t="s">
        <v>562</v>
      </c>
      <c r="J69" s="34" t="s">
        <v>563</v>
      </c>
      <c r="K69" s="34" t="s">
        <v>564</v>
      </c>
      <c r="L69" s="37"/>
      <c r="M69" s="37"/>
      <c r="N69" s="37"/>
      <c r="O69" s="37"/>
      <c r="P69" s="37"/>
      <c r="Q69" s="37"/>
      <c r="R69" s="31" t="n">
        <f aca="false">COUNT($M69:$Q69)</f>
        <v>0</v>
      </c>
      <c r="S69" s="32" t="str">
        <f aca="false">IF($L69="","",IF($R69&gt;=5,"",MAX($L69:$Q69)+CHOOSE($R69+1,SETTINGS!$C$9,SETTINGS!$C$10,SETTINGS!$C$11,SETTINGS!$C$12,SETTINGS!$C$13)))</f>
        <v/>
      </c>
      <c r="T69" s="34" t="str">
        <f aca="true">IF($H69="","(chưa có nội dung)",IF($L69="",IF($C69&lt;TODAY(),"⚠ TRỄ HỌC",IF($C69=TODAY(),"★ HỌC HÔM NAY","• Chưa tới")),IF($R69&gt;=5,"✔ MASTER",IF($S69&lt;TODAY(),"⚠ TRỄ ÔN",IF($S69=TODAY(),"◆ ÔN HÔM NAY","✔ Đúng tiến độ")))))</f>
        <v>• Chưa tới</v>
      </c>
      <c r="U69" s="38" t="n">
        <f aca="false">IF($H69="","",$R69/5)</f>
        <v>0</v>
      </c>
    </row>
    <row r="70" customFormat="false" ht="15" hidden="false" customHeight="false" outlineLevel="0" collapsed="false">
      <c r="A70" s="31" t="s">
        <v>565</v>
      </c>
      <c r="B70" s="31" t="n">
        <v>4</v>
      </c>
      <c r="C70" s="32" t="n">
        <f aca="false">SETTINGS!$C$3+$B70-1</f>
        <v>46303</v>
      </c>
      <c r="D70" s="33" t="s">
        <v>154</v>
      </c>
      <c r="E70" s="34" t="s">
        <v>522</v>
      </c>
      <c r="F70" s="34" t="s">
        <v>163</v>
      </c>
      <c r="G70" s="34" t="s">
        <v>566</v>
      </c>
      <c r="H70" s="35" t="s">
        <v>567</v>
      </c>
      <c r="I70" s="36" t="s">
        <v>568</v>
      </c>
      <c r="J70" s="34" t="s">
        <v>569</v>
      </c>
      <c r="K70" s="34" t="s">
        <v>570</v>
      </c>
      <c r="L70" s="37"/>
      <c r="M70" s="37"/>
      <c r="N70" s="37"/>
      <c r="O70" s="37"/>
      <c r="P70" s="37"/>
      <c r="Q70" s="37"/>
      <c r="R70" s="31" t="n">
        <f aca="false">COUNT($M70:$Q70)</f>
        <v>0</v>
      </c>
      <c r="S70" s="32" t="str">
        <f aca="false">IF($L70="","",IF($R70&gt;=5,"",MAX($L70:$Q70)+CHOOSE($R70+1,SETTINGS!$C$9,SETTINGS!$C$10,SETTINGS!$C$11,SETTINGS!$C$12,SETTINGS!$C$13)))</f>
        <v/>
      </c>
      <c r="T70" s="34" t="str">
        <f aca="true">IF($H70="","(chưa có nội dung)",IF($L70="",IF($C70&lt;TODAY(),"⚠ TRỄ HỌC",IF($C70=TODAY(),"★ HỌC HÔM NAY","• Chưa tới")),IF($R70&gt;=5,"✔ MASTER",IF($S70&lt;TODAY(),"⚠ TRỄ ÔN",IF($S70=TODAY(),"◆ ÔN HÔM NAY","✔ Đúng tiến độ")))))</f>
        <v>• Chưa tới</v>
      </c>
      <c r="U70" s="38" t="n">
        <f aca="false">IF($H70="","",$R70/5)</f>
        <v>0</v>
      </c>
    </row>
    <row r="71" customFormat="false" ht="26.85" hidden="false" customHeight="false" outlineLevel="0" collapsed="false">
      <c r="A71" s="31" t="s">
        <v>571</v>
      </c>
      <c r="B71" s="31" t="n">
        <v>4</v>
      </c>
      <c r="C71" s="32" t="n">
        <f aca="false">SETTINGS!$C$3+$B71-1</f>
        <v>46303</v>
      </c>
      <c r="D71" s="33" t="s">
        <v>154</v>
      </c>
      <c r="E71" s="34" t="s">
        <v>522</v>
      </c>
      <c r="F71" s="34" t="s">
        <v>280</v>
      </c>
      <c r="G71" s="34" t="s">
        <v>572</v>
      </c>
      <c r="H71" s="35" t="s">
        <v>573</v>
      </c>
      <c r="I71" s="36" t="s">
        <v>574</v>
      </c>
      <c r="J71" s="34" t="s">
        <v>575</v>
      </c>
      <c r="K71" s="34" t="s">
        <v>576</v>
      </c>
      <c r="L71" s="37"/>
      <c r="M71" s="37"/>
      <c r="N71" s="37"/>
      <c r="O71" s="37"/>
      <c r="P71" s="37"/>
      <c r="Q71" s="37"/>
      <c r="R71" s="31" t="n">
        <f aca="false">COUNT($M71:$Q71)</f>
        <v>0</v>
      </c>
      <c r="S71" s="32" t="str">
        <f aca="false">IF($L71="","",IF($R71&gt;=5,"",MAX($L71:$Q71)+CHOOSE($R71+1,SETTINGS!$C$9,SETTINGS!$C$10,SETTINGS!$C$11,SETTINGS!$C$12,SETTINGS!$C$13)))</f>
        <v/>
      </c>
      <c r="T71" s="34" t="str">
        <f aca="true">IF($H71="","(chưa có nội dung)",IF($L71="",IF($C71&lt;TODAY(),"⚠ TRỄ HỌC",IF($C71=TODAY(),"★ HỌC HÔM NAY","• Chưa tới")),IF($R71&gt;=5,"✔ MASTER",IF($S71&lt;TODAY(),"⚠ TRỄ ÔN",IF($S71=TODAY(),"◆ ÔN HÔM NAY","✔ Đúng tiến độ")))))</f>
        <v>• Chưa tới</v>
      </c>
      <c r="U71" s="38" t="n">
        <f aca="false">IF($H71="","",$R71/5)</f>
        <v>0</v>
      </c>
    </row>
    <row r="72" customFormat="false" ht="15" hidden="false" customHeight="false" outlineLevel="0" collapsed="false">
      <c r="A72" s="31" t="s">
        <v>577</v>
      </c>
      <c r="B72" s="31" t="n">
        <v>4</v>
      </c>
      <c r="C72" s="32" t="n">
        <f aca="false">SETTINGS!$C$3+$B72-1</f>
        <v>46303</v>
      </c>
      <c r="D72" s="33" t="s">
        <v>154</v>
      </c>
      <c r="E72" s="34" t="s">
        <v>522</v>
      </c>
      <c r="F72" s="34" t="s">
        <v>163</v>
      </c>
      <c r="G72" s="34" t="s">
        <v>578</v>
      </c>
      <c r="H72" s="35" t="s">
        <v>579</v>
      </c>
      <c r="I72" s="36" t="s">
        <v>580</v>
      </c>
      <c r="J72" s="34" t="s">
        <v>581</v>
      </c>
      <c r="K72" s="34" t="s">
        <v>582</v>
      </c>
      <c r="L72" s="37"/>
      <c r="M72" s="37"/>
      <c r="N72" s="37"/>
      <c r="O72" s="37"/>
      <c r="P72" s="37"/>
      <c r="Q72" s="37"/>
      <c r="R72" s="31" t="n">
        <f aca="false">COUNT($M72:$Q72)</f>
        <v>0</v>
      </c>
      <c r="S72" s="32" t="str">
        <f aca="false">IF($L72="","",IF($R72&gt;=5,"",MAX($L72:$Q72)+CHOOSE($R72+1,SETTINGS!$C$9,SETTINGS!$C$10,SETTINGS!$C$11,SETTINGS!$C$12,SETTINGS!$C$13)))</f>
        <v/>
      </c>
      <c r="T72" s="34" t="str">
        <f aca="true">IF($H72="","(chưa có nội dung)",IF($L72="",IF($C72&lt;TODAY(),"⚠ TRỄ HỌC",IF($C72=TODAY(),"★ HỌC HÔM NAY","• Chưa tới")),IF($R72&gt;=5,"✔ MASTER",IF($S72&lt;TODAY(),"⚠ TRỄ ÔN",IF($S72=TODAY(),"◆ ÔN HÔM NAY","✔ Đúng tiến độ")))))</f>
        <v>• Chưa tới</v>
      </c>
      <c r="U72" s="38" t="n">
        <f aca="false">IF($H72="","",$R72/5)</f>
        <v>0</v>
      </c>
    </row>
    <row r="73" customFormat="false" ht="15" hidden="false" customHeight="false" outlineLevel="0" collapsed="false">
      <c r="A73" s="31" t="s">
        <v>583</v>
      </c>
      <c r="B73" s="31" t="n">
        <v>4</v>
      </c>
      <c r="C73" s="32" t="n">
        <f aca="false">SETTINGS!$C$3+$B73-1</f>
        <v>46303</v>
      </c>
      <c r="D73" s="33" t="s">
        <v>154</v>
      </c>
      <c r="E73" s="34" t="s">
        <v>522</v>
      </c>
      <c r="F73" s="34" t="s">
        <v>280</v>
      </c>
      <c r="G73" s="34" t="s">
        <v>584</v>
      </c>
      <c r="H73" s="35" t="s">
        <v>585</v>
      </c>
      <c r="I73" s="36" t="s">
        <v>586</v>
      </c>
      <c r="J73" s="34" t="s">
        <v>587</v>
      </c>
      <c r="K73" s="34" t="s">
        <v>588</v>
      </c>
      <c r="L73" s="37"/>
      <c r="M73" s="37"/>
      <c r="N73" s="37"/>
      <c r="O73" s="37"/>
      <c r="P73" s="37"/>
      <c r="Q73" s="37"/>
      <c r="R73" s="31" t="n">
        <f aca="false">COUNT($M73:$Q73)</f>
        <v>0</v>
      </c>
      <c r="S73" s="32" t="str">
        <f aca="false">IF($L73="","",IF($R73&gt;=5,"",MAX($L73:$Q73)+CHOOSE($R73+1,SETTINGS!$C$9,SETTINGS!$C$10,SETTINGS!$C$11,SETTINGS!$C$12,SETTINGS!$C$13)))</f>
        <v/>
      </c>
      <c r="T73" s="34" t="str">
        <f aca="true">IF($H73="","(chưa có nội dung)",IF($L73="",IF($C73&lt;TODAY(),"⚠ TRỄ HỌC",IF($C73=TODAY(),"★ HỌC HÔM NAY","• Chưa tới")),IF($R73&gt;=5,"✔ MASTER",IF($S73&lt;TODAY(),"⚠ TRỄ ÔN",IF($S73=TODAY(),"◆ ÔN HÔM NAY","✔ Đúng tiến độ")))))</f>
        <v>• Chưa tới</v>
      </c>
      <c r="U73" s="38" t="n">
        <f aca="false">IF($H73="","",$R73/5)</f>
        <v>0</v>
      </c>
    </row>
    <row r="74" customFormat="false" ht="15" hidden="false" customHeight="false" outlineLevel="0" collapsed="false">
      <c r="A74" s="31" t="s">
        <v>589</v>
      </c>
      <c r="B74" s="31" t="n">
        <v>4</v>
      </c>
      <c r="C74" s="32" t="n">
        <f aca="false">SETTINGS!$C$3+$B74-1</f>
        <v>46303</v>
      </c>
      <c r="D74" s="33" t="s">
        <v>154</v>
      </c>
      <c r="E74" s="34" t="s">
        <v>522</v>
      </c>
      <c r="F74" s="34" t="s">
        <v>280</v>
      </c>
      <c r="G74" s="34" t="s">
        <v>590</v>
      </c>
      <c r="H74" s="35" t="s">
        <v>591</v>
      </c>
      <c r="I74" s="36" t="s">
        <v>592</v>
      </c>
      <c r="J74" s="34" t="s">
        <v>593</v>
      </c>
      <c r="K74" s="34" t="s">
        <v>594</v>
      </c>
      <c r="L74" s="37"/>
      <c r="M74" s="37"/>
      <c r="N74" s="37"/>
      <c r="O74" s="37"/>
      <c r="P74" s="37"/>
      <c r="Q74" s="37"/>
      <c r="R74" s="31" t="n">
        <f aca="false">COUNT($M74:$Q74)</f>
        <v>0</v>
      </c>
      <c r="S74" s="32" t="str">
        <f aca="false">IF($L74="","",IF($R74&gt;=5,"",MAX($L74:$Q74)+CHOOSE($R74+1,SETTINGS!$C$9,SETTINGS!$C$10,SETTINGS!$C$11,SETTINGS!$C$12,SETTINGS!$C$13)))</f>
        <v/>
      </c>
      <c r="T74" s="34" t="str">
        <f aca="true">IF($H74="","(chưa có nội dung)",IF($L74="",IF($C74&lt;TODAY(),"⚠ TRỄ HỌC",IF($C74=TODAY(),"★ HỌC HÔM NAY","• Chưa tới")),IF($R74&gt;=5,"✔ MASTER",IF($S74&lt;TODAY(),"⚠ TRỄ ÔN",IF($S74=TODAY(),"◆ ÔN HÔM NAY","✔ Đúng tiến độ")))))</f>
        <v>• Chưa tới</v>
      </c>
      <c r="U74" s="38" t="n">
        <f aca="false">IF($H74="","",$R74/5)</f>
        <v>0</v>
      </c>
    </row>
    <row r="75" customFormat="false" ht="15" hidden="false" customHeight="false" outlineLevel="0" collapsed="false">
      <c r="A75" s="31" t="s">
        <v>595</v>
      </c>
      <c r="B75" s="31" t="n">
        <v>4</v>
      </c>
      <c r="C75" s="32" t="n">
        <f aca="false">SETTINGS!$C$3+$B75-1</f>
        <v>46303</v>
      </c>
      <c r="D75" s="33" t="s">
        <v>154</v>
      </c>
      <c r="E75" s="34" t="s">
        <v>522</v>
      </c>
      <c r="F75" s="34" t="s">
        <v>202</v>
      </c>
      <c r="G75" s="34" t="s">
        <v>596</v>
      </c>
      <c r="H75" s="35" t="s">
        <v>597</v>
      </c>
      <c r="I75" s="36" t="s">
        <v>598</v>
      </c>
      <c r="J75" s="34" t="s">
        <v>599</v>
      </c>
      <c r="K75" s="34" t="s">
        <v>600</v>
      </c>
      <c r="L75" s="37"/>
      <c r="M75" s="37"/>
      <c r="N75" s="37"/>
      <c r="O75" s="37"/>
      <c r="P75" s="37"/>
      <c r="Q75" s="37"/>
      <c r="R75" s="31" t="n">
        <f aca="false">COUNT($M75:$Q75)</f>
        <v>0</v>
      </c>
      <c r="S75" s="32" t="str">
        <f aca="false">IF($L75="","",IF($R75&gt;=5,"",MAX($L75:$Q75)+CHOOSE($R75+1,SETTINGS!$C$9,SETTINGS!$C$10,SETTINGS!$C$11,SETTINGS!$C$12,SETTINGS!$C$13)))</f>
        <v/>
      </c>
      <c r="T75" s="34" t="str">
        <f aca="true">IF($H75="","(chưa có nội dung)",IF($L75="",IF($C75&lt;TODAY(),"⚠ TRỄ HỌC",IF($C75=TODAY(),"★ HỌC HÔM NAY","• Chưa tới")),IF($R75&gt;=5,"✔ MASTER",IF($S75&lt;TODAY(),"⚠ TRỄ ÔN",IF($S75=TODAY(),"◆ ÔN HÔM NAY","✔ Đúng tiến độ")))))</f>
        <v>• Chưa tới</v>
      </c>
      <c r="U75" s="38" t="n">
        <f aca="false">IF($H75="","",$R75/5)</f>
        <v>0</v>
      </c>
    </row>
    <row r="76" customFormat="false" ht="15" hidden="false" customHeight="false" outlineLevel="0" collapsed="false">
      <c r="A76" s="31" t="s">
        <v>601</v>
      </c>
      <c r="B76" s="31" t="n">
        <v>4</v>
      </c>
      <c r="C76" s="32" t="n">
        <f aca="false">SETTINGS!$C$3+$B76-1</f>
        <v>46303</v>
      </c>
      <c r="D76" s="33" t="s">
        <v>154</v>
      </c>
      <c r="E76" s="34" t="s">
        <v>522</v>
      </c>
      <c r="F76" s="34" t="s">
        <v>280</v>
      </c>
      <c r="G76" s="34" t="s">
        <v>602</v>
      </c>
      <c r="H76" s="35" t="s">
        <v>603</v>
      </c>
      <c r="I76" s="36" t="s">
        <v>604</v>
      </c>
      <c r="J76" s="34" t="s">
        <v>605</v>
      </c>
      <c r="K76" s="34" t="s">
        <v>606</v>
      </c>
      <c r="L76" s="37"/>
      <c r="M76" s="37"/>
      <c r="N76" s="37"/>
      <c r="O76" s="37"/>
      <c r="P76" s="37"/>
      <c r="Q76" s="37"/>
      <c r="R76" s="31" t="n">
        <f aca="false">COUNT($M76:$Q76)</f>
        <v>0</v>
      </c>
      <c r="S76" s="32" t="str">
        <f aca="false">IF($L76="","",IF($R76&gt;=5,"",MAX($L76:$Q76)+CHOOSE($R76+1,SETTINGS!$C$9,SETTINGS!$C$10,SETTINGS!$C$11,SETTINGS!$C$12,SETTINGS!$C$13)))</f>
        <v/>
      </c>
      <c r="T76" s="34" t="str">
        <f aca="true">IF($H76="","(chưa có nội dung)",IF($L76="",IF($C76&lt;TODAY(),"⚠ TRỄ HỌC",IF($C76=TODAY(),"★ HỌC HÔM NAY","• Chưa tới")),IF($R76&gt;=5,"✔ MASTER",IF($S76&lt;TODAY(),"⚠ TRỄ ÔN",IF($S76=TODAY(),"◆ ÔN HÔM NAY","✔ Đúng tiến độ")))))</f>
        <v>• Chưa tới</v>
      </c>
      <c r="U76" s="38" t="n">
        <f aca="false">IF($H76="","",$R76/5)</f>
        <v>0</v>
      </c>
    </row>
    <row r="77" customFormat="false" ht="15" hidden="false" customHeight="false" outlineLevel="0" collapsed="false">
      <c r="A77" s="31" t="s">
        <v>607</v>
      </c>
      <c r="B77" s="31" t="n">
        <v>4</v>
      </c>
      <c r="C77" s="32" t="n">
        <f aca="false">SETTINGS!$C$3+$B77-1</f>
        <v>46303</v>
      </c>
      <c r="D77" s="33" t="s">
        <v>154</v>
      </c>
      <c r="E77" s="34" t="s">
        <v>522</v>
      </c>
      <c r="F77" s="34" t="s">
        <v>497</v>
      </c>
      <c r="G77" s="34" t="s">
        <v>608</v>
      </c>
      <c r="H77" s="35" t="s">
        <v>609</v>
      </c>
      <c r="I77" s="36" t="s">
        <v>610</v>
      </c>
      <c r="J77" s="34" t="s">
        <v>611</v>
      </c>
      <c r="K77" s="34" t="s">
        <v>612</v>
      </c>
      <c r="L77" s="37"/>
      <c r="M77" s="37"/>
      <c r="N77" s="37"/>
      <c r="O77" s="37"/>
      <c r="P77" s="37"/>
      <c r="Q77" s="37"/>
      <c r="R77" s="31" t="n">
        <f aca="false">COUNT($M77:$Q77)</f>
        <v>0</v>
      </c>
      <c r="S77" s="32" t="str">
        <f aca="false">IF($L77="","",IF($R77&gt;=5,"",MAX($L77:$Q77)+CHOOSE($R77+1,SETTINGS!$C$9,SETTINGS!$C$10,SETTINGS!$C$11,SETTINGS!$C$12,SETTINGS!$C$13)))</f>
        <v/>
      </c>
      <c r="T77" s="34" t="str">
        <f aca="true">IF($H77="","(chưa có nội dung)",IF($L77="",IF($C77&lt;TODAY(),"⚠ TRỄ HỌC",IF($C77=TODAY(),"★ HỌC HÔM NAY","• Chưa tới")),IF($R77&gt;=5,"✔ MASTER",IF($S77&lt;TODAY(),"⚠ TRỄ ÔN",IF($S77=TODAY(),"◆ ÔN HÔM NAY","✔ Đúng tiến độ")))))</f>
        <v>• Chưa tới</v>
      </c>
      <c r="U77" s="38" t="n">
        <f aca="false">IF($H77="","",$R77/5)</f>
        <v>0</v>
      </c>
    </row>
    <row r="78" customFormat="false" ht="15" hidden="false" customHeight="false" outlineLevel="0" collapsed="false">
      <c r="A78" s="31" t="s">
        <v>613</v>
      </c>
      <c r="B78" s="31" t="n">
        <v>4</v>
      </c>
      <c r="C78" s="32" t="n">
        <f aca="false">SETTINGS!$C$3+$B78-1</f>
        <v>46303</v>
      </c>
      <c r="D78" s="33" t="s">
        <v>154</v>
      </c>
      <c r="E78" s="34" t="s">
        <v>522</v>
      </c>
      <c r="F78" s="34" t="s">
        <v>280</v>
      </c>
      <c r="G78" s="34" t="s">
        <v>614</v>
      </c>
      <c r="H78" s="35" t="s">
        <v>615</v>
      </c>
      <c r="I78" s="36" t="s">
        <v>616</v>
      </c>
      <c r="J78" s="34" t="s">
        <v>617</v>
      </c>
      <c r="K78" s="34" t="s">
        <v>618</v>
      </c>
      <c r="L78" s="37"/>
      <c r="M78" s="37"/>
      <c r="N78" s="37"/>
      <c r="O78" s="37"/>
      <c r="P78" s="37"/>
      <c r="Q78" s="37"/>
      <c r="R78" s="31" t="n">
        <f aca="false">COUNT($M78:$Q78)</f>
        <v>0</v>
      </c>
      <c r="S78" s="32" t="str">
        <f aca="false">IF($L78="","",IF($R78&gt;=5,"",MAX($L78:$Q78)+CHOOSE($R78+1,SETTINGS!$C$9,SETTINGS!$C$10,SETTINGS!$C$11,SETTINGS!$C$12,SETTINGS!$C$13)))</f>
        <v/>
      </c>
      <c r="T78" s="34" t="str">
        <f aca="true">IF($H78="","(chưa có nội dung)",IF($L78="",IF($C78&lt;TODAY(),"⚠ TRỄ HỌC",IF($C78=TODAY(),"★ HỌC HÔM NAY","• Chưa tới")),IF($R78&gt;=5,"✔ MASTER",IF($S78&lt;TODAY(),"⚠ TRỄ ÔN",IF($S78=TODAY(),"◆ ÔN HÔM NAY","✔ Đúng tiến độ")))))</f>
        <v>• Chưa tới</v>
      </c>
      <c r="U78" s="38" t="n">
        <f aca="false">IF($H78="","",$R78/5)</f>
        <v>0</v>
      </c>
    </row>
    <row r="79" customFormat="false" ht="15" hidden="false" customHeight="false" outlineLevel="0" collapsed="false">
      <c r="A79" s="31" t="s">
        <v>619</v>
      </c>
      <c r="B79" s="31" t="n">
        <v>4</v>
      </c>
      <c r="C79" s="32" t="n">
        <f aca="false">SETTINGS!$C$3+$B79-1</f>
        <v>46303</v>
      </c>
      <c r="D79" s="33" t="s">
        <v>154</v>
      </c>
      <c r="E79" s="34" t="s">
        <v>522</v>
      </c>
      <c r="F79" s="34" t="s">
        <v>163</v>
      </c>
      <c r="G79" s="34" t="s">
        <v>620</v>
      </c>
      <c r="H79" s="35" t="s">
        <v>621</v>
      </c>
      <c r="I79" s="36" t="s">
        <v>622</v>
      </c>
      <c r="J79" s="34" t="s">
        <v>623</v>
      </c>
      <c r="K79" s="34" t="s">
        <v>624</v>
      </c>
      <c r="L79" s="37"/>
      <c r="M79" s="37"/>
      <c r="N79" s="37"/>
      <c r="O79" s="37"/>
      <c r="P79" s="37"/>
      <c r="Q79" s="37"/>
      <c r="R79" s="31" t="n">
        <f aca="false">COUNT($M79:$Q79)</f>
        <v>0</v>
      </c>
      <c r="S79" s="32" t="str">
        <f aca="false">IF($L79="","",IF($R79&gt;=5,"",MAX($L79:$Q79)+CHOOSE($R79+1,SETTINGS!$C$9,SETTINGS!$C$10,SETTINGS!$C$11,SETTINGS!$C$12,SETTINGS!$C$13)))</f>
        <v/>
      </c>
      <c r="T79" s="34" t="str">
        <f aca="true">IF($H79="","(chưa có nội dung)",IF($L79="",IF($C79&lt;TODAY(),"⚠ TRỄ HỌC",IF($C79=TODAY(),"★ HỌC HÔM NAY","• Chưa tới")),IF($R79&gt;=5,"✔ MASTER",IF($S79&lt;TODAY(),"⚠ TRỄ ÔN",IF($S79=TODAY(),"◆ ÔN HÔM NAY","✔ Đúng tiến độ")))))</f>
        <v>• Chưa tới</v>
      </c>
      <c r="U79" s="38" t="n">
        <f aca="false">IF($H79="","",$R79/5)</f>
        <v>0</v>
      </c>
    </row>
    <row r="80" customFormat="false" ht="15" hidden="false" customHeight="false" outlineLevel="0" collapsed="false">
      <c r="A80" s="31" t="s">
        <v>625</v>
      </c>
      <c r="B80" s="31" t="n">
        <v>4</v>
      </c>
      <c r="C80" s="32" t="n">
        <f aca="false">SETTINGS!$C$3+$B80-1</f>
        <v>46303</v>
      </c>
      <c r="D80" s="33" t="s">
        <v>154</v>
      </c>
      <c r="E80" s="34" t="s">
        <v>522</v>
      </c>
      <c r="F80" s="34" t="s">
        <v>280</v>
      </c>
      <c r="G80" s="34" t="s">
        <v>626</v>
      </c>
      <c r="H80" s="35" t="s">
        <v>627</v>
      </c>
      <c r="I80" s="36" t="s">
        <v>628</v>
      </c>
      <c r="J80" s="34" t="s">
        <v>629</v>
      </c>
      <c r="K80" s="34" t="s">
        <v>630</v>
      </c>
      <c r="L80" s="37"/>
      <c r="M80" s="37"/>
      <c r="N80" s="37"/>
      <c r="O80" s="37"/>
      <c r="P80" s="37"/>
      <c r="Q80" s="37"/>
      <c r="R80" s="31" t="n">
        <f aca="false">COUNT($M80:$Q80)</f>
        <v>0</v>
      </c>
      <c r="S80" s="32" t="str">
        <f aca="false">IF($L80="","",IF($R80&gt;=5,"",MAX($L80:$Q80)+CHOOSE($R80+1,SETTINGS!$C$9,SETTINGS!$C$10,SETTINGS!$C$11,SETTINGS!$C$12,SETTINGS!$C$13)))</f>
        <v/>
      </c>
      <c r="T80" s="34" t="str">
        <f aca="true">IF($H80="","(chưa có nội dung)",IF($L80="",IF($C80&lt;TODAY(),"⚠ TRỄ HỌC",IF($C80=TODAY(),"★ HỌC HÔM NAY","• Chưa tới")),IF($R80&gt;=5,"✔ MASTER",IF($S80&lt;TODAY(),"⚠ TRỄ ÔN",IF($S80=TODAY(),"◆ ÔN HÔM NAY","✔ Đúng tiến độ")))))</f>
        <v>• Chưa tới</v>
      </c>
      <c r="U80" s="38" t="n">
        <f aca="false">IF($H80="","",$R80/5)</f>
        <v>0</v>
      </c>
    </row>
    <row r="81" customFormat="false" ht="15" hidden="false" customHeight="false" outlineLevel="0" collapsed="false">
      <c r="A81" s="31" t="s">
        <v>631</v>
      </c>
      <c r="B81" s="31" t="n">
        <v>4</v>
      </c>
      <c r="C81" s="32" t="n">
        <f aca="false">SETTINGS!$C$3+$B81-1</f>
        <v>46303</v>
      </c>
      <c r="D81" s="33" t="s">
        <v>154</v>
      </c>
      <c r="E81" s="34" t="s">
        <v>522</v>
      </c>
      <c r="F81" s="34" t="s">
        <v>280</v>
      </c>
      <c r="G81" s="34" t="s">
        <v>632</v>
      </c>
      <c r="H81" s="35" t="s">
        <v>633</v>
      </c>
      <c r="I81" s="36" t="s">
        <v>634</v>
      </c>
      <c r="J81" s="34" t="s">
        <v>635</v>
      </c>
      <c r="K81" s="34" t="s">
        <v>636</v>
      </c>
      <c r="L81" s="37"/>
      <c r="M81" s="37"/>
      <c r="N81" s="37"/>
      <c r="O81" s="37"/>
      <c r="P81" s="37"/>
      <c r="Q81" s="37"/>
      <c r="R81" s="31" t="n">
        <f aca="false">COUNT($M81:$Q81)</f>
        <v>0</v>
      </c>
      <c r="S81" s="32" t="str">
        <f aca="false">IF($L81="","",IF($R81&gt;=5,"",MAX($L81:$Q81)+CHOOSE($R81+1,SETTINGS!$C$9,SETTINGS!$C$10,SETTINGS!$C$11,SETTINGS!$C$12,SETTINGS!$C$13)))</f>
        <v/>
      </c>
      <c r="T81" s="34" t="str">
        <f aca="true">IF($H81="","(chưa có nội dung)",IF($L81="",IF($C81&lt;TODAY(),"⚠ TRỄ HỌC",IF($C81=TODAY(),"★ HỌC HÔM NAY","• Chưa tới")),IF($R81&gt;=5,"✔ MASTER",IF($S81&lt;TODAY(),"⚠ TRỄ ÔN",IF($S81=TODAY(),"◆ ÔN HÔM NAY","✔ Đúng tiến độ")))))</f>
        <v>• Chưa tới</v>
      </c>
      <c r="U81" s="38" t="n">
        <f aca="false">IF($H81="","",$R81/5)</f>
        <v>0</v>
      </c>
    </row>
    <row r="82" customFormat="false" ht="15" hidden="false" customHeight="false" outlineLevel="0" collapsed="false">
      <c r="A82" s="31" t="s">
        <v>637</v>
      </c>
      <c r="B82" s="31" t="n">
        <v>4</v>
      </c>
      <c r="C82" s="32" t="n">
        <f aca="false">SETTINGS!$C$3+$B82-1</f>
        <v>46303</v>
      </c>
      <c r="D82" s="33" t="s">
        <v>154</v>
      </c>
      <c r="E82" s="34" t="s">
        <v>522</v>
      </c>
      <c r="F82" s="34" t="s">
        <v>280</v>
      </c>
      <c r="G82" s="34" t="s">
        <v>638</v>
      </c>
      <c r="H82" s="35" t="s">
        <v>639</v>
      </c>
      <c r="I82" s="36" t="s">
        <v>640</v>
      </c>
      <c r="J82" s="34" t="s">
        <v>641</v>
      </c>
      <c r="K82" s="34" t="s">
        <v>642</v>
      </c>
      <c r="L82" s="37"/>
      <c r="M82" s="37"/>
      <c r="N82" s="37"/>
      <c r="O82" s="37"/>
      <c r="P82" s="37"/>
      <c r="Q82" s="37"/>
      <c r="R82" s="31" t="n">
        <f aca="false">COUNT($M82:$Q82)</f>
        <v>0</v>
      </c>
      <c r="S82" s="32" t="str">
        <f aca="false">IF($L82="","",IF($R82&gt;=5,"",MAX($L82:$Q82)+CHOOSE($R82+1,SETTINGS!$C$9,SETTINGS!$C$10,SETTINGS!$C$11,SETTINGS!$C$12,SETTINGS!$C$13)))</f>
        <v/>
      </c>
      <c r="T82" s="34" t="str">
        <f aca="true">IF($H82="","(chưa có nội dung)",IF($L82="",IF($C82&lt;TODAY(),"⚠ TRỄ HỌC",IF($C82=TODAY(),"★ HỌC HÔM NAY","• Chưa tới")),IF($R82&gt;=5,"✔ MASTER",IF($S82&lt;TODAY(),"⚠ TRỄ ÔN",IF($S82=TODAY(),"◆ ÔN HÔM NAY","✔ Đúng tiến độ")))))</f>
        <v>• Chưa tới</v>
      </c>
      <c r="U82" s="38" t="n">
        <f aca="false">IF($H82="","",$R82/5)</f>
        <v>0</v>
      </c>
    </row>
    <row r="83" customFormat="false" ht="15" hidden="false" customHeight="false" outlineLevel="0" collapsed="false">
      <c r="A83" s="31" t="s">
        <v>643</v>
      </c>
      <c r="B83" s="31" t="n">
        <v>5</v>
      </c>
      <c r="C83" s="32" t="n">
        <f aca="false">SETTINGS!$C$3+$B83-1</f>
        <v>46304</v>
      </c>
      <c r="D83" s="33" t="s">
        <v>154</v>
      </c>
      <c r="E83" s="34" t="s">
        <v>644</v>
      </c>
      <c r="F83" s="34" t="s">
        <v>280</v>
      </c>
      <c r="G83" s="34" t="s">
        <v>645</v>
      </c>
      <c r="H83" s="35" t="s">
        <v>646</v>
      </c>
      <c r="I83" s="36" t="s">
        <v>647</v>
      </c>
      <c r="J83" s="34" t="s">
        <v>648</v>
      </c>
      <c r="K83" s="34" t="s">
        <v>649</v>
      </c>
      <c r="L83" s="37"/>
      <c r="M83" s="37"/>
      <c r="N83" s="37"/>
      <c r="O83" s="37"/>
      <c r="P83" s="37"/>
      <c r="Q83" s="37"/>
      <c r="R83" s="31" t="n">
        <f aca="false">COUNT($M83:$Q83)</f>
        <v>0</v>
      </c>
      <c r="S83" s="32" t="str">
        <f aca="false">IF($L83="","",IF($R83&gt;=5,"",MAX($L83:$Q83)+CHOOSE($R83+1,SETTINGS!$C$9,SETTINGS!$C$10,SETTINGS!$C$11,SETTINGS!$C$12,SETTINGS!$C$13)))</f>
        <v/>
      </c>
      <c r="T83" s="34" t="str">
        <f aca="true">IF($H83="","(chưa có nội dung)",IF($L83="",IF($C83&lt;TODAY(),"⚠ TRỄ HỌC",IF($C83=TODAY(),"★ HỌC HÔM NAY","• Chưa tới")),IF($R83&gt;=5,"✔ MASTER",IF($S83&lt;TODAY(),"⚠ TRỄ ÔN",IF($S83=TODAY(),"◆ ÔN HÔM NAY","✔ Đúng tiến độ")))))</f>
        <v>• Chưa tới</v>
      </c>
      <c r="U83" s="38" t="n">
        <f aca="false">IF($H83="","",$R83/5)</f>
        <v>0</v>
      </c>
    </row>
    <row r="84" customFormat="false" ht="15" hidden="false" customHeight="false" outlineLevel="0" collapsed="false">
      <c r="A84" s="31" t="s">
        <v>650</v>
      </c>
      <c r="B84" s="31" t="n">
        <v>5</v>
      </c>
      <c r="C84" s="32" t="n">
        <f aca="false">SETTINGS!$C$3+$B84-1</f>
        <v>46304</v>
      </c>
      <c r="D84" s="33" t="s">
        <v>154</v>
      </c>
      <c r="E84" s="34" t="s">
        <v>644</v>
      </c>
      <c r="F84" s="34" t="s">
        <v>280</v>
      </c>
      <c r="G84" s="34" t="s">
        <v>651</v>
      </c>
      <c r="H84" s="35" t="s">
        <v>652</v>
      </c>
      <c r="I84" s="36" t="s">
        <v>653</v>
      </c>
      <c r="J84" s="34" t="s">
        <v>654</v>
      </c>
      <c r="K84" s="34" t="s">
        <v>655</v>
      </c>
      <c r="L84" s="37"/>
      <c r="M84" s="37"/>
      <c r="N84" s="37"/>
      <c r="O84" s="37"/>
      <c r="P84" s="37"/>
      <c r="Q84" s="37"/>
      <c r="R84" s="31" t="n">
        <f aca="false">COUNT($M84:$Q84)</f>
        <v>0</v>
      </c>
      <c r="S84" s="32" t="str">
        <f aca="false">IF($L84="","",IF($R84&gt;=5,"",MAX($L84:$Q84)+CHOOSE($R84+1,SETTINGS!$C$9,SETTINGS!$C$10,SETTINGS!$C$11,SETTINGS!$C$12,SETTINGS!$C$13)))</f>
        <v/>
      </c>
      <c r="T84" s="34" t="str">
        <f aca="true">IF($H84="","(chưa có nội dung)",IF($L84="",IF($C84&lt;TODAY(),"⚠ TRỄ HỌC",IF($C84=TODAY(),"★ HỌC HÔM NAY","• Chưa tới")),IF($R84&gt;=5,"✔ MASTER",IF($S84&lt;TODAY(),"⚠ TRỄ ÔN",IF($S84=TODAY(),"◆ ÔN HÔM NAY","✔ Đúng tiến độ")))))</f>
        <v>• Chưa tới</v>
      </c>
      <c r="U84" s="38" t="n">
        <f aca="false">IF($H84="","",$R84/5)</f>
        <v>0</v>
      </c>
    </row>
    <row r="85" customFormat="false" ht="15" hidden="false" customHeight="false" outlineLevel="0" collapsed="false">
      <c r="A85" s="31" t="s">
        <v>656</v>
      </c>
      <c r="B85" s="31" t="n">
        <v>5</v>
      </c>
      <c r="C85" s="32" t="n">
        <f aca="false">SETTINGS!$C$3+$B85-1</f>
        <v>46304</v>
      </c>
      <c r="D85" s="33" t="s">
        <v>154</v>
      </c>
      <c r="E85" s="34" t="s">
        <v>644</v>
      </c>
      <c r="F85" s="34" t="s">
        <v>280</v>
      </c>
      <c r="G85" s="34" t="s">
        <v>657</v>
      </c>
      <c r="H85" s="35" t="s">
        <v>658</v>
      </c>
      <c r="I85" s="36" t="s">
        <v>659</v>
      </c>
      <c r="J85" s="34" t="s">
        <v>660</v>
      </c>
      <c r="K85" s="34" t="s">
        <v>661</v>
      </c>
      <c r="L85" s="37"/>
      <c r="M85" s="37"/>
      <c r="N85" s="37"/>
      <c r="O85" s="37"/>
      <c r="P85" s="37"/>
      <c r="Q85" s="37"/>
      <c r="R85" s="31" t="n">
        <f aca="false">COUNT($M85:$Q85)</f>
        <v>0</v>
      </c>
      <c r="S85" s="32" t="str">
        <f aca="false">IF($L85="","",IF($R85&gt;=5,"",MAX($L85:$Q85)+CHOOSE($R85+1,SETTINGS!$C$9,SETTINGS!$C$10,SETTINGS!$C$11,SETTINGS!$C$12,SETTINGS!$C$13)))</f>
        <v/>
      </c>
      <c r="T85" s="34" t="str">
        <f aca="true">IF($H85="","(chưa có nội dung)",IF($L85="",IF($C85&lt;TODAY(),"⚠ TRỄ HỌC",IF($C85=TODAY(),"★ HỌC HÔM NAY","• Chưa tới")),IF($R85&gt;=5,"✔ MASTER",IF($S85&lt;TODAY(),"⚠ TRỄ ÔN",IF($S85=TODAY(),"◆ ÔN HÔM NAY","✔ Đúng tiến độ")))))</f>
        <v>• Chưa tới</v>
      </c>
      <c r="U85" s="38" t="n">
        <f aca="false">IF($H85="","",$R85/5)</f>
        <v>0</v>
      </c>
    </row>
    <row r="86" customFormat="false" ht="15" hidden="false" customHeight="false" outlineLevel="0" collapsed="false">
      <c r="A86" s="31" t="s">
        <v>662</v>
      </c>
      <c r="B86" s="31" t="n">
        <v>5</v>
      </c>
      <c r="C86" s="32" t="n">
        <f aca="false">SETTINGS!$C$3+$B86-1</f>
        <v>46304</v>
      </c>
      <c r="D86" s="33" t="s">
        <v>154</v>
      </c>
      <c r="E86" s="34" t="s">
        <v>644</v>
      </c>
      <c r="F86" s="34" t="s">
        <v>280</v>
      </c>
      <c r="G86" s="34" t="s">
        <v>663</v>
      </c>
      <c r="H86" s="35" t="s">
        <v>664</v>
      </c>
      <c r="I86" s="36" t="s">
        <v>665</v>
      </c>
      <c r="J86" s="34" t="s">
        <v>666</v>
      </c>
      <c r="K86" s="34" t="s">
        <v>667</v>
      </c>
      <c r="L86" s="37"/>
      <c r="M86" s="37"/>
      <c r="N86" s="37"/>
      <c r="O86" s="37"/>
      <c r="P86" s="37"/>
      <c r="Q86" s="37"/>
      <c r="R86" s="31" t="n">
        <f aca="false">COUNT($M86:$Q86)</f>
        <v>0</v>
      </c>
      <c r="S86" s="32" t="str">
        <f aca="false">IF($L86="","",IF($R86&gt;=5,"",MAX($L86:$Q86)+CHOOSE($R86+1,SETTINGS!$C$9,SETTINGS!$C$10,SETTINGS!$C$11,SETTINGS!$C$12,SETTINGS!$C$13)))</f>
        <v/>
      </c>
      <c r="T86" s="34" t="str">
        <f aca="true">IF($H86="","(chưa có nội dung)",IF($L86="",IF($C86&lt;TODAY(),"⚠ TRỄ HỌC",IF($C86=TODAY(),"★ HỌC HÔM NAY","• Chưa tới")),IF($R86&gt;=5,"✔ MASTER",IF($S86&lt;TODAY(),"⚠ TRỄ ÔN",IF($S86=TODAY(),"◆ ÔN HÔM NAY","✔ Đúng tiến độ")))))</f>
        <v>• Chưa tới</v>
      </c>
      <c r="U86" s="38" t="n">
        <f aca="false">IF($H86="","",$R86/5)</f>
        <v>0</v>
      </c>
    </row>
    <row r="87" customFormat="false" ht="15" hidden="false" customHeight="false" outlineLevel="0" collapsed="false">
      <c r="A87" s="31" t="s">
        <v>668</v>
      </c>
      <c r="B87" s="31" t="n">
        <v>5</v>
      </c>
      <c r="C87" s="32" t="n">
        <f aca="false">SETTINGS!$C$3+$B87-1</f>
        <v>46304</v>
      </c>
      <c r="D87" s="33" t="s">
        <v>154</v>
      </c>
      <c r="E87" s="34" t="s">
        <v>644</v>
      </c>
      <c r="F87" s="34" t="s">
        <v>280</v>
      </c>
      <c r="G87" s="34" t="s">
        <v>669</v>
      </c>
      <c r="H87" s="35" t="s">
        <v>670</v>
      </c>
      <c r="I87" s="36" t="s">
        <v>671</v>
      </c>
      <c r="J87" s="34" t="s">
        <v>672</v>
      </c>
      <c r="K87" s="34" t="s">
        <v>673</v>
      </c>
      <c r="L87" s="37"/>
      <c r="M87" s="37"/>
      <c r="N87" s="37"/>
      <c r="O87" s="37"/>
      <c r="P87" s="37"/>
      <c r="Q87" s="37"/>
      <c r="R87" s="31" t="n">
        <f aca="false">COUNT($M87:$Q87)</f>
        <v>0</v>
      </c>
      <c r="S87" s="32" t="str">
        <f aca="false">IF($L87="","",IF($R87&gt;=5,"",MAX($L87:$Q87)+CHOOSE($R87+1,SETTINGS!$C$9,SETTINGS!$C$10,SETTINGS!$C$11,SETTINGS!$C$12,SETTINGS!$C$13)))</f>
        <v/>
      </c>
      <c r="T87" s="34" t="str">
        <f aca="true">IF($H87="","(chưa có nội dung)",IF($L87="",IF($C87&lt;TODAY(),"⚠ TRỄ HỌC",IF($C87=TODAY(),"★ HỌC HÔM NAY","• Chưa tới")),IF($R87&gt;=5,"✔ MASTER",IF($S87&lt;TODAY(),"⚠ TRỄ ÔN",IF($S87=TODAY(),"◆ ÔN HÔM NAY","✔ Đúng tiến độ")))))</f>
        <v>• Chưa tới</v>
      </c>
      <c r="U87" s="38" t="n">
        <f aca="false">IF($H87="","",$R87/5)</f>
        <v>0</v>
      </c>
    </row>
    <row r="88" customFormat="false" ht="15" hidden="false" customHeight="false" outlineLevel="0" collapsed="false">
      <c r="A88" s="31" t="s">
        <v>674</v>
      </c>
      <c r="B88" s="31" t="n">
        <v>5</v>
      </c>
      <c r="C88" s="32" t="n">
        <f aca="false">SETTINGS!$C$3+$B88-1</f>
        <v>46304</v>
      </c>
      <c r="D88" s="33" t="s">
        <v>154</v>
      </c>
      <c r="E88" s="34" t="s">
        <v>644</v>
      </c>
      <c r="F88" s="34" t="s">
        <v>497</v>
      </c>
      <c r="G88" s="34" t="s">
        <v>675</v>
      </c>
      <c r="H88" s="35" t="s">
        <v>676</v>
      </c>
      <c r="I88" s="36" t="s">
        <v>677</v>
      </c>
      <c r="J88" s="34" t="s">
        <v>678</v>
      </c>
      <c r="K88" s="34" t="s">
        <v>679</v>
      </c>
      <c r="L88" s="37"/>
      <c r="M88" s="37"/>
      <c r="N88" s="37"/>
      <c r="O88" s="37"/>
      <c r="P88" s="37"/>
      <c r="Q88" s="37"/>
      <c r="R88" s="31" t="n">
        <f aca="false">COUNT($M88:$Q88)</f>
        <v>0</v>
      </c>
      <c r="S88" s="32" t="str">
        <f aca="false">IF($L88="","",IF($R88&gt;=5,"",MAX($L88:$Q88)+CHOOSE($R88+1,SETTINGS!$C$9,SETTINGS!$C$10,SETTINGS!$C$11,SETTINGS!$C$12,SETTINGS!$C$13)))</f>
        <v/>
      </c>
      <c r="T88" s="34" t="str">
        <f aca="true">IF($H88="","(chưa có nội dung)",IF($L88="",IF($C88&lt;TODAY(),"⚠ TRỄ HỌC",IF($C88=TODAY(),"★ HỌC HÔM NAY","• Chưa tới")),IF($R88&gt;=5,"✔ MASTER",IF($S88&lt;TODAY(),"⚠ TRỄ ÔN",IF($S88=TODAY(),"◆ ÔN HÔM NAY","✔ Đúng tiến độ")))))</f>
        <v>• Chưa tới</v>
      </c>
      <c r="U88" s="38" t="n">
        <f aca="false">IF($H88="","",$R88/5)</f>
        <v>0</v>
      </c>
    </row>
    <row r="89" customFormat="false" ht="15" hidden="false" customHeight="false" outlineLevel="0" collapsed="false">
      <c r="A89" s="31" t="s">
        <v>680</v>
      </c>
      <c r="B89" s="31" t="n">
        <v>5</v>
      </c>
      <c r="C89" s="32" t="n">
        <f aca="false">SETTINGS!$C$3+$B89-1</f>
        <v>46304</v>
      </c>
      <c r="D89" s="33" t="s">
        <v>154</v>
      </c>
      <c r="E89" s="34" t="s">
        <v>644</v>
      </c>
      <c r="F89" s="34" t="s">
        <v>280</v>
      </c>
      <c r="G89" s="34" t="s">
        <v>681</v>
      </c>
      <c r="H89" s="35" t="s">
        <v>682</v>
      </c>
      <c r="I89" s="36" t="s">
        <v>683</v>
      </c>
      <c r="J89" s="34" t="s">
        <v>684</v>
      </c>
      <c r="K89" s="34" t="s">
        <v>685</v>
      </c>
      <c r="L89" s="37"/>
      <c r="M89" s="37"/>
      <c r="N89" s="37"/>
      <c r="O89" s="37"/>
      <c r="P89" s="37"/>
      <c r="Q89" s="37"/>
      <c r="R89" s="31" t="n">
        <f aca="false">COUNT($M89:$Q89)</f>
        <v>0</v>
      </c>
      <c r="S89" s="32" t="str">
        <f aca="false">IF($L89="","",IF($R89&gt;=5,"",MAX($L89:$Q89)+CHOOSE($R89+1,SETTINGS!$C$9,SETTINGS!$C$10,SETTINGS!$C$11,SETTINGS!$C$12,SETTINGS!$C$13)))</f>
        <v/>
      </c>
      <c r="T89" s="34" t="str">
        <f aca="true">IF($H89="","(chưa có nội dung)",IF($L89="",IF($C89&lt;TODAY(),"⚠ TRỄ HỌC",IF($C89=TODAY(),"★ HỌC HÔM NAY","• Chưa tới")),IF($R89&gt;=5,"✔ MASTER",IF($S89&lt;TODAY(),"⚠ TRỄ ÔN",IF($S89=TODAY(),"◆ ÔN HÔM NAY","✔ Đúng tiến độ")))))</f>
        <v>• Chưa tới</v>
      </c>
      <c r="U89" s="38" t="n">
        <f aca="false">IF($H89="","",$R89/5)</f>
        <v>0</v>
      </c>
    </row>
    <row r="90" customFormat="false" ht="15" hidden="false" customHeight="false" outlineLevel="0" collapsed="false">
      <c r="A90" s="31" t="s">
        <v>686</v>
      </c>
      <c r="B90" s="31" t="n">
        <v>5</v>
      </c>
      <c r="C90" s="32" t="n">
        <f aca="false">SETTINGS!$C$3+$B90-1</f>
        <v>46304</v>
      </c>
      <c r="D90" s="33" t="s">
        <v>154</v>
      </c>
      <c r="E90" s="34" t="s">
        <v>644</v>
      </c>
      <c r="F90" s="34" t="s">
        <v>183</v>
      </c>
      <c r="G90" s="34" t="s">
        <v>687</v>
      </c>
      <c r="H90" s="35" t="s">
        <v>688</v>
      </c>
      <c r="I90" s="36" t="s">
        <v>689</v>
      </c>
      <c r="J90" s="34" t="s">
        <v>690</v>
      </c>
      <c r="K90" s="34" t="s">
        <v>691</v>
      </c>
      <c r="L90" s="37"/>
      <c r="M90" s="37"/>
      <c r="N90" s="37"/>
      <c r="O90" s="37"/>
      <c r="P90" s="37"/>
      <c r="Q90" s="37"/>
      <c r="R90" s="31" t="n">
        <f aca="false">COUNT($M90:$Q90)</f>
        <v>0</v>
      </c>
      <c r="S90" s="32" t="str">
        <f aca="false">IF($L90="","",IF($R90&gt;=5,"",MAX($L90:$Q90)+CHOOSE($R90+1,SETTINGS!$C$9,SETTINGS!$C$10,SETTINGS!$C$11,SETTINGS!$C$12,SETTINGS!$C$13)))</f>
        <v/>
      </c>
      <c r="T90" s="34" t="str">
        <f aca="true">IF($H90="","(chưa có nội dung)",IF($L90="",IF($C90&lt;TODAY(),"⚠ TRỄ HỌC",IF($C90=TODAY(),"★ HỌC HÔM NAY","• Chưa tới")),IF($R90&gt;=5,"✔ MASTER",IF($S90&lt;TODAY(),"⚠ TRỄ ÔN",IF($S90=TODAY(),"◆ ÔN HÔM NAY","✔ Đúng tiến độ")))))</f>
        <v>• Chưa tới</v>
      </c>
      <c r="U90" s="38" t="n">
        <f aca="false">IF($H90="","",$R90/5)</f>
        <v>0</v>
      </c>
    </row>
    <row r="91" customFormat="false" ht="15" hidden="false" customHeight="false" outlineLevel="0" collapsed="false">
      <c r="A91" s="31" t="s">
        <v>692</v>
      </c>
      <c r="B91" s="31" t="n">
        <v>5</v>
      </c>
      <c r="C91" s="32" t="n">
        <f aca="false">SETTINGS!$C$3+$B91-1</f>
        <v>46304</v>
      </c>
      <c r="D91" s="33" t="s">
        <v>154</v>
      </c>
      <c r="E91" s="34" t="s">
        <v>644</v>
      </c>
      <c r="F91" s="34" t="s">
        <v>183</v>
      </c>
      <c r="G91" s="34" t="s">
        <v>693</v>
      </c>
      <c r="H91" s="35" t="s">
        <v>694</v>
      </c>
      <c r="I91" s="36" t="s">
        <v>695</v>
      </c>
      <c r="J91" s="34" t="s">
        <v>696</v>
      </c>
      <c r="K91" s="34" t="s">
        <v>697</v>
      </c>
      <c r="L91" s="37"/>
      <c r="M91" s="37"/>
      <c r="N91" s="37"/>
      <c r="O91" s="37"/>
      <c r="P91" s="37"/>
      <c r="Q91" s="37"/>
      <c r="R91" s="31" t="n">
        <f aca="false">COUNT($M91:$Q91)</f>
        <v>0</v>
      </c>
      <c r="S91" s="32" t="str">
        <f aca="false">IF($L91="","",IF($R91&gt;=5,"",MAX($L91:$Q91)+CHOOSE($R91+1,SETTINGS!$C$9,SETTINGS!$C$10,SETTINGS!$C$11,SETTINGS!$C$12,SETTINGS!$C$13)))</f>
        <v/>
      </c>
      <c r="T91" s="34" t="str">
        <f aca="true">IF($H91="","(chưa có nội dung)",IF($L91="",IF($C91&lt;TODAY(),"⚠ TRỄ HỌC",IF($C91=TODAY(),"★ HỌC HÔM NAY","• Chưa tới")),IF($R91&gt;=5,"✔ MASTER",IF($S91&lt;TODAY(),"⚠ TRỄ ÔN",IF($S91=TODAY(),"◆ ÔN HÔM NAY","✔ Đúng tiến độ")))))</f>
        <v>• Chưa tới</v>
      </c>
      <c r="U91" s="38" t="n">
        <f aca="false">IF($H91="","",$R91/5)</f>
        <v>0</v>
      </c>
    </row>
    <row r="92" customFormat="false" ht="15" hidden="false" customHeight="false" outlineLevel="0" collapsed="false">
      <c r="A92" s="31" t="s">
        <v>698</v>
      </c>
      <c r="B92" s="31" t="n">
        <v>5</v>
      </c>
      <c r="C92" s="32" t="n">
        <f aca="false">SETTINGS!$C$3+$B92-1</f>
        <v>46304</v>
      </c>
      <c r="D92" s="33" t="s">
        <v>154</v>
      </c>
      <c r="E92" s="34" t="s">
        <v>644</v>
      </c>
      <c r="F92" s="34" t="s">
        <v>497</v>
      </c>
      <c r="G92" s="34" t="s">
        <v>699</v>
      </c>
      <c r="H92" s="35" t="s">
        <v>700</v>
      </c>
      <c r="I92" s="36" t="s">
        <v>701</v>
      </c>
      <c r="J92" s="34" t="s">
        <v>702</v>
      </c>
      <c r="K92" s="34" t="s">
        <v>703</v>
      </c>
      <c r="L92" s="37"/>
      <c r="M92" s="37"/>
      <c r="N92" s="37"/>
      <c r="O92" s="37"/>
      <c r="P92" s="37"/>
      <c r="Q92" s="37"/>
      <c r="R92" s="31" t="n">
        <f aca="false">COUNT($M92:$Q92)</f>
        <v>0</v>
      </c>
      <c r="S92" s="32" t="str">
        <f aca="false">IF($L92="","",IF($R92&gt;=5,"",MAX($L92:$Q92)+CHOOSE($R92+1,SETTINGS!$C$9,SETTINGS!$C$10,SETTINGS!$C$11,SETTINGS!$C$12,SETTINGS!$C$13)))</f>
        <v/>
      </c>
      <c r="T92" s="34" t="str">
        <f aca="true">IF($H92="","(chưa có nội dung)",IF($L92="",IF($C92&lt;TODAY(),"⚠ TRỄ HỌC",IF($C92=TODAY(),"★ HỌC HÔM NAY","• Chưa tới")),IF($R92&gt;=5,"✔ MASTER",IF($S92&lt;TODAY(),"⚠ TRỄ ÔN",IF($S92=TODAY(),"◆ ÔN HÔM NAY","✔ Đúng tiến độ")))))</f>
        <v>• Chưa tới</v>
      </c>
      <c r="U92" s="38" t="n">
        <f aca="false">IF($H92="","",$R92/5)</f>
        <v>0</v>
      </c>
    </row>
    <row r="93" customFormat="false" ht="15" hidden="false" customHeight="false" outlineLevel="0" collapsed="false">
      <c r="A93" s="31" t="s">
        <v>704</v>
      </c>
      <c r="B93" s="31" t="n">
        <v>5</v>
      </c>
      <c r="C93" s="32" t="n">
        <f aca="false">SETTINGS!$C$3+$B93-1</f>
        <v>46304</v>
      </c>
      <c r="D93" s="33" t="s">
        <v>154</v>
      </c>
      <c r="E93" s="34" t="s">
        <v>644</v>
      </c>
      <c r="F93" s="34" t="s">
        <v>280</v>
      </c>
      <c r="G93" s="34" t="s">
        <v>705</v>
      </c>
      <c r="H93" s="35" t="s">
        <v>706</v>
      </c>
      <c r="I93" s="36" t="s">
        <v>707</v>
      </c>
      <c r="J93" s="34" t="s">
        <v>708</v>
      </c>
      <c r="K93" s="34" t="s">
        <v>709</v>
      </c>
      <c r="L93" s="37"/>
      <c r="M93" s="37"/>
      <c r="N93" s="37"/>
      <c r="O93" s="37"/>
      <c r="P93" s="37"/>
      <c r="Q93" s="37"/>
      <c r="R93" s="31" t="n">
        <f aca="false">COUNT($M93:$Q93)</f>
        <v>0</v>
      </c>
      <c r="S93" s="32" t="str">
        <f aca="false">IF($L93="","",IF($R93&gt;=5,"",MAX($L93:$Q93)+CHOOSE($R93+1,SETTINGS!$C$9,SETTINGS!$C$10,SETTINGS!$C$11,SETTINGS!$C$12,SETTINGS!$C$13)))</f>
        <v/>
      </c>
      <c r="T93" s="34" t="str">
        <f aca="true">IF($H93="","(chưa có nội dung)",IF($L93="",IF($C93&lt;TODAY(),"⚠ TRỄ HỌC",IF($C93=TODAY(),"★ HỌC HÔM NAY","• Chưa tới")),IF($R93&gt;=5,"✔ MASTER",IF($S93&lt;TODAY(),"⚠ TRỄ ÔN",IF($S93=TODAY(),"◆ ÔN HÔM NAY","✔ Đúng tiến độ")))))</f>
        <v>• Chưa tới</v>
      </c>
      <c r="U93" s="38" t="n">
        <f aca="false">IF($H93="","",$R93/5)</f>
        <v>0</v>
      </c>
    </row>
    <row r="94" customFormat="false" ht="15" hidden="false" customHeight="false" outlineLevel="0" collapsed="false">
      <c r="A94" s="31" t="s">
        <v>710</v>
      </c>
      <c r="B94" s="31" t="n">
        <v>5</v>
      </c>
      <c r="C94" s="32" t="n">
        <f aca="false">SETTINGS!$C$3+$B94-1</f>
        <v>46304</v>
      </c>
      <c r="D94" s="33" t="s">
        <v>154</v>
      </c>
      <c r="E94" s="34" t="s">
        <v>644</v>
      </c>
      <c r="F94" s="34" t="s">
        <v>280</v>
      </c>
      <c r="G94" s="34" t="s">
        <v>711</v>
      </c>
      <c r="H94" s="35" t="s">
        <v>712</v>
      </c>
      <c r="I94" s="36" t="s">
        <v>713</v>
      </c>
      <c r="J94" s="34" t="s">
        <v>714</v>
      </c>
      <c r="K94" s="34" t="s">
        <v>715</v>
      </c>
      <c r="L94" s="37"/>
      <c r="M94" s="37"/>
      <c r="N94" s="37"/>
      <c r="O94" s="37"/>
      <c r="P94" s="37"/>
      <c r="Q94" s="37"/>
      <c r="R94" s="31" t="n">
        <f aca="false">COUNT($M94:$Q94)</f>
        <v>0</v>
      </c>
      <c r="S94" s="32" t="str">
        <f aca="false">IF($L94="","",IF($R94&gt;=5,"",MAX($L94:$Q94)+CHOOSE($R94+1,SETTINGS!$C$9,SETTINGS!$C$10,SETTINGS!$C$11,SETTINGS!$C$12,SETTINGS!$C$13)))</f>
        <v/>
      </c>
      <c r="T94" s="34" t="str">
        <f aca="true">IF($H94="","(chưa có nội dung)",IF($L94="",IF($C94&lt;TODAY(),"⚠ TRỄ HỌC",IF($C94=TODAY(),"★ HỌC HÔM NAY","• Chưa tới")),IF($R94&gt;=5,"✔ MASTER",IF($S94&lt;TODAY(),"⚠ TRỄ ÔN",IF($S94=TODAY(),"◆ ÔN HÔM NAY","✔ Đúng tiến độ")))))</f>
        <v>• Chưa tới</v>
      </c>
      <c r="U94" s="38" t="n">
        <f aca="false">IF($H94="","",$R94/5)</f>
        <v>0</v>
      </c>
    </row>
    <row r="95" customFormat="false" ht="15" hidden="false" customHeight="false" outlineLevel="0" collapsed="false">
      <c r="A95" s="31" t="s">
        <v>716</v>
      </c>
      <c r="B95" s="31" t="n">
        <v>5</v>
      </c>
      <c r="C95" s="32" t="n">
        <f aca="false">SETTINGS!$C$3+$B95-1</f>
        <v>46304</v>
      </c>
      <c r="D95" s="33" t="s">
        <v>154</v>
      </c>
      <c r="E95" s="34" t="s">
        <v>644</v>
      </c>
      <c r="F95" s="34" t="s">
        <v>497</v>
      </c>
      <c r="G95" s="34" t="s">
        <v>717</v>
      </c>
      <c r="H95" s="35" t="s">
        <v>718</v>
      </c>
      <c r="I95" s="36" t="s">
        <v>719</v>
      </c>
      <c r="J95" s="34" t="s">
        <v>720</v>
      </c>
      <c r="K95" s="34" t="s">
        <v>721</v>
      </c>
      <c r="L95" s="37"/>
      <c r="M95" s="37"/>
      <c r="N95" s="37"/>
      <c r="O95" s="37"/>
      <c r="P95" s="37"/>
      <c r="Q95" s="37"/>
      <c r="R95" s="31" t="n">
        <f aca="false">COUNT($M95:$Q95)</f>
        <v>0</v>
      </c>
      <c r="S95" s="32" t="str">
        <f aca="false">IF($L95="","",IF($R95&gt;=5,"",MAX($L95:$Q95)+CHOOSE($R95+1,SETTINGS!$C$9,SETTINGS!$C$10,SETTINGS!$C$11,SETTINGS!$C$12,SETTINGS!$C$13)))</f>
        <v/>
      </c>
      <c r="T95" s="34" t="str">
        <f aca="true">IF($H95="","(chưa có nội dung)",IF($L95="",IF($C95&lt;TODAY(),"⚠ TRỄ HỌC",IF($C95=TODAY(),"★ HỌC HÔM NAY","• Chưa tới")),IF($R95&gt;=5,"✔ MASTER",IF($S95&lt;TODAY(),"⚠ TRỄ ÔN",IF($S95=TODAY(),"◆ ÔN HÔM NAY","✔ Đúng tiến độ")))))</f>
        <v>• Chưa tới</v>
      </c>
      <c r="U95" s="38" t="n">
        <f aca="false">IF($H95="","",$R95/5)</f>
        <v>0</v>
      </c>
    </row>
    <row r="96" customFormat="false" ht="15" hidden="false" customHeight="false" outlineLevel="0" collapsed="false">
      <c r="A96" s="31" t="s">
        <v>722</v>
      </c>
      <c r="B96" s="31" t="n">
        <v>5</v>
      </c>
      <c r="C96" s="32" t="n">
        <f aca="false">SETTINGS!$C$3+$B96-1</f>
        <v>46304</v>
      </c>
      <c r="D96" s="33" t="s">
        <v>154</v>
      </c>
      <c r="E96" s="34" t="s">
        <v>644</v>
      </c>
      <c r="F96" s="34" t="s">
        <v>183</v>
      </c>
      <c r="G96" s="34" t="s">
        <v>723</v>
      </c>
      <c r="H96" s="35" t="s">
        <v>724</v>
      </c>
      <c r="I96" s="36" t="s">
        <v>725</v>
      </c>
      <c r="J96" s="34" t="s">
        <v>726</v>
      </c>
      <c r="K96" s="34" t="s">
        <v>727</v>
      </c>
      <c r="L96" s="37"/>
      <c r="M96" s="37"/>
      <c r="N96" s="37"/>
      <c r="O96" s="37"/>
      <c r="P96" s="37"/>
      <c r="Q96" s="37"/>
      <c r="R96" s="31" t="n">
        <f aca="false">COUNT($M96:$Q96)</f>
        <v>0</v>
      </c>
      <c r="S96" s="32" t="str">
        <f aca="false">IF($L96="","",IF($R96&gt;=5,"",MAX($L96:$Q96)+CHOOSE($R96+1,SETTINGS!$C$9,SETTINGS!$C$10,SETTINGS!$C$11,SETTINGS!$C$12,SETTINGS!$C$13)))</f>
        <v/>
      </c>
      <c r="T96" s="34" t="str">
        <f aca="true">IF($H96="","(chưa có nội dung)",IF($L96="",IF($C96&lt;TODAY(),"⚠ TRỄ HỌC",IF($C96=TODAY(),"★ HỌC HÔM NAY","• Chưa tới")),IF($R96&gt;=5,"✔ MASTER",IF($S96&lt;TODAY(),"⚠ TRỄ ÔN",IF($S96=TODAY(),"◆ ÔN HÔM NAY","✔ Đúng tiến độ")))))</f>
        <v>• Chưa tới</v>
      </c>
      <c r="U96" s="38" t="n">
        <f aca="false">IF($H96="","",$R96/5)</f>
        <v>0</v>
      </c>
    </row>
    <row r="97" customFormat="false" ht="15" hidden="false" customHeight="false" outlineLevel="0" collapsed="false">
      <c r="A97" s="31" t="s">
        <v>728</v>
      </c>
      <c r="B97" s="31" t="n">
        <v>5</v>
      </c>
      <c r="C97" s="32" t="n">
        <f aca="false">SETTINGS!$C$3+$B97-1</f>
        <v>46304</v>
      </c>
      <c r="D97" s="33" t="s">
        <v>154</v>
      </c>
      <c r="E97" s="34" t="s">
        <v>644</v>
      </c>
      <c r="F97" s="34" t="s">
        <v>280</v>
      </c>
      <c r="G97" s="34" t="s">
        <v>729</v>
      </c>
      <c r="H97" s="35" t="s">
        <v>730</v>
      </c>
      <c r="I97" s="36" t="s">
        <v>731</v>
      </c>
      <c r="J97" s="34" t="s">
        <v>732</v>
      </c>
      <c r="K97" s="34" t="s">
        <v>733</v>
      </c>
      <c r="L97" s="37"/>
      <c r="M97" s="37"/>
      <c r="N97" s="37"/>
      <c r="O97" s="37"/>
      <c r="P97" s="37"/>
      <c r="Q97" s="37"/>
      <c r="R97" s="31" t="n">
        <f aca="false">COUNT($M97:$Q97)</f>
        <v>0</v>
      </c>
      <c r="S97" s="32" t="str">
        <f aca="false">IF($L97="","",IF($R97&gt;=5,"",MAX($L97:$Q97)+CHOOSE($R97+1,SETTINGS!$C$9,SETTINGS!$C$10,SETTINGS!$C$11,SETTINGS!$C$12,SETTINGS!$C$13)))</f>
        <v/>
      </c>
      <c r="T97" s="34" t="str">
        <f aca="true">IF($H97="","(chưa có nội dung)",IF($L97="",IF($C97&lt;TODAY(),"⚠ TRỄ HỌC",IF($C97=TODAY(),"★ HỌC HÔM NAY","• Chưa tới")),IF($R97&gt;=5,"✔ MASTER",IF($S97&lt;TODAY(),"⚠ TRỄ ÔN",IF($S97=TODAY(),"◆ ÔN HÔM NAY","✔ Đúng tiến độ")))))</f>
        <v>• Chưa tới</v>
      </c>
      <c r="U97" s="38" t="n">
        <f aca="false">IF($H97="","",$R97/5)</f>
        <v>0</v>
      </c>
    </row>
    <row r="98" customFormat="false" ht="15" hidden="false" customHeight="false" outlineLevel="0" collapsed="false">
      <c r="A98" s="31" t="s">
        <v>734</v>
      </c>
      <c r="B98" s="31" t="n">
        <v>5</v>
      </c>
      <c r="C98" s="32" t="n">
        <f aca="false">SETTINGS!$C$3+$B98-1</f>
        <v>46304</v>
      </c>
      <c r="D98" s="33" t="s">
        <v>154</v>
      </c>
      <c r="E98" s="34" t="s">
        <v>644</v>
      </c>
      <c r="F98" s="34" t="s">
        <v>280</v>
      </c>
      <c r="G98" s="34" t="s">
        <v>735</v>
      </c>
      <c r="H98" s="35" t="s">
        <v>736</v>
      </c>
      <c r="I98" s="36" t="s">
        <v>737</v>
      </c>
      <c r="J98" s="34" t="s">
        <v>738</v>
      </c>
      <c r="K98" s="34" t="s">
        <v>739</v>
      </c>
      <c r="L98" s="37"/>
      <c r="M98" s="37"/>
      <c r="N98" s="37"/>
      <c r="O98" s="37"/>
      <c r="P98" s="37"/>
      <c r="Q98" s="37"/>
      <c r="R98" s="31" t="n">
        <f aca="false">COUNT($M98:$Q98)</f>
        <v>0</v>
      </c>
      <c r="S98" s="32" t="str">
        <f aca="false">IF($L98="","",IF($R98&gt;=5,"",MAX($L98:$Q98)+CHOOSE($R98+1,SETTINGS!$C$9,SETTINGS!$C$10,SETTINGS!$C$11,SETTINGS!$C$12,SETTINGS!$C$13)))</f>
        <v/>
      </c>
      <c r="T98" s="34" t="str">
        <f aca="true">IF($H98="","(chưa có nội dung)",IF($L98="",IF($C98&lt;TODAY(),"⚠ TRỄ HỌC",IF($C98=TODAY(),"★ HỌC HÔM NAY","• Chưa tới")),IF($R98&gt;=5,"✔ MASTER",IF($S98&lt;TODAY(),"⚠ TRỄ ÔN",IF($S98=TODAY(),"◆ ÔN HÔM NAY","✔ Đúng tiến độ")))))</f>
        <v>• Chưa tới</v>
      </c>
      <c r="U98" s="38" t="n">
        <f aca="false">IF($H98="","",$R98/5)</f>
        <v>0</v>
      </c>
    </row>
    <row r="99" customFormat="false" ht="15" hidden="false" customHeight="false" outlineLevel="0" collapsed="false">
      <c r="A99" s="31" t="s">
        <v>740</v>
      </c>
      <c r="B99" s="31" t="n">
        <v>5</v>
      </c>
      <c r="C99" s="32" t="n">
        <f aca="false">SETTINGS!$C$3+$B99-1</f>
        <v>46304</v>
      </c>
      <c r="D99" s="33" t="s">
        <v>154</v>
      </c>
      <c r="E99" s="34" t="s">
        <v>644</v>
      </c>
      <c r="F99" s="34" t="s">
        <v>280</v>
      </c>
      <c r="G99" s="34" t="s">
        <v>741</v>
      </c>
      <c r="H99" s="35" t="s">
        <v>742</v>
      </c>
      <c r="I99" s="36" t="s">
        <v>743</v>
      </c>
      <c r="J99" s="34" t="s">
        <v>744</v>
      </c>
      <c r="K99" s="34" t="s">
        <v>745</v>
      </c>
      <c r="L99" s="37"/>
      <c r="M99" s="37"/>
      <c r="N99" s="37"/>
      <c r="O99" s="37"/>
      <c r="P99" s="37"/>
      <c r="Q99" s="37"/>
      <c r="R99" s="31" t="n">
        <f aca="false">COUNT($M99:$Q99)</f>
        <v>0</v>
      </c>
      <c r="S99" s="32" t="str">
        <f aca="false">IF($L99="","",IF($R99&gt;=5,"",MAX($L99:$Q99)+CHOOSE($R99+1,SETTINGS!$C$9,SETTINGS!$C$10,SETTINGS!$C$11,SETTINGS!$C$12,SETTINGS!$C$13)))</f>
        <v/>
      </c>
      <c r="T99" s="34" t="str">
        <f aca="true">IF($H99="","(chưa có nội dung)",IF($L99="",IF($C99&lt;TODAY(),"⚠ TRỄ HỌC",IF($C99=TODAY(),"★ HỌC HÔM NAY","• Chưa tới")),IF($R99&gt;=5,"✔ MASTER",IF($S99&lt;TODAY(),"⚠ TRỄ ÔN",IF($S99=TODAY(),"◆ ÔN HÔM NAY","✔ Đúng tiến độ")))))</f>
        <v>• Chưa tới</v>
      </c>
      <c r="U99" s="38" t="n">
        <f aca="false">IF($H99="","",$R99/5)</f>
        <v>0</v>
      </c>
    </row>
    <row r="100" customFormat="false" ht="15" hidden="false" customHeight="false" outlineLevel="0" collapsed="false">
      <c r="A100" s="31" t="s">
        <v>746</v>
      </c>
      <c r="B100" s="31" t="n">
        <v>5</v>
      </c>
      <c r="C100" s="32" t="n">
        <f aca="false">SETTINGS!$C$3+$B100-1</f>
        <v>46304</v>
      </c>
      <c r="D100" s="33" t="s">
        <v>154</v>
      </c>
      <c r="E100" s="34" t="s">
        <v>644</v>
      </c>
      <c r="F100" s="34" t="s">
        <v>280</v>
      </c>
      <c r="G100" s="34" t="s">
        <v>747</v>
      </c>
      <c r="H100" s="35" t="s">
        <v>748</v>
      </c>
      <c r="I100" s="36" t="s">
        <v>749</v>
      </c>
      <c r="J100" s="34" t="s">
        <v>750</v>
      </c>
      <c r="K100" s="34" t="s">
        <v>751</v>
      </c>
      <c r="L100" s="37"/>
      <c r="M100" s="37"/>
      <c r="N100" s="37"/>
      <c r="O100" s="37"/>
      <c r="P100" s="37"/>
      <c r="Q100" s="37"/>
      <c r="R100" s="31" t="n">
        <f aca="false">COUNT($M100:$Q100)</f>
        <v>0</v>
      </c>
      <c r="S100" s="32" t="str">
        <f aca="false">IF($L100="","",IF($R100&gt;=5,"",MAX($L100:$Q100)+CHOOSE($R100+1,SETTINGS!$C$9,SETTINGS!$C$10,SETTINGS!$C$11,SETTINGS!$C$12,SETTINGS!$C$13)))</f>
        <v/>
      </c>
      <c r="T100" s="34" t="str">
        <f aca="true">IF($H100="","(chưa có nội dung)",IF($L100="",IF($C100&lt;TODAY(),"⚠ TRỄ HỌC",IF($C100=TODAY(),"★ HỌC HÔM NAY","• Chưa tới")),IF($R100&gt;=5,"✔ MASTER",IF($S100&lt;TODAY(),"⚠ TRỄ ÔN",IF($S100=TODAY(),"◆ ÔN HÔM NAY","✔ Đúng tiến độ")))))</f>
        <v>• Chưa tới</v>
      </c>
      <c r="U100" s="38" t="n">
        <f aca="false">IF($H100="","",$R100/5)</f>
        <v>0</v>
      </c>
    </row>
    <row r="101" customFormat="false" ht="15" hidden="false" customHeight="false" outlineLevel="0" collapsed="false">
      <c r="A101" s="31" t="s">
        <v>752</v>
      </c>
      <c r="B101" s="31" t="n">
        <v>5</v>
      </c>
      <c r="C101" s="32" t="n">
        <f aca="false">SETTINGS!$C$3+$B101-1</f>
        <v>46304</v>
      </c>
      <c r="D101" s="33" t="s">
        <v>154</v>
      </c>
      <c r="E101" s="34" t="s">
        <v>644</v>
      </c>
      <c r="F101" s="34" t="s">
        <v>497</v>
      </c>
      <c r="G101" s="34" t="s">
        <v>753</v>
      </c>
      <c r="H101" s="35" t="s">
        <v>754</v>
      </c>
      <c r="I101" s="36" t="s">
        <v>755</v>
      </c>
      <c r="J101" s="34" t="s">
        <v>756</v>
      </c>
      <c r="K101" s="34" t="s">
        <v>757</v>
      </c>
      <c r="L101" s="37"/>
      <c r="M101" s="37"/>
      <c r="N101" s="37"/>
      <c r="O101" s="37"/>
      <c r="P101" s="37"/>
      <c r="Q101" s="37"/>
      <c r="R101" s="31" t="n">
        <f aca="false">COUNT($M101:$Q101)</f>
        <v>0</v>
      </c>
      <c r="S101" s="32" t="str">
        <f aca="false">IF($L101="","",IF($R101&gt;=5,"",MAX($L101:$Q101)+CHOOSE($R101+1,SETTINGS!$C$9,SETTINGS!$C$10,SETTINGS!$C$11,SETTINGS!$C$12,SETTINGS!$C$13)))</f>
        <v/>
      </c>
      <c r="T101" s="34" t="str">
        <f aca="true">IF($H101="","(chưa có nội dung)",IF($L101="",IF($C101&lt;TODAY(),"⚠ TRỄ HỌC",IF($C101=TODAY(),"★ HỌC HÔM NAY","• Chưa tới")),IF($R101&gt;=5,"✔ MASTER",IF($S101&lt;TODAY(),"⚠ TRỄ ÔN",IF($S101=TODAY(),"◆ ÔN HÔM NAY","✔ Đúng tiến độ")))))</f>
        <v>• Chưa tới</v>
      </c>
      <c r="U101" s="38" t="n">
        <f aca="false">IF($H101="","",$R101/5)</f>
        <v>0</v>
      </c>
    </row>
    <row r="102" customFormat="false" ht="15" hidden="false" customHeight="false" outlineLevel="0" collapsed="false">
      <c r="A102" s="31" t="s">
        <v>758</v>
      </c>
      <c r="B102" s="31" t="n">
        <v>5</v>
      </c>
      <c r="C102" s="32" t="n">
        <f aca="false">SETTINGS!$C$3+$B102-1</f>
        <v>46304</v>
      </c>
      <c r="D102" s="33" t="s">
        <v>154</v>
      </c>
      <c r="E102" s="34" t="s">
        <v>644</v>
      </c>
      <c r="F102" s="34" t="s">
        <v>280</v>
      </c>
      <c r="G102" s="34" t="s">
        <v>759</v>
      </c>
      <c r="H102" s="35" t="s">
        <v>760</v>
      </c>
      <c r="I102" s="36" t="s">
        <v>761</v>
      </c>
      <c r="J102" s="34" t="s">
        <v>762</v>
      </c>
      <c r="K102" s="34" t="s">
        <v>763</v>
      </c>
      <c r="L102" s="37"/>
      <c r="M102" s="37"/>
      <c r="N102" s="37"/>
      <c r="O102" s="37"/>
      <c r="P102" s="37"/>
      <c r="Q102" s="37"/>
      <c r="R102" s="31" t="n">
        <f aca="false">COUNT($M102:$Q102)</f>
        <v>0</v>
      </c>
      <c r="S102" s="32" t="str">
        <f aca="false">IF($L102="","",IF($R102&gt;=5,"",MAX($L102:$Q102)+CHOOSE($R102+1,SETTINGS!$C$9,SETTINGS!$C$10,SETTINGS!$C$11,SETTINGS!$C$12,SETTINGS!$C$13)))</f>
        <v/>
      </c>
      <c r="T102" s="34" t="str">
        <f aca="true">IF($H102="","(chưa có nội dung)",IF($L102="",IF($C102&lt;TODAY(),"⚠ TRỄ HỌC",IF($C102=TODAY(),"★ HỌC HÔM NAY","• Chưa tới")),IF($R102&gt;=5,"✔ MASTER",IF($S102&lt;TODAY(),"⚠ TRỄ ÔN",IF($S102=TODAY(),"◆ ÔN HÔM NAY","✔ Đúng tiến độ")))))</f>
        <v>• Chưa tới</v>
      </c>
      <c r="U102" s="38" t="n">
        <f aca="false">IF($H102="","",$R102/5)</f>
        <v>0</v>
      </c>
    </row>
    <row r="103" customFormat="false" ht="15" hidden="false" customHeight="false" outlineLevel="0" collapsed="false">
      <c r="A103" s="31" t="s">
        <v>764</v>
      </c>
      <c r="B103" s="31" t="n">
        <v>6</v>
      </c>
      <c r="C103" s="32" t="n">
        <f aca="false">SETTINGS!$C$3+$B103-1</f>
        <v>46305</v>
      </c>
      <c r="D103" s="33" t="s">
        <v>154</v>
      </c>
      <c r="E103" s="34" t="s">
        <v>765</v>
      </c>
      <c r="F103" s="34" t="s">
        <v>280</v>
      </c>
      <c r="G103" s="34" t="s">
        <v>353</v>
      </c>
      <c r="H103" s="35" t="s">
        <v>766</v>
      </c>
      <c r="I103" s="36" t="s">
        <v>767</v>
      </c>
      <c r="J103" s="34" t="s">
        <v>768</v>
      </c>
      <c r="K103" s="34" t="s">
        <v>769</v>
      </c>
      <c r="L103" s="37"/>
      <c r="M103" s="37"/>
      <c r="N103" s="37"/>
      <c r="O103" s="37"/>
      <c r="P103" s="37"/>
      <c r="Q103" s="37"/>
      <c r="R103" s="31" t="n">
        <f aca="false">COUNT($M103:$Q103)</f>
        <v>0</v>
      </c>
      <c r="S103" s="32" t="str">
        <f aca="false">IF($L103="","",IF($R103&gt;=5,"",MAX($L103:$Q103)+CHOOSE($R103+1,SETTINGS!$C$9,SETTINGS!$C$10,SETTINGS!$C$11,SETTINGS!$C$12,SETTINGS!$C$13)))</f>
        <v/>
      </c>
      <c r="T103" s="34" t="str">
        <f aca="true">IF($H103="","(chưa có nội dung)",IF($L103="",IF($C103&lt;TODAY(),"⚠ TRỄ HỌC",IF($C103=TODAY(),"★ HỌC HÔM NAY","• Chưa tới")),IF($R103&gt;=5,"✔ MASTER",IF($S103&lt;TODAY(),"⚠ TRỄ ÔN",IF($S103=TODAY(),"◆ ÔN HÔM NAY","✔ Đúng tiến độ")))))</f>
        <v>• Chưa tới</v>
      </c>
      <c r="U103" s="38" t="n">
        <f aca="false">IF($H103="","",$R103/5)</f>
        <v>0</v>
      </c>
    </row>
    <row r="104" customFormat="false" ht="15" hidden="false" customHeight="false" outlineLevel="0" collapsed="false">
      <c r="A104" s="31" t="s">
        <v>770</v>
      </c>
      <c r="B104" s="31" t="n">
        <v>6</v>
      </c>
      <c r="C104" s="32" t="n">
        <f aca="false">SETTINGS!$C$3+$B104-1</f>
        <v>46305</v>
      </c>
      <c r="D104" s="33" t="s">
        <v>154</v>
      </c>
      <c r="E104" s="34" t="s">
        <v>765</v>
      </c>
      <c r="F104" s="34" t="s">
        <v>280</v>
      </c>
      <c r="G104" s="34" t="s">
        <v>771</v>
      </c>
      <c r="H104" s="35" t="s">
        <v>772</v>
      </c>
      <c r="I104" s="36" t="s">
        <v>773</v>
      </c>
      <c r="J104" s="34" t="s">
        <v>774</v>
      </c>
      <c r="K104" s="34" t="s">
        <v>775</v>
      </c>
      <c r="L104" s="37"/>
      <c r="M104" s="37"/>
      <c r="N104" s="37"/>
      <c r="O104" s="37"/>
      <c r="P104" s="37"/>
      <c r="Q104" s="37"/>
      <c r="R104" s="31" t="n">
        <f aca="false">COUNT($M104:$Q104)</f>
        <v>0</v>
      </c>
      <c r="S104" s="32" t="str">
        <f aca="false">IF($L104="","",IF($R104&gt;=5,"",MAX($L104:$Q104)+CHOOSE($R104+1,SETTINGS!$C$9,SETTINGS!$C$10,SETTINGS!$C$11,SETTINGS!$C$12,SETTINGS!$C$13)))</f>
        <v/>
      </c>
      <c r="T104" s="34" t="str">
        <f aca="true">IF($H104="","(chưa có nội dung)",IF($L104="",IF($C104&lt;TODAY(),"⚠ TRỄ HỌC",IF($C104=TODAY(),"★ HỌC HÔM NAY","• Chưa tới")),IF($R104&gt;=5,"✔ MASTER",IF($S104&lt;TODAY(),"⚠ TRỄ ÔN",IF($S104=TODAY(),"◆ ÔN HÔM NAY","✔ Đúng tiến độ")))))</f>
        <v>• Chưa tới</v>
      </c>
      <c r="U104" s="38" t="n">
        <f aca="false">IF($H104="","",$R104/5)</f>
        <v>0</v>
      </c>
    </row>
    <row r="105" customFormat="false" ht="15" hidden="false" customHeight="false" outlineLevel="0" collapsed="false">
      <c r="A105" s="31" t="s">
        <v>776</v>
      </c>
      <c r="B105" s="31" t="n">
        <v>6</v>
      </c>
      <c r="C105" s="32" t="n">
        <f aca="false">SETTINGS!$C$3+$B105-1</f>
        <v>46305</v>
      </c>
      <c r="D105" s="33" t="s">
        <v>154</v>
      </c>
      <c r="E105" s="34" t="s">
        <v>765</v>
      </c>
      <c r="F105" s="34" t="s">
        <v>280</v>
      </c>
      <c r="G105" s="34" t="s">
        <v>777</v>
      </c>
      <c r="H105" s="35" t="s">
        <v>778</v>
      </c>
      <c r="I105" s="36" t="s">
        <v>779</v>
      </c>
      <c r="J105" s="34" t="s">
        <v>780</v>
      </c>
      <c r="K105" s="34" t="s">
        <v>781</v>
      </c>
      <c r="L105" s="37"/>
      <c r="M105" s="37"/>
      <c r="N105" s="37"/>
      <c r="O105" s="37"/>
      <c r="P105" s="37"/>
      <c r="Q105" s="37"/>
      <c r="R105" s="31" t="n">
        <f aca="false">COUNT($M105:$Q105)</f>
        <v>0</v>
      </c>
      <c r="S105" s="32" t="str">
        <f aca="false">IF($L105="","",IF($R105&gt;=5,"",MAX($L105:$Q105)+CHOOSE($R105+1,SETTINGS!$C$9,SETTINGS!$C$10,SETTINGS!$C$11,SETTINGS!$C$12,SETTINGS!$C$13)))</f>
        <v/>
      </c>
      <c r="T105" s="34" t="str">
        <f aca="true">IF($H105="","(chưa có nội dung)",IF($L105="",IF($C105&lt;TODAY(),"⚠ TRỄ HỌC",IF($C105=TODAY(),"★ HỌC HÔM NAY","• Chưa tới")),IF($R105&gt;=5,"✔ MASTER",IF($S105&lt;TODAY(),"⚠ TRỄ ÔN",IF($S105=TODAY(),"◆ ÔN HÔM NAY","✔ Đúng tiến độ")))))</f>
        <v>• Chưa tới</v>
      </c>
      <c r="U105" s="38" t="n">
        <f aca="false">IF($H105="","",$R105/5)</f>
        <v>0</v>
      </c>
    </row>
    <row r="106" customFormat="false" ht="15" hidden="false" customHeight="false" outlineLevel="0" collapsed="false">
      <c r="A106" s="31" t="s">
        <v>782</v>
      </c>
      <c r="B106" s="31" t="n">
        <v>6</v>
      </c>
      <c r="C106" s="32" t="n">
        <f aca="false">SETTINGS!$C$3+$B106-1</f>
        <v>46305</v>
      </c>
      <c r="D106" s="33" t="s">
        <v>154</v>
      </c>
      <c r="E106" s="34" t="s">
        <v>765</v>
      </c>
      <c r="F106" s="34" t="s">
        <v>280</v>
      </c>
      <c r="G106" s="34" t="s">
        <v>783</v>
      </c>
      <c r="H106" s="35" t="s">
        <v>784</v>
      </c>
      <c r="I106" s="36" t="s">
        <v>785</v>
      </c>
      <c r="J106" s="34" t="s">
        <v>786</v>
      </c>
      <c r="K106" s="34" t="s">
        <v>787</v>
      </c>
      <c r="L106" s="37"/>
      <c r="M106" s="37"/>
      <c r="N106" s="37"/>
      <c r="O106" s="37"/>
      <c r="P106" s="37"/>
      <c r="Q106" s="37"/>
      <c r="R106" s="31" t="n">
        <f aca="false">COUNT($M106:$Q106)</f>
        <v>0</v>
      </c>
      <c r="S106" s="32" t="str">
        <f aca="false">IF($L106="","",IF($R106&gt;=5,"",MAX($L106:$Q106)+CHOOSE($R106+1,SETTINGS!$C$9,SETTINGS!$C$10,SETTINGS!$C$11,SETTINGS!$C$12,SETTINGS!$C$13)))</f>
        <v/>
      </c>
      <c r="T106" s="34" t="str">
        <f aca="true">IF($H106="","(chưa có nội dung)",IF($L106="",IF($C106&lt;TODAY(),"⚠ TRỄ HỌC",IF($C106=TODAY(),"★ HỌC HÔM NAY","• Chưa tới")),IF($R106&gt;=5,"✔ MASTER",IF($S106&lt;TODAY(),"⚠ TRỄ ÔN",IF($S106=TODAY(),"◆ ÔN HÔM NAY","✔ Đúng tiến độ")))))</f>
        <v>• Chưa tới</v>
      </c>
      <c r="U106" s="38" t="n">
        <f aca="false">IF($H106="","",$R106/5)</f>
        <v>0</v>
      </c>
    </row>
    <row r="107" customFormat="false" ht="15" hidden="false" customHeight="false" outlineLevel="0" collapsed="false">
      <c r="A107" s="31" t="s">
        <v>788</v>
      </c>
      <c r="B107" s="31" t="n">
        <v>6</v>
      </c>
      <c r="C107" s="32" t="n">
        <f aca="false">SETTINGS!$C$3+$B107-1</f>
        <v>46305</v>
      </c>
      <c r="D107" s="33" t="s">
        <v>154</v>
      </c>
      <c r="E107" s="34" t="s">
        <v>765</v>
      </c>
      <c r="F107" s="34" t="s">
        <v>280</v>
      </c>
      <c r="G107" s="34" t="s">
        <v>789</v>
      </c>
      <c r="H107" s="35" t="s">
        <v>790</v>
      </c>
      <c r="I107" s="36" t="s">
        <v>791</v>
      </c>
      <c r="J107" s="34" t="s">
        <v>792</v>
      </c>
      <c r="K107" s="34" t="s">
        <v>793</v>
      </c>
      <c r="L107" s="37"/>
      <c r="M107" s="37"/>
      <c r="N107" s="37"/>
      <c r="O107" s="37"/>
      <c r="P107" s="37"/>
      <c r="Q107" s="37"/>
      <c r="R107" s="31" t="n">
        <f aca="false">COUNT($M107:$Q107)</f>
        <v>0</v>
      </c>
      <c r="S107" s="32" t="str">
        <f aca="false">IF($L107="","",IF($R107&gt;=5,"",MAX($L107:$Q107)+CHOOSE($R107+1,SETTINGS!$C$9,SETTINGS!$C$10,SETTINGS!$C$11,SETTINGS!$C$12,SETTINGS!$C$13)))</f>
        <v/>
      </c>
      <c r="T107" s="34" t="str">
        <f aca="true">IF($H107="","(chưa có nội dung)",IF($L107="",IF($C107&lt;TODAY(),"⚠ TRỄ HỌC",IF($C107=TODAY(),"★ HỌC HÔM NAY","• Chưa tới")),IF($R107&gt;=5,"✔ MASTER",IF($S107&lt;TODAY(),"⚠ TRỄ ÔN",IF($S107=TODAY(),"◆ ÔN HÔM NAY","✔ Đúng tiến độ")))))</f>
        <v>• Chưa tới</v>
      </c>
      <c r="U107" s="38" t="n">
        <f aca="false">IF($H107="","",$R107/5)</f>
        <v>0</v>
      </c>
    </row>
    <row r="108" customFormat="false" ht="15" hidden="false" customHeight="false" outlineLevel="0" collapsed="false">
      <c r="A108" s="31" t="s">
        <v>794</v>
      </c>
      <c r="B108" s="31" t="n">
        <v>6</v>
      </c>
      <c r="C108" s="32" t="n">
        <f aca="false">SETTINGS!$C$3+$B108-1</f>
        <v>46305</v>
      </c>
      <c r="D108" s="33" t="s">
        <v>154</v>
      </c>
      <c r="E108" s="34" t="s">
        <v>765</v>
      </c>
      <c r="F108" s="34" t="s">
        <v>163</v>
      </c>
      <c r="G108" s="34" t="s">
        <v>795</v>
      </c>
      <c r="H108" s="35" t="s">
        <v>796</v>
      </c>
      <c r="I108" s="36" t="s">
        <v>797</v>
      </c>
      <c r="J108" s="34" t="s">
        <v>798</v>
      </c>
      <c r="K108" s="34" t="s">
        <v>799</v>
      </c>
      <c r="L108" s="37"/>
      <c r="M108" s="37"/>
      <c r="N108" s="37"/>
      <c r="O108" s="37"/>
      <c r="P108" s="37"/>
      <c r="Q108" s="37"/>
      <c r="R108" s="31" t="n">
        <f aca="false">COUNT($M108:$Q108)</f>
        <v>0</v>
      </c>
      <c r="S108" s="32" t="str">
        <f aca="false">IF($L108="","",IF($R108&gt;=5,"",MAX($L108:$Q108)+CHOOSE($R108+1,SETTINGS!$C$9,SETTINGS!$C$10,SETTINGS!$C$11,SETTINGS!$C$12,SETTINGS!$C$13)))</f>
        <v/>
      </c>
      <c r="T108" s="34" t="str">
        <f aca="true">IF($H108="","(chưa có nội dung)",IF($L108="",IF($C108&lt;TODAY(),"⚠ TRỄ HỌC",IF($C108=TODAY(),"★ HỌC HÔM NAY","• Chưa tới")),IF($R108&gt;=5,"✔ MASTER",IF($S108&lt;TODAY(),"⚠ TRỄ ÔN",IF($S108=TODAY(),"◆ ÔN HÔM NAY","✔ Đúng tiến độ")))))</f>
        <v>• Chưa tới</v>
      </c>
      <c r="U108" s="38" t="n">
        <f aca="false">IF($H108="","",$R108/5)</f>
        <v>0</v>
      </c>
    </row>
    <row r="109" customFormat="false" ht="15" hidden="false" customHeight="false" outlineLevel="0" collapsed="false">
      <c r="A109" s="31" t="s">
        <v>800</v>
      </c>
      <c r="B109" s="31" t="n">
        <v>6</v>
      </c>
      <c r="C109" s="32" t="n">
        <f aca="false">SETTINGS!$C$3+$B109-1</f>
        <v>46305</v>
      </c>
      <c r="D109" s="33" t="s">
        <v>154</v>
      </c>
      <c r="E109" s="34" t="s">
        <v>765</v>
      </c>
      <c r="F109" s="34" t="s">
        <v>280</v>
      </c>
      <c r="G109" s="34" t="s">
        <v>801</v>
      </c>
      <c r="H109" s="35" t="s">
        <v>802</v>
      </c>
      <c r="I109" s="36" t="s">
        <v>803</v>
      </c>
      <c r="J109" s="34" t="s">
        <v>804</v>
      </c>
      <c r="K109" s="34" t="s">
        <v>805</v>
      </c>
      <c r="L109" s="37"/>
      <c r="M109" s="37"/>
      <c r="N109" s="37"/>
      <c r="O109" s="37"/>
      <c r="P109" s="37"/>
      <c r="Q109" s="37"/>
      <c r="R109" s="31" t="n">
        <f aca="false">COUNT($M109:$Q109)</f>
        <v>0</v>
      </c>
      <c r="S109" s="32" t="str">
        <f aca="false">IF($L109="","",IF($R109&gt;=5,"",MAX($L109:$Q109)+CHOOSE($R109+1,SETTINGS!$C$9,SETTINGS!$C$10,SETTINGS!$C$11,SETTINGS!$C$12,SETTINGS!$C$13)))</f>
        <v/>
      </c>
      <c r="T109" s="34" t="str">
        <f aca="true">IF($H109="","(chưa có nội dung)",IF($L109="",IF($C109&lt;TODAY(),"⚠ TRỄ HỌC",IF($C109=TODAY(),"★ HỌC HÔM NAY","• Chưa tới")),IF($R109&gt;=5,"✔ MASTER",IF($S109&lt;TODAY(),"⚠ TRỄ ÔN",IF($S109=TODAY(),"◆ ÔN HÔM NAY","✔ Đúng tiến độ")))))</f>
        <v>• Chưa tới</v>
      </c>
      <c r="U109" s="38" t="n">
        <f aca="false">IF($H109="","",$R109/5)</f>
        <v>0</v>
      </c>
    </row>
    <row r="110" customFormat="false" ht="15" hidden="false" customHeight="false" outlineLevel="0" collapsed="false">
      <c r="A110" s="31" t="s">
        <v>806</v>
      </c>
      <c r="B110" s="31" t="n">
        <v>6</v>
      </c>
      <c r="C110" s="32" t="n">
        <f aca="false">SETTINGS!$C$3+$B110-1</f>
        <v>46305</v>
      </c>
      <c r="D110" s="33" t="s">
        <v>154</v>
      </c>
      <c r="E110" s="34" t="s">
        <v>765</v>
      </c>
      <c r="F110" s="34" t="s">
        <v>280</v>
      </c>
      <c r="G110" s="34" t="s">
        <v>807</v>
      </c>
      <c r="H110" s="35" t="s">
        <v>808</v>
      </c>
      <c r="I110" s="36" t="s">
        <v>809</v>
      </c>
      <c r="J110" s="34" t="s">
        <v>810</v>
      </c>
      <c r="K110" s="34" t="s">
        <v>811</v>
      </c>
      <c r="L110" s="37"/>
      <c r="M110" s="37"/>
      <c r="N110" s="37"/>
      <c r="O110" s="37"/>
      <c r="P110" s="37"/>
      <c r="Q110" s="37"/>
      <c r="R110" s="31" t="n">
        <f aca="false">COUNT($M110:$Q110)</f>
        <v>0</v>
      </c>
      <c r="S110" s="32" t="str">
        <f aca="false">IF($L110="","",IF($R110&gt;=5,"",MAX($L110:$Q110)+CHOOSE($R110+1,SETTINGS!$C$9,SETTINGS!$C$10,SETTINGS!$C$11,SETTINGS!$C$12,SETTINGS!$C$13)))</f>
        <v/>
      </c>
      <c r="T110" s="34" t="str">
        <f aca="true">IF($H110="","(chưa có nội dung)",IF($L110="",IF($C110&lt;TODAY(),"⚠ TRỄ HỌC",IF($C110=TODAY(),"★ HỌC HÔM NAY","• Chưa tới")),IF($R110&gt;=5,"✔ MASTER",IF($S110&lt;TODAY(),"⚠ TRỄ ÔN",IF($S110=TODAY(),"◆ ÔN HÔM NAY","✔ Đúng tiến độ")))))</f>
        <v>• Chưa tới</v>
      </c>
      <c r="U110" s="38" t="n">
        <f aca="false">IF($H110="","",$R110/5)</f>
        <v>0</v>
      </c>
    </row>
    <row r="111" customFormat="false" ht="15" hidden="false" customHeight="false" outlineLevel="0" collapsed="false">
      <c r="A111" s="31" t="s">
        <v>812</v>
      </c>
      <c r="B111" s="31" t="n">
        <v>6</v>
      </c>
      <c r="C111" s="32" t="n">
        <f aca="false">SETTINGS!$C$3+$B111-1</f>
        <v>46305</v>
      </c>
      <c r="D111" s="33" t="s">
        <v>154</v>
      </c>
      <c r="E111" s="34" t="s">
        <v>765</v>
      </c>
      <c r="F111" s="34" t="s">
        <v>280</v>
      </c>
      <c r="G111" s="34" t="s">
        <v>813</v>
      </c>
      <c r="H111" s="35" t="s">
        <v>814</v>
      </c>
      <c r="I111" s="36" t="s">
        <v>815</v>
      </c>
      <c r="J111" s="34" t="s">
        <v>816</v>
      </c>
      <c r="K111" s="34" t="s">
        <v>817</v>
      </c>
      <c r="L111" s="37"/>
      <c r="M111" s="37"/>
      <c r="N111" s="37"/>
      <c r="O111" s="37"/>
      <c r="P111" s="37"/>
      <c r="Q111" s="37"/>
      <c r="R111" s="31" t="n">
        <f aca="false">COUNT($M111:$Q111)</f>
        <v>0</v>
      </c>
      <c r="S111" s="32" t="str">
        <f aca="false">IF($L111="","",IF($R111&gt;=5,"",MAX($L111:$Q111)+CHOOSE($R111+1,SETTINGS!$C$9,SETTINGS!$C$10,SETTINGS!$C$11,SETTINGS!$C$12,SETTINGS!$C$13)))</f>
        <v/>
      </c>
      <c r="T111" s="34" t="str">
        <f aca="true">IF($H111="","(chưa có nội dung)",IF($L111="",IF($C111&lt;TODAY(),"⚠ TRỄ HỌC",IF($C111=TODAY(),"★ HỌC HÔM NAY","• Chưa tới")),IF($R111&gt;=5,"✔ MASTER",IF($S111&lt;TODAY(),"⚠ TRỄ ÔN",IF($S111=TODAY(),"◆ ÔN HÔM NAY","✔ Đúng tiến độ")))))</f>
        <v>• Chưa tới</v>
      </c>
      <c r="U111" s="38" t="n">
        <f aca="false">IF($H111="","",$R111/5)</f>
        <v>0</v>
      </c>
    </row>
    <row r="112" customFormat="false" ht="15" hidden="false" customHeight="false" outlineLevel="0" collapsed="false">
      <c r="A112" s="31" t="s">
        <v>818</v>
      </c>
      <c r="B112" s="31" t="n">
        <v>6</v>
      </c>
      <c r="C112" s="32" t="n">
        <f aca="false">SETTINGS!$C$3+$B112-1</f>
        <v>46305</v>
      </c>
      <c r="D112" s="33" t="s">
        <v>154</v>
      </c>
      <c r="E112" s="34" t="s">
        <v>765</v>
      </c>
      <c r="F112" s="34" t="s">
        <v>280</v>
      </c>
      <c r="G112" s="34" t="s">
        <v>819</v>
      </c>
      <c r="H112" s="35" t="s">
        <v>820</v>
      </c>
      <c r="I112" s="36" t="s">
        <v>821</v>
      </c>
      <c r="J112" s="34" t="s">
        <v>822</v>
      </c>
      <c r="K112" s="34" t="s">
        <v>823</v>
      </c>
      <c r="L112" s="37"/>
      <c r="M112" s="37"/>
      <c r="N112" s="37"/>
      <c r="O112" s="37"/>
      <c r="P112" s="37"/>
      <c r="Q112" s="37"/>
      <c r="R112" s="31" t="n">
        <f aca="false">COUNT($M112:$Q112)</f>
        <v>0</v>
      </c>
      <c r="S112" s="32" t="str">
        <f aca="false">IF($L112="","",IF($R112&gt;=5,"",MAX($L112:$Q112)+CHOOSE($R112+1,SETTINGS!$C$9,SETTINGS!$C$10,SETTINGS!$C$11,SETTINGS!$C$12,SETTINGS!$C$13)))</f>
        <v/>
      </c>
      <c r="T112" s="34" t="str">
        <f aca="true">IF($H112="","(chưa có nội dung)",IF($L112="",IF($C112&lt;TODAY(),"⚠ TRỄ HỌC",IF($C112=TODAY(),"★ HỌC HÔM NAY","• Chưa tới")),IF($R112&gt;=5,"✔ MASTER",IF($S112&lt;TODAY(),"⚠ TRỄ ÔN",IF($S112=TODAY(),"◆ ÔN HÔM NAY","✔ Đúng tiến độ")))))</f>
        <v>• Chưa tới</v>
      </c>
      <c r="U112" s="38" t="n">
        <f aca="false">IF($H112="","",$R112/5)</f>
        <v>0</v>
      </c>
    </row>
    <row r="113" customFormat="false" ht="15" hidden="false" customHeight="false" outlineLevel="0" collapsed="false">
      <c r="A113" s="31" t="s">
        <v>824</v>
      </c>
      <c r="B113" s="31" t="n">
        <v>6</v>
      </c>
      <c r="C113" s="32" t="n">
        <f aca="false">SETTINGS!$C$3+$B113-1</f>
        <v>46305</v>
      </c>
      <c r="D113" s="33" t="s">
        <v>154</v>
      </c>
      <c r="E113" s="34" t="s">
        <v>765</v>
      </c>
      <c r="F113" s="34" t="s">
        <v>280</v>
      </c>
      <c r="G113" s="34" t="s">
        <v>825</v>
      </c>
      <c r="H113" s="35" t="s">
        <v>826</v>
      </c>
      <c r="I113" s="36" t="s">
        <v>827</v>
      </c>
      <c r="J113" s="34" t="s">
        <v>828</v>
      </c>
      <c r="K113" s="34" t="s">
        <v>829</v>
      </c>
      <c r="L113" s="37"/>
      <c r="M113" s="37"/>
      <c r="N113" s="37"/>
      <c r="O113" s="37"/>
      <c r="P113" s="37"/>
      <c r="Q113" s="37"/>
      <c r="R113" s="31" t="n">
        <f aca="false">COUNT($M113:$Q113)</f>
        <v>0</v>
      </c>
      <c r="S113" s="32" t="str">
        <f aca="false">IF($L113="","",IF($R113&gt;=5,"",MAX($L113:$Q113)+CHOOSE($R113+1,SETTINGS!$C$9,SETTINGS!$C$10,SETTINGS!$C$11,SETTINGS!$C$12,SETTINGS!$C$13)))</f>
        <v/>
      </c>
      <c r="T113" s="34" t="str">
        <f aca="true">IF($H113="","(chưa có nội dung)",IF($L113="",IF($C113&lt;TODAY(),"⚠ TRỄ HỌC",IF($C113=TODAY(),"★ HỌC HÔM NAY","• Chưa tới")),IF($R113&gt;=5,"✔ MASTER",IF($S113&lt;TODAY(),"⚠ TRỄ ÔN",IF($S113=TODAY(),"◆ ÔN HÔM NAY","✔ Đúng tiến độ")))))</f>
        <v>• Chưa tới</v>
      </c>
      <c r="U113" s="38" t="n">
        <f aca="false">IF($H113="","",$R113/5)</f>
        <v>0</v>
      </c>
    </row>
    <row r="114" customFormat="false" ht="15" hidden="false" customHeight="false" outlineLevel="0" collapsed="false">
      <c r="A114" s="31" t="s">
        <v>830</v>
      </c>
      <c r="B114" s="31" t="n">
        <v>6</v>
      </c>
      <c r="C114" s="32" t="n">
        <f aca="false">SETTINGS!$C$3+$B114-1</f>
        <v>46305</v>
      </c>
      <c r="D114" s="33" t="s">
        <v>154</v>
      </c>
      <c r="E114" s="34" t="s">
        <v>765</v>
      </c>
      <c r="F114" s="34" t="s">
        <v>280</v>
      </c>
      <c r="G114" s="34" t="s">
        <v>831</v>
      </c>
      <c r="H114" s="35" t="s">
        <v>832</v>
      </c>
      <c r="I114" s="36" t="s">
        <v>833</v>
      </c>
      <c r="J114" s="34" t="s">
        <v>834</v>
      </c>
      <c r="K114" s="34" t="s">
        <v>835</v>
      </c>
      <c r="L114" s="37"/>
      <c r="M114" s="37"/>
      <c r="N114" s="37"/>
      <c r="O114" s="37"/>
      <c r="P114" s="37"/>
      <c r="Q114" s="37"/>
      <c r="R114" s="31" t="n">
        <f aca="false">COUNT($M114:$Q114)</f>
        <v>0</v>
      </c>
      <c r="S114" s="32" t="str">
        <f aca="false">IF($L114="","",IF($R114&gt;=5,"",MAX($L114:$Q114)+CHOOSE($R114+1,SETTINGS!$C$9,SETTINGS!$C$10,SETTINGS!$C$11,SETTINGS!$C$12,SETTINGS!$C$13)))</f>
        <v/>
      </c>
      <c r="T114" s="34" t="str">
        <f aca="true">IF($H114="","(chưa có nội dung)",IF($L114="",IF($C114&lt;TODAY(),"⚠ TRỄ HỌC",IF($C114=TODAY(),"★ HỌC HÔM NAY","• Chưa tới")),IF($R114&gt;=5,"✔ MASTER",IF($S114&lt;TODAY(),"⚠ TRỄ ÔN",IF($S114=TODAY(),"◆ ÔN HÔM NAY","✔ Đúng tiến độ")))))</f>
        <v>• Chưa tới</v>
      </c>
      <c r="U114" s="38" t="n">
        <f aca="false">IF($H114="","",$R114/5)</f>
        <v>0</v>
      </c>
    </row>
    <row r="115" customFormat="false" ht="15" hidden="false" customHeight="false" outlineLevel="0" collapsed="false">
      <c r="A115" s="31" t="s">
        <v>836</v>
      </c>
      <c r="B115" s="31" t="n">
        <v>6</v>
      </c>
      <c r="C115" s="32" t="n">
        <f aca="false">SETTINGS!$C$3+$B115-1</f>
        <v>46305</v>
      </c>
      <c r="D115" s="33" t="s">
        <v>154</v>
      </c>
      <c r="E115" s="34" t="s">
        <v>765</v>
      </c>
      <c r="F115" s="34" t="s">
        <v>280</v>
      </c>
      <c r="G115" s="34" t="s">
        <v>837</v>
      </c>
      <c r="H115" s="35" t="s">
        <v>838</v>
      </c>
      <c r="I115" s="36" t="s">
        <v>839</v>
      </c>
      <c r="J115" s="34" t="s">
        <v>840</v>
      </c>
      <c r="K115" s="34" t="s">
        <v>841</v>
      </c>
      <c r="L115" s="37"/>
      <c r="M115" s="37"/>
      <c r="N115" s="37"/>
      <c r="O115" s="37"/>
      <c r="P115" s="37"/>
      <c r="Q115" s="37"/>
      <c r="R115" s="31" t="n">
        <f aca="false">COUNT($M115:$Q115)</f>
        <v>0</v>
      </c>
      <c r="S115" s="32" t="str">
        <f aca="false">IF($L115="","",IF($R115&gt;=5,"",MAX($L115:$Q115)+CHOOSE($R115+1,SETTINGS!$C$9,SETTINGS!$C$10,SETTINGS!$C$11,SETTINGS!$C$12,SETTINGS!$C$13)))</f>
        <v/>
      </c>
      <c r="T115" s="34" t="str">
        <f aca="true">IF($H115="","(chưa có nội dung)",IF($L115="",IF($C115&lt;TODAY(),"⚠ TRỄ HỌC",IF($C115=TODAY(),"★ HỌC HÔM NAY","• Chưa tới")),IF($R115&gt;=5,"✔ MASTER",IF($S115&lt;TODAY(),"⚠ TRỄ ÔN",IF($S115=TODAY(),"◆ ÔN HÔM NAY","✔ Đúng tiến độ")))))</f>
        <v>• Chưa tới</v>
      </c>
      <c r="U115" s="38" t="n">
        <f aca="false">IF($H115="","",$R115/5)</f>
        <v>0</v>
      </c>
    </row>
    <row r="116" customFormat="false" ht="15" hidden="false" customHeight="false" outlineLevel="0" collapsed="false">
      <c r="A116" s="31" t="s">
        <v>842</v>
      </c>
      <c r="B116" s="31" t="n">
        <v>6</v>
      </c>
      <c r="C116" s="32" t="n">
        <f aca="false">SETTINGS!$C$3+$B116-1</f>
        <v>46305</v>
      </c>
      <c r="D116" s="33" t="s">
        <v>154</v>
      </c>
      <c r="E116" s="34" t="s">
        <v>765</v>
      </c>
      <c r="F116" s="34" t="s">
        <v>280</v>
      </c>
      <c r="G116" s="34" t="s">
        <v>843</v>
      </c>
      <c r="H116" s="35" t="s">
        <v>844</v>
      </c>
      <c r="I116" s="36" t="s">
        <v>845</v>
      </c>
      <c r="J116" s="34" t="s">
        <v>846</v>
      </c>
      <c r="K116" s="34" t="s">
        <v>847</v>
      </c>
      <c r="L116" s="37"/>
      <c r="M116" s="37"/>
      <c r="N116" s="37"/>
      <c r="O116" s="37"/>
      <c r="P116" s="37"/>
      <c r="Q116" s="37"/>
      <c r="R116" s="31" t="n">
        <f aca="false">COUNT($M116:$Q116)</f>
        <v>0</v>
      </c>
      <c r="S116" s="32" t="str">
        <f aca="false">IF($L116="","",IF($R116&gt;=5,"",MAX($L116:$Q116)+CHOOSE($R116+1,SETTINGS!$C$9,SETTINGS!$C$10,SETTINGS!$C$11,SETTINGS!$C$12,SETTINGS!$C$13)))</f>
        <v/>
      </c>
      <c r="T116" s="34" t="str">
        <f aca="true">IF($H116="","(chưa có nội dung)",IF($L116="",IF($C116&lt;TODAY(),"⚠ TRỄ HỌC",IF($C116=TODAY(),"★ HỌC HÔM NAY","• Chưa tới")),IF($R116&gt;=5,"✔ MASTER",IF($S116&lt;TODAY(),"⚠ TRỄ ÔN",IF($S116=TODAY(),"◆ ÔN HÔM NAY","✔ Đúng tiến độ")))))</f>
        <v>• Chưa tới</v>
      </c>
      <c r="U116" s="38" t="n">
        <f aca="false">IF($H116="","",$R116/5)</f>
        <v>0</v>
      </c>
    </row>
    <row r="117" customFormat="false" ht="15" hidden="false" customHeight="false" outlineLevel="0" collapsed="false">
      <c r="A117" s="31" t="s">
        <v>848</v>
      </c>
      <c r="B117" s="31" t="n">
        <v>6</v>
      </c>
      <c r="C117" s="32" t="n">
        <f aca="false">SETTINGS!$C$3+$B117-1</f>
        <v>46305</v>
      </c>
      <c r="D117" s="33" t="s">
        <v>154</v>
      </c>
      <c r="E117" s="34" t="s">
        <v>765</v>
      </c>
      <c r="F117" s="34" t="s">
        <v>280</v>
      </c>
      <c r="G117" s="34" t="s">
        <v>849</v>
      </c>
      <c r="H117" s="35" t="s">
        <v>850</v>
      </c>
      <c r="I117" s="36" t="s">
        <v>851</v>
      </c>
      <c r="J117" s="34" t="s">
        <v>852</v>
      </c>
      <c r="K117" s="34" t="s">
        <v>853</v>
      </c>
      <c r="L117" s="37"/>
      <c r="M117" s="37"/>
      <c r="N117" s="37"/>
      <c r="O117" s="37"/>
      <c r="P117" s="37"/>
      <c r="Q117" s="37"/>
      <c r="R117" s="31" t="n">
        <f aca="false">COUNT($M117:$Q117)</f>
        <v>0</v>
      </c>
      <c r="S117" s="32" t="str">
        <f aca="false">IF($L117="","",IF($R117&gt;=5,"",MAX($L117:$Q117)+CHOOSE($R117+1,SETTINGS!$C$9,SETTINGS!$C$10,SETTINGS!$C$11,SETTINGS!$C$12,SETTINGS!$C$13)))</f>
        <v/>
      </c>
      <c r="T117" s="34" t="str">
        <f aca="true">IF($H117="","(chưa có nội dung)",IF($L117="",IF($C117&lt;TODAY(),"⚠ TRỄ HỌC",IF($C117=TODAY(),"★ HỌC HÔM NAY","• Chưa tới")),IF($R117&gt;=5,"✔ MASTER",IF($S117&lt;TODAY(),"⚠ TRỄ ÔN",IF($S117=TODAY(),"◆ ÔN HÔM NAY","✔ Đúng tiến độ")))))</f>
        <v>• Chưa tới</v>
      </c>
      <c r="U117" s="38" t="n">
        <f aca="false">IF($H117="","",$R117/5)</f>
        <v>0</v>
      </c>
    </row>
    <row r="118" customFormat="false" ht="15" hidden="false" customHeight="false" outlineLevel="0" collapsed="false">
      <c r="A118" s="31" t="s">
        <v>854</v>
      </c>
      <c r="B118" s="31" t="n">
        <v>6</v>
      </c>
      <c r="C118" s="32" t="n">
        <f aca="false">SETTINGS!$C$3+$B118-1</f>
        <v>46305</v>
      </c>
      <c r="D118" s="33" t="s">
        <v>154</v>
      </c>
      <c r="E118" s="34" t="s">
        <v>765</v>
      </c>
      <c r="F118" s="34" t="s">
        <v>497</v>
      </c>
      <c r="G118" s="34" t="s">
        <v>855</v>
      </c>
      <c r="H118" s="35" t="s">
        <v>856</v>
      </c>
      <c r="I118" s="36" t="s">
        <v>857</v>
      </c>
      <c r="J118" s="34" t="s">
        <v>858</v>
      </c>
      <c r="K118" s="34" t="s">
        <v>859</v>
      </c>
      <c r="L118" s="37"/>
      <c r="M118" s="37"/>
      <c r="N118" s="37"/>
      <c r="O118" s="37"/>
      <c r="P118" s="37"/>
      <c r="Q118" s="37"/>
      <c r="R118" s="31" t="n">
        <f aca="false">COUNT($M118:$Q118)</f>
        <v>0</v>
      </c>
      <c r="S118" s="32" t="str">
        <f aca="false">IF($L118="","",IF($R118&gt;=5,"",MAX($L118:$Q118)+CHOOSE($R118+1,SETTINGS!$C$9,SETTINGS!$C$10,SETTINGS!$C$11,SETTINGS!$C$12,SETTINGS!$C$13)))</f>
        <v/>
      </c>
      <c r="T118" s="34" t="str">
        <f aca="true">IF($H118="","(chưa có nội dung)",IF($L118="",IF($C118&lt;TODAY(),"⚠ TRỄ HỌC",IF($C118=TODAY(),"★ HỌC HÔM NAY","• Chưa tới")),IF($R118&gt;=5,"✔ MASTER",IF($S118&lt;TODAY(),"⚠ TRỄ ÔN",IF($S118=TODAY(),"◆ ÔN HÔM NAY","✔ Đúng tiến độ")))))</f>
        <v>• Chưa tới</v>
      </c>
      <c r="U118" s="38" t="n">
        <f aca="false">IF($H118="","",$R118/5)</f>
        <v>0</v>
      </c>
    </row>
    <row r="119" customFormat="false" ht="15" hidden="false" customHeight="false" outlineLevel="0" collapsed="false">
      <c r="A119" s="31" t="s">
        <v>860</v>
      </c>
      <c r="B119" s="31" t="n">
        <v>6</v>
      </c>
      <c r="C119" s="32" t="n">
        <f aca="false">SETTINGS!$C$3+$B119-1</f>
        <v>46305</v>
      </c>
      <c r="D119" s="33" t="s">
        <v>154</v>
      </c>
      <c r="E119" s="34" t="s">
        <v>765</v>
      </c>
      <c r="F119" s="34" t="s">
        <v>280</v>
      </c>
      <c r="G119" s="34" t="s">
        <v>861</v>
      </c>
      <c r="H119" s="35" t="s">
        <v>862</v>
      </c>
      <c r="I119" s="36" t="s">
        <v>863</v>
      </c>
      <c r="J119" s="34" t="s">
        <v>864</v>
      </c>
      <c r="K119" s="34" t="s">
        <v>865</v>
      </c>
      <c r="L119" s="37"/>
      <c r="M119" s="37"/>
      <c r="N119" s="37"/>
      <c r="O119" s="37"/>
      <c r="P119" s="37"/>
      <c r="Q119" s="37"/>
      <c r="R119" s="31" t="n">
        <f aca="false">COUNT($M119:$Q119)</f>
        <v>0</v>
      </c>
      <c r="S119" s="32" t="str">
        <f aca="false">IF($L119="","",IF($R119&gt;=5,"",MAX($L119:$Q119)+CHOOSE($R119+1,SETTINGS!$C$9,SETTINGS!$C$10,SETTINGS!$C$11,SETTINGS!$C$12,SETTINGS!$C$13)))</f>
        <v/>
      </c>
      <c r="T119" s="34" t="str">
        <f aca="true">IF($H119="","(chưa có nội dung)",IF($L119="",IF($C119&lt;TODAY(),"⚠ TRỄ HỌC",IF($C119=TODAY(),"★ HỌC HÔM NAY","• Chưa tới")),IF($R119&gt;=5,"✔ MASTER",IF($S119&lt;TODAY(),"⚠ TRỄ ÔN",IF($S119=TODAY(),"◆ ÔN HÔM NAY","✔ Đúng tiến độ")))))</f>
        <v>• Chưa tới</v>
      </c>
      <c r="U119" s="38" t="n">
        <f aca="false">IF($H119="","",$R119/5)</f>
        <v>0</v>
      </c>
    </row>
    <row r="120" customFormat="false" ht="15" hidden="false" customHeight="false" outlineLevel="0" collapsed="false">
      <c r="A120" s="31" t="s">
        <v>866</v>
      </c>
      <c r="B120" s="31" t="n">
        <v>6</v>
      </c>
      <c r="C120" s="32" t="n">
        <f aca="false">SETTINGS!$C$3+$B120-1</f>
        <v>46305</v>
      </c>
      <c r="D120" s="33" t="s">
        <v>154</v>
      </c>
      <c r="E120" s="34" t="s">
        <v>765</v>
      </c>
      <c r="F120" s="34" t="s">
        <v>280</v>
      </c>
      <c r="G120" s="34" t="s">
        <v>867</v>
      </c>
      <c r="H120" s="35" t="s">
        <v>868</v>
      </c>
      <c r="I120" s="36" t="s">
        <v>869</v>
      </c>
      <c r="J120" s="34" t="s">
        <v>870</v>
      </c>
      <c r="K120" s="34" t="s">
        <v>871</v>
      </c>
      <c r="L120" s="37"/>
      <c r="M120" s="37"/>
      <c r="N120" s="37"/>
      <c r="O120" s="37"/>
      <c r="P120" s="37"/>
      <c r="Q120" s="37"/>
      <c r="R120" s="31" t="n">
        <f aca="false">COUNT($M120:$Q120)</f>
        <v>0</v>
      </c>
      <c r="S120" s="32" t="str">
        <f aca="false">IF($L120="","",IF($R120&gt;=5,"",MAX($L120:$Q120)+CHOOSE($R120+1,SETTINGS!$C$9,SETTINGS!$C$10,SETTINGS!$C$11,SETTINGS!$C$12,SETTINGS!$C$13)))</f>
        <v/>
      </c>
      <c r="T120" s="34" t="str">
        <f aca="true">IF($H120="","(chưa có nội dung)",IF($L120="",IF($C120&lt;TODAY(),"⚠ TRỄ HỌC",IF($C120=TODAY(),"★ HỌC HÔM NAY","• Chưa tới")),IF($R120&gt;=5,"✔ MASTER",IF($S120&lt;TODAY(),"⚠ TRỄ ÔN",IF($S120=TODAY(),"◆ ÔN HÔM NAY","✔ Đúng tiến độ")))))</f>
        <v>• Chưa tới</v>
      </c>
      <c r="U120" s="38" t="n">
        <f aca="false">IF($H120="","",$R120/5)</f>
        <v>0</v>
      </c>
    </row>
    <row r="121" customFormat="false" ht="15" hidden="false" customHeight="false" outlineLevel="0" collapsed="false">
      <c r="A121" s="31" t="s">
        <v>872</v>
      </c>
      <c r="B121" s="31" t="n">
        <v>6</v>
      </c>
      <c r="C121" s="32" t="n">
        <f aca="false">SETTINGS!$C$3+$B121-1</f>
        <v>46305</v>
      </c>
      <c r="D121" s="33" t="s">
        <v>154</v>
      </c>
      <c r="E121" s="34" t="s">
        <v>765</v>
      </c>
      <c r="F121" s="34" t="s">
        <v>280</v>
      </c>
      <c r="G121" s="34" t="s">
        <v>873</v>
      </c>
      <c r="H121" s="35" t="s">
        <v>874</v>
      </c>
      <c r="I121" s="36" t="s">
        <v>875</v>
      </c>
      <c r="J121" s="34" t="s">
        <v>876</v>
      </c>
      <c r="K121" s="34" t="s">
        <v>877</v>
      </c>
      <c r="L121" s="37"/>
      <c r="M121" s="37"/>
      <c r="N121" s="37"/>
      <c r="O121" s="37"/>
      <c r="P121" s="37"/>
      <c r="Q121" s="37"/>
      <c r="R121" s="31" t="n">
        <f aca="false">COUNT($M121:$Q121)</f>
        <v>0</v>
      </c>
      <c r="S121" s="32" t="str">
        <f aca="false">IF($L121="","",IF($R121&gt;=5,"",MAX($L121:$Q121)+CHOOSE($R121+1,SETTINGS!$C$9,SETTINGS!$C$10,SETTINGS!$C$11,SETTINGS!$C$12,SETTINGS!$C$13)))</f>
        <v/>
      </c>
      <c r="T121" s="34" t="str">
        <f aca="true">IF($H121="","(chưa có nội dung)",IF($L121="",IF($C121&lt;TODAY(),"⚠ TRỄ HỌC",IF($C121=TODAY(),"★ HỌC HÔM NAY","• Chưa tới")),IF($R121&gt;=5,"✔ MASTER",IF($S121&lt;TODAY(),"⚠ TRỄ ÔN",IF($S121=TODAY(),"◆ ÔN HÔM NAY","✔ Đúng tiến độ")))))</f>
        <v>• Chưa tới</v>
      </c>
      <c r="U121" s="38" t="n">
        <f aca="false">IF($H121="","",$R121/5)</f>
        <v>0</v>
      </c>
    </row>
    <row r="122" customFormat="false" ht="15" hidden="false" customHeight="false" outlineLevel="0" collapsed="false">
      <c r="A122" s="31" t="s">
        <v>878</v>
      </c>
      <c r="B122" s="31" t="n">
        <v>6</v>
      </c>
      <c r="C122" s="32" t="n">
        <f aca="false">SETTINGS!$C$3+$B122-1</f>
        <v>46305</v>
      </c>
      <c r="D122" s="33" t="s">
        <v>154</v>
      </c>
      <c r="E122" s="34" t="s">
        <v>765</v>
      </c>
      <c r="F122" s="34" t="s">
        <v>163</v>
      </c>
      <c r="G122" s="34" t="s">
        <v>879</v>
      </c>
      <c r="H122" s="35" t="s">
        <v>880</v>
      </c>
      <c r="I122" s="36" t="s">
        <v>881</v>
      </c>
      <c r="J122" s="34" t="s">
        <v>882</v>
      </c>
      <c r="K122" s="34" t="s">
        <v>883</v>
      </c>
      <c r="L122" s="37"/>
      <c r="M122" s="37"/>
      <c r="N122" s="37"/>
      <c r="O122" s="37"/>
      <c r="P122" s="37"/>
      <c r="Q122" s="37"/>
      <c r="R122" s="31" t="n">
        <f aca="false">COUNT($M122:$Q122)</f>
        <v>0</v>
      </c>
      <c r="S122" s="32" t="str">
        <f aca="false">IF($L122="","",IF($R122&gt;=5,"",MAX($L122:$Q122)+CHOOSE($R122+1,SETTINGS!$C$9,SETTINGS!$C$10,SETTINGS!$C$11,SETTINGS!$C$12,SETTINGS!$C$13)))</f>
        <v/>
      </c>
      <c r="T122" s="34" t="str">
        <f aca="true">IF($H122="","(chưa có nội dung)",IF($L122="",IF($C122&lt;TODAY(),"⚠ TRỄ HỌC",IF($C122=TODAY(),"★ HỌC HÔM NAY","• Chưa tới")),IF($R122&gt;=5,"✔ MASTER",IF($S122&lt;TODAY(),"⚠ TRỄ ÔN",IF($S122=TODAY(),"◆ ÔN HÔM NAY","✔ Đúng tiến độ")))))</f>
        <v>• Chưa tới</v>
      </c>
      <c r="U122" s="38" t="n">
        <f aca="false">IF($H122="","",$R122/5)</f>
        <v>0</v>
      </c>
    </row>
    <row r="123" customFormat="false" ht="15" hidden="false" customHeight="false" outlineLevel="0" collapsed="false">
      <c r="A123" s="31" t="s">
        <v>884</v>
      </c>
      <c r="B123" s="31" t="n">
        <v>7</v>
      </c>
      <c r="C123" s="32" t="n">
        <f aca="false">SETTINGS!$C$3+$B123-1</f>
        <v>46306</v>
      </c>
      <c r="D123" s="33" t="s">
        <v>154</v>
      </c>
      <c r="E123" s="34" t="s">
        <v>885</v>
      </c>
      <c r="F123" s="34" t="s">
        <v>163</v>
      </c>
      <c r="G123" s="34" t="s">
        <v>886</v>
      </c>
      <c r="H123" s="35" t="s">
        <v>887</v>
      </c>
      <c r="I123" s="36" t="s">
        <v>888</v>
      </c>
      <c r="J123" s="34" t="s">
        <v>889</v>
      </c>
      <c r="K123" s="34" t="s">
        <v>890</v>
      </c>
      <c r="L123" s="37"/>
      <c r="M123" s="37"/>
      <c r="N123" s="37"/>
      <c r="O123" s="37"/>
      <c r="P123" s="37"/>
      <c r="Q123" s="37"/>
      <c r="R123" s="31" t="n">
        <f aca="false">COUNT($M123:$Q123)</f>
        <v>0</v>
      </c>
      <c r="S123" s="32" t="str">
        <f aca="false">IF($L123="","",IF($R123&gt;=5,"",MAX($L123:$Q123)+CHOOSE($R123+1,SETTINGS!$C$9,SETTINGS!$C$10,SETTINGS!$C$11,SETTINGS!$C$12,SETTINGS!$C$13)))</f>
        <v/>
      </c>
      <c r="T123" s="34" t="str">
        <f aca="true">IF($H123="","(chưa có nội dung)",IF($L123="",IF($C123&lt;TODAY(),"⚠ TRỄ HỌC",IF($C123=TODAY(),"★ HỌC HÔM NAY","• Chưa tới")),IF($R123&gt;=5,"✔ MASTER",IF($S123&lt;TODAY(),"⚠ TRỄ ÔN",IF($S123=TODAY(),"◆ ÔN HÔM NAY","✔ Đúng tiến độ")))))</f>
        <v>• Chưa tới</v>
      </c>
      <c r="U123" s="38" t="n">
        <f aca="false">IF($H123="","",$R123/5)</f>
        <v>0</v>
      </c>
    </row>
    <row r="124" customFormat="false" ht="15" hidden="false" customHeight="false" outlineLevel="0" collapsed="false">
      <c r="A124" s="31" t="s">
        <v>891</v>
      </c>
      <c r="B124" s="31" t="n">
        <v>7</v>
      </c>
      <c r="C124" s="32" t="n">
        <f aca="false">SETTINGS!$C$3+$B124-1</f>
        <v>46306</v>
      </c>
      <c r="D124" s="33" t="s">
        <v>154</v>
      </c>
      <c r="E124" s="34" t="s">
        <v>885</v>
      </c>
      <c r="F124" s="34" t="s">
        <v>163</v>
      </c>
      <c r="G124" s="34" t="s">
        <v>892</v>
      </c>
      <c r="H124" s="35" t="s">
        <v>893</v>
      </c>
      <c r="I124" s="36" t="s">
        <v>894</v>
      </c>
      <c r="J124" s="34" t="s">
        <v>895</v>
      </c>
      <c r="K124" s="34" t="s">
        <v>896</v>
      </c>
      <c r="L124" s="37"/>
      <c r="M124" s="37"/>
      <c r="N124" s="37"/>
      <c r="O124" s="37"/>
      <c r="P124" s="37"/>
      <c r="Q124" s="37"/>
      <c r="R124" s="31" t="n">
        <f aca="false">COUNT($M124:$Q124)</f>
        <v>0</v>
      </c>
      <c r="S124" s="32" t="str">
        <f aca="false">IF($L124="","",IF($R124&gt;=5,"",MAX($L124:$Q124)+CHOOSE($R124+1,SETTINGS!$C$9,SETTINGS!$C$10,SETTINGS!$C$11,SETTINGS!$C$12,SETTINGS!$C$13)))</f>
        <v/>
      </c>
      <c r="T124" s="34" t="str">
        <f aca="true">IF($H124="","(chưa có nội dung)",IF($L124="",IF($C124&lt;TODAY(),"⚠ TRỄ HỌC",IF($C124=TODAY(),"★ HỌC HÔM NAY","• Chưa tới")),IF($R124&gt;=5,"✔ MASTER",IF($S124&lt;TODAY(),"⚠ TRỄ ÔN",IF($S124=TODAY(),"◆ ÔN HÔM NAY","✔ Đúng tiến độ")))))</f>
        <v>• Chưa tới</v>
      </c>
      <c r="U124" s="38" t="n">
        <f aca="false">IF($H124="","",$R124/5)</f>
        <v>0</v>
      </c>
    </row>
    <row r="125" customFormat="false" ht="15" hidden="false" customHeight="false" outlineLevel="0" collapsed="false">
      <c r="A125" s="31" t="s">
        <v>897</v>
      </c>
      <c r="B125" s="31" t="n">
        <v>7</v>
      </c>
      <c r="C125" s="32" t="n">
        <f aca="false">SETTINGS!$C$3+$B125-1</f>
        <v>46306</v>
      </c>
      <c r="D125" s="33" t="s">
        <v>154</v>
      </c>
      <c r="E125" s="34" t="s">
        <v>885</v>
      </c>
      <c r="F125" s="34" t="s">
        <v>163</v>
      </c>
      <c r="G125" s="34" t="s">
        <v>898</v>
      </c>
      <c r="H125" s="35" t="s">
        <v>899</v>
      </c>
      <c r="I125" s="36" t="s">
        <v>900</v>
      </c>
      <c r="J125" s="34" t="s">
        <v>901</v>
      </c>
      <c r="K125" s="34" t="s">
        <v>902</v>
      </c>
      <c r="L125" s="37"/>
      <c r="M125" s="37"/>
      <c r="N125" s="37"/>
      <c r="O125" s="37"/>
      <c r="P125" s="37"/>
      <c r="Q125" s="37"/>
      <c r="R125" s="31" t="n">
        <f aca="false">COUNT($M125:$Q125)</f>
        <v>0</v>
      </c>
      <c r="S125" s="32" t="str">
        <f aca="false">IF($L125="","",IF($R125&gt;=5,"",MAX($L125:$Q125)+CHOOSE($R125+1,SETTINGS!$C$9,SETTINGS!$C$10,SETTINGS!$C$11,SETTINGS!$C$12,SETTINGS!$C$13)))</f>
        <v/>
      </c>
      <c r="T125" s="34" t="str">
        <f aca="true">IF($H125="","(chưa có nội dung)",IF($L125="",IF($C125&lt;TODAY(),"⚠ TRỄ HỌC",IF($C125=TODAY(),"★ HỌC HÔM NAY","• Chưa tới")),IF($R125&gt;=5,"✔ MASTER",IF($S125&lt;TODAY(),"⚠ TRỄ ÔN",IF($S125=TODAY(),"◆ ÔN HÔM NAY","✔ Đúng tiến độ")))))</f>
        <v>• Chưa tới</v>
      </c>
      <c r="U125" s="38" t="n">
        <f aca="false">IF($H125="","",$R125/5)</f>
        <v>0</v>
      </c>
    </row>
    <row r="126" customFormat="false" ht="15" hidden="false" customHeight="false" outlineLevel="0" collapsed="false">
      <c r="A126" s="31" t="s">
        <v>903</v>
      </c>
      <c r="B126" s="31" t="n">
        <v>7</v>
      </c>
      <c r="C126" s="32" t="n">
        <f aca="false">SETTINGS!$C$3+$B126-1</f>
        <v>46306</v>
      </c>
      <c r="D126" s="33" t="s">
        <v>154</v>
      </c>
      <c r="E126" s="34" t="s">
        <v>885</v>
      </c>
      <c r="F126" s="34" t="s">
        <v>163</v>
      </c>
      <c r="G126" s="34" t="s">
        <v>904</v>
      </c>
      <c r="H126" s="35" t="s">
        <v>905</v>
      </c>
      <c r="I126" s="36" t="s">
        <v>906</v>
      </c>
      <c r="J126" s="34" t="s">
        <v>907</v>
      </c>
      <c r="K126" s="34" t="s">
        <v>908</v>
      </c>
      <c r="L126" s="37"/>
      <c r="M126" s="37"/>
      <c r="N126" s="37"/>
      <c r="O126" s="37"/>
      <c r="P126" s="37"/>
      <c r="Q126" s="37"/>
      <c r="R126" s="31" t="n">
        <f aca="false">COUNT($M126:$Q126)</f>
        <v>0</v>
      </c>
      <c r="S126" s="32" t="str">
        <f aca="false">IF($L126="","",IF($R126&gt;=5,"",MAX($L126:$Q126)+CHOOSE($R126+1,SETTINGS!$C$9,SETTINGS!$C$10,SETTINGS!$C$11,SETTINGS!$C$12,SETTINGS!$C$13)))</f>
        <v/>
      </c>
      <c r="T126" s="34" t="str">
        <f aca="true">IF($H126="","(chưa có nội dung)",IF($L126="",IF($C126&lt;TODAY(),"⚠ TRỄ HỌC",IF($C126=TODAY(),"★ HỌC HÔM NAY","• Chưa tới")),IF($R126&gt;=5,"✔ MASTER",IF($S126&lt;TODAY(),"⚠ TRỄ ÔN",IF($S126=TODAY(),"◆ ÔN HÔM NAY","✔ Đúng tiến độ")))))</f>
        <v>• Chưa tới</v>
      </c>
      <c r="U126" s="38" t="n">
        <f aca="false">IF($H126="","",$R126/5)</f>
        <v>0</v>
      </c>
    </row>
    <row r="127" customFormat="false" ht="15" hidden="false" customHeight="false" outlineLevel="0" collapsed="false">
      <c r="A127" s="31" t="s">
        <v>909</v>
      </c>
      <c r="B127" s="31" t="n">
        <v>7</v>
      </c>
      <c r="C127" s="32" t="n">
        <f aca="false">SETTINGS!$C$3+$B127-1</f>
        <v>46306</v>
      </c>
      <c r="D127" s="33" t="s">
        <v>154</v>
      </c>
      <c r="E127" s="34" t="s">
        <v>885</v>
      </c>
      <c r="F127" s="34" t="s">
        <v>163</v>
      </c>
      <c r="G127" s="34" t="s">
        <v>910</v>
      </c>
      <c r="H127" s="35" t="s">
        <v>911</v>
      </c>
      <c r="I127" s="36" t="s">
        <v>912</v>
      </c>
      <c r="J127" s="34" t="s">
        <v>913</v>
      </c>
      <c r="K127" s="34" t="s">
        <v>914</v>
      </c>
      <c r="L127" s="37"/>
      <c r="M127" s="37"/>
      <c r="N127" s="37"/>
      <c r="O127" s="37"/>
      <c r="P127" s="37"/>
      <c r="Q127" s="37"/>
      <c r="R127" s="31" t="n">
        <f aca="false">COUNT($M127:$Q127)</f>
        <v>0</v>
      </c>
      <c r="S127" s="32" t="str">
        <f aca="false">IF($L127="","",IF($R127&gt;=5,"",MAX($L127:$Q127)+CHOOSE($R127+1,SETTINGS!$C$9,SETTINGS!$C$10,SETTINGS!$C$11,SETTINGS!$C$12,SETTINGS!$C$13)))</f>
        <v/>
      </c>
      <c r="T127" s="34" t="str">
        <f aca="true">IF($H127="","(chưa có nội dung)",IF($L127="",IF($C127&lt;TODAY(),"⚠ TRỄ HỌC",IF($C127=TODAY(),"★ HỌC HÔM NAY","• Chưa tới")),IF($R127&gt;=5,"✔ MASTER",IF($S127&lt;TODAY(),"⚠ TRỄ ÔN",IF($S127=TODAY(),"◆ ÔN HÔM NAY","✔ Đúng tiến độ")))))</f>
        <v>• Chưa tới</v>
      </c>
      <c r="U127" s="38" t="n">
        <f aca="false">IF($H127="","",$R127/5)</f>
        <v>0</v>
      </c>
    </row>
    <row r="128" customFormat="false" ht="15" hidden="false" customHeight="false" outlineLevel="0" collapsed="false">
      <c r="A128" s="31" t="s">
        <v>915</v>
      </c>
      <c r="B128" s="31" t="n">
        <v>7</v>
      </c>
      <c r="C128" s="32" t="n">
        <f aca="false">SETTINGS!$C$3+$B128-1</f>
        <v>46306</v>
      </c>
      <c r="D128" s="33" t="s">
        <v>154</v>
      </c>
      <c r="E128" s="34" t="s">
        <v>885</v>
      </c>
      <c r="F128" s="34" t="s">
        <v>163</v>
      </c>
      <c r="G128" s="34" t="s">
        <v>916</v>
      </c>
      <c r="H128" s="35" t="s">
        <v>917</v>
      </c>
      <c r="I128" s="36" t="s">
        <v>918</v>
      </c>
      <c r="J128" s="34" t="s">
        <v>919</v>
      </c>
      <c r="K128" s="34" t="s">
        <v>920</v>
      </c>
      <c r="L128" s="37"/>
      <c r="M128" s="37"/>
      <c r="N128" s="37"/>
      <c r="O128" s="37"/>
      <c r="P128" s="37"/>
      <c r="Q128" s="37"/>
      <c r="R128" s="31" t="n">
        <f aca="false">COUNT($M128:$Q128)</f>
        <v>0</v>
      </c>
      <c r="S128" s="32" t="str">
        <f aca="false">IF($L128="","",IF($R128&gt;=5,"",MAX($L128:$Q128)+CHOOSE($R128+1,SETTINGS!$C$9,SETTINGS!$C$10,SETTINGS!$C$11,SETTINGS!$C$12,SETTINGS!$C$13)))</f>
        <v/>
      </c>
      <c r="T128" s="34" t="str">
        <f aca="true">IF($H128="","(chưa có nội dung)",IF($L128="",IF($C128&lt;TODAY(),"⚠ TRỄ HỌC",IF($C128=TODAY(),"★ HỌC HÔM NAY","• Chưa tới")),IF($R128&gt;=5,"✔ MASTER",IF($S128&lt;TODAY(),"⚠ TRỄ ÔN",IF($S128=TODAY(),"◆ ÔN HÔM NAY","✔ Đúng tiến độ")))))</f>
        <v>• Chưa tới</v>
      </c>
      <c r="U128" s="38" t="n">
        <f aca="false">IF($H128="","",$R128/5)</f>
        <v>0</v>
      </c>
    </row>
    <row r="129" customFormat="false" ht="15" hidden="false" customHeight="false" outlineLevel="0" collapsed="false">
      <c r="A129" s="31" t="s">
        <v>921</v>
      </c>
      <c r="B129" s="31" t="n">
        <v>7</v>
      </c>
      <c r="C129" s="32" t="n">
        <f aca="false">SETTINGS!$C$3+$B129-1</f>
        <v>46306</v>
      </c>
      <c r="D129" s="33" t="s">
        <v>154</v>
      </c>
      <c r="E129" s="34" t="s">
        <v>885</v>
      </c>
      <c r="F129" s="34" t="s">
        <v>163</v>
      </c>
      <c r="G129" s="34" t="s">
        <v>922</v>
      </c>
      <c r="H129" s="35" t="s">
        <v>923</v>
      </c>
      <c r="I129" s="36" t="s">
        <v>924</v>
      </c>
      <c r="J129" s="34" t="s">
        <v>925</v>
      </c>
      <c r="K129" s="34" t="s">
        <v>926</v>
      </c>
      <c r="L129" s="37"/>
      <c r="M129" s="37"/>
      <c r="N129" s="37"/>
      <c r="O129" s="37"/>
      <c r="P129" s="37"/>
      <c r="Q129" s="37"/>
      <c r="R129" s="31" t="n">
        <f aca="false">COUNT($M129:$Q129)</f>
        <v>0</v>
      </c>
      <c r="S129" s="32" t="str">
        <f aca="false">IF($L129="","",IF($R129&gt;=5,"",MAX($L129:$Q129)+CHOOSE($R129+1,SETTINGS!$C$9,SETTINGS!$C$10,SETTINGS!$C$11,SETTINGS!$C$12,SETTINGS!$C$13)))</f>
        <v/>
      </c>
      <c r="T129" s="34" t="str">
        <f aca="true">IF($H129="","(chưa có nội dung)",IF($L129="",IF($C129&lt;TODAY(),"⚠ TRỄ HỌC",IF($C129=TODAY(),"★ HỌC HÔM NAY","• Chưa tới")),IF($R129&gt;=5,"✔ MASTER",IF($S129&lt;TODAY(),"⚠ TRỄ ÔN",IF($S129=TODAY(),"◆ ÔN HÔM NAY","✔ Đúng tiến độ")))))</f>
        <v>• Chưa tới</v>
      </c>
      <c r="U129" s="38" t="n">
        <f aca="false">IF($H129="","",$R129/5)</f>
        <v>0</v>
      </c>
    </row>
    <row r="130" customFormat="false" ht="15" hidden="false" customHeight="false" outlineLevel="0" collapsed="false">
      <c r="A130" s="31" t="s">
        <v>927</v>
      </c>
      <c r="B130" s="31" t="n">
        <v>7</v>
      </c>
      <c r="C130" s="32" t="n">
        <f aca="false">SETTINGS!$C$3+$B130-1</f>
        <v>46306</v>
      </c>
      <c r="D130" s="33" t="s">
        <v>154</v>
      </c>
      <c r="E130" s="34" t="s">
        <v>885</v>
      </c>
      <c r="F130" s="34" t="s">
        <v>163</v>
      </c>
      <c r="G130" s="34" t="s">
        <v>928</v>
      </c>
      <c r="H130" s="35" t="s">
        <v>929</v>
      </c>
      <c r="I130" s="36" t="s">
        <v>930</v>
      </c>
      <c r="J130" s="34" t="s">
        <v>931</v>
      </c>
      <c r="K130" s="34" t="s">
        <v>932</v>
      </c>
      <c r="L130" s="37"/>
      <c r="M130" s="37"/>
      <c r="N130" s="37"/>
      <c r="O130" s="37"/>
      <c r="P130" s="37"/>
      <c r="Q130" s="37"/>
      <c r="R130" s="31" t="n">
        <f aca="false">COUNT($M130:$Q130)</f>
        <v>0</v>
      </c>
      <c r="S130" s="32" t="str">
        <f aca="false">IF($L130="","",IF($R130&gt;=5,"",MAX($L130:$Q130)+CHOOSE($R130+1,SETTINGS!$C$9,SETTINGS!$C$10,SETTINGS!$C$11,SETTINGS!$C$12,SETTINGS!$C$13)))</f>
        <v/>
      </c>
      <c r="T130" s="34" t="str">
        <f aca="true">IF($H130="","(chưa có nội dung)",IF($L130="",IF($C130&lt;TODAY(),"⚠ TRỄ HỌC",IF($C130=TODAY(),"★ HỌC HÔM NAY","• Chưa tới")),IF($R130&gt;=5,"✔ MASTER",IF($S130&lt;TODAY(),"⚠ TRỄ ÔN",IF($S130=TODAY(),"◆ ÔN HÔM NAY","✔ Đúng tiến độ")))))</f>
        <v>• Chưa tới</v>
      </c>
      <c r="U130" s="38" t="n">
        <f aca="false">IF($H130="","",$R130/5)</f>
        <v>0</v>
      </c>
    </row>
    <row r="131" customFormat="false" ht="15" hidden="false" customHeight="false" outlineLevel="0" collapsed="false">
      <c r="A131" s="31" t="s">
        <v>933</v>
      </c>
      <c r="B131" s="31" t="n">
        <v>7</v>
      </c>
      <c r="C131" s="32" t="n">
        <f aca="false">SETTINGS!$C$3+$B131-1</f>
        <v>46306</v>
      </c>
      <c r="D131" s="33" t="s">
        <v>154</v>
      </c>
      <c r="E131" s="34" t="s">
        <v>885</v>
      </c>
      <c r="F131" s="34" t="s">
        <v>163</v>
      </c>
      <c r="G131" s="34" t="s">
        <v>934</v>
      </c>
      <c r="H131" s="35" t="s">
        <v>935</v>
      </c>
      <c r="I131" s="36" t="s">
        <v>936</v>
      </c>
      <c r="J131" s="34" t="s">
        <v>937</v>
      </c>
      <c r="K131" s="34" t="s">
        <v>938</v>
      </c>
      <c r="L131" s="37"/>
      <c r="M131" s="37"/>
      <c r="N131" s="37"/>
      <c r="O131" s="37"/>
      <c r="P131" s="37"/>
      <c r="Q131" s="37"/>
      <c r="R131" s="31" t="n">
        <f aca="false">COUNT($M131:$Q131)</f>
        <v>0</v>
      </c>
      <c r="S131" s="32" t="str">
        <f aca="false">IF($L131="","",IF($R131&gt;=5,"",MAX($L131:$Q131)+CHOOSE($R131+1,SETTINGS!$C$9,SETTINGS!$C$10,SETTINGS!$C$11,SETTINGS!$C$12,SETTINGS!$C$13)))</f>
        <v/>
      </c>
      <c r="T131" s="34" t="str">
        <f aca="true">IF($H131="","(chưa có nội dung)",IF($L131="",IF($C131&lt;TODAY(),"⚠ TRỄ HỌC",IF($C131=TODAY(),"★ HỌC HÔM NAY","• Chưa tới")),IF($R131&gt;=5,"✔ MASTER",IF($S131&lt;TODAY(),"⚠ TRỄ ÔN",IF($S131=TODAY(),"◆ ÔN HÔM NAY","✔ Đúng tiến độ")))))</f>
        <v>• Chưa tới</v>
      </c>
      <c r="U131" s="38" t="n">
        <f aca="false">IF($H131="","",$R131/5)</f>
        <v>0</v>
      </c>
    </row>
    <row r="132" customFormat="false" ht="15" hidden="false" customHeight="false" outlineLevel="0" collapsed="false">
      <c r="A132" s="31" t="s">
        <v>939</v>
      </c>
      <c r="B132" s="31" t="n">
        <v>7</v>
      </c>
      <c r="C132" s="32" t="n">
        <f aca="false">SETTINGS!$C$3+$B132-1</f>
        <v>46306</v>
      </c>
      <c r="D132" s="33" t="s">
        <v>154</v>
      </c>
      <c r="E132" s="34" t="s">
        <v>885</v>
      </c>
      <c r="F132" s="34" t="s">
        <v>163</v>
      </c>
      <c r="G132" s="34" t="s">
        <v>940</v>
      </c>
      <c r="H132" s="35" t="s">
        <v>941</v>
      </c>
      <c r="I132" s="36" t="s">
        <v>942</v>
      </c>
      <c r="J132" s="34" t="s">
        <v>943</v>
      </c>
      <c r="K132" s="34" t="s">
        <v>944</v>
      </c>
      <c r="L132" s="37"/>
      <c r="M132" s="37"/>
      <c r="N132" s="37"/>
      <c r="O132" s="37"/>
      <c r="P132" s="37"/>
      <c r="Q132" s="37"/>
      <c r="R132" s="31" t="n">
        <f aca="false">COUNT($M132:$Q132)</f>
        <v>0</v>
      </c>
      <c r="S132" s="32" t="str">
        <f aca="false">IF($L132="","",IF($R132&gt;=5,"",MAX($L132:$Q132)+CHOOSE($R132+1,SETTINGS!$C$9,SETTINGS!$C$10,SETTINGS!$C$11,SETTINGS!$C$12,SETTINGS!$C$13)))</f>
        <v/>
      </c>
      <c r="T132" s="34" t="str">
        <f aca="true">IF($H132="","(chưa có nội dung)",IF($L132="",IF($C132&lt;TODAY(),"⚠ TRỄ HỌC",IF($C132=TODAY(),"★ HỌC HÔM NAY","• Chưa tới")),IF($R132&gt;=5,"✔ MASTER",IF($S132&lt;TODAY(),"⚠ TRỄ ÔN",IF($S132=TODAY(),"◆ ÔN HÔM NAY","✔ Đúng tiến độ")))))</f>
        <v>• Chưa tới</v>
      </c>
      <c r="U132" s="38" t="n">
        <f aca="false">IF($H132="","",$R132/5)</f>
        <v>0</v>
      </c>
    </row>
    <row r="133" customFormat="false" ht="15" hidden="false" customHeight="false" outlineLevel="0" collapsed="false">
      <c r="A133" s="31" t="s">
        <v>945</v>
      </c>
      <c r="B133" s="31" t="n">
        <v>7</v>
      </c>
      <c r="C133" s="32" t="n">
        <f aca="false">SETTINGS!$C$3+$B133-1</f>
        <v>46306</v>
      </c>
      <c r="D133" s="33" t="s">
        <v>154</v>
      </c>
      <c r="E133" s="34" t="s">
        <v>885</v>
      </c>
      <c r="F133" s="34" t="s">
        <v>163</v>
      </c>
      <c r="G133" s="34" t="s">
        <v>946</v>
      </c>
      <c r="H133" s="35" t="s">
        <v>947</v>
      </c>
      <c r="I133" s="36" t="s">
        <v>948</v>
      </c>
      <c r="J133" s="34" t="s">
        <v>949</v>
      </c>
      <c r="K133" s="34" t="s">
        <v>946</v>
      </c>
      <c r="L133" s="37"/>
      <c r="M133" s="37"/>
      <c r="N133" s="37"/>
      <c r="O133" s="37"/>
      <c r="P133" s="37"/>
      <c r="Q133" s="37"/>
      <c r="R133" s="31" t="n">
        <f aca="false">COUNT($M133:$Q133)</f>
        <v>0</v>
      </c>
      <c r="S133" s="32" t="str">
        <f aca="false">IF($L133="","",IF($R133&gt;=5,"",MAX($L133:$Q133)+CHOOSE($R133+1,SETTINGS!$C$9,SETTINGS!$C$10,SETTINGS!$C$11,SETTINGS!$C$12,SETTINGS!$C$13)))</f>
        <v/>
      </c>
      <c r="T133" s="34" t="str">
        <f aca="true">IF($H133="","(chưa có nội dung)",IF($L133="",IF($C133&lt;TODAY(),"⚠ TRỄ HỌC",IF($C133=TODAY(),"★ HỌC HÔM NAY","• Chưa tới")),IF($R133&gt;=5,"✔ MASTER",IF($S133&lt;TODAY(),"⚠ TRỄ ÔN",IF($S133=TODAY(),"◆ ÔN HÔM NAY","✔ Đúng tiến độ")))))</f>
        <v>• Chưa tới</v>
      </c>
      <c r="U133" s="38" t="n">
        <f aca="false">IF($H133="","",$R133/5)</f>
        <v>0</v>
      </c>
    </row>
    <row r="134" customFormat="false" ht="15" hidden="false" customHeight="false" outlineLevel="0" collapsed="false">
      <c r="A134" s="31" t="s">
        <v>950</v>
      </c>
      <c r="B134" s="31" t="n">
        <v>7</v>
      </c>
      <c r="C134" s="32" t="n">
        <f aca="false">SETTINGS!$C$3+$B134-1</f>
        <v>46306</v>
      </c>
      <c r="D134" s="33" t="s">
        <v>154</v>
      </c>
      <c r="E134" s="34" t="s">
        <v>885</v>
      </c>
      <c r="F134" s="34" t="s">
        <v>163</v>
      </c>
      <c r="G134" s="34" t="s">
        <v>951</v>
      </c>
      <c r="H134" s="35" t="s">
        <v>952</v>
      </c>
      <c r="I134" s="36" t="s">
        <v>953</v>
      </c>
      <c r="J134" s="34" t="s">
        <v>954</v>
      </c>
      <c r="K134" s="34" t="s">
        <v>955</v>
      </c>
      <c r="L134" s="37"/>
      <c r="M134" s="37"/>
      <c r="N134" s="37"/>
      <c r="O134" s="37"/>
      <c r="P134" s="37"/>
      <c r="Q134" s="37"/>
      <c r="R134" s="31" t="n">
        <f aca="false">COUNT($M134:$Q134)</f>
        <v>0</v>
      </c>
      <c r="S134" s="32" t="str">
        <f aca="false">IF($L134="","",IF($R134&gt;=5,"",MAX($L134:$Q134)+CHOOSE($R134+1,SETTINGS!$C$9,SETTINGS!$C$10,SETTINGS!$C$11,SETTINGS!$C$12,SETTINGS!$C$13)))</f>
        <v/>
      </c>
      <c r="T134" s="34" t="str">
        <f aca="true">IF($H134="","(chưa có nội dung)",IF($L134="",IF($C134&lt;TODAY(),"⚠ TRỄ HỌC",IF($C134=TODAY(),"★ HỌC HÔM NAY","• Chưa tới")),IF($R134&gt;=5,"✔ MASTER",IF($S134&lt;TODAY(),"⚠ TRỄ ÔN",IF($S134=TODAY(),"◆ ÔN HÔM NAY","✔ Đúng tiến độ")))))</f>
        <v>• Chưa tới</v>
      </c>
      <c r="U134" s="38" t="n">
        <f aca="false">IF($H134="","",$R134/5)</f>
        <v>0</v>
      </c>
    </row>
    <row r="135" customFormat="false" ht="15" hidden="false" customHeight="false" outlineLevel="0" collapsed="false">
      <c r="A135" s="31" t="s">
        <v>956</v>
      </c>
      <c r="B135" s="31" t="n">
        <v>7</v>
      </c>
      <c r="C135" s="32" t="n">
        <f aca="false">SETTINGS!$C$3+$B135-1</f>
        <v>46306</v>
      </c>
      <c r="D135" s="33" t="s">
        <v>154</v>
      </c>
      <c r="E135" s="34" t="s">
        <v>885</v>
      </c>
      <c r="F135" s="34" t="s">
        <v>163</v>
      </c>
      <c r="G135" s="34" t="s">
        <v>957</v>
      </c>
      <c r="H135" s="35" t="s">
        <v>958</v>
      </c>
      <c r="I135" s="36" t="s">
        <v>959</v>
      </c>
      <c r="J135" s="34" t="s">
        <v>960</v>
      </c>
      <c r="K135" s="34" t="s">
        <v>961</v>
      </c>
      <c r="L135" s="37"/>
      <c r="M135" s="37"/>
      <c r="N135" s="37"/>
      <c r="O135" s="37"/>
      <c r="P135" s="37"/>
      <c r="Q135" s="37"/>
      <c r="R135" s="31" t="n">
        <f aca="false">COUNT($M135:$Q135)</f>
        <v>0</v>
      </c>
      <c r="S135" s="32" t="str">
        <f aca="false">IF($L135="","",IF($R135&gt;=5,"",MAX($L135:$Q135)+CHOOSE($R135+1,SETTINGS!$C$9,SETTINGS!$C$10,SETTINGS!$C$11,SETTINGS!$C$12,SETTINGS!$C$13)))</f>
        <v/>
      </c>
      <c r="T135" s="34" t="str">
        <f aca="true">IF($H135="","(chưa có nội dung)",IF($L135="",IF($C135&lt;TODAY(),"⚠ TRỄ HỌC",IF($C135=TODAY(),"★ HỌC HÔM NAY","• Chưa tới")),IF($R135&gt;=5,"✔ MASTER",IF($S135&lt;TODAY(),"⚠ TRỄ ÔN",IF($S135=TODAY(),"◆ ÔN HÔM NAY","✔ Đúng tiến độ")))))</f>
        <v>• Chưa tới</v>
      </c>
      <c r="U135" s="38" t="n">
        <f aca="false">IF($H135="","",$R135/5)</f>
        <v>0</v>
      </c>
    </row>
    <row r="136" customFormat="false" ht="15" hidden="false" customHeight="false" outlineLevel="0" collapsed="false">
      <c r="A136" s="31" t="s">
        <v>962</v>
      </c>
      <c r="B136" s="31" t="n">
        <v>7</v>
      </c>
      <c r="C136" s="32" t="n">
        <f aca="false">SETTINGS!$C$3+$B136-1</f>
        <v>46306</v>
      </c>
      <c r="D136" s="33" t="s">
        <v>154</v>
      </c>
      <c r="E136" s="34" t="s">
        <v>885</v>
      </c>
      <c r="F136" s="34" t="s">
        <v>163</v>
      </c>
      <c r="G136" s="34" t="s">
        <v>963</v>
      </c>
      <c r="H136" s="35" t="s">
        <v>964</v>
      </c>
      <c r="I136" s="36" t="s">
        <v>965</v>
      </c>
      <c r="J136" s="34" t="s">
        <v>966</v>
      </c>
      <c r="K136" s="34" t="s">
        <v>967</v>
      </c>
      <c r="L136" s="37"/>
      <c r="M136" s="37"/>
      <c r="N136" s="37"/>
      <c r="O136" s="37"/>
      <c r="P136" s="37"/>
      <c r="Q136" s="37"/>
      <c r="R136" s="31" t="n">
        <f aca="false">COUNT($M136:$Q136)</f>
        <v>0</v>
      </c>
      <c r="S136" s="32" t="str">
        <f aca="false">IF($L136="","",IF($R136&gt;=5,"",MAX($L136:$Q136)+CHOOSE($R136+1,SETTINGS!$C$9,SETTINGS!$C$10,SETTINGS!$C$11,SETTINGS!$C$12,SETTINGS!$C$13)))</f>
        <v/>
      </c>
      <c r="T136" s="34" t="str">
        <f aca="true">IF($H136="","(chưa có nội dung)",IF($L136="",IF($C136&lt;TODAY(),"⚠ TRỄ HỌC",IF($C136=TODAY(),"★ HỌC HÔM NAY","• Chưa tới")),IF($R136&gt;=5,"✔ MASTER",IF($S136&lt;TODAY(),"⚠ TRỄ ÔN",IF($S136=TODAY(),"◆ ÔN HÔM NAY","✔ Đúng tiến độ")))))</f>
        <v>• Chưa tới</v>
      </c>
      <c r="U136" s="38" t="n">
        <f aca="false">IF($H136="","",$R136/5)</f>
        <v>0</v>
      </c>
    </row>
    <row r="137" customFormat="false" ht="15" hidden="false" customHeight="false" outlineLevel="0" collapsed="false">
      <c r="A137" s="31" t="s">
        <v>968</v>
      </c>
      <c r="B137" s="31" t="n">
        <v>7</v>
      </c>
      <c r="C137" s="32" t="n">
        <f aca="false">SETTINGS!$C$3+$B137-1</f>
        <v>46306</v>
      </c>
      <c r="D137" s="33" t="s">
        <v>154</v>
      </c>
      <c r="E137" s="34" t="s">
        <v>885</v>
      </c>
      <c r="F137" s="34" t="s">
        <v>163</v>
      </c>
      <c r="G137" s="34" t="s">
        <v>969</v>
      </c>
      <c r="H137" s="35" t="s">
        <v>970</v>
      </c>
      <c r="I137" s="36" t="s">
        <v>971</v>
      </c>
      <c r="J137" s="34" t="s">
        <v>972</v>
      </c>
      <c r="K137" s="34" t="s">
        <v>973</v>
      </c>
      <c r="L137" s="37"/>
      <c r="M137" s="37"/>
      <c r="N137" s="37"/>
      <c r="O137" s="37"/>
      <c r="P137" s="37"/>
      <c r="Q137" s="37"/>
      <c r="R137" s="31" t="n">
        <f aca="false">COUNT($M137:$Q137)</f>
        <v>0</v>
      </c>
      <c r="S137" s="32" t="str">
        <f aca="false">IF($L137="","",IF($R137&gt;=5,"",MAX($L137:$Q137)+CHOOSE($R137+1,SETTINGS!$C$9,SETTINGS!$C$10,SETTINGS!$C$11,SETTINGS!$C$12,SETTINGS!$C$13)))</f>
        <v/>
      </c>
      <c r="T137" s="34" t="str">
        <f aca="true">IF($H137="","(chưa có nội dung)",IF($L137="",IF($C137&lt;TODAY(),"⚠ TRỄ HỌC",IF($C137=TODAY(),"★ HỌC HÔM NAY","• Chưa tới")),IF($R137&gt;=5,"✔ MASTER",IF($S137&lt;TODAY(),"⚠ TRỄ ÔN",IF($S137=TODAY(),"◆ ÔN HÔM NAY","✔ Đúng tiến độ")))))</f>
        <v>• Chưa tới</v>
      </c>
      <c r="U137" s="38" t="n">
        <f aca="false">IF($H137="","",$R137/5)</f>
        <v>0</v>
      </c>
    </row>
    <row r="138" customFormat="false" ht="15" hidden="false" customHeight="false" outlineLevel="0" collapsed="false">
      <c r="A138" s="31" t="s">
        <v>974</v>
      </c>
      <c r="B138" s="31" t="n">
        <v>7</v>
      </c>
      <c r="C138" s="32" t="n">
        <f aca="false">SETTINGS!$C$3+$B138-1</f>
        <v>46306</v>
      </c>
      <c r="D138" s="33" t="s">
        <v>154</v>
      </c>
      <c r="E138" s="34" t="s">
        <v>885</v>
      </c>
      <c r="F138" s="34" t="s">
        <v>163</v>
      </c>
      <c r="G138" s="34" t="s">
        <v>975</v>
      </c>
      <c r="H138" s="35" t="s">
        <v>976</v>
      </c>
      <c r="I138" s="36" t="s">
        <v>977</v>
      </c>
      <c r="J138" s="34" t="s">
        <v>978</v>
      </c>
      <c r="K138" s="34" t="s">
        <v>979</v>
      </c>
      <c r="L138" s="37"/>
      <c r="M138" s="37"/>
      <c r="N138" s="37"/>
      <c r="O138" s="37"/>
      <c r="P138" s="37"/>
      <c r="Q138" s="37"/>
      <c r="R138" s="31" t="n">
        <f aca="false">COUNT($M138:$Q138)</f>
        <v>0</v>
      </c>
      <c r="S138" s="32" t="str">
        <f aca="false">IF($L138="","",IF($R138&gt;=5,"",MAX($L138:$Q138)+CHOOSE($R138+1,SETTINGS!$C$9,SETTINGS!$C$10,SETTINGS!$C$11,SETTINGS!$C$12,SETTINGS!$C$13)))</f>
        <v/>
      </c>
      <c r="T138" s="34" t="str">
        <f aca="true">IF($H138="","(chưa có nội dung)",IF($L138="",IF($C138&lt;TODAY(),"⚠ TRỄ HỌC",IF($C138=TODAY(),"★ HỌC HÔM NAY","• Chưa tới")),IF($R138&gt;=5,"✔ MASTER",IF($S138&lt;TODAY(),"⚠ TRỄ ÔN",IF($S138=TODAY(),"◆ ÔN HÔM NAY","✔ Đúng tiến độ")))))</f>
        <v>• Chưa tới</v>
      </c>
      <c r="U138" s="38" t="n">
        <f aca="false">IF($H138="","",$R138/5)</f>
        <v>0</v>
      </c>
    </row>
    <row r="139" customFormat="false" ht="15" hidden="false" customHeight="false" outlineLevel="0" collapsed="false">
      <c r="A139" s="31" t="s">
        <v>980</v>
      </c>
      <c r="B139" s="31" t="n">
        <v>7</v>
      </c>
      <c r="C139" s="32" t="n">
        <f aca="false">SETTINGS!$C$3+$B139-1</f>
        <v>46306</v>
      </c>
      <c r="D139" s="33" t="s">
        <v>154</v>
      </c>
      <c r="E139" s="34" t="s">
        <v>885</v>
      </c>
      <c r="F139" s="34" t="s">
        <v>163</v>
      </c>
      <c r="G139" s="34" t="s">
        <v>981</v>
      </c>
      <c r="H139" s="35" t="s">
        <v>982</v>
      </c>
      <c r="I139" s="36" t="s">
        <v>983</v>
      </c>
      <c r="J139" s="34" t="s">
        <v>984</v>
      </c>
      <c r="K139" s="34" t="s">
        <v>985</v>
      </c>
      <c r="L139" s="37"/>
      <c r="M139" s="37"/>
      <c r="N139" s="37"/>
      <c r="O139" s="37"/>
      <c r="P139" s="37"/>
      <c r="Q139" s="37"/>
      <c r="R139" s="31" t="n">
        <f aca="false">COUNT($M139:$Q139)</f>
        <v>0</v>
      </c>
      <c r="S139" s="32" t="str">
        <f aca="false">IF($L139="","",IF($R139&gt;=5,"",MAX($L139:$Q139)+CHOOSE($R139+1,SETTINGS!$C$9,SETTINGS!$C$10,SETTINGS!$C$11,SETTINGS!$C$12,SETTINGS!$C$13)))</f>
        <v/>
      </c>
      <c r="T139" s="34" t="str">
        <f aca="true">IF($H139="","(chưa có nội dung)",IF($L139="",IF($C139&lt;TODAY(),"⚠ TRỄ HỌC",IF($C139=TODAY(),"★ HỌC HÔM NAY","• Chưa tới")),IF($R139&gt;=5,"✔ MASTER",IF($S139&lt;TODAY(),"⚠ TRỄ ÔN",IF($S139=TODAY(),"◆ ÔN HÔM NAY","✔ Đúng tiến độ")))))</f>
        <v>• Chưa tới</v>
      </c>
      <c r="U139" s="38" t="n">
        <f aca="false">IF($H139="","",$R139/5)</f>
        <v>0</v>
      </c>
    </row>
    <row r="140" customFormat="false" ht="15" hidden="false" customHeight="false" outlineLevel="0" collapsed="false">
      <c r="A140" s="31" t="s">
        <v>986</v>
      </c>
      <c r="B140" s="31" t="n">
        <v>7</v>
      </c>
      <c r="C140" s="32" t="n">
        <f aca="false">SETTINGS!$C$3+$B140-1</f>
        <v>46306</v>
      </c>
      <c r="D140" s="33" t="s">
        <v>154</v>
      </c>
      <c r="E140" s="34" t="s">
        <v>885</v>
      </c>
      <c r="F140" s="34" t="s">
        <v>163</v>
      </c>
      <c r="G140" s="34" t="s">
        <v>987</v>
      </c>
      <c r="H140" s="35" t="s">
        <v>988</v>
      </c>
      <c r="I140" s="36" t="s">
        <v>989</v>
      </c>
      <c r="J140" s="34" t="s">
        <v>990</v>
      </c>
      <c r="K140" s="34" t="s">
        <v>991</v>
      </c>
      <c r="L140" s="37"/>
      <c r="M140" s="37"/>
      <c r="N140" s="37"/>
      <c r="O140" s="37"/>
      <c r="P140" s="37"/>
      <c r="Q140" s="37"/>
      <c r="R140" s="31" t="n">
        <f aca="false">COUNT($M140:$Q140)</f>
        <v>0</v>
      </c>
      <c r="S140" s="32" t="str">
        <f aca="false">IF($L140="","",IF($R140&gt;=5,"",MAX($L140:$Q140)+CHOOSE($R140+1,SETTINGS!$C$9,SETTINGS!$C$10,SETTINGS!$C$11,SETTINGS!$C$12,SETTINGS!$C$13)))</f>
        <v/>
      </c>
      <c r="T140" s="34" t="str">
        <f aca="true">IF($H140="","(chưa có nội dung)",IF($L140="",IF($C140&lt;TODAY(),"⚠ TRỄ HỌC",IF($C140=TODAY(),"★ HỌC HÔM NAY","• Chưa tới")),IF($R140&gt;=5,"✔ MASTER",IF($S140&lt;TODAY(),"⚠ TRỄ ÔN",IF($S140=TODAY(),"◆ ÔN HÔM NAY","✔ Đúng tiến độ")))))</f>
        <v>• Chưa tới</v>
      </c>
      <c r="U140" s="38" t="n">
        <f aca="false">IF($H140="","",$R140/5)</f>
        <v>0</v>
      </c>
    </row>
    <row r="141" customFormat="false" ht="15" hidden="false" customHeight="false" outlineLevel="0" collapsed="false">
      <c r="A141" s="31" t="s">
        <v>992</v>
      </c>
      <c r="B141" s="31" t="n">
        <v>7</v>
      </c>
      <c r="C141" s="32" t="n">
        <f aca="false">SETTINGS!$C$3+$B141-1</f>
        <v>46306</v>
      </c>
      <c r="D141" s="33" t="s">
        <v>154</v>
      </c>
      <c r="E141" s="34" t="s">
        <v>885</v>
      </c>
      <c r="F141" s="34" t="s">
        <v>163</v>
      </c>
      <c r="G141" s="34" t="s">
        <v>993</v>
      </c>
      <c r="H141" s="35" t="s">
        <v>994</v>
      </c>
      <c r="I141" s="36" t="s">
        <v>995</v>
      </c>
      <c r="J141" s="34" t="s">
        <v>996</v>
      </c>
      <c r="K141" s="34" t="s">
        <v>997</v>
      </c>
      <c r="L141" s="37"/>
      <c r="M141" s="37"/>
      <c r="N141" s="37"/>
      <c r="O141" s="37"/>
      <c r="P141" s="37"/>
      <c r="Q141" s="37"/>
      <c r="R141" s="31" t="n">
        <f aca="false">COUNT($M141:$Q141)</f>
        <v>0</v>
      </c>
      <c r="S141" s="32" t="str">
        <f aca="false">IF($L141="","",IF($R141&gt;=5,"",MAX($L141:$Q141)+CHOOSE($R141+1,SETTINGS!$C$9,SETTINGS!$C$10,SETTINGS!$C$11,SETTINGS!$C$12,SETTINGS!$C$13)))</f>
        <v/>
      </c>
      <c r="T141" s="34" t="str">
        <f aca="true">IF($H141="","(chưa có nội dung)",IF($L141="",IF($C141&lt;TODAY(),"⚠ TRỄ HỌC",IF($C141=TODAY(),"★ HỌC HÔM NAY","• Chưa tới")),IF($R141&gt;=5,"✔ MASTER",IF($S141&lt;TODAY(),"⚠ TRỄ ÔN",IF($S141=TODAY(),"◆ ÔN HÔM NAY","✔ Đúng tiến độ")))))</f>
        <v>• Chưa tới</v>
      </c>
      <c r="U141" s="38" t="n">
        <f aca="false">IF($H141="","",$R141/5)</f>
        <v>0</v>
      </c>
    </row>
    <row r="142" customFormat="false" ht="15" hidden="false" customHeight="false" outlineLevel="0" collapsed="false">
      <c r="A142" s="31" t="s">
        <v>998</v>
      </c>
      <c r="B142" s="31" t="n">
        <v>7</v>
      </c>
      <c r="C142" s="32" t="n">
        <f aca="false">SETTINGS!$C$3+$B142-1</f>
        <v>46306</v>
      </c>
      <c r="D142" s="33" t="s">
        <v>154</v>
      </c>
      <c r="E142" s="34" t="s">
        <v>885</v>
      </c>
      <c r="F142" s="34" t="s">
        <v>999</v>
      </c>
      <c r="G142" s="34" t="s">
        <v>1000</v>
      </c>
      <c r="H142" s="35" t="s">
        <v>1001</v>
      </c>
      <c r="I142" s="36" t="s">
        <v>1002</v>
      </c>
      <c r="J142" s="34" t="s">
        <v>1003</v>
      </c>
      <c r="K142" s="34" t="s">
        <v>1004</v>
      </c>
      <c r="L142" s="37"/>
      <c r="M142" s="37"/>
      <c r="N142" s="37"/>
      <c r="O142" s="37"/>
      <c r="P142" s="37"/>
      <c r="Q142" s="37"/>
      <c r="R142" s="31" t="n">
        <f aca="false">COUNT($M142:$Q142)</f>
        <v>0</v>
      </c>
      <c r="S142" s="32" t="str">
        <f aca="false">IF($L142="","",IF($R142&gt;=5,"",MAX($L142:$Q142)+CHOOSE($R142+1,SETTINGS!$C$9,SETTINGS!$C$10,SETTINGS!$C$11,SETTINGS!$C$12,SETTINGS!$C$13)))</f>
        <v/>
      </c>
      <c r="T142" s="34" t="str">
        <f aca="true">IF($H142="","(chưa có nội dung)",IF($L142="",IF($C142&lt;TODAY(),"⚠ TRỄ HỌC",IF($C142=TODAY(),"★ HỌC HÔM NAY","• Chưa tới")),IF($R142&gt;=5,"✔ MASTER",IF($S142&lt;TODAY(),"⚠ TRỄ ÔN",IF($S142=TODAY(),"◆ ÔN HÔM NAY","✔ Đúng tiến độ")))))</f>
        <v>• Chưa tới</v>
      </c>
      <c r="U142" s="38" t="n">
        <f aca="false">IF($H142="","",$R142/5)</f>
        <v>0</v>
      </c>
    </row>
    <row r="143" customFormat="false" ht="15" hidden="false" customHeight="false" outlineLevel="0" collapsed="false">
      <c r="A143" s="31" t="s">
        <v>1005</v>
      </c>
      <c r="B143" s="31" t="n">
        <v>8</v>
      </c>
      <c r="C143" s="32" t="n">
        <f aca="false">SETTINGS!$C$3+$B143-1</f>
        <v>46307</v>
      </c>
      <c r="D143" s="33" t="s">
        <v>154</v>
      </c>
      <c r="E143" s="34" t="s">
        <v>1006</v>
      </c>
      <c r="F143" s="34" t="s">
        <v>280</v>
      </c>
      <c r="G143" s="34" t="s">
        <v>1007</v>
      </c>
      <c r="H143" s="35" t="s">
        <v>1008</v>
      </c>
      <c r="I143" s="36" t="s">
        <v>1009</v>
      </c>
      <c r="J143" s="34" t="s">
        <v>1010</v>
      </c>
      <c r="K143" s="34" t="s">
        <v>1011</v>
      </c>
      <c r="L143" s="37"/>
      <c r="M143" s="37"/>
      <c r="N143" s="37"/>
      <c r="O143" s="37"/>
      <c r="P143" s="37"/>
      <c r="Q143" s="37"/>
      <c r="R143" s="31" t="n">
        <f aca="false">COUNT($M143:$Q143)</f>
        <v>0</v>
      </c>
      <c r="S143" s="32" t="str">
        <f aca="false">IF($L143="","",IF($R143&gt;=5,"",MAX($L143:$Q143)+CHOOSE($R143+1,SETTINGS!$C$9,SETTINGS!$C$10,SETTINGS!$C$11,SETTINGS!$C$12,SETTINGS!$C$13)))</f>
        <v/>
      </c>
      <c r="T143" s="34" t="str">
        <f aca="true">IF($H143="","(chưa có nội dung)",IF($L143="",IF($C143&lt;TODAY(),"⚠ TRỄ HỌC",IF($C143=TODAY(),"★ HỌC HÔM NAY","• Chưa tới")),IF($R143&gt;=5,"✔ MASTER",IF($S143&lt;TODAY(),"⚠ TRỄ ÔN",IF($S143=TODAY(),"◆ ÔN HÔM NAY","✔ Đúng tiến độ")))))</f>
        <v>• Chưa tới</v>
      </c>
      <c r="U143" s="38" t="n">
        <f aca="false">IF($H143="","",$R143/5)</f>
        <v>0</v>
      </c>
    </row>
    <row r="144" customFormat="false" ht="15" hidden="false" customHeight="false" outlineLevel="0" collapsed="false">
      <c r="A144" s="31" t="s">
        <v>1012</v>
      </c>
      <c r="B144" s="31" t="n">
        <v>8</v>
      </c>
      <c r="C144" s="32" t="n">
        <f aca="false">SETTINGS!$C$3+$B144-1</f>
        <v>46307</v>
      </c>
      <c r="D144" s="33" t="s">
        <v>154</v>
      </c>
      <c r="E144" s="34" t="s">
        <v>1006</v>
      </c>
      <c r="F144" s="34" t="s">
        <v>280</v>
      </c>
      <c r="G144" s="34" t="s">
        <v>632</v>
      </c>
      <c r="H144" s="35" t="s">
        <v>1013</v>
      </c>
      <c r="I144" s="36" t="s">
        <v>1014</v>
      </c>
      <c r="J144" s="34" t="s">
        <v>1015</v>
      </c>
      <c r="K144" s="34" t="s">
        <v>1016</v>
      </c>
      <c r="L144" s="37"/>
      <c r="M144" s="37"/>
      <c r="N144" s="37"/>
      <c r="O144" s="37"/>
      <c r="P144" s="37"/>
      <c r="Q144" s="37"/>
      <c r="R144" s="31" t="n">
        <f aca="false">COUNT($M144:$Q144)</f>
        <v>0</v>
      </c>
      <c r="S144" s="32" t="str">
        <f aca="false">IF($L144="","",IF($R144&gt;=5,"",MAX($L144:$Q144)+CHOOSE($R144+1,SETTINGS!$C$9,SETTINGS!$C$10,SETTINGS!$C$11,SETTINGS!$C$12,SETTINGS!$C$13)))</f>
        <v/>
      </c>
      <c r="T144" s="34" t="str">
        <f aca="true">IF($H144="","(chưa có nội dung)",IF($L144="",IF($C144&lt;TODAY(),"⚠ TRỄ HỌC",IF($C144=TODAY(),"★ HỌC HÔM NAY","• Chưa tới")),IF($R144&gt;=5,"✔ MASTER",IF($S144&lt;TODAY(),"⚠ TRỄ ÔN",IF($S144=TODAY(),"◆ ÔN HÔM NAY","✔ Đúng tiến độ")))))</f>
        <v>• Chưa tới</v>
      </c>
      <c r="U144" s="38" t="n">
        <f aca="false">IF($H144="","",$R144/5)</f>
        <v>0</v>
      </c>
    </row>
    <row r="145" customFormat="false" ht="15" hidden="false" customHeight="false" outlineLevel="0" collapsed="false">
      <c r="A145" s="31" t="s">
        <v>1017</v>
      </c>
      <c r="B145" s="31" t="n">
        <v>8</v>
      </c>
      <c r="C145" s="32" t="n">
        <f aca="false">SETTINGS!$C$3+$B145-1</f>
        <v>46307</v>
      </c>
      <c r="D145" s="33" t="s">
        <v>154</v>
      </c>
      <c r="E145" s="34" t="s">
        <v>1006</v>
      </c>
      <c r="F145" s="34" t="s">
        <v>280</v>
      </c>
      <c r="G145" s="34" t="s">
        <v>1018</v>
      </c>
      <c r="H145" s="35" t="s">
        <v>1019</v>
      </c>
      <c r="I145" s="36" t="s">
        <v>1020</v>
      </c>
      <c r="J145" s="34" t="s">
        <v>1021</v>
      </c>
      <c r="K145" s="34" t="s">
        <v>1022</v>
      </c>
      <c r="L145" s="37"/>
      <c r="M145" s="37"/>
      <c r="N145" s="37"/>
      <c r="O145" s="37"/>
      <c r="P145" s="37"/>
      <c r="Q145" s="37"/>
      <c r="R145" s="31" t="n">
        <f aca="false">COUNT($M145:$Q145)</f>
        <v>0</v>
      </c>
      <c r="S145" s="32" t="str">
        <f aca="false">IF($L145="","",IF($R145&gt;=5,"",MAX($L145:$Q145)+CHOOSE($R145+1,SETTINGS!$C$9,SETTINGS!$C$10,SETTINGS!$C$11,SETTINGS!$C$12,SETTINGS!$C$13)))</f>
        <v/>
      </c>
      <c r="T145" s="34" t="str">
        <f aca="true">IF($H145="","(chưa có nội dung)",IF($L145="",IF($C145&lt;TODAY(),"⚠ TRỄ HỌC",IF($C145=TODAY(),"★ HỌC HÔM NAY","• Chưa tới")),IF($R145&gt;=5,"✔ MASTER",IF($S145&lt;TODAY(),"⚠ TRỄ ÔN",IF($S145=TODAY(),"◆ ÔN HÔM NAY","✔ Đúng tiến độ")))))</f>
        <v>• Chưa tới</v>
      </c>
      <c r="U145" s="38" t="n">
        <f aca="false">IF($H145="","",$R145/5)</f>
        <v>0</v>
      </c>
    </row>
    <row r="146" customFormat="false" ht="15" hidden="false" customHeight="false" outlineLevel="0" collapsed="false">
      <c r="A146" s="31" t="s">
        <v>1023</v>
      </c>
      <c r="B146" s="31" t="n">
        <v>8</v>
      </c>
      <c r="C146" s="32" t="n">
        <f aca="false">SETTINGS!$C$3+$B146-1</f>
        <v>46307</v>
      </c>
      <c r="D146" s="33" t="s">
        <v>154</v>
      </c>
      <c r="E146" s="34" t="s">
        <v>1006</v>
      </c>
      <c r="F146" s="34" t="s">
        <v>163</v>
      </c>
      <c r="G146" s="34" t="s">
        <v>1024</v>
      </c>
      <c r="H146" s="35" t="s">
        <v>1025</v>
      </c>
      <c r="I146" s="36" t="s">
        <v>1026</v>
      </c>
      <c r="J146" s="34" t="s">
        <v>1027</v>
      </c>
      <c r="K146" s="34" t="s">
        <v>1028</v>
      </c>
      <c r="L146" s="37"/>
      <c r="M146" s="37"/>
      <c r="N146" s="37"/>
      <c r="O146" s="37"/>
      <c r="P146" s="37"/>
      <c r="Q146" s="37"/>
      <c r="R146" s="31" t="n">
        <f aca="false">COUNT($M146:$Q146)</f>
        <v>0</v>
      </c>
      <c r="S146" s="32" t="str">
        <f aca="false">IF($L146="","",IF($R146&gt;=5,"",MAX($L146:$Q146)+CHOOSE($R146+1,SETTINGS!$C$9,SETTINGS!$C$10,SETTINGS!$C$11,SETTINGS!$C$12,SETTINGS!$C$13)))</f>
        <v/>
      </c>
      <c r="T146" s="34" t="str">
        <f aca="true">IF($H146="","(chưa có nội dung)",IF($L146="",IF($C146&lt;TODAY(),"⚠ TRỄ HỌC",IF($C146=TODAY(),"★ HỌC HÔM NAY","• Chưa tới")),IF($R146&gt;=5,"✔ MASTER",IF($S146&lt;TODAY(),"⚠ TRỄ ÔN",IF($S146=TODAY(),"◆ ÔN HÔM NAY","✔ Đúng tiến độ")))))</f>
        <v>• Chưa tới</v>
      </c>
      <c r="U146" s="38" t="n">
        <f aca="false">IF($H146="","",$R146/5)</f>
        <v>0</v>
      </c>
    </row>
    <row r="147" customFormat="false" ht="15" hidden="false" customHeight="false" outlineLevel="0" collapsed="false">
      <c r="A147" s="31" t="s">
        <v>1029</v>
      </c>
      <c r="B147" s="31" t="n">
        <v>8</v>
      </c>
      <c r="C147" s="32" t="n">
        <f aca="false">SETTINGS!$C$3+$B147-1</f>
        <v>46307</v>
      </c>
      <c r="D147" s="33" t="s">
        <v>154</v>
      </c>
      <c r="E147" s="34" t="s">
        <v>1006</v>
      </c>
      <c r="F147" s="34" t="s">
        <v>176</v>
      </c>
      <c r="G147" s="34" t="s">
        <v>1030</v>
      </c>
      <c r="H147" s="35" t="s">
        <v>1031</v>
      </c>
      <c r="I147" s="36" t="s">
        <v>1032</v>
      </c>
      <c r="J147" s="34" t="s">
        <v>1033</v>
      </c>
      <c r="K147" s="34" t="s">
        <v>1034</v>
      </c>
      <c r="L147" s="37"/>
      <c r="M147" s="37"/>
      <c r="N147" s="37"/>
      <c r="O147" s="37"/>
      <c r="P147" s="37"/>
      <c r="Q147" s="37"/>
      <c r="R147" s="31" t="n">
        <f aca="false">COUNT($M147:$Q147)</f>
        <v>0</v>
      </c>
      <c r="S147" s="32" t="str">
        <f aca="false">IF($L147="","",IF($R147&gt;=5,"",MAX($L147:$Q147)+CHOOSE($R147+1,SETTINGS!$C$9,SETTINGS!$C$10,SETTINGS!$C$11,SETTINGS!$C$12,SETTINGS!$C$13)))</f>
        <v/>
      </c>
      <c r="T147" s="34" t="str">
        <f aca="true">IF($H147="","(chưa có nội dung)",IF($L147="",IF($C147&lt;TODAY(),"⚠ TRỄ HỌC",IF($C147=TODAY(),"★ HỌC HÔM NAY","• Chưa tới")),IF($R147&gt;=5,"✔ MASTER",IF($S147&lt;TODAY(),"⚠ TRỄ ÔN",IF($S147=TODAY(),"◆ ÔN HÔM NAY","✔ Đúng tiến độ")))))</f>
        <v>• Chưa tới</v>
      </c>
      <c r="U147" s="38" t="n">
        <f aca="false">IF($H147="","",$R147/5)</f>
        <v>0</v>
      </c>
    </row>
    <row r="148" customFormat="false" ht="15" hidden="false" customHeight="false" outlineLevel="0" collapsed="false">
      <c r="A148" s="31" t="s">
        <v>1035</v>
      </c>
      <c r="B148" s="31" t="n">
        <v>8</v>
      </c>
      <c r="C148" s="32" t="n">
        <f aca="false">SETTINGS!$C$3+$B148-1</f>
        <v>46307</v>
      </c>
      <c r="D148" s="33" t="s">
        <v>154</v>
      </c>
      <c r="E148" s="34" t="s">
        <v>1006</v>
      </c>
      <c r="F148" s="34" t="s">
        <v>280</v>
      </c>
      <c r="G148" s="34" t="s">
        <v>1036</v>
      </c>
      <c r="H148" s="35" t="s">
        <v>1037</v>
      </c>
      <c r="I148" s="36" t="s">
        <v>1038</v>
      </c>
      <c r="J148" s="34" t="s">
        <v>1039</v>
      </c>
      <c r="K148" s="34" t="s">
        <v>1040</v>
      </c>
      <c r="L148" s="37"/>
      <c r="M148" s="37"/>
      <c r="N148" s="37"/>
      <c r="O148" s="37"/>
      <c r="P148" s="37"/>
      <c r="Q148" s="37"/>
      <c r="R148" s="31" t="n">
        <f aca="false">COUNT($M148:$Q148)</f>
        <v>0</v>
      </c>
      <c r="S148" s="32" t="str">
        <f aca="false">IF($L148="","",IF($R148&gt;=5,"",MAX($L148:$Q148)+CHOOSE($R148+1,SETTINGS!$C$9,SETTINGS!$C$10,SETTINGS!$C$11,SETTINGS!$C$12,SETTINGS!$C$13)))</f>
        <v/>
      </c>
      <c r="T148" s="34" t="str">
        <f aca="true">IF($H148="","(chưa có nội dung)",IF($L148="",IF($C148&lt;TODAY(),"⚠ TRỄ HỌC",IF($C148=TODAY(),"★ HỌC HÔM NAY","• Chưa tới")),IF($R148&gt;=5,"✔ MASTER",IF($S148&lt;TODAY(),"⚠ TRỄ ÔN",IF($S148=TODAY(),"◆ ÔN HÔM NAY","✔ Đúng tiến độ")))))</f>
        <v>• Chưa tới</v>
      </c>
      <c r="U148" s="38" t="n">
        <f aca="false">IF($H148="","",$R148/5)</f>
        <v>0</v>
      </c>
    </row>
    <row r="149" customFormat="false" ht="15" hidden="false" customHeight="false" outlineLevel="0" collapsed="false">
      <c r="A149" s="31" t="s">
        <v>1041</v>
      </c>
      <c r="B149" s="31" t="n">
        <v>8</v>
      </c>
      <c r="C149" s="32" t="n">
        <f aca="false">SETTINGS!$C$3+$B149-1</f>
        <v>46307</v>
      </c>
      <c r="D149" s="33" t="s">
        <v>154</v>
      </c>
      <c r="E149" s="34" t="s">
        <v>1006</v>
      </c>
      <c r="F149" s="34" t="s">
        <v>280</v>
      </c>
      <c r="G149" s="34" t="s">
        <v>1042</v>
      </c>
      <c r="H149" s="35" t="s">
        <v>1043</v>
      </c>
      <c r="I149" s="36" t="s">
        <v>1044</v>
      </c>
      <c r="J149" s="34" t="s">
        <v>1045</v>
      </c>
      <c r="K149" s="34" t="s">
        <v>1046</v>
      </c>
      <c r="L149" s="37"/>
      <c r="M149" s="37"/>
      <c r="N149" s="37"/>
      <c r="O149" s="37"/>
      <c r="P149" s="37"/>
      <c r="Q149" s="37"/>
      <c r="R149" s="31" t="n">
        <f aca="false">COUNT($M149:$Q149)</f>
        <v>0</v>
      </c>
      <c r="S149" s="32" t="str">
        <f aca="false">IF($L149="","",IF($R149&gt;=5,"",MAX($L149:$Q149)+CHOOSE($R149+1,SETTINGS!$C$9,SETTINGS!$C$10,SETTINGS!$C$11,SETTINGS!$C$12,SETTINGS!$C$13)))</f>
        <v/>
      </c>
      <c r="T149" s="34" t="str">
        <f aca="true">IF($H149="","(chưa có nội dung)",IF($L149="",IF($C149&lt;TODAY(),"⚠ TRỄ HỌC",IF($C149=TODAY(),"★ HỌC HÔM NAY","• Chưa tới")),IF($R149&gt;=5,"✔ MASTER",IF($S149&lt;TODAY(),"⚠ TRỄ ÔN",IF($S149=TODAY(),"◆ ÔN HÔM NAY","✔ Đúng tiến độ")))))</f>
        <v>• Chưa tới</v>
      </c>
      <c r="U149" s="38" t="n">
        <f aca="false">IF($H149="","",$R149/5)</f>
        <v>0</v>
      </c>
    </row>
    <row r="150" customFormat="false" ht="15" hidden="false" customHeight="false" outlineLevel="0" collapsed="false">
      <c r="A150" s="31" t="s">
        <v>1047</v>
      </c>
      <c r="B150" s="31" t="n">
        <v>8</v>
      </c>
      <c r="C150" s="32" t="n">
        <f aca="false">SETTINGS!$C$3+$B150-1</f>
        <v>46307</v>
      </c>
      <c r="D150" s="33" t="s">
        <v>154</v>
      </c>
      <c r="E150" s="34" t="s">
        <v>1006</v>
      </c>
      <c r="F150" s="34" t="s">
        <v>280</v>
      </c>
      <c r="G150" s="34" t="s">
        <v>1048</v>
      </c>
      <c r="H150" s="35" t="s">
        <v>1049</v>
      </c>
      <c r="I150" s="36" t="s">
        <v>1050</v>
      </c>
      <c r="J150" s="34" t="s">
        <v>1051</v>
      </c>
      <c r="K150" s="34" t="s">
        <v>1052</v>
      </c>
      <c r="L150" s="37"/>
      <c r="M150" s="37"/>
      <c r="N150" s="37"/>
      <c r="O150" s="37"/>
      <c r="P150" s="37"/>
      <c r="Q150" s="37"/>
      <c r="R150" s="31" t="n">
        <f aca="false">COUNT($M150:$Q150)</f>
        <v>0</v>
      </c>
      <c r="S150" s="32" t="str">
        <f aca="false">IF($L150="","",IF($R150&gt;=5,"",MAX($L150:$Q150)+CHOOSE($R150+1,SETTINGS!$C$9,SETTINGS!$C$10,SETTINGS!$C$11,SETTINGS!$C$12,SETTINGS!$C$13)))</f>
        <v/>
      </c>
      <c r="T150" s="34" t="str">
        <f aca="true">IF($H150="","(chưa có nội dung)",IF($L150="",IF($C150&lt;TODAY(),"⚠ TRỄ HỌC",IF($C150=TODAY(),"★ HỌC HÔM NAY","• Chưa tới")),IF($R150&gt;=5,"✔ MASTER",IF($S150&lt;TODAY(),"⚠ TRỄ ÔN",IF($S150=TODAY(),"◆ ÔN HÔM NAY","✔ Đúng tiến độ")))))</f>
        <v>• Chưa tới</v>
      </c>
      <c r="U150" s="38" t="n">
        <f aca="false">IF($H150="","",$R150/5)</f>
        <v>0</v>
      </c>
    </row>
    <row r="151" customFormat="false" ht="15" hidden="false" customHeight="false" outlineLevel="0" collapsed="false">
      <c r="A151" s="31" t="s">
        <v>1053</v>
      </c>
      <c r="B151" s="31" t="n">
        <v>8</v>
      </c>
      <c r="C151" s="32" t="n">
        <f aca="false">SETTINGS!$C$3+$B151-1</f>
        <v>46307</v>
      </c>
      <c r="D151" s="33" t="s">
        <v>154</v>
      </c>
      <c r="E151" s="34" t="s">
        <v>1006</v>
      </c>
      <c r="F151" s="34" t="s">
        <v>280</v>
      </c>
      <c r="G151" s="34" t="s">
        <v>645</v>
      </c>
      <c r="H151" s="35" t="s">
        <v>1054</v>
      </c>
      <c r="I151" s="36" t="s">
        <v>1055</v>
      </c>
      <c r="J151" s="34" t="s">
        <v>1056</v>
      </c>
      <c r="K151" s="34" t="s">
        <v>1057</v>
      </c>
      <c r="L151" s="37"/>
      <c r="M151" s="37"/>
      <c r="N151" s="37"/>
      <c r="O151" s="37"/>
      <c r="P151" s="37"/>
      <c r="Q151" s="37"/>
      <c r="R151" s="31" t="n">
        <f aca="false">COUNT($M151:$Q151)</f>
        <v>0</v>
      </c>
      <c r="S151" s="32" t="str">
        <f aca="false">IF($L151="","",IF($R151&gt;=5,"",MAX($L151:$Q151)+CHOOSE($R151+1,SETTINGS!$C$9,SETTINGS!$C$10,SETTINGS!$C$11,SETTINGS!$C$12,SETTINGS!$C$13)))</f>
        <v/>
      </c>
      <c r="T151" s="34" t="str">
        <f aca="true">IF($H151="","(chưa có nội dung)",IF($L151="",IF($C151&lt;TODAY(),"⚠ TRỄ HỌC",IF($C151=TODAY(),"★ HỌC HÔM NAY","• Chưa tới")),IF($R151&gt;=5,"✔ MASTER",IF($S151&lt;TODAY(),"⚠ TRỄ ÔN",IF($S151=TODAY(),"◆ ÔN HÔM NAY","✔ Đúng tiến độ")))))</f>
        <v>• Chưa tới</v>
      </c>
      <c r="U151" s="38" t="n">
        <f aca="false">IF($H151="","",$R151/5)</f>
        <v>0</v>
      </c>
    </row>
    <row r="152" customFormat="false" ht="15" hidden="false" customHeight="false" outlineLevel="0" collapsed="false">
      <c r="A152" s="31" t="s">
        <v>1058</v>
      </c>
      <c r="B152" s="31" t="n">
        <v>8</v>
      </c>
      <c r="C152" s="32" t="n">
        <f aca="false">SETTINGS!$C$3+$B152-1</f>
        <v>46307</v>
      </c>
      <c r="D152" s="33" t="s">
        <v>154</v>
      </c>
      <c r="E152" s="34" t="s">
        <v>1006</v>
      </c>
      <c r="F152" s="34" t="s">
        <v>280</v>
      </c>
      <c r="G152" s="34" t="s">
        <v>1059</v>
      </c>
      <c r="H152" s="35" t="s">
        <v>1060</v>
      </c>
      <c r="I152" s="36" t="s">
        <v>1061</v>
      </c>
      <c r="J152" s="34" t="s">
        <v>1062</v>
      </c>
      <c r="K152" s="34" t="s">
        <v>1063</v>
      </c>
      <c r="L152" s="37"/>
      <c r="M152" s="37"/>
      <c r="N152" s="37"/>
      <c r="O152" s="37"/>
      <c r="P152" s="37"/>
      <c r="Q152" s="37"/>
      <c r="R152" s="31" t="n">
        <f aca="false">COUNT($M152:$Q152)</f>
        <v>0</v>
      </c>
      <c r="S152" s="32" t="str">
        <f aca="false">IF($L152="","",IF($R152&gt;=5,"",MAX($L152:$Q152)+CHOOSE($R152+1,SETTINGS!$C$9,SETTINGS!$C$10,SETTINGS!$C$11,SETTINGS!$C$12,SETTINGS!$C$13)))</f>
        <v/>
      </c>
      <c r="T152" s="34" t="str">
        <f aca="true">IF($H152="","(chưa có nội dung)",IF($L152="",IF($C152&lt;TODAY(),"⚠ TRỄ HỌC",IF($C152=TODAY(),"★ HỌC HÔM NAY","• Chưa tới")),IF($R152&gt;=5,"✔ MASTER",IF($S152&lt;TODAY(),"⚠ TRỄ ÔN",IF($S152=TODAY(),"◆ ÔN HÔM NAY","✔ Đúng tiến độ")))))</f>
        <v>• Chưa tới</v>
      </c>
      <c r="U152" s="38" t="n">
        <f aca="false">IF($H152="","",$R152/5)</f>
        <v>0</v>
      </c>
    </row>
    <row r="153" customFormat="false" ht="15" hidden="false" customHeight="false" outlineLevel="0" collapsed="false">
      <c r="A153" s="31" t="s">
        <v>1064</v>
      </c>
      <c r="B153" s="31" t="n">
        <v>8</v>
      </c>
      <c r="C153" s="32" t="n">
        <f aca="false">SETTINGS!$C$3+$B153-1</f>
        <v>46307</v>
      </c>
      <c r="D153" s="33" t="s">
        <v>154</v>
      </c>
      <c r="E153" s="34" t="s">
        <v>1006</v>
      </c>
      <c r="F153" s="34" t="s">
        <v>163</v>
      </c>
      <c r="G153" s="34" t="s">
        <v>460</v>
      </c>
      <c r="H153" s="35" t="s">
        <v>1065</v>
      </c>
      <c r="I153" s="36" t="s">
        <v>1066</v>
      </c>
      <c r="J153" s="34" t="s">
        <v>1067</v>
      </c>
      <c r="K153" s="34" t="s">
        <v>1068</v>
      </c>
      <c r="L153" s="37"/>
      <c r="M153" s="37"/>
      <c r="N153" s="37"/>
      <c r="O153" s="37"/>
      <c r="P153" s="37"/>
      <c r="Q153" s="37"/>
      <c r="R153" s="31" t="n">
        <f aca="false">COUNT($M153:$Q153)</f>
        <v>0</v>
      </c>
      <c r="S153" s="32" t="str">
        <f aca="false">IF($L153="","",IF($R153&gt;=5,"",MAX($L153:$Q153)+CHOOSE($R153+1,SETTINGS!$C$9,SETTINGS!$C$10,SETTINGS!$C$11,SETTINGS!$C$12,SETTINGS!$C$13)))</f>
        <v/>
      </c>
      <c r="T153" s="34" t="str">
        <f aca="true">IF($H153="","(chưa có nội dung)",IF($L153="",IF($C153&lt;TODAY(),"⚠ TRỄ HỌC",IF($C153=TODAY(),"★ HỌC HÔM NAY","• Chưa tới")),IF($R153&gt;=5,"✔ MASTER",IF($S153&lt;TODAY(),"⚠ TRỄ ÔN",IF($S153=TODAY(),"◆ ÔN HÔM NAY","✔ Đúng tiến độ")))))</f>
        <v>• Chưa tới</v>
      </c>
      <c r="U153" s="38" t="n">
        <f aca="false">IF($H153="","",$R153/5)</f>
        <v>0</v>
      </c>
    </row>
    <row r="154" customFormat="false" ht="15" hidden="false" customHeight="false" outlineLevel="0" collapsed="false">
      <c r="A154" s="31" t="s">
        <v>1069</v>
      </c>
      <c r="B154" s="31" t="n">
        <v>8</v>
      </c>
      <c r="C154" s="32" t="n">
        <f aca="false">SETTINGS!$C$3+$B154-1</f>
        <v>46307</v>
      </c>
      <c r="D154" s="33" t="s">
        <v>154</v>
      </c>
      <c r="E154" s="34" t="s">
        <v>1006</v>
      </c>
      <c r="F154" s="34" t="s">
        <v>280</v>
      </c>
      <c r="G154" s="34" t="s">
        <v>479</v>
      </c>
      <c r="H154" s="35" t="s">
        <v>1070</v>
      </c>
      <c r="I154" s="36" t="s">
        <v>1071</v>
      </c>
      <c r="J154" s="34" t="s">
        <v>1072</v>
      </c>
      <c r="K154" s="34" t="s">
        <v>1073</v>
      </c>
      <c r="L154" s="37"/>
      <c r="M154" s="37"/>
      <c r="N154" s="37"/>
      <c r="O154" s="37"/>
      <c r="P154" s="37"/>
      <c r="Q154" s="37"/>
      <c r="R154" s="31" t="n">
        <f aca="false">COUNT($M154:$Q154)</f>
        <v>0</v>
      </c>
      <c r="S154" s="32" t="str">
        <f aca="false">IF($L154="","",IF($R154&gt;=5,"",MAX($L154:$Q154)+CHOOSE($R154+1,SETTINGS!$C$9,SETTINGS!$C$10,SETTINGS!$C$11,SETTINGS!$C$12,SETTINGS!$C$13)))</f>
        <v/>
      </c>
      <c r="T154" s="34" t="str">
        <f aca="true">IF($H154="","(chưa có nội dung)",IF($L154="",IF($C154&lt;TODAY(),"⚠ TRỄ HỌC",IF($C154=TODAY(),"★ HỌC HÔM NAY","• Chưa tới")),IF($R154&gt;=5,"✔ MASTER",IF($S154&lt;TODAY(),"⚠ TRỄ ÔN",IF($S154=TODAY(),"◆ ÔN HÔM NAY","✔ Đúng tiến độ")))))</f>
        <v>• Chưa tới</v>
      </c>
      <c r="U154" s="38" t="n">
        <f aca="false">IF($H154="","",$R154/5)</f>
        <v>0</v>
      </c>
    </row>
    <row r="155" customFormat="false" ht="15" hidden="false" customHeight="false" outlineLevel="0" collapsed="false">
      <c r="A155" s="31" t="s">
        <v>1074</v>
      </c>
      <c r="B155" s="31" t="n">
        <v>8</v>
      </c>
      <c r="C155" s="32" t="n">
        <f aca="false">SETTINGS!$C$3+$B155-1</f>
        <v>46307</v>
      </c>
      <c r="D155" s="33" t="s">
        <v>154</v>
      </c>
      <c r="E155" s="34" t="s">
        <v>1006</v>
      </c>
      <c r="F155" s="34" t="s">
        <v>280</v>
      </c>
      <c r="G155" s="34" t="s">
        <v>687</v>
      </c>
      <c r="H155" s="35" t="s">
        <v>1075</v>
      </c>
      <c r="I155" s="36" t="s">
        <v>1076</v>
      </c>
      <c r="J155" s="34" t="s">
        <v>1077</v>
      </c>
      <c r="K155" s="34" t="s">
        <v>1078</v>
      </c>
      <c r="L155" s="37"/>
      <c r="M155" s="37"/>
      <c r="N155" s="37"/>
      <c r="O155" s="37"/>
      <c r="P155" s="37"/>
      <c r="Q155" s="37"/>
      <c r="R155" s="31" t="n">
        <f aca="false">COUNT($M155:$Q155)</f>
        <v>0</v>
      </c>
      <c r="S155" s="32" t="str">
        <f aca="false">IF($L155="","",IF($R155&gt;=5,"",MAX($L155:$Q155)+CHOOSE($R155+1,SETTINGS!$C$9,SETTINGS!$C$10,SETTINGS!$C$11,SETTINGS!$C$12,SETTINGS!$C$13)))</f>
        <v/>
      </c>
      <c r="T155" s="34" t="str">
        <f aca="true">IF($H155="","(chưa có nội dung)",IF($L155="",IF($C155&lt;TODAY(),"⚠ TRỄ HỌC",IF($C155=TODAY(),"★ HỌC HÔM NAY","• Chưa tới")),IF($R155&gt;=5,"✔ MASTER",IF($S155&lt;TODAY(),"⚠ TRỄ ÔN",IF($S155=TODAY(),"◆ ÔN HÔM NAY","✔ Đúng tiến độ")))))</f>
        <v>• Chưa tới</v>
      </c>
      <c r="U155" s="38" t="n">
        <f aca="false">IF($H155="","",$R155/5)</f>
        <v>0</v>
      </c>
    </row>
    <row r="156" customFormat="false" ht="15" hidden="false" customHeight="false" outlineLevel="0" collapsed="false">
      <c r="A156" s="31" t="s">
        <v>1079</v>
      </c>
      <c r="B156" s="31" t="n">
        <v>8</v>
      </c>
      <c r="C156" s="32" t="n">
        <f aca="false">SETTINGS!$C$3+$B156-1</f>
        <v>46307</v>
      </c>
      <c r="D156" s="33" t="s">
        <v>154</v>
      </c>
      <c r="E156" s="34" t="s">
        <v>1006</v>
      </c>
      <c r="F156" s="34" t="s">
        <v>280</v>
      </c>
      <c r="G156" s="34" t="s">
        <v>1080</v>
      </c>
      <c r="H156" s="35" t="s">
        <v>1081</v>
      </c>
      <c r="I156" s="36" t="s">
        <v>1082</v>
      </c>
      <c r="J156" s="34" t="s">
        <v>1083</v>
      </c>
      <c r="K156" s="34" t="s">
        <v>1084</v>
      </c>
      <c r="L156" s="37"/>
      <c r="M156" s="37"/>
      <c r="N156" s="37"/>
      <c r="O156" s="37"/>
      <c r="P156" s="37"/>
      <c r="Q156" s="37"/>
      <c r="R156" s="31" t="n">
        <f aca="false">COUNT($M156:$Q156)</f>
        <v>0</v>
      </c>
      <c r="S156" s="32" t="str">
        <f aca="false">IF($L156="","",IF($R156&gt;=5,"",MAX($L156:$Q156)+CHOOSE($R156+1,SETTINGS!$C$9,SETTINGS!$C$10,SETTINGS!$C$11,SETTINGS!$C$12,SETTINGS!$C$13)))</f>
        <v/>
      </c>
      <c r="T156" s="34" t="str">
        <f aca="true">IF($H156="","(chưa có nội dung)",IF($L156="",IF($C156&lt;TODAY(),"⚠ TRỄ HỌC",IF($C156=TODAY(),"★ HỌC HÔM NAY","• Chưa tới")),IF($R156&gt;=5,"✔ MASTER",IF($S156&lt;TODAY(),"⚠ TRỄ ÔN",IF($S156=TODAY(),"◆ ÔN HÔM NAY","✔ Đúng tiến độ")))))</f>
        <v>• Chưa tới</v>
      </c>
      <c r="U156" s="38" t="n">
        <f aca="false">IF($H156="","",$R156/5)</f>
        <v>0</v>
      </c>
    </row>
    <row r="157" customFormat="false" ht="15" hidden="false" customHeight="false" outlineLevel="0" collapsed="false">
      <c r="A157" s="31" t="s">
        <v>1085</v>
      </c>
      <c r="B157" s="31" t="n">
        <v>8</v>
      </c>
      <c r="C157" s="32" t="n">
        <f aca="false">SETTINGS!$C$3+$B157-1</f>
        <v>46307</v>
      </c>
      <c r="D157" s="33" t="s">
        <v>154</v>
      </c>
      <c r="E157" s="34" t="s">
        <v>1006</v>
      </c>
      <c r="F157" s="34" t="s">
        <v>280</v>
      </c>
      <c r="G157" s="34" t="s">
        <v>1086</v>
      </c>
      <c r="H157" s="35" t="s">
        <v>1087</v>
      </c>
      <c r="I157" s="36" t="s">
        <v>1088</v>
      </c>
      <c r="J157" s="34" t="s">
        <v>1089</v>
      </c>
      <c r="K157" s="34" t="s">
        <v>1090</v>
      </c>
      <c r="L157" s="37"/>
      <c r="M157" s="37"/>
      <c r="N157" s="37"/>
      <c r="O157" s="37"/>
      <c r="P157" s="37"/>
      <c r="Q157" s="37"/>
      <c r="R157" s="31" t="n">
        <f aca="false">COUNT($M157:$Q157)</f>
        <v>0</v>
      </c>
      <c r="S157" s="32" t="str">
        <f aca="false">IF($L157="","",IF($R157&gt;=5,"",MAX($L157:$Q157)+CHOOSE($R157+1,SETTINGS!$C$9,SETTINGS!$C$10,SETTINGS!$C$11,SETTINGS!$C$12,SETTINGS!$C$13)))</f>
        <v/>
      </c>
      <c r="T157" s="34" t="str">
        <f aca="true">IF($H157="","(chưa có nội dung)",IF($L157="",IF($C157&lt;TODAY(),"⚠ TRỄ HỌC",IF($C157=TODAY(),"★ HỌC HÔM NAY","• Chưa tới")),IF($R157&gt;=5,"✔ MASTER",IF($S157&lt;TODAY(),"⚠ TRỄ ÔN",IF($S157=TODAY(),"◆ ÔN HÔM NAY","✔ Đúng tiến độ")))))</f>
        <v>• Chưa tới</v>
      </c>
      <c r="U157" s="38" t="n">
        <f aca="false">IF($H157="","",$R157/5)</f>
        <v>0</v>
      </c>
    </row>
    <row r="158" customFormat="false" ht="15" hidden="false" customHeight="false" outlineLevel="0" collapsed="false">
      <c r="A158" s="31" t="s">
        <v>1091</v>
      </c>
      <c r="B158" s="31" t="n">
        <v>8</v>
      </c>
      <c r="C158" s="32" t="n">
        <f aca="false">SETTINGS!$C$3+$B158-1</f>
        <v>46307</v>
      </c>
      <c r="D158" s="33" t="s">
        <v>154</v>
      </c>
      <c r="E158" s="34" t="s">
        <v>1006</v>
      </c>
      <c r="F158" s="34" t="s">
        <v>280</v>
      </c>
      <c r="G158" s="34" t="s">
        <v>1092</v>
      </c>
      <c r="H158" s="35" t="s">
        <v>1093</v>
      </c>
      <c r="I158" s="36" t="s">
        <v>1094</v>
      </c>
      <c r="J158" s="34" t="s">
        <v>1095</v>
      </c>
      <c r="K158" s="34" t="s">
        <v>1096</v>
      </c>
      <c r="L158" s="37"/>
      <c r="M158" s="37"/>
      <c r="N158" s="37"/>
      <c r="O158" s="37"/>
      <c r="P158" s="37"/>
      <c r="Q158" s="37"/>
      <c r="R158" s="31" t="n">
        <f aca="false">COUNT($M158:$Q158)</f>
        <v>0</v>
      </c>
      <c r="S158" s="32" t="str">
        <f aca="false">IF($L158="","",IF($R158&gt;=5,"",MAX($L158:$Q158)+CHOOSE($R158+1,SETTINGS!$C$9,SETTINGS!$C$10,SETTINGS!$C$11,SETTINGS!$C$12,SETTINGS!$C$13)))</f>
        <v/>
      </c>
      <c r="T158" s="34" t="str">
        <f aca="true">IF($H158="","(chưa có nội dung)",IF($L158="",IF($C158&lt;TODAY(),"⚠ TRỄ HỌC",IF($C158=TODAY(),"★ HỌC HÔM NAY","• Chưa tới")),IF($R158&gt;=5,"✔ MASTER",IF($S158&lt;TODAY(),"⚠ TRỄ ÔN",IF($S158=TODAY(),"◆ ÔN HÔM NAY","✔ Đúng tiến độ")))))</f>
        <v>• Chưa tới</v>
      </c>
      <c r="U158" s="38" t="n">
        <f aca="false">IF($H158="","",$R158/5)</f>
        <v>0</v>
      </c>
    </row>
    <row r="159" customFormat="false" ht="15" hidden="false" customHeight="false" outlineLevel="0" collapsed="false">
      <c r="A159" s="31" t="s">
        <v>1097</v>
      </c>
      <c r="B159" s="31" t="n">
        <v>8</v>
      </c>
      <c r="C159" s="32" t="n">
        <f aca="false">SETTINGS!$C$3+$B159-1</f>
        <v>46307</v>
      </c>
      <c r="D159" s="33" t="s">
        <v>154</v>
      </c>
      <c r="E159" s="34" t="s">
        <v>1006</v>
      </c>
      <c r="F159" s="34" t="s">
        <v>280</v>
      </c>
      <c r="G159" s="34" t="s">
        <v>1098</v>
      </c>
      <c r="H159" s="35" t="s">
        <v>1099</v>
      </c>
      <c r="I159" s="36" t="s">
        <v>1100</v>
      </c>
      <c r="J159" s="34" t="s">
        <v>1101</v>
      </c>
      <c r="K159" s="34" t="s">
        <v>1102</v>
      </c>
      <c r="L159" s="37"/>
      <c r="M159" s="37"/>
      <c r="N159" s="37"/>
      <c r="O159" s="37"/>
      <c r="P159" s="37"/>
      <c r="Q159" s="37"/>
      <c r="R159" s="31" t="n">
        <f aca="false">COUNT($M159:$Q159)</f>
        <v>0</v>
      </c>
      <c r="S159" s="32" t="str">
        <f aca="false">IF($L159="","",IF($R159&gt;=5,"",MAX($L159:$Q159)+CHOOSE($R159+1,SETTINGS!$C$9,SETTINGS!$C$10,SETTINGS!$C$11,SETTINGS!$C$12,SETTINGS!$C$13)))</f>
        <v/>
      </c>
      <c r="T159" s="34" t="str">
        <f aca="true">IF($H159="","(chưa có nội dung)",IF($L159="",IF($C159&lt;TODAY(),"⚠ TRỄ HỌC",IF($C159=TODAY(),"★ HỌC HÔM NAY","• Chưa tới")),IF($R159&gt;=5,"✔ MASTER",IF($S159&lt;TODAY(),"⚠ TRỄ ÔN",IF($S159=TODAY(),"◆ ÔN HÔM NAY","✔ Đúng tiến độ")))))</f>
        <v>• Chưa tới</v>
      </c>
      <c r="U159" s="38" t="n">
        <f aca="false">IF($H159="","",$R159/5)</f>
        <v>0</v>
      </c>
    </row>
    <row r="160" customFormat="false" ht="15" hidden="false" customHeight="false" outlineLevel="0" collapsed="false">
      <c r="A160" s="31" t="s">
        <v>1103</v>
      </c>
      <c r="B160" s="31" t="n">
        <v>8</v>
      </c>
      <c r="C160" s="32" t="n">
        <f aca="false">SETTINGS!$C$3+$B160-1</f>
        <v>46307</v>
      </c>
      <c r="D160" s="33" t="s">
        <v>154</v>
      </c>
      <c r="E160" s="34" t="s">
        <v>1006</v>
      </c>
      <c r="F160" s="34" t="s">
        <v>280</v>
      </c>
      <c r="G160" s="34" t="s">
        <v>1104</v>
      </c>
      <c r="H160" s="35" t="s">
        <v>1105</v>
      </c>
      <c r="I160" s="36" t="s">
        <v>1106</v>
      </c>
      <c r="J160" s="34" t="s">
        <v>1107</v>
      </c>
      <c r="K160" s="34" t="s">
        <v>1108</v>
      </c>
      <c r="L160" s="37"/>
      <c r="M160" s="37"/>
      <c r="N160" s="37"/>
      <c r="O160" s="37"/>
      <c r="P160" s="37"/>
      <c r="Q160" s="37"/>
      <c r="R160" s="31" t="n">
        <f aca="false">COUNT($M160:$Q160)</f>
        <v>0</v>
      </c>
      <c r="S160" s="32" t="str">
        <f aca="false">IF($L160="","",IF($R160&gt;=5,"",MAX($L160:$Q160)+CHOOSE($R160+1,SETTINGS!$C$9,SETTINGS!$C$10,SETTINGS!$C$11,SETTINGS!$C$12,SETTINGS!$C$13)))</f>
        <v/>
      </c>
      <c r="T160" s="34" t="str">
        <f aca="true">IF($H160="","(chưa có nội dung)",IF($L160="",IF($C160&lt;TODAY(),"⚠ TRỄ HỌC",IF($C160=TODAY(),"★ HỌC HÔM NAY","• Chưa tới")),IF($R160&gt;=5,"✔ MASTER",IF($S160&lt;TODAY(),"⚠ TRỄ ÔN",IF($S160=TODAY(),"◆ ÔN HÔM NAY","✔ Đúng tiến độ")))))</f>
        <v>• Chưa tới</v>
      </c>
      <c r="U160" s="38" t="n">
        <f aca="false">IF($H160="","",$R160/5)</f>
        <v>0</v>
      </c>
    </row>
    <row r="161" customFormat="false" ht="15" hidden="false" customHeight="false" outlineLevel="0" collapsed="false">
      <c r="A161" s="31" t="s">
        <v>1109</v>
      </c>
      <c r="B161" s="31" t="n">
        <v>8</v>
      </c>
      <c r="C161" s="32" t="n">
        <f aca="false">SETTINGS!$C$3+$B161-1</f>
        <v>46307</v>
      </c>
      <c r="D161" s="33" t="s">
        <v>154</v>
      </c>
      <c r="E161" s="34" t="s">
        <v>1006</v>
      </c>
      <c r="F161" s="34" t="s">
        <v>280</v>
      </c>
      <c r="G161" s="34" t="s">
        <v>1110</v>
      </c>
      <c r="H161" s="35" t="s">
        <v>1111</v>
      </c>
      <c r="I161" s="36" t="s">
        <v>1112</v>
      </c>
      <c r="J161" s="34" t="s">
        <v>1113</v>
      </c>
      <c r="K161" s="34" t="s">
        <v>1114</v>
      </c>
      <c r="L161" s="37"/>
      <c r="M161" s="37"/>
      <c r="N161" s="37"/>
      <c r="O161" s="37"/>
      <c r="P161" s="37"/>
      <c r="Q161" s="37"/>
      <c r="R161" s="31" t="n">
        <f aca="false">COUNT($M161:$Q161)</f>
        <v>0</v>
      </c>
      <c r="S161" s="32" t="str">
        <f aca="false">IF($L161="","",IF($R161&gt;=5,"",MAX($L161:$Q161)+CHOOSE($R161+1,SETTINGS!$C$9,SETTINGS!$C$10,SETTINGS!$C$11,SETTINGS!$C$12,SETTINGS!$C$13)))</f>
        <v/>
      </c>
      <c r="T161" s="34" t="str">
        <f aca="true">IF($H161="","(chưa có nội dung)",IF($L161="",IF($C161&lt;TODAY(),"⚠ TRỄ HỌC",IF($C161=TODAY(),"★ HỌC HÔM NAY","• Chưa tới")),IF($R161&gt;=5,"✔ MASTER",IF($S161&lt;TODAY(),"⚠ TRỄ ÔN",IF($S161=TODAY(),"◆ ÔN HÔM NAY","✔ Đúng tiến độ")))))</f>
        <v>• Chưa tới</v>
      </c>
      <c r="U161" s="38" t="n">
        <f aca="false">IF($H161="","",$R161/5)</f>
        <v>0</v>
      </c>
    </row>
    <row r="162" customFormat="false" ht="15" hidden="false" customHeight="false" outlineLevel="0" collapsed="false">
      <c r="A162" s="31" t="s">
        <v>1115</v>
      </c>
      <c r="B162" s="31" t="n">
        <v>8</v>
      </c>
      <c r="C162" s="32" t="n">
        <f aca="false">SETTINGS!$C$3+$B162-1</f>
        <v>46307</v>
      </c>
      <c r="D162" s="33" t="s">
        <v>154</v>
      </c>
      <c r="E162" s="34" t="s">
        <v>1006</v>
      </c>
      <c r="F162" s="34" t="s">
        <v>497</v>
      </c>
      <c r="G162" s="34" t="s">
        <v>1116</v>
      </c>
      <c r="H162" s="35" t="s">
        <v>1117</v>
      </c>
      <c r="I162" s="36" t="s">
        <v>1118</v>
      </c>
      <c r="J162" s="34" t="s">
        <v>1119</v>
      </c>
      <c r="K162" s="34" t="s">
        <v>1120</v>
      </c>
      <c r="L162" s="37"/>
      <c r="M162" s="37"/>
      <c r="N162" s="37"/>
      <c r="O162" s="37"/>
      <c r="P162" s="37"/>
      <c r="Q162" s="37"/>
      <c r="R162" s="31" t="n">
        <f aca="false">COUNT($M162:$Q162)</f>
        <v>0</v>
      </c>
      <c r="S162" s="32" t="str">
        <f aca="false">IF($L162="","",IF($R162&gt;=5,"",MAX($L162:$Q162)+CHOOSE($R162+1,SETTINGS!$C$9,SETTINGS!$C$10,SETTINGS!$C$11,SETTINGS!$C$12,SETTINGS!$C$13)))</f>
        <v/>
      </c>
      <c r="T162" s="34" t="str">
        <f aca="true">IF($H162="","(chưa có nội dung)",IF($L162="",IF($C162&lt;TODAY(),"⚠ TRỄ HỌC",IF($C162=TODAY(),"★ HỌC HÔM NAY","• Chưa tới")),IF($R162&gt;=5,"✔ MASTER",IF($S162&lt;TODAY(),"⚠ TRỄ ÔN",IF($S162=TODAY(),"◆ ÔN HÔM NAY","✔ Đúng tiến độ")))))</f>
        <v>• Chưa tới</v>
      </c>
      <c r="U162" s="38" t="n">
        <f aca="false">IF($H162="","",$R162/5)</f>
        <v>0</v>
      </c>
    </row>
    <row r="163" customFormat="false" ht="15" hidden="false" customHeight="false" outlineLevel="0" collapsed="false">
      <c r="A163" s="31" t="s">
        <v>1121</v>
      </c>
      <c r="B163" s="31" t="n">
        <v>9</v>
      </c>
      <c r="C163" s="32" t="n">
        <f aca="false">SETTINGS!$C$3+$B163-1</f>
        <v>46308</v>
      </c>
      <c r="D163" s="33" t="s">
        <v>154</v>
      </c>
      <c r="E163" s="34" t="s">
        <v>1122</v>
      </c>
      <c r="F163" s="34" t="s">
        <v>280</v>
      </c>
      <c r="G163" s="34" t="s">
        <v>1123</v>
      </c>
      <c r="H163" s="35" t="s">
        <v>1124</v>
      </c>
      <c r="I163" s="36" t="s">
        <v>1125</v>
      </c>
      <c r="J163" s="34" t="s">
        <v>1126</v>
      </c>
      <c r="K163" s="34" t="s">
        <v>1127</v>
      </c>
      <c r="L163" s="37"/>
      <c r="M163" s="37"/>
      <c r="N163" s="37"/>
      <c r="O163" s="37"/>
      <c r="P163" s="37"/>
      <c r="Q163" s="37"/>
      <c r="R163" s="31" t="n">
        <f aca="false">COUNT($M163:$Q163)</f>
        <v>0</v>
      </c>
      <c r="S163" s="32" t="str">
        <f aca="false">IF($L163="","",IF($R163&gt;=5,"",MAX($L163:$Q163)+CHOOSE($R163+1,SETTINGS!$C$9,SETTINGS!$C$10,SETTINGS!$C$11,SETTINGS!$C$12,SETTINGS!$C$13)))</f>
        <v/>
      </c>
      <c r="T163" s="34" t="str">
        <f aca="true">IF($H163="","(chưa có nội dung)",IF($L163="",IF($C163&lt;TODAY(),"⚠ TRỄ HỌC",IF($C163=TODAY(),"★ HỌC HÔM NAY","• Chưa tới")),IF($R163&gt;=5,"✔ MASTER",IF($S163&lt;TODAY(),"⚠ TRỄ ÔN",IF($S163=TODAY(),"◆ ÔN HÔM NAY","✔ Đúng tiến độ")))))</f>
        <v>• Chưa tới</v>
      </c>
      <c r="U163" s="38" t="n">
        <f aca="false">IF($H163="","",$R163/5)</f>
        <v>0</v>
      </c>
    </row>
    <row r="164" customFormat="false" ht="15" hidden="false" customHeight="false" outlineLevel="0" collapsed="false">
      <c r="A164" s="31" t="s">
        <v>1128</v>
      </c>
      <c r="B164" s="31" t="n">
        <v>9</v>
      </c>
      <c r="C164" s="32" t="n">
        <f aca="false">SETTINGS!$C$3+$B164-1</f>
        <v>46308</v>
      </c>
      <c r="D164" s="33" t="s">
        <v>154</v>
      </c>
      <c r="E164" s="34" t="s">
        <v>1122</v>
      </c>
      <c r="F164" s="34" t="s">
        <v>280</v>
      </c>
      <c r="G164" s="34" t="s">
        <v>1129</v>
      </c>
      <c r="H164" s="35" t="s">
        <v>1130</v>
      </c>
      <c r="I164" s="36" t="s">
        <v>1131</v>
      </c>
      <c r="J164" s="34" t="s">
        <v>1132</v>
      </c>
      <c r="K164" s="34" t="s">
        <v>1133</v>
      </c>
      <c r="L164" s="37"/>
      <c r="M164" s="37"/>
      <c r="N164" s="37"/>
      <c r="O164" s="37"/>
      <c r="P164" s="37"/>
      <c r="Q164" s="37"/>
      <c r="R164" s="31" t="n">
        <f aca="false">COUNT($M164:$Q164)</f>
        <v>0</v>
      </c>
      <c r="S164" s="32" t="str">
        <f aca="false">IF($L164="","",IF($R164&gt;=5,"",MAX($L164:$Q164)+CHOOSE($R164+1,SETTINGS!$C$9,SETTINGS!$C$10,SETTINGS!$C$11,SETTINGS!$C$12,SETTINGS!$C$13)))</f>
        <v/>
      </c>
      <c r="T164" s="34" t="str">
        <f aca="true">IF($H164="","(chưa có nội dung)",IF($L164="",IF($C164&lt;TODAY(),"⚠ TRỄ HỌC",IF($C164=TODAY(),"★ HỌC HÔM NAY","• Chưa tới")),IF($R164&gt;=5,"✔ MASTER",IF($S164&lt;TODAY(),"⚠ TRỄ ÔN",IF($S164=TODAY(),"◆ ÔN HÔM NAY","✔ Đúng tiến độ")))))</f>
        <v>• Chưa tới</v>
      </c>
      <c r="U164" s="38" t="n">
        <f aca="false">IF($H164="","",$R164/5)</f>
        <v>0</v>
      </c>
    </row>
    <row r="165" customFormat="false" ht="15" hidden="false" customHeight="false" outlineLevel="0" collapsed="false">
      <c r="A165" s="31" t="s">
        <v>1134</v>
      </c>
      <c r="B165" s="31" t="n">
        <v>9</v>
      </c>
      <c r="C165" s="32" t="n">
        <f aca="false">SETTINGS!$C$3+$B165-1</f>
        <v>46308</v>
      </c>
      <c r="D165" s="33" t="s">
        <v>154</v>
      </c>
      <c r="E165" s="34" t="s">
        <v>1122</v>
      </c>
      <c r="F165" s="34" t="s">
        <v>280</v>
      </c>
      <c r="G165" s="34" t="s">
        <v>1135</v>
      </c>
      <c r="H165" s="35" t="s">
        <v>1136</v>
      </c>
      <c r="I165" s="36" t="s">
        <v>1137</v>
      </c>
      <c r="J165" s="34" t="s">
        <v>1138</v>
      </c>
      <c r="K165" s="34" t="s">
        <v>1139</v>
      </c>
      <c r="L165" s="37"/>
      <c r="M165" s="37"/>
      <c r="N165" s="37"/>
      <c r="O165" s="37"/>
      <c r="P165" s="37"/>
      <c r="Q165" s="37"/>
      <c r="R165" s="31" t="n">
        <f aca="false">COUNT($M165:$Q165)</f>
        <v>0</v>
      </c>
      <c r="S165" s="32" t="str">
        <f aca="false">IF($L165="","",IF($R165&gt;=5,"",MAX($L165:$Q165)+CHOOSE($R165+1,SETTINGS!$C$9,SETTINGS!$C$10,SETTINGS!$C$11,SETTINGS!$C$12,SETTINGS!$C$13)))</f>
        <v/>
      </c>
      <c r="T165" s="34" t="str">
        <f aca="true">IF($H165="","(chưa có nội dung)",IF($L165="",IF($C165&lt;TODAY(),"⚠ TRỄ HỌC",IF($C165=TODAY(),"★ HỌC HÔM NAY","• Chưa tới")),IF($R165&gt;=5,"✔ MASTER",IF($S165&lt;TODAY(),"⚠ TRỄ ÔN",IF($S165=TODAY(),"◆ ÔN HÔM NAY","✔ Đúng tiến độ")))))</f>
        <v>• Chưa tới</v>
      </c>
      <c r="U165" s="38" t="n">
        <f aca="false">IF($H165="","",$R165/5)</f>
        <v>0</v>
      </c>
    </row>
    <row r="166" customFormat="false" ht="23.85" hidden="false" customHeight="false" outlineLevel="0" collapsed="false">
      <c r="A166" s="31" t="s">
        <v>1140</v>
      </c>
      <c r="B166" s="31" t="n">
        <v>9</v>
      </c>
      <c r="C166" s="32" t="n">
        <f aca="false">SETTINGS!$C$3+$B166-1</f>
        <v>46308</v>
      </c>
      <c r="D166" s="33" t="s">
        <v>154</v>
      </c>
      <c r="E166" s="34" t="s">
        <v>1122</v>
      </c>
      <c r="F166" s="34" t="s">
        <v>280</v>
      </c>
      <c r="G166" s="34" t="s">
        <v>1141</v>
      </c>
      <c r="H166" s="35" t="s">
        <v>1142</v>
      </c>
      <c r="I166" s="36" t="s">
        <v>1143</v>
      </c>
      <c r="J166" s="34" t="s">
        <v>1144</v>
      </c>
      <c r="K166" s="34" t="s">
        <v>1145</v>
      </c>
      <c r="L166" s="37"/>
      <c r="M166" s="37"/>
      <c r="N166" s="37"/>
      <c r="O166" s="37"/>
      <c r="P166" s="37"/>
      <c r="Q166" s="37"/>
      <c r="R166" s="31" t="n">
        <f aca="false">COUNT($M166:$Q166)</f>
        <v>0</v>
      </c>
      <c r="S166" s="32" t="str">
        <f aca="false">IF($L166="","",IF($R166&gt;=5,"",MAX($L166:$Q166)+CHOOSE($R166+1,SETTINGS!$C$9,SETTINGS!$C$10,SETTINGS!$C$11,SETTINGS!$C$12,SETTINGS!$C$13)))</f>
        <v/>
      </c>
      <c r="T166" s="34" t="str">
        <f aca="true">IF($H166="","(chưa có nội dung)",IF($L166="",IF($C166&lt;TODAY(),"⚠ TRỄ HỌC",IF($C166=TODAY(),"★ HỌC HÔM NAY","• Chưa tới")),IF($R166&gt;=5,"✔ MASTER",IF($S166&lt;TODAY(),"⚠ TRỄ ÔN",IF($S166=TODAY(),"◆ ÔN HÔM NAY","✔ Đúng tiến độ")))))</f>
        <v>• Chưa tới</v>
      </c>
      <c r="U166" s="38" t="n">
        <f aca="false">IF($H166="","",$R166/5)</f>
        <v>0</v>
      </c>
    </row>
    <row r="167" customFormat="false" ht="15" hidden="false" customHeight="false" outlineLevel="0" collapsed="false">
      <c r="A167" s="31" t="s">
        <v>1146</v>
      </c>
      <c r="B167" s="31" t="n">
        <v>9</v>
      </c>
      <c r="C167" s="32" t="n">
        <f aca="false">SETTINGS!$C$3+$B167-1</f>
        <v>46308</v>
      </c>
      <c r="D167" s="33" t="s">
        <v>154</v>
      </c>
      <c r="E167" s="34" t="s">
        <v>1122</v>
      </c>
      <c r="F167" s="34" t="s">
        <v>280</v>
      </c>
      <c r="G167" s="34" t="s">
        <v>1147</v>
      </c>
      <c r="H167" s="35" t="s">
        <v>1148</v>
      </c>
      <c r="I167" s="36" t="s">
        <v>1149</v>
      </c>
      <c r="J167" s="34" t="s">
        <v>1150</v>
      </c>
      <c r="K167" s="34" t="s">
        <v>1151</v>
      </c>
      <c r="L167" s="37"/>
      <c r="M167" s="37"/>
      <c r="N167" s="37"/>
      <c r="O167" s="37"/>
      <c r="P167" s="37"/>
      <c r="Q167" s="37"/>
      <c r="R167" s="31" t="n">
        <f aca="false">COUNT($M167:$Q167)</f>
        <v>0</v>
      </c>
      <c r="S167" s="32" t="str">
        <f aca="false">IF($L167="","",IF($R167&gt;=5,"",MAX($L167:$Q167)+CHOOSE($R167+1,SETTINGS!$C$9,SETTINGS!$C$10,SETTINGS!$C$11,SETTINGS!$C$12,SETTINGS!$C$13)))</f>
        <v/>
      </c>
      <c r="T167" s="34" t="str">
        <f aca="true">IF($H167="","(chưa có nội dung)",IF($L167="",IF($C167&lt;TODAY(),"⚠ TRỄ HỌC",IF($C167=TODAY(),"★ HỌC HÔM NAY","• Chưa tới")),IF($R167&gt;=5,"✔ MASTER",IF($S167&lt;TODAY(),"⚠ TRỄ ÔN",IF($S167=TODAY(),"◆ ÔN HÔM NAY","✔ Đúng tiến độ")))))</f>
        <v>• Chưa tới</v>
      </c>
      <c r="U167" s="38" t="n">
        <f aca="false">IF($H167="","",$R167/5)</f>
        <v>0</v>
      </c>
    </row>
    <row r="168" customFormat="false" ht="15" hidden="false" customHeight="false" outlineLevel="0" collapsed="false">
      <c r="A168" s="31" t="s">
        <v>1152</v>
      </c>
      <c r="B168" s="31" t="n">
        <v>9</v>
      </c>
      <c r="C168" s="32" t="n">
        <f aca="false">SETTINGS!$C$3+$B168-1</f>
        <v>46308</v>
      </c>
      <c r="D168" s="33" t="s">
        <v>154</v>
      </c>
      <c r="E168" s="34" t="s">
        <v>1122</v>
      </c>
      <c r="F168" s="34" t="s">
        <v>280</v>
      </c>
      <c r="G168" s="34" t="s">
        <v>1153</v>
      </c>
      <c r="H168" s="35" t="s">
        <v>1154</v>
      </c>
      <c r="I168" s="36" t="s">
        <v>1155</v>
      </c>
      <c r="J168" s="34" t="s">
        <v>1156</v>
      </c>
      <c r="K168" s="34" t="s">
        <v>1157</v>
      </c>
      <c r="L168" s="37"/>
      <c r="M168" s="37"/>
      <c r="N168" s="37"/>
      <c r="O168" s="37"/>
      <c r="P168" s="37"/>
      <c r="Q168" s="37"/>
      <c r="R168" s="31" t="n">
        <f aca="false">COUNT($M168:$Q168)</f>
        <v>0</v>
      </c>
      <c r="S168" s="32" t="str">
        <f aca="false">IF($L168="","",IF($R168&gt;=5,"",MAX($L168:$Q168)+CHOOSE($R168+1,SETTINGS!$C$9,SETTINGS!$C$10,SETTINGS!$C$11,SETTINGS!$C$12,SETTINGS!$C$13)))</f>
        <v/>
      </c>
      <c r="T168" s="34" t="str">
        <f aca="true">IF($H168="","(chưa có nội dung)",IF($L168="",IF($C168&lt;TODAY(),"⚠ TRỄ HỌC",IF($C168=TODAY(),"★ HỌC HÔM NAY","• Chưa tới")),IF($R168&gt;=5,"✔ MASTER",IF($S168&lt;TODAY(),"⚠ TRỄ ÔN",IF($S168=TODAY(),"◆ ÔN HÔM NAY","✔ Đúng tiến độ")))))</f>
        <v>• Chưa tới</v>
      </c>
      <c r="U168" s="38" t="n">
        <f aca="false">IF($H168="","",$R168/5)</f>
        <v>0</v>
      </c>
    </row>
    <row r="169" customFormat="false" ht="15" hidden="false" customHeight="false" outlineLevel="0" collapsed="false">
      <c r="A169" s="31" t="s">
        <v>1158</v>
      </c>
      <c r="B169" s="31" t="n">
        <v>9</v>
      </c>
      <c r="C169" s="32" t="n">
        <f aca="false">SETTINGS!$C$3+$B169-1</f>
        <v>46308</v>
      </c>
      <c r="D169" s="33" t="s">
        <v>154</v>
      </c>
      <c r="E169" s="34" t="s">
        <v>1122</v>
      </c>
      <c r="F169" s="34" t="s">
        <v>280</v>
      </c>
      <c r="G169" s="34" t="s">
        <v>1159</v>
      </c>
      <c r="H169" s="35" t="s">
        <v>1160</v>
      </c>
      <c r="I169" s="36" t="s">
        <v>1161</v>
      </c>
      <c r="J169" s="34" t="s">
        <v>1162</v>
      </c>
      <c r="K169" s="34" t="s">
        <v>1163</v>
      </c>
      <c r="L169" s="37"/>
      <c r="M169" s="37"/>
      <c r="N169" s="37"/>
      <c r="O169" s="37"/>
      <c r="P169" s="37"/>
      <c r="Q169" s="37"/>
      <c r="R169" s="31" t="n">
        <f aca="false">COUNT($M169:$Q169)</f>
        <v>0</v>
      </c>
      <c r="S169" s="32" t="str">
        <f aca="false">IF($L169="","",IF($R169&gt;=5,"",MAX($L169:$Q169)+CHOOSE($R169+1,SETTINGS!$C$9,SETTINGS!$C$10,SETTINGS!$C$11,SETTINGS!$C$12,SETTINGS!$C$13)))</f>
        <v/>
      </c>
      <c r="T169" s="34" t="str">
        <f aca="true">IF($H169="","(chưa có nội dung)",IF($L169="",IF($C169&lt;TODAY(),"⚠ TRỄ HỌC",IF($C169=TODAY(),"★ HỌC HÔM NAY","• Chưa tới")),IF($R169&gt;=5,"✔ MASTER",IF($S169&lt;TODAY(),"⚠ TRỄ ÔN",IF($S169=TODAY(),"◆ ÔN HÔM NAY","✔ Đúng tiến độ")))))</f>
        <v>• Chưa tới</v>
      </c>
      <c r="U169" s="38" t="n">
        <f aca="false">IF($H169="","",$R169/5)</f>
        <v>0</v>
      </c>
    </row>
    <row r="170" customFormat="false" ht="15" hidden="false" customHeight="false" outlineLevel="0" collapsed="false">
      <c r="A170" s="31" t="s">
        <v>1164</v>
      </c>
      <c r="B170" s="31" t="n">
        <v>9</v>
      </c>
      <c r="C170" s="32" t="n">
        <f aca="false">SETTINGS!$C$3+$B170-1</f>
        <v>46308</v>
      </c>
      <c r="D170" s="33" t="s">
        <v>154</v>
      </c>
      <c r="E170" s="34" t="s">
        <v>1122</v>
      </c>
      <c r="F170" s="34" t="s">
        <v>280</v>
      </c>
      <c r="G170" s="34" t="s">
        <v>1165</v>
      </c>
      <c r="H170" s="35" t="s">
        <v>1166</v>
      </c>
      <c r="I170" s="36" t="s">
        <v>1167</v>
      </c>
      <c r="J170" s="34" t="s">
        <v>1168</v>
      </c>
      <c r="K170" s="34" t="s">
        <v>1169</v>
      </c>
      <c r="L170" s="37"/>
      <c r="M170" s="37"/>
      <c r="N170" s="37"/>
      <c r="O170" s="37"/>
      <c r="P170" s="37"/>
      <c r="Q170" s="37"/>
      <c r="R170" s="31" t="n">
        <f aca="false">COUNT($M170:$Q170)</f>
        <v>0</v>
      </c>
      <c r="S170" s="32" t="str">
        <f aca="false">IF($L170="","",IF($R170&gt;=5,"",MAX($L170:$Q170)+CHOOSE($R170+1,SETTINGS!$C$9,SETTINGS!$C$10,SETTINGS!$C$11,SETTINGS!$C$12,SETTINGS!$C$13)))</f>
        <v/>
      </c>
      <c r="T170" s="34" t="str">
        <f aca="true">IF($H170="","(chưa có nội dung)",IF($L170="",IF($C170&lt;TODAY(),"⚠ TRỄ HỌC",IF($C170=TODAY(),"★ HỌC HÔM NAY","• Chưa tới")),IF($R170&gt;=5,"✔ MASTER",IF($S170&lt;TODAY(),"⚠ TRỄ ÔN",IF($S170=TODAY(),"◆ ÔN HÔM NAY","✔ Đúng tiến độ")))))</f>
        <v>• Chưa tới</v>
      </c>
      <c r="U170" s="38" t="n">
        <f aca="false">IF($H170="","",$R170/5)</f>
        <v>0</v>
      </c>
    </row>
    <row r="171" customFormat="false" ht="15" hidden="false" customHeight="false" outlineLevel="0" collapsed="false">
      <c r="A171" s="31" t="s">
        <v>1170</v>
      </c>
      <c r="B171" s="31" t="n">
        <v>9</v>
      </c>
      <c r="C171" s="32" t="n">
        <f aca="false">SETTINGS!$C$3+$B171-1</f>
        <v>46308</v>
      </c>
      <c r="D171" s="33" t="s">
        <v>154</v>
      </c>
      <c r="E171" s="34" t="s">
        <v>1122</v>
      </c>
      <c r="F171" s="34" t="s">
        <v>280</v>
      </c>
      <c r="G171" s="34" t="s">
        <v>1171</v>
      </c>
      <c r="H171" s="35" t="s">
        <v>1172</v>
      </c>
      <c r="I171" s="36" t="s">
        <v>1173</v>
      </c>
      <c r="J171" s="34" t="s">
        <v>1174</v>
      </c>
      <c r="K171" s="34" t="s">
        <v>1175</v>
      </c>
      <c r="L171" s="37"/>
      <c r="M171" s="37"/>
      <c r="N171" s="37"/>
      <c r="O171" s="37"/>
      <c r="P171" s="37"/>
      <c r="Q171" s="37"/>
      <c r="R171" s="31" t="n">
        <f aca="false">COUNT($M171:$Q171)</f>
        <v>0</v>
      </c>
      <c r="S171" s="32" t="str">
        <f aca="false">IF($L171="","",IF($R171&gt;=5,"",MAX($L171:$Q171)+CHOOSE($R171+1,SETTINGS!$C$9,SETTINGS!$C$10,SETTINGS!$C$11,SETTINGS!$C$12,SETTINGS!$C$13)))</f>
        <v/>
      </c>
      <c r="T171" s="34" t="str">
        <f aca="true">IF($H171="","(chưa có nội dung)",IF($L171="",IF($C171&lt;TODAY(),"⚠ TRỄ HỌC",IF($C171=TODAY(),"★ HỌC HÔM NAY","• Chưa tới")),IF($R171&gt;=5,"✔ MASTER",IF($S171&lt;TODAY(),"⚠ TRỄ ÔN",IF($S171=TODAY(),"◆ ÔN HÔM NAY","✔ Đúng tiến độ")))))</f>
        <v>• Chưa tới</v>
      </c>
      <c r="U171" s="38" t="n">
        <f aca="false">IF($H171="","",$R171/5)</f>
        <v>0</v>
      </c>
    </row>
    <row r="172" customFormat="false" ht="15" hidden="false" customHeight="false" outlineLevel="0" collapsed="false">
      <c r="A172" s="31" t="s">
        <v>1176</v>
      </c>
      <c r="B172" s="31" t="n">
        <v>9</v>
      </c>
      <c r="C172" s="32" t="n">
        <f aca="false">SETTINGS!$C$3+$B172-1</f>
        <v>46308</v>
      </c>
      <c r="D172" s="33" t="s">
        <v>154</v>
      </c>
      <c r="E172" s="34" t="s">
        <v>1122</v>
      </c>
      <c r="F172" s="34" t="s">
        <v>280</v>
      </c>
      <c r="G172" s="34" t="s">
        <v>1177</v>
      </c>
      <c r="H172" s="35" t="s">
        <v>1178</v>
      </c>
      <c r="I172" s="36" t="s">
        <v>1179</v>
      </c>
      <c r="J172" s="34" t="s">
        <v>1180</v>
      </c>
      <c r="K172" s="34" t="s">
        <v>1181</v>
      </c>
      <c r="L172" s="37"/>
      <c r="M172" s="37"/>
      <c r="N172" s="37"/>
      <c r="O172" s="37"/>
      <c r="P172" s="37"/>
      <c r="Q172" s="37"/>
      <c r="R172" s="31" t="n">
        <f aca="false">COUNT($M172:$Q172)</f>
        <v>0</v>
      </c>
      <c r="S172" s="32" t="str">
        <f aca="false">IF($L172="","",IF($R172&gt;=5,"",MAX($L172:$Q172)+CHOOSE($R172+1,SETTINGS!$C$9,SETTINGS!$C$10,SETTINGS!$C$11,SETTINGS!$C$12,SETTINGS!$C$13)))</f>
        <v/>
      </c>
      <c r="T172" s="34" t="str">
        <f aca="true">IF($H172="","(chưa có nội dung)",IF($L172="",IF($C172&lt;TODAY(),"⚠ TRỄ HỌC",IF($C172=TODAY(),"★ HỌC HÔM NAY","• Chưa tới")),IF($R172&gt;=5,"✔ MASTER",IF($S172&lt;TODAY(),"⚠ TRỄ ÔN",IF($S172=TODAY(),"◆ ÔN HÔM NAY","✔ Đúng tiến độ")))))</f>
        <v>• Chưa tới</v>
      </c>
      <c r="U172" s="38" t="n">
        <f aca="false">IF($H172="","",$R172/5)</f>
        <v>0</v>
      </c>
    </row>
    <row r="173" customFormat="false" ht="15" hidden="false" customHeight="false" outlineLevel="0" collapsed="false">
      <c r="A173" s="31" t="s">
        <v>1182</v>
      </c>
      <c r="B173" s="31" t="n">
        <v>9</v>
      </c>
      <c r="C173" s="32" t="n">
        <f aca="false">SETTINGS!$C$3+$B173-1</f>
        <v>46308</v>
      </c>
      <c r="D173" s="33" t="s">
        <v>154</v>
      </c>
      <c r="E173" s="34" t="s">
        <v>1122</v>
      </c>
      <c r="F173" s="34" t="s">
        <v>280</v>
      </c>
      <c r="G173" s="34" t="s">
        <v>1183</v>
      </c>
      <c r="H173" s="35" t="s">
        <v>1184</v>
      </c>
      <c r="I173" s="36" t="s">
        <v>1185</v>
      </c>
      <c r="J173" s="34" t="s">
        <v>1186</v>
      </c>
      <c r="K173" s="34" t="s">
        <v>1187</v>
      </c>
      <c r="L173" s="37"/>
      <c r="M173" s="37"/>
      <c r="N173" s="37"/>
      <c r="O173" s="37"/>
      <c r="P173" s="37"/>
      <c r="Q173" s="37"/>
      <c r="R173" s="31" t="n">
        <f aca="false">COUNT($M173:$Q173)</f>
        <v>0</v>
      </c>
      <c r="S173" s="32" t="str">
        <f aca="false">IF($L173="","",IF($R173&gt;=5,"",MAX($L173:$Q173)+CHOOSE($R173+1,SETTINGS!$C$9,SETTINGS!$C$10,SETTINGS!$C$11,SETTINGS!$C$12,SETTINGS!$C$13)))</f>
        <v/>
      </c>
      <c r="T173" s="34" t="str">
        <f aca="true">IF($H173="","(chưa có nội dung)",IF($L173="",IF($C173&lt;TODAY(),"⚠ TRỄ HỌC",IF($C173=TODAY(),"★ HỌC HÔM NAY","• Chưa tới")),IF($R173&gt;=5,"✔ MASTER",IF($S173&lt;TODAY(),"⚠ TRỄ ÔN",IF($S173=TODAY(),"◆ ÔN HÔM NAY","✔ Đúng tiến độ")))))</f>
        <v>• Chưa tới</v>
      </c>
      <c r="U173" s="38" t="n">
        <f aca="false">IF($H173="","",$R173/5)</f>
        <v>0</v>
      </c>
    </row>
    <row r="174" customFormat="false" ht="15" hidden="false" customHeight="false" outlineLevel="0" collapsed="false">
      <c r="A174" s="31" t="s">
        <v>1188</v>
      </c>
      <c r="B174" s="31" t="n">
        <v>9</v>
      </c>
      <c r="C174" s="32" t="n">
        <f aca="false">SETTINGS!$C$3+$B174-1</f>
        <v>46308</v>
      </c>
      <c r="D174" s="33" t="s">
        <v>154</v>
      </c>
      <c r="E174" s="34" t="s">
        <v>1122</v>
      </c>
      <c r="F174" s="34" t="s">
        <v>280</v>
      </c>
      <c r="G174" s="34" t="s">
        <v>1189</v>
      </c>
      <c r="H174" s="35" t="s">
        <v>1190</v>
      </c>
      <c r="I174" s="36" t="s">
        <v>1191</v>
      </c>
      <c r="J174" s="34" t="s">
        <v>1192</v>
      </c>
      <c r="K174" s="34" t="s">
        <v>1193</v>
      </c>
      <c r="L174" s="37"/>
      <c r="M174" s="37"/>
      <c r="N174" s="37"/>
      <c r="O174" s="37"/>
      <c r="P174" s="37"/>
      <c r="Q174" s="37"/>
      <c r="R174" s="31" t="n">
        <f aca="false">COUNT($M174:$Q174)</f>
        <v>0</v>
      </c>
      <c r="S174" s="32" t="str">
        <f aca="false">IF($L174="","",IF($R174&gt;=5,"",MAX($L174:$Q174)+CHOOSE($R174+1,SETTINGS!$C$9,SETTINGS!$C$10,SETTINGS!$C$11,SETTINGS!$C$12,SETTINGS!$C$13)))</f>
        <v/>
      </c>
      <c r="T174" s="34" t="str">
        <f aca="true">IF($H174="","(chưa có nội dung)",IF($L174="",IF($C174&lt;TODAY(),"⚠ TRỄ HỌC",IF($C174=TODAY(),"★ HỌC HÔM NAY","• Chưa tới")),IF($R174&gt;=5,"✔ MASTER",IF($S174&lt;TODAY(),"⚠ TRỄ ÔN",IF($S174=TODAY(),"◆ ÔN HÔM NAY","✔ Đúng tiến độ")))))</f>
        <v>• Chưa tới</v>
      </c>
      <c r="U174" s="38" t="n">
        <f aca="false">IF($H174="","",$R174/5)</f>
        <v>0</v>
      </c>
    </row>
    <row r="175" customFormat="false" ht="15" hidden="false" customHeight="false" outlineLevel="0" collapsed="false">
      <c r="A175" s="31" t="s">
        <v>1194</v>
      </c>
      <c r="B175" s="31" t="n">
        <v>9</v>
      </c>
      <c r="C175" s="32" t="n">
        <f aca="false">SETTINGS!$C$3+$B175-1</f>
        <v>46308</v>
      </c>
      <c r="D175" s="33" t="s">
        <v>154</v>
      </c>
      <c r="E175" s="34" t="s">
        <v>1122</v>
      </c>
      <c r="F175" s="34" t="s">
        <v>280</v>
      </c>
      <c r="G175" s="34" t="s">
        <v>1195</v>
      </c>
      <c r="H175" s="35" t="s">
        <v>1196</v>
      </c>
      <c r="I175" s="36" t="s">
        <v>1197</v>
      </c>
      <c r="J175" s="34" t="s">
        <v>1198</v>
      </c>
      <c r="K175" s="34" t="s">
        <v>1199</v>
      </c>
      <c r="L175" s="37"/>
      <c r="M175" s="37"/>
      <c r="N175" s="37"/>
      <c r="O175" s="37"/>
      <c r="P175" s="37"/>
      <c r="Q175" s="37"/>
      <c r="R175" s="31" t="n">
        <f aca="false">COUNT($M175:$Q175)</f>
        <v>0</v>
      </c>
      <c r="S175" s="32" t="str">
        <f aca="false">IF($L175="","",IF($R175&gt;=5,"",MAX($L175:$Q175)+CHOOSE($R175+1,SETTINGS!$C$9,SETTINGS!$C$10,SETTINGS!$C$11,SETTINGS!$C$12,SETTINGS!$C$13)))</f>
        <v/>
      </c>
      <c r="T175" s="34" t="str">
        <f aca="true">IF($H175="","(chưa có nội dung)",IF($L175="",IF($C175&lt;TODAY(),"⚠ TRỄ HỌC",IF($C175=TODAY(),"★ HỌC HÔM NAY","• Chưa tới")),IF($R175&gt;=5,"✔ MASTER",IF($S175&lt;TODAY(),"⚠ TRỄ ÔN",IF($S175=TODAY(),"◆ ÔN HÔM NAY","✔ Đúng tiến độ")))))</f>
        <v>• Chưa tới</v>
      </c>
      <c r="U175" s="38" t="n">
        <f aca="false">IF($H175="","",$R175/5)</f>
        <v>0</v>
      </c>
    </row>
    <row r="176" customFormat="false" ht="15" hidden="false" customHeight="false" outlineLevel="0" collapsed="false">
      <c r="A176" s="31" t="s">
        <v>1200</v>
      </c>
      <c r="B176" s="31" t="n">
        <v>9</v>
      </c>
      <c r="C176" s="32" t="n">
        <f aca="false">SETTINGS!$C$3+$B176-1</f>
        <v>46308</v>
      </c>
      <c r="D176" s="33" t="s">
        <v>154</v>
      </c>
      <c r="E176" s="34" t="s">
        <v>1122</v>
      </c>
      <c r="F176" s="34" t="s">
        <v>280</v>
      </c>
      <c r="G176" s="34" t="s">
        <v>1201</v>
      </c>
      <c r="H176" s="35" t="s">
        <v>1202</v>
      </c>
      <c r="I176" s="36" t="s">
        <v>1203</v>
      </c>
      <c r="J176" s="34" t="s">
        <v>1204</v>
      </c>
      <c r="K176" s="34" t="s">
        <v>1205</v>
      </c>
      <c r="L176" s="37"/>
      <c r="M176" s="37"/>
      <c r="N176" s="37"/>
      <c r="O176" s="37"/>
      <c r="P176" s="37"/>
      <c r="Q176" s="37"/>
      <c r="R176" s="31" t="n">
        <f aca="false">COUNT($M176:$Q176)</f>
        <v>0</v>
      </c>
      <c r="S176" s="32" t="str">
        <f aca="false">IF($L176="","",IF($R176&gt;=5,"",MAX($L176:$Q176)+CHOOSE($R176+1,SETTINGS!$C$9,SETTINGS!$C$10,SETTINGS!$C$11,SETTINGS!$C$12,SETTINGS!$C$13)))</f>
        <v/>
      </c>
      <c r="T176" s="34" t="str">
        <f aca="true">IF($H176="","(chưa có nội dung)",IF($L176="",IF($C176&lt;TODAY(),"⚠ TRỄ HỌC",IF($C176=TODAY(),"★ HỌC HÔM NAY","• Chưa tới")),IF($R176&gt;=5,"✔ MASTER",IF($S176&lt;TODAY(),"⚠ TRỄ ÔN",IF($S176=TODAY(),"◆ ÔN HÔM NAY","✔ Đúng tiến độ")))))</f>
        <v>• Chưa tới</v>
      </c>
      <c r="U176" s="38" t="n">
        <f aca="false">IF($H176="","",$R176/5)</f>
        <v>0</v>
      </c>
    </row>
    <row r="177" customFormat="false" ht="15" hidden="false" customHeight="false" outlineLevel="0" collapsed="false">
      <c r="A177" s="31" t="s">
        <v>1206</v>
      </c>
      <c r="B177" s="31" t="n">
        <v>9</v>
      </c>
      <c r="C177" s="32" t="n">
        <f aca="false">SETTINGS!$C$3+$B177-1</f>
        <v>46308</v>
      </c>
      <c r="D177" s="33" t="s">
        <v>154</v>
      </c>
      <c r="E177" s="34" t="s">
        <v>1122</v>
      </c>
      <c r="F177" s="34" t="s">
        <v>280</v>
      </c>
      <c r="G177" s="34" t="s">
        <v>1207</v>
      </c>
      <c r="H177" s="35" t="s">
        <v>1208</v>
      </c>
      <c r="I177" s="36" t="s">
        <v>1209</v>
      </c>
      <c r="J177" s="34" t="s">
        <v>1210</v>
      </c>
      <c r="K177" s="34" t="s">
        <v>1211</v>
      </c>
      <c r="L177" s="37"/>
      <c r="M177" s="37"/>
      <c r="N177" s="37"/>
      <c r="O177" s="37"/>
      <c r="P177" s="37"/>
      <c r="Q177" s="37"/>
      <c r="R177" s="31" t="n">
        <f aca="false">COUNT($M177:$Q177)</f>
        <v>0</v>
      </c>
      <c r="S177" s="32" t="str">
        <f aca="false">IF($L177="","",IF($R177&gt;=5,"",MAX($L177:$Q177)+CHOOSE($R177+1,SETTINGS!$C$9,SETTINGS!$C$10,SETTINGS!$C$11,SETTINGS!$C$12,SETTINGS!$C$13)))</f>
        <v/>
      </c>
      <c r="T177" s="34" t="str">
        <f aca="true">IF($H177="","(chưa có nội dung)",IF($L177="",IF($C177&lt;TODAY(),"⚠ TRỄ HỌC",IF($C177=TODAY(),"★ HỌC HÔM NAY","• Chưa tới")),IF($R177&gt;=5,"✔ MASTER",IF($S177&lt;TODAY(),"⚠ TRỄ ÔN",IF($S177=TODAY(),"◆ ÔN HÔM NAY","✔ Đúng tiến độ")))))</f>
        <v>• Chưa tới</v>
      </c>
      <c r="U177" s="38" t="n">
        <f aca="false">IF($H177="","",$R177/5)</f>
        <v>0</v>
      </c>
    </row>
    <row r="178" customFormat="false" ht="15" hidden="false" customHeight="false" outlineLevel="0" collapsed="false">
      <c r="A178" s="31" t="s">
        <v>1212</v>
      </c>
      <c r="B178" s="31" t="n">
        <v>9</v>
      </c>
      <c r="C178" s="32" t="n">
        <f aca="false">SETTINGS!$C$3+$B178-1</f>
        <v>46308</v>
      </c>
      <c r="D178" s="33" t="s">
        <v>154</v>
      </c>
      <c r="E178" s="34" t="s">
        <v>1122</v>
      </c>
      <c r="F178" s="34" t="s">
        <v>280</v>
      </c>
      <c r="G178" s="34" t="s">
        <v>1213</v>
      </c>
      <c r="H178" s="35" t="s">
        <v>1214</v>
      </c>
      <c r="I178" s="36" t="s">
        <v>1215</v>
      </c>
      <c r="J178" s="34" t="s">
        <v>1216</v>
      </c>
      <c r="K178" s="34" t="s">
        <v>1217</v>
      </c>
      <c r="L178" s="37"/>
      <c r="M178" s="37"/>
      <c r="N178" s="37"/>
      <c r="O178" s="37"/>
      <c r="P178" s="37"/>
      <c r="Q178" s="37"/>
      <c r="R178" s="31" t="n">
        <f aca="false">COUNT($M178:$Q178)</f>
        <v>0</v>
      </c>
      <c r="S178" s="32" t="str">
        <f aca="false">IF($L178="","",IF($R178&gt;=5,"",MAX($L178:$Q178)+CHOOSE($R178+1,SETTINGS!$C$9,SETTINGS!$C$10,SETTINGS!$C$11,SETTINGS!$C$12,SETTINGS!$C$13)))</f>
        <v/>
      </c>
      <c r="T178" s="34" t="str">
        <f aca="true">IF($H178="","(chưa có nội dung)",IF($L178="",IF($C178&lt;TODAY(),"⚠ TRỄ HỌC",IF($C178=TODAY(),"★ HỌC HÔM NAY","• Chưa tới")),IF($R178&gt;=5,"✔ MASTER",IF($S178&lt;TODAY(),"⚠ TRỄ ÔN",IF($S178=TODAY(),"◆ ÔN HÔM NAY","✔ Đúng tiến độ")))))</f>
        <v>• Chưa tới</v>
      </c>
      <c r="U178" s="38" t="n">
        <f aca="false">IF($H178="","",$R178/5)</f>
        <v>0</v>
      </c>
    </row>
    <row r="179" customFormat="false" ht="15" hidden="false" customHeight="false" outlineLevel="0" collapsed="false">
      <c r="A179" s="31" t="s">
        <v>1218</v>
      </c>
      <c r="B179" s="31" t="n">
        <v>9</v>
      </c>
      <c r="C179" s="32" t="n">
        <f aca="false">SETTINGS!$C$3+$B179-1</f>
        <v>46308</v>
      </c>
      <c r="D179" s="33" t="s">
        <v>154</v>
      </c>
      <c r="E179" s="34" t="s">
        <v>1122</v>
      </c>
      <c r="F179" s="34" t="s">
        <v>280</v>
      </c>
      <c r="G179" s="34" t="s">
        <v>1219</v>
      </c>
      <c r="H179" s="35" t="s">
        <v>1220</v>
      </c>
      <c r="I179" s="36" t="s">
        <v>1221</v>
      </c>
      <c r="J179" s="34" t="s">
        <v>1222</v>
      </c>
      <c r="K179" s="34" t="s">
        <v>1223</v>
      </c>
      <c r="L179" s="37"/>
      <c r="M179" s="37"/>
      <c r="N179" s="37"/>
      <c r="O179" s="37"/>
      <c r="P179" s="37"/>
      <c r="Q179" s="37"/>
      <c r="R179" s="31" t="n">
        <f aca="false">COUNT($M179:$Q179)</f>
        <v>0</v>
      </c>
      <c r="S179" s="32" t="str">
        <f aca="false">IF($L179="","",IF($R179&gt;=5,"",MAX($L179:$Q179)+CHOOSE($R179+1,SETTINGS!$C$9,SETTINGS!$C$10,SETTINGS!$C$11,SETTINGS!$C$12,SETTINGS!$C$13)))</f>
        <v/>
      </c>
      <c r="T179" s="34" t="str">
        <f aca="true">IF($H179="","(chưa có nội dung)",IF($L179="",IF($C179&lt;TODAY(),"⚠ TRỄ HỌC",IF($C179=TODAY(),"★ HỌC HÔM NAY","• Chưa tới")),IF($R179&gt;=5,"✔ MASTER",IF($S179&lt;TODAY(),"⚠ TRỄ ÔN",IF($S179=TODAY(),"◆ ÔN HÔM NAY","✔ Đúng tiến độ")))))</f>
        <v>• Chưa tới</v>
      </c>
      <c r="U179" s="38" t="n">
        <f aca="false">IF($H179="","",$R179/5)</f>
        <v>0</v>
      </c>
    </row>
    <row r="180" customFormat="false" ht="15" hidden="false" customHeight="false" outlineLevel="0" collapsed="false">
      <c r="A180" s="31" t="s">
        <v>1224</v>
      </c>
      <c r="B180" s="31" t="n">
        <v>9</v>
      </c>
      <c r="C180" s="32" t="n">
        <f aca="false">SETTINGS!$C$3+$B180-1</f>
        <v>46308</v>
      </c>
      <c r="D180" s="33" t="s">
        <v>154</v>
      </c>
      <c r="E180" s="34" t="s">
        <v>1122</v>
      </c>
      <c r="F180" s="34" t="s">
        <v>280</v>
      </c>
      <c r="G180" s="34" t="s">
        <v>1104</v>
      </c>
      <c r="H180" s="35" t="s">
        <v>1225</v>
      </c>
      <c r="I180" s="36" t="s">
        <v>1226</v>
      </c>
      <c r="J180" s="34" t="s">
        <v>1227</v>
      </c>
      <c r="K180" s="34" t="s">
        <v>1228</v>
      </c>
      <c r="L180" s="37"/>
      <c r="M180" s="37"/>
      <c r="N180" s="37"/>
      <c r="O180" s="37"/>
      <c r="P180" s="37"/>
      <c r="Q180" s="37"/>
      <c r="R180" s="31" t="n">
        <f aca="false">COUNT($M180:$Q180)</f>
        <v>0</v>
      </c>
      <c r="S180" s="32" t="str">
        <f aca="false">IF($L180="","",IF($R180&gt;=5,"",MAX($L180:$Q180)+CHOOSE($R180+1,SETTINGS!$C$9,SETTINGS!$C$10,SETTINGS!$C$11,SETTINGS!$C$12,SETTINGS!$C$13)))</f>
        <v/>
      </c>
      <c r="T180" s="34" t="str">
        <f aca="true">IF($H180="","(chưa có nội dung)",IF($L180="",IF($C180&lt;TODAY(),"⚠ TRỄ HỌC",IF($C180=TODAY(),"★ HỌC HÔM NAY","• Chưa tới")),IF($R180&gt;=5,"✔ MASTER",IF($S180&lt;TODAY(),"⚠ TRỄ ÔN",IF($S180=TODAY(),"◆ ÔN HÔM NAY","✔ Đúng tiến độ")))))</f>
        <v>• Chưa tới</v>
      </c>
      <c r="U180" s="38" t="n">
        <f aca="false">IF($H180="","",$R180/5)</f>
        <v>0</v>
      </c>
    </row>
    <row r="181" customFormat="false" ht="15" hidden="false" customHeight="false" outlineLevel="0" collapsed="false">
      <c r="A181" s="31" t="s">
        <v>1229</v>
      </c>
      <c r="B181" s="31" t="n">
        <v>9</v>
      </c>
      <c r="C181" s="32" t="n">
        <f aca="false">SETTINGS!$C$3+$B181-1</f>
        <v>46308</v>
      </c>
      <c r="D181" s="33" t="s">
        <v>154</v>
      </c>
      <c r="E181" s="34" t="s">
        <v>1122</v>
      </c>
      <c r="F181" s="34" t="s">
        <v>280</v>
      </c>
      <c r="G181" s="34" t="s">
        <v>1230</v>
      </c>
      <c r="H181" s="35" t="s">
        <v>1231</v>
      </c>
      <c r="I181" s="36" t="s">
        <v>1232</v>
      </c>
      <c r="J181" s="34" t="s">
        <v>1233</v>
      </c>
      <c r="K181" s="34" t="s">
        <v>1234</v>
      </c>
      <c r="L181" s="37"/>
      <c r="M181" s="37"/>
      <c r="N181" s="37"/>
      <c r="O181" s="37"/>
      <c r="P181" s="37"/>
      <c r="Q181" s="37"/>
      <c r="R181" s="31" t="n">
        <f aca="false">COUNT($M181:$Q181)</f>
        <v>0</v>
      </c>
      <c r="S181" s="32" t="str">
        <f aca="false">IF($L181="","",IF($R181&gt;=5,"",MAX($L181:$Q181)+CHOOSE($R181+1,SETTINGS!$C$9,SETTINGS!$C$10,SETTINGS!$C$11,SETTINGS!$C$12,SETTINGS!$C$13)))</f>
        <v/>
      </c>
      <c r="T181" s="34" t="str">
        <f aca="true">IF($H181="","(chưa có nội dung)",IF($L181="",IF($C181&lt;TODAY(),"⚠ TRỄ HỌC",IF($C181=TODAY(),"★ HỌC HÔM NAY","• Chưa tới")),IF($R181&gt;=5,"✔ MASTER",IF($S181&lt;TODAY(),"⚠ TRỄ ÔN",IF($S181=TODAY(),"◆ ÔN HÔM NAY","✔ Đúng tiến độ")))))</f>
        <v>• Chưa tới</v>
      </c>
      <c r="U181" s="38" t="n">
        <f aca="false">IF($H181="","",$R181/5)</f>
        <v>0</v>
      </c>
    </row>
    <row r="182" customFormat="false" ht="15" hidden="false" customHeight="false" outlineLevel="0" collapsed="false">
      <c r="A182" s="31" t="s">
        <v>1235</v>
      </c>
      <c r="B182" s="31" t="n">
        <v>9</v>
      </c>
      <c r="C182" s="32" t="n">
        <f aca="false">SETTINGS!$C$3+$B182-1</f>
        <v>46308</v>
      </c>
      <c r="D182" s="33" t="s">
        <v>154</v>
      </c>
      <c r="E182" s="34" t="s">
        <v>1122</v>
      </c>
      <c r="F182" s="34" t="s">
        <v>183</v>
      </c>
      <c r="G182" s="34" t="s">
        <v>1236</v>
      </c>
      <c r="H182" s="35" t="s">
        <v>1237</v>
      </c>
      <c r="I182" s="36" t="s">
        <v>1238</v>
      </c>
      <c r="J182" s="34" t="s">
        <v>1239</v>
      </c>
      <c r="K182" s="34" t="s">
        <v>1240</v>
      </c>
      <c r="L182" s="37"/>
      <c r="M182" s="37"/>
      <c r="N182" s="37"/>
      <c r="O182" s="37"/>
      <c r="P182" s="37"/>
      <c r="Q182" s="37"/>
      <c r="R182" s="31" t="n">
        <f aca="false">COUNT($M182:$Q182)</f>
        <v>0</v>
      </c>
      <c r="S182" s="32" t="str">
        <f aca="false">IF($L182="","",IF($R182&gt;=5,"",MAX($L182:$Q182)+CHOOSE($R182+1,SETTINGS!$C$9,SETTINGS!$C$10,SETTINGS!$C$11,SETTINGS!$C$12,SETTINGS!$C$13)))</f>
        <v/>
      </c>
      <c r="T182" s="34" t="str">
        <f aca="true">IF($H182="","(chưa có nội dung)",IF($L182="",IF($C182&lt;TODAY(),"⚠ TRỄ HỌC",IF($C182=TODAY(),"★ HỌC HÔM NAY","• Chưa tới")),IF($R182&gt;=5,"✔ MASTER",IF($S182&lt;TODAY(),"⚠ TRỄ ÔN",IF($S182=TODAY(),"◆ ÔN HÔM NAY","✔ Đúng tiến độ")))))</f>
        <v>• Chưa tới</v>
      </c>
      <c r="U182" s="38" t="n">
        <f aca="false">IF($H182="","",$R182/5)</f>
        <v>0</v>
      </c>
    </row>
    <row r="183" customFormat="false" ht="15" hidden="false" customHeight="false" outlineLevel="0" collapsed="false">
      <c r="A183" s="31" t="s">
        <v>1241</v>
      </c>
      <c r="B183" s="31" t="n">
        <v>10</v>
      </c>
      <c r="C183" s="32" t="n">
        <f aca="false">SETTINGS!$C$3+$B183-1</f>
        <v>46309</v>
      </c>
      <c r="D183" s="33" t="s">
        <v>154</v>
      </c>
      <c r="E183" s="34" t="s">
        <v>1242</v>
      </c>
      <c r="F183" s="34" t="s">
        <v>280</v>
      </c>
      <c r="G183" s="34" t="s">
        <v>1243</v>
      </c>
      <c r="H183" s="35" t="s">
        <v>1244</v>
      </c>
      <c r="I183" s="36" t="s">
        <v>1245</v>
      </c>
      <c r="J183" s="34" t="s">
        <v>1246</v>
      </c>
      <c r="K183" s="34" t="s">
        <v>1247</v>
      </c>
      <c r="L183" s="37"/>
      <c r="M183" s="37"/>
      <c r="N183" s="37"/>
      <c r="O183" s="37"/>
      <c r="P183" s="37"/>
      <c r="Q183" s="37"/>
      <c r="R183" s="31" t="n">
        <f aca="false">COUNT($M183:$Q183)</f>
        <v>0</v>
      </c>
      <c r="S183" s="32" t="str">
        <f aca="false">IF($L183="","",IF($R183&gt;=5,"",MAX($L183:$Q183)+CHOOSE($R183+1,SETTINGS!$C$9,SETTINGS!$C$10,SETTINGS!$C$11,SETTINGS!$C$12,SETTINGS!$C$13)))</f>
        <v/>
      </c>
      <c r="T183" s="34" t="str">
        <f aca="true">IF($H183="","(chưa có nội dung)",IF($L183="",IF($C183&lt;TODAY(),"⚠ TRỄ HỌC",IF($C183=TODAY(),"★ HỌC HÔM NAY","• Chưa tới")),IF($R183&gt;=5,"✔ MASTER",IF($S183&lt;TODAY(),"⚠ TRỄ ÔN",IF($S183=TODAY(),"◆ ÔN HÔM NAY","✔ Đúng tiến độ")))))</f>
        <v>• Chưa tới</v>
      </c>
      <c r="U183" s="38" t="n">
        <f aca="false">IF($H183="","",$R183/5)</f>
        <v>0</v>
      </c>
    </row>
    <row r="184" customFormat="false" ht="15" hidden="false" customHeight="false" outlineLevel="0" collapsed="false">
      <c r="A184" s="31" t="s">
        <v>1248</v>
      </c>
      <c r="B184" s="31" t="n">
        <v>10</v>
      </c>
      <c r="C184" s="32" t="n">
        <f aca="false">SETTINGS!$C$3+$B184-1</f>
        <v>46309</v>
      </c>
      <c r="D184" s="33" t="s">
        <v>154</v>
      </c>
      <c r="E184" s="34" t="s">
        <v>1242</v>
      </c>
      <c r="F184" s="34" t="s">
        <v>280</v>
      </c>
      <c r="G184" s="34" t="s">
        <v>1249</v>
      </c>
      <c r="H184" s="35" t="s">
        <v>1250</v>
      </c>
      <c r="I184" s="36" t="s">
        <v>1251</v>
      </c>
      <c r="J184" s="34" t="s">
        <v>1252</v>
      </c>
      <c r="K184" s="34" t="s">
        <v>1253</v>
      </c>
      <c r="L184" s="37"/>
      <c r="M184" s="37"/>
      <c r="N184" s="37"/>
      <c r="O184" s="37"/>
      <c r="P184" s="37"/>
      <c r="Q184" s="37"/>
      <c r="R184" s="31" t="n">
        <f aca="false">COUNT($M184:$Q184)</f>
        <v>0</v>
      </c>
      <c r="S184" s="32" t="str">
        <f aca="false">IF($L184="","",IF($R184&gt;=5,"",MAX($L184:$Q184)+CHOOSE($R184+1,SETTINGS!$C$9,SETTINGS!$C$10,SETTINGS!$C$11,SETTINGS!$C$12,SETTINGS!$C$13)))</f>
        <v/>
      </c>
      <c r="T184" s="34" t="str">
        <f aca="true">IF($H184="","(chưa có nội dung)",IF($L184="",IF($C184&lt;TODAY(),"⚠ TRỄ HỌC",IF($C184=TODAY(),"★ HỌC HÔM NAY","• Chưa tới")),IF($R184&gt;=5,"✔ MASTER",IF($S184&lt;TODAY(),"⚠ TRỄ ÔN",IF($S184=TODAY(),"◆ ÔN HÔM NAY","✔ Đúng tiến độ")))))</f>
        <v>• Chưa tới</v>
      </c>
      <c r="U184" s="38" t="n">
        <f aca="false">IF($H184="","",$R184/5)</f>
        <v>0</v>
      </c>
    </row>
    <row r="185" customFormat="false" ht="15" hidden="false" customHeight="false" outlineLevel="0" collapsed="false">
      <c r="A185" s="31" t="s">
        <v>1254</v>
      </c>
      <c r="B185" s="31" t="n">
        <v>10</v>
      </c>
      <c r="C185" s="32" t="n">
        <f aca="false">SETTINGS!$C$3+$B185-1</f>
        <v>46309</v>
      </c>
      <c r="D185" s="33" t="s">
        <v>154</v>
      </c>
      <c r="E185" s="34" t="s">
        <v>1242</v>
      </c>
      <c r="F185" s="34" t="s">
        <v>280</v>
      </c>
      <c r="G185" s="34" t="s">
        <v>1255</v>
      </c>
      <c r="H185" s="35" t="s">
        <v>1256</v>
      </c>
      <c r="I185" s="36" t="s">
        <v>1257</v>
      </c>
      <c r="J185" s="34" t="s">
        <v>1258</v>
      </c>
      <c r="K185" s="34" t="s">
        <v>1259</v>
      </c>
      <c r="L185" s="37"/>
      <c r="M185" s="37"/>
      <c r="N185" s="37"/>
      <c r="O185" s="37"/>
      <c r="P185" s="37"/>
      <c r="Q185" s="37"/>
      <c r="R185" s="31" t="n">
        <f aca="false">COUNT($M185:$Q185)</f>
        <v>0</v>
      </c>
      <c r="S185" s="32" t="str">
        <f aca="false">IF($L185="","",IF($R185&gt;=5,"",MAX($L185:$Q185)+CHOOSE($R185+1,SETTINGS!$C$9,SETTINGS!$C$10,SETTINGS!$C$11,SETTINGS!$C$12,SETTINGS!$C$13)))</f>
        <v/>
      </c>
      <c r="T185" s="34" t="str">
        <f aca="true">IF($H185="","(chưa có nội dung)",IF($L185="",IF($C185&lt;TODAY(),"⚠ TRỄ HỌC",IF($C185=TODAY(),"★ HỌC HÔM NAY","• Chưa tới")),IF($R185&gt;=5,"✔ MASTER",IF($S185&lt;TODAY(),"⚠ TRỄ ÔN",IF($S185=TODAY(),"◆ ÔN HÔM NAY","✔ Đúng tiến độ")))))</f>
        <v>• Chưa tới</v>
      </c>
      <c r="U185" s="38" t="n">
        <f aca="false">IF($H185="","",$R185/5)</f>
        <v>0</v>
      </c>
    </row>
    <row r="186" customFormat="false" ht="15" hidden="false" customHeight="false" outlineLevel="0" collapsed="false">
      <c r="A186" s="31" t="s">
        <v>1260</v>
      </c>
      <c r="B186" s="31" t="n">
        <v>10</v>
      </c>
      <c r="C186" s="32" t="n">
        <f aca="false">SETTINGS!$C$3+$B186-1</f>
        <v>46309</v>
      </c>
      <c r="D186" s="33" t="s">
        <v>154</v>
      </c>
      <c r="E186" s="34" t="s">
        <v>1242</v>
      </c>
      <c r="F186" s="34" t="s">
        <v>280</v>
      </c>
      <c r="G186" s="34" t="s">
        <v>1261</v>
      </c>
      <c r="H186" s="35" t="s">
        <v>1262</v>
      </c>
      <c r="I186" s="36" t="s">
        <v>1263</v>
      </c>
      <c r="J186" s="34" t="s">
        <v>1264</v>
      </c>
      <c r="K186" s="34" t="s">
        <v>1265</v>
      </c>
      <c r="L186" s="37"/>
      <c r="M186" s="37"/>
      <c r="N186" s="37"/>
      <c r="O186" s="37"/>
      <c r="P186" s="37"/>
      <c r="Q186" s="37"/>
      <c r="R186" s="31" t="n">
        <f aca="false">COUNT($M186:$Q186)</f>
        <v>0</v>
      </c>
      <c r="S186" s="32" t="str">
        <f aca="false">IF($L186="","",IF($R186&gt;=5,"",MAX($L186:$Q186)+CHOOSE($R186+1,SETTINGS!$C$9,SETTINGS!$C$10,SETTINGS!$C$11,SETTINGS!$C$12,SETTINGS!$C$13)))</f>
        <v/>
      </c>
      <c r="T186" s="34" t="str">
        <f aca="true">IF($H186="","(chưa có nội dung)",IF($L186="",IF($C186&lt;TODAY(),"⚠ TRỄ HỌC",IF($C186=TODAY(),"★ HỌC HÔM NAY","• Chưa tới")),IF($R186&gt;=5,"✔ MASTER",IF($S186&lt;TODAY(),"⚠ TRỄ ÔN",IF($S186=TODAY(),"◆ ÔN HÔM NAY","✔ Đúng tiến độ")))))</f>
        <v>• Chưa tới</v>
      </c>
      <c r="U186" s="38" t="n">
        <f aca="false">IF($H186="","",$R186/5)</f>
        <v>0</v>
      </c>
    </row>
    <row r="187" customFormat="false" ht="15" hidden="false" customHeight="false" outlineLevel="0" collapsed="false">
      <c r="A187" s="31" t="s">
        <v>1266</v>
      </c>
      <c r="B187" s="31" t="n">
        <v>10</v>
      </c>
      <c r="C187" s="32" t="n">
        <f aca="false">SETTINGS!$C$3+$B187-1</f>
        <v>46309</v>
      </c>
      <c r="D187" s="33" t="s">
        <v>154</v>
      </c>
      <c r="E187" s="34" t="s">
        <v>1242</v>
      </c>
      <c r="F187" s="34" t="s">
        <v>280</v>
      </c>
      <c r="G187" s="34" t="s">
        <v>1267</v>
      </c>
      <c r="H187" s="35" t="s">
        <v>1268</v>
      </c>
      <c r="I187" s="36" t="s">
        <v>1269</v>
      </c>
      <c r="J187" s="34" t="s">
        <v>1270</v>
      </c>
      <c r="K187" s="34" t="s">
        <v>1271</v>
      </c>
      <c r="L187" s="37"/>
      <c r="M187" s="37"/>
      <c r="N187" s="37"/>
      <c r="O187" s="37"/>
      <c r="P187" s="37"/>
      <c r="Q187" s="37"/>
      <c r="R187" s="31" t="n">
        <f aca="false">COUNT($M187:$Q187)</f>
        <v>0</v>
      </c>
      <c r="S187" s="32" t="str">
        <f aca="false">IF($L187="","",IF($R187&gt;=5,"",MAX($L187:$Q187)+CHOOSE($R187+1,SETTINGS!$C$9,SETTINGS!$C$10,SETTINGS!$C$11,SETTINGS!$C$12,SETTINGS!$C$13)))</f>
        <v/>
      </c>
      <c r="T187" s="34" t="str">
        <f aca="true">IF($H187="","(chưa có nội dung)",IF($L187="",IF($C187&lt;TODAY(),"⚠ TRỄ HỌC",IF($C187=TODAY(),"★ HỌC HÔM NAY","• Chưa tới")),IF($R187&gt;=5,"✔ MASTER",IF($S187&lt;TODAY(),"⚠ TRỄ ÔN",IF($S187=TODAY(),"◆ ÔN HÔM NAY","✔ Đúng tiến độ")))))</f>
        <v>• Chưa tới</v>
      </c>
      <c r="U187" s="38" t="n">
        <f aca="false">IF($H187="","",$R187/5)</f>
        <v>0</v>
      </c>
    </row>
    <row r="188" customFormat="false" ht="15" hidden="false" customHeight="false" outlineLevel="0" collapsed="false">
      <c r="A188" s="31" t="s">
        <v>1272</v>
      </c>
      <c r="B188" s="31" t="n">
        <v>10</v>
      </c>
      <c r="C188" s="32" t="n">
        <f aca="false">SETTINGS!$C$3+$B188-1</f>
        <v>46309</v>
      </c>
      <c r="D188" s="33" t="s">
        <v>154</v>
      </c>
      <c r="E188" s="34" t="s">
        <v>1242</v>
      </c>
      <c r="F188" s="34" t="s">
        <v>280</v>
      </c>
      <c r="G188" s="34" t="s">
        <v>1273</v>
      </c>
      <c r="H188" s="35" t="s">
        <v>1274</v>
      </c>
      <c r="I188" s="36" t="s">
        <v>1275</v>
      </c>
      <c r="J188" s="34" t="s">
        <v>1276</v>
      </c>
      <c r="K188" s="34" t="s">
        <v>1277</v>
      </c>
      <c r="L188" s="37"/>
      <c r="M188" s="37"/>
      <c r="N188" s="37"/>
      <c r="O188" s="37"/>
      <c r="P188" s="37"/>
      <c r="Q188" s="37"/>
      <c r="R188" s="31" t="n">
        <f aca="false">COUNT($M188:$Q188)</f>
        <v>0</v>
      </c>
      <c r="S188" s="32" t="str">
        <f aca="false">IF($L188="","",IF($R188&gt;=5,"",MAX($L188:$Q188)+CHOOSE($R188+1,SETTINGS!$C$9,SETTINGS!$C$10,SETTINGS!$C$11,SETTINGS!$C$12,SETTINGS!$C$13)))</f>
        <v/>
      </c>
      <c r="T188" s="34" t="str">
        <f aca="true">IF($H188="","(chưa có nội dung)",IF($L188="",IF($C188&lt;TODAY(),"⚠ TRỄ HỌC",IF($C188=TODAY(),"★ HỌC HÔM NAY","• Chưa tới")),IF($R188&gt;=5,"✔ MASTER",IF($S188&lt;TODAY(),"⚠ TRỄ ÔN",IF($S188=TODAY(),"◆ ÔN HÔM NAY","✔ Đúng tiến độ")))))</f>
        <v>• Chưa tới</v>
      </c>
      <c r="U188" s="38" t="n">
        <f aca="false">IF($H188="","",$R188/5)</f>
        <v>0</v>
      </c>
    </row>
    <row r="189" customFormat="false" ht="15" hidden="false" customHeight="false" outlineLevel="0" collapsed="false">
      <c r="A189" s="31" t="s">
        <v>1278</v>
      </c>
      <c r="B189" s="31" t="n">
        <v>10</v>
      </c>
      <c r="C189" s="32" t="n">
        <f aca="false">SETTINGS!$C$3+$B189-1</f>
        <v>46309</v>
      </c>
      <c r="D189" s="33" t="s">
        <v>154</v>
      </c>
      <c r="E189" s="34" t="s">
        <v>1242</v>
      </c>
      <c r="F189" s="34" t="s">
        <v>280</v>
      </c>
      <c r="G189" s="34" t="s">
        <v>1279</v>
      </c>
      <c r="H189" s="35" t="s">
        <v>1280</v>
      </c>
      <c r="I189" s="36" t="s">
        <v>1281</v>
      </c>
      <c r="J189" s="34" t="s">
        <v>1282</v>
      </c>
      <c r="K189" s="34" t="s">
        <v>973</v>
      </c>
      <c r="L189" s="37"/>
      <c r="M189" s="37"/>
      <c r="N189" s="37"/>
      <c r="O189" s="37"/>
      <c r="P189" s="37"/>
      <c r="Q189" s="37"/>
      <c r="R189" s="31" t="n">
        <f aca="false">COUNT($M189:$Q189)</f>
        <v>0</v>
      </c>
      <c r="S189" s="32" t="str">
        <f aca="false">IF($L189="","",IF($R189&gt;=5,"",MAX($L189:$Q189)+CHOOSE($R189+1,SETTINGS!$C$9,SETTINGS!$C$10,SETTINGS!$C$11,SETTINGS!$C$12,SETTINGS!$C$13)))</f>
        <v/>
      </c>
      <c r="T189" s="34" t="str">
        <f aca="true">IF($H189="","(chưa có nội dung)",IF($L189="",IF($C189&lt;TODAY(),"⚠ TRỄ HỌC",IF($C189=TODAY(),"★ HỌC HÔM NAY","• Chưa tới")),IF($R189&gt;=5,"✔ MASTER",IF($S189&lt;TODAY(),"⚠ TRỄ ÔN",IF($S189=TODAY(),"◆ ÔN HÔM NAY","✔ Đúng tiến độ")))))</f>
        <v>• Chưa tới</v>
      </c>
      <c r="U189" s="38" t="n">
        <f aca="false">IF($H189="","",$R189/5)</f>
        <v>0</v>
      </c>
    </row>
    <row r="190" customFormat="false" ht="15" hidden="false" customHeight="false" outlineLevel="0" collapsed="false">
      <c r="A190" s="31" t="s">
        <v>1283</v>
      </c>
      <c r="B190" s="31" t="n">
        <v>10</v>
      </c>
      <c r="C190" s="32" t="n">
        <f aca="false">SETTINGS!$C$3+$B190-1</f>
        <v>46309</v>
      </c>
      <c r="D190" s="33" t="s">
        <v>154</v>
      </c>
      <c r="E190" s="34" t="s">
        <v>1242</v>
      </c>
      <c r="F190" s="34" t="s">
        <v>280</v>
      </c>
      <c r="G190" s="34" t="s">
        <v>1284</v>
      </c>
      <c r="H190" s="35" t="s">
        <v>1285</v>
      </c>
      <c r="I190" s="36" t="s">
        <v>1286</v>
      </c>
      <c r="J190" s="34" t="s">
        <v>1287</v>
      </c>
      <c r="K190" s="34" t="s">
        <v>1288</v>
      </c>
      <c r="L190" s="37"/>
      <c r="M190" s="37"/>
      <c r="N190" s="37"/>
      <c r="O190" s="37"/>
      <c r="P190" s="37"/>
      <c r="Q190" s="37"/>
      <c r="R190" s="31" t="n">
        <f aca="false">COUNT($M190:$Q190)</f>
        <v>0</v>
      </c>
      <c r="S190" s="32" t="str">
        <f aca="false">IF($L190="","",IF($R190&gt;=5,"",MAX($L190:$Q190)+CHOOSE($R190+1,SETTINGS!$C$9,SETTINGS!$C$10,SETTINGS!$C$11,SETTINGS!$C$12,SETTINGS!$C$13)))</f>
        <v/>
      </c>
      <c r="T190" s="34" t="str">
        <f aca="true">IF($H190="","(chưa có nội dung)",IF($L190="",IF($C190&lt;TODAY(),"⚠ TRỄ HỌC",IF($C190=TODAY(),"★ HỌC HÔM NAY","• Chưa tới")),IF($R190&gt;=5,"✔ MASTER",IF($S190&lt;TODAY(),"⚠ TRỄ ÔN",IF($S190=TODAY(),"◆ ÔN HÔM NAY","✔ Đúng tiến độ")))))</f>
        <v>• Chưa tới</v>
      </c>
      <c r="U190" s="38" t="n">
        <f aca="false">IF($H190="","",$R190/5)</f>
        <v>0</v>
      </c>
    </row>
    <row r="191" customFormat="false" ht="15" hidden="false" customHeight="false" outlineLevel="0" collapsed="false">
      <c r="A191" s="31" t="s">
        <v>1289</v>
      </c>
      <c r="B191" s="31" t="n">
        <v>10</v>
      </c>
      <c r="C191" s="32" t="n">
        <f aca="false">SETTINGS!$C$3+$B191-1</f>
        <v>46309</v>
      </c>
      <c r="D191" s="33" t="s">
        <v>154</v>
      </c>
      <c r="E191" s="34" t="s">
        <v>1242</v>
      </c>
      <c r="F191" s="34" t="s">
        <v>280</v>
      </c>
      <c r="G191" s="34" t="s">
        <v>1290</v>
      </c>
      <c r="H191" s="35" t="s">
        <v>1291</v>
      </c>
      <c r="I191" s="36" t="s">
        <v>1292</v>
      </c>
      <c r="J191" s="34" t="s">
        <v>1293</v>
      </c>
      <c r="K191" s="34" t="s">
        <v>1294</v>
      </c>
      <c r="L191" s="37"/>
      <c r="M191" s="37"/>
      <c r="N191" s="37"/>
      <c r="O191" s="37"/>
      <c r="P191" s="37"/>
      <c r="Q191" s="37"/>
      <c r="R191" s="31" t="n">
        <f aca="false">COUNT($M191:$Q191)</f>
        <v>0</v>
      </c>
      <c r="S191" s="32" t="str">
        <f aca="false">IF($L191="","",IF($R191&gt;=5,"",MAX($L191:$Q191)+CHOOSE($R191+1,SETTINGS!$C$9,SETTINGS!$C$10,SETTINGS!$C$11,SETTINGS!$C$12,SETTINGS!$C$13)))</f>
        <v/>
      </c>
      <c r="T191" s="34" t="str">
        <f aca="true">IF($H191="","(chưa có nội dung)",IF($L191="",IF($C191&lt;TODAY(),"⚠ TRỄ HỌC",IF($C191=TODAY(),"★ HỌC HÔM NAY","• Chưa tới")),IF($R191&gt;=5,"✔ MASTER",IF($S191&lt;TODAY(),"⚠ TRỄ ÔN",IF($S191=TODAY(),"◆ ÔN HÔM NAY","✔ Đúng tiến độ")))))</f>
        <v>• Chưa tới</v>
      </c>
      <c r="U191" s="38" t="n">
        <f aca="false">IF($H191="","",$R191/5)</f>
        <v>0</v>
      </c>
    </row>
    <row r="192" customFormat="false" ht="15" hidden="false" customHeight="false" outlineLevel="0" collapsed="false">
      <c r="A192" s="31" t="s">
        <v>1295</v>
      </c>
      <c r="B192" s="31" t="n">
        <v>10</v>
      </c>
      <c r="C192" s="32" t="n">
        <f aca="false">SETTINGS!$C$3+$B192-1</f>
        <v>46309</v>
      </c>
      <c r="D192" s="33" t="s">
        <v>154</v>
      </c>
      <c r="E192" s="34" t="s">
        <v>1242</v>
      </c>
      <c r="F192" s="34" t="s">
        <v>280</v>
      </c>
      <c r="G192" s="34" t="s">
        <v>1296</v>
      </c>
      <c r="H192" s="35" t="s">
        <v>1297</v>
      </c>
      <c r="I192" s="36" t="s">
        <v>1298</v>
      </c>
      <c r="J192" s="34" t="s">
        <v>1299</v>
      </c>
      <c r="K192" s="34" t="s">
        <v>1300</v>
      </c>
      <c r="L192" s="37"/>
      <c r="M192" s="37"/>
      <c r="N192" s="37"/>
      <c r="O192" s="37"/>
      <c r="P192" s="37"/>
      <c r="Q192" s="37"/>
      <c r="R192" s="31" t="n">
        <f aca="false">COUNT($M192:$Q192)</f>
        <v>0</v>
      </c>
      <c r="S192" s="32" t="str">
        <f aca="false">IF($L192="","",IF($R192&gt;=5,"",MAX($L192:$Q192)+CHOOSE($R192+1,SETTINGS!$C$9,SETTINGS!$C$10,SETTINGS!$C$11,SETTINGS!$C$12,SETTINGS!$C$13)))</f>
        <v/>
      </c>
      <c r="T192" s="34" t="str">
        <f aca="true">IF($H192="","(chưa có nội dung)",IF($L192="",IF($C192&lt;TODAY(),"⚠ TRỄ HỌC",IF($C192=TODAY(),"★ HỌC HÔM NAY","• Chưa tới")),IF($R192&gt;=5,"✔ MASTER",IF($S192&lt;TODAY(),"⚠ TRỄ ÔN",IF($S192=TODAY(),"◆ ÔN HÔM NAY","✔ Đúng tiến độ")))))</f>
        <v>• Chưa tới</v>
      </c>
      <c r="U192" s="38" t="n">
        <f aca="false">IF($H192="","",$R192/5)</f>
        <v>0</v>
      </c>
    </row>
    <row r="193" customFormat="false" ht="15" hidden="false" customHeight="false" outlineLevel="0" collapsed="false">
      <c r="A193" s="31" t="s">
        <v>1301</v>
      </c>
      <c r="B193" s="31" t="n">
        <v>10</v>
      </c>
      <c r="C193" s="32" t="n">
        <f aca="false">SETTINGS!$C$3+$B193-1</f>
        <v>46309</v>
      </c>
      <c r="D193" s="33" t="s">
        <v>154</v>
      </c>
      <c r="E193" s="34" t="s">
        <v>1242</v>
      </c>
      <c r="F193" s="34" t="s">
        <v>183</v>
      </c>
      <c r="G193" s="34" t="s">
        <v>1302</v>
      </c>
      <c r="H193" s="35" t="s">
        <v>1303</v>
      </c>
      <c r="I193" s="36" t="s">
        <v>1304</v>
      </c>
      <c r="J193" s="34" t="s">
        <v>1305</v>
      </c>
      <c r="K193" s="34" t="s">
        <v>1306</v>
      </c>
      <c r="L193" s="37"/>
      <c r="M193" s="37"/>
      <c r="N193" s="37"/>
      <c r="O193" s="37"/>
      <c r="P193" s="37"/>
      <c r="Q193" s="37"/>
      <c r="R193" s="31" t="n">
        <f aca="false">COUNT($M193:$Q193)</f>
        <v>0</v>
      </c>
      <c r="S193" s="32" t="str">
        <f aca="false">IF($L193="","",IF($R193&gt;=5,"",MAX($L193:$Q193)+CHOOSE($R193+1,SETTINGS!$C$9,SETTINGS!$C$10,SETTINGS!$C$11,SETTINGS!$C$12,SETTINGS!$C$13)))</f>
        <v/>
      </c>
      <c r="T193" s="34" t="str">
        <f aca="true">IF($H193="","(chưa có nội dung)",IF($L193="",IF($C193&lt;TODAY(),"⚠ TRỄ HỌC",IF($C193=TODAY(),"★ HỌC HÔM NAY","• Chưa tới")),IF($R193&gt;=5,"✔ MASTER",IF($S193&lt;TODAY(),"⚠ TRỄ ÔN",IF($S193=TODAY(),"◆ ÔN HÔM NAY","✔ Đúng tiến độ")))))</f>
        <v>• Chưa tới</v>
      </c>
      <c r="U193" s="38" t="n">
        <f aca="false">IF($H193="","",$R193/5)</f>
        <v>0</v>
      </c>
    </row>
    <row r="194" customFormat="false" ht="15" hidden="false" customHeight="false" outlineLevel="0" collapsed="false">
      <c r="A194" s="31" t="s">
        <v>1307</v>
      </c>
      <c r="B194" s="31" t="n">
        <v>10</v>
      </c>
      <c r="C194" s="32" t="n">
        <f aca="false">SETTINGS!$C$3+$B194-1</f>
        <v>46309</v>
      </c>
      <c r="D194" s="33" t="s">
        <v>154</v>
      </c>
      <c r="E194" s="34" t="s">
        <v>1242</v>
      </c>
      <c r="F194" s="34" t="s">
        <v>183</v>
      </c>
      <c r="G194" s="34" t="s">
        <v>1308</v>
      </c>
      <c r="H194" s="35" t="s">
        <v>1309</v>
      </c>
      <c r="I194" s="36" t="s">
        <v>1310</v>
      </c>
      <c r="J194" s="34" t="s">
        <v>1311</v>
      </c>
      <c r="K194" s="34" t="s">
        <v>1312</v>
      </c>
      <c r="L194" s="37"/>
      <c r="M194" s="37"/>
      <c r="N194" s="37"/>
      <c r="O194" s="37"/>
      <c r="P194" s="37"/>
      <c r="Q194" s="37"/>
      <c r="R194" s="31" t="n">
        <f aca="false">COUNT($M194:$Q194)</f>
        <v>0</v>
      </c>
      <c r="S194" s="32" t="str">
        <f aca="false">IF($L194="","",IF($R194&gt;=5,"",MAX($L194:$Q194)+CHOOSE($R194+1,SETTINGS!$C$9,SETTINGS!$C$10,SETTINGS!$C$11,SETTINGS!$C$12,SETTINGS!$C$13)))</f>
        <v/>
      </c>
      <c r="T194" s="34" t="str">
        <f aca="true">IF($H194="","(chưa có nội dung)",IF($L194="",IF($C194&lt;TODAY(),"⚠ TRỄ HỌC",IF($C194=TODAY(),"★ HỌC HÔM NAY","• Chưa tới")),IF($R194&gt;=5,"✔ MASTER",IF($S194&lt;TODAY(),"⚠ TRỄ ÔN",IF($S194=TODAY(),"◆ ÔN HÔM NAY","✔ Đúng tiến độ")))))</f>
        <v>• Chưa tới</v>
      </c>
      <c r="U194" s="38" t="n">
        <f aca="false">IF($H194="","",$R194/5)</f>
        <v>0</v>
      </c>
    </row>
    <row r="195" customFormat="false" ht="15" hidden="false" customHeight="false" outlineLevel="0" collapsed="false">
      <c r="A195" s="31" t="s">
        <v>1313</v>
      </c>
      <c r="B195" s="31" t="n">
        <v>10</v>
      </c>
      <c r="C195" s="32" t="n">
        <f aca="false">SETTINGS!$C$3+$B195-1</f>
        <v>46309</v>
      </c>
      <c r="D195" s="33" t="s">
        <v>154</v>
      </c>
      <c r="E195" s="34" t="s">
        <v>1242</v>
      </c>
      <c r="F195" s="34" t="s">
        <v>497</v>
      </c>
      <c r="G195" s="34" t="s">
        <v>1314</v>
      </c>
      <c r="H195" s="35" t="s">
        <v>1315</v>
      </c>
      <c r="I195" s="36" t="s">
        <v>1316</v>
      </c>
      <c r="J195" s="34" t="s">
        <v>1317</v>
      </c>
      <c r="K195" s="34" t="s">
        <v>1318</v>
      </c>
      <c r="L195" s="37"/>
      <c r="M195" s="37"/>
      <c r="N195" s="37"/>
      <c r="O195" s="37"/>
      <c r="P195" s="37"/>
      <c r="Q195" s="37"/>
      <c r="R195" s="31" t="n">
        <f aca="false">COUNT($M195:$Q195)</f>
        <v>0</v>
      </c>
      <c r="S195" s="32" t="str">
        <f aca="false">IF($L195="","",IF($R195&gt;=5,"",MAX($L195:$Q195)+CHOOSE($R195+1,SETTINGS!$C$9,SETTINGS!$C$10,SETTINGS!$C$11,SETTINGS!$C$12,SETTINGS!$C$13)))</f>
        <v/>
      </c>
      <c r="T195" s="34" t="str">
        <f aca="true">IF($H195="","(chưa có nội dung)",IF($L195="",IF($C195&lt;TODAY(),"⚠ TRỄ HỌC",IF($C195=TODAY(),"★ HỌC HÔM NAY","• Chưa tới")),IF($R195&gt;=5,"✔ MASTER",IF($S195&lt;TODAY(),"⚠ TRỄ ÔN",IF($S195=TODAY(),"◆ ÔN HÔM NAY","✔ Đúng tiến độ")))))</f>
        <v>• Chưa tới</v>
      </c>
      <c r="U195" s="38" t="n">
        <f aca="false">IF($H195="","",$R195/5)</f>
        <v>0</v>
      </c>
    </row>
    <row r="196" customFormat="false" ht="15" hidden="false" customHeight="false" outlineLevel="0" collapsed="false">
      <c r="A196" s="31" t="s">
        <v>1319</v>
      </c>
      <c r="B196" s="31" t="n">
        <v>10</v>
      </c>
      <c r="C196" s="32" t="n">
        <f aca="false">SETTINGS!$C$3+$B196-1</f>
        <v>46309</v>
      </c>
      <c r="D196" s="33" t="s">
        <v>154</v>
      </c>
      <c r="E196" s="34" t="s">
        <v>1242</v>
      </c>
      <c r="F196" s="34" t="s">
        <v>280</v>
      </c>
      <c r="G196" s="34" t="s">
        <v>1320</v>
      </c>
      <c r="H196" s="35" t="s">
        <v>1321</v>
      </c>
      <c r="I196" s="36" t="s">
        <v>1322</v>
      </c>
      <c r="J196" s="34" t="s">
        <v>1323</v>
      </c>
      <c r="K196" s="34" t="s">
        <v>1324</v>
      </c>
      <c r="L196" s="37"/>
      <c r="M196" s="37"/>
      <c r="N196" s="37"/>
      <c r="O196" s="37"/>
      <c r="P196" s="37"/>
      <c r="Q196" s="37"/>
      <c r="R196" s="31" t="n">
        <f aca="false">COUNT($M196:$Q196)</f>
        <v>0</v>
      </c>
      <c r="S196" s="32" t="str">
        <f aca="false">IF($L196="","",IF($R196&gt;=5,"",MAX($L196:$Q196)+CHOOSE($R196+1,SETTINGS!$C$9,SETTINGS!$C$10,SETTINGS!$C$11,SETTINGS!$C$12,SETTINGS!$C$13)))</f>
        <v/>
      </c>
      <c r="T196" s="34" t="str">
        <f aca="true">IF($H196="","(chưa có nội dung)",IF($L196="",IF($C196&lt;TODAY(),"⚠ TRỄ HỌC",IF($C196=TODAY(),"★ HỌC HÔM NAY","• Chưa tới")),IF($R196&gt;=5,"✔ MASTER",IF($S196&lt;TODAY(),"⚠ TRỄ ÔN",IF($S196=TODAY(),"◆ ÔN HÔM NAY","✔ Đúng tiến độ")))))</f>
        <v>• Chưa tới</v>
      </c>
      <c r="U196" s="38" t="n">
        <f aca="false">IF($H196="","",$R196/5)</f>
        <v>0</v>
      </c>
    </row>
    <row r="197" customFormat="false" ht="15" hidden="false" customHeight="false" outlineLevel="0" collapsed="false">
      <c r="A197" s="31" t="s">
        <v>1325</v>
      </c>
      <c r="B197" s="31" t="n">
        <v>10</v>
      </c>
      <c r="C197" s="32" t="n">
        <f aca="false">SETTINGS!$C$3+$B197-1</f>
        <v>46309</v>
      </c>
      <c r="D197" s="33" t="s">
        <v>154</v>
      </c>
      <c r="E197" s="34" t="s">
        <v>1242</v>
      </c>
      <c r="F197" s="34" t="s">
        <v>280</v>
      </c>
      <c r="G197" s="34" t="s">
        <v>1326</v>
      </c>
      <c r="H197" s="35" t="s">
        <v>1327</v>
      </c>
      <c r="I197" s="36" t="s">
        <v>1328</v>
      </c>
      <c r="J197" s="34" t="s">
        <v>1329</v>
      </c>
      <c r="K197" s="34" t="s">
        <v>1330</v>
      </c>
      <c r="L197" s="37"/>
      <c r="M197" s="37"/>
      <c r="N197" s="37"/>
      <c r="O197" s="37"/>
      <c r="P197" s="37"/>
      <c r="Q197" s="37"/>
      <c r="R197" s="31" t="n">
        <f aca="false">COUNT($M197:$Q197)</f>
        <v>0</v>
      </c>
      <c r="S197" s="32" t="str">
        <f aca="false">IF($L197="","",IF($R197&gt;=5,"",MAX($L197:$Q197)+CHOOSE($R197+1,SETTINGS!$C$9,SETTINGS!$C$10,SETTINGS!$C$11,SETTINGS!$C$12,SETTINGS!$C$13)))</f>
        <v/>
      </c>
      <c r="T197" s="34" t="str">
        <f aca="true">IF($H197="","(chưa có nội dung)",IF($L197="",IF($C197&lt;TODAY(),"⚠ TRỄ HỌC",IF($C197=TODAY(),"★ HỌC HÔM NAY","• Chưa tới")),IF($R197&gt;=5,"✔ MASTER",IF($S197&lt;TODAY(),"⚠ TRỄ ÔN",IF($S197=TODAY(),"◆ ÔN HÔM NAY","✔ Đúng tiến độ")))))</f>
        <v>• Chưa tới</v>
      </c>
      <c r="U197" s="38" t="n">
        <f aca="false">IF($H197="","",$R197/5)</f>
        <v>0</v>
      </c>
    </row>
    <row r="198" customFormat="false" ht="15" hidden="false" customHeight="false" outlineLevel="0" collapsed="false">
      <c r="A198" s="31" t="s">
        <v>1331</v>
      </c>
      <c r="B198" s="31" t="n">
        <v>10</v>
      </c>
      <c r="C198" s="32" t="n">
        <f aca="false">SETTINGS!$C$3+$B198-1</f>
        <v>46309</v>
      </c>
      <c r="D198" s="33" t="s">
        <v>154</v>
      </c>
      <c r="E198" s="34" t="s">
        <v>1242</v>
      </c>
      <c r="F198" s="34" t="s">
        <v>280</v>
      </c>
      <c r="G198" s="34" t="s">
        <v>1332</v>
      </c>
      <c r="H198" s="35" t="s">
        <v>1333</v>
      </c>
      <c r="I198" s="36" t="s">
        <v>1334</v>
      </c>
      <c r="J198" s="34" t="s">
        <v>1335</v>
      </c>
      <c r="K198" s="34" t="s">
        <v>1336</v>
      </c>
      <c r="L198" s="37"/>
      <c r="M198" s="37"/>
      <c r="N198" s="37"/>
      <c r="O198" s="37"/>
      <c r="P198" s="37"/>
      <c r="Q198" s="37"/>
      <c r="R198" s="31" t="n">
        <f aca="false">COUNT($M198:$Q198)</f>
        <v>0</v>
      </c>
      <c r="S198" s="32" t="str">
        <f aca="false">IF($L198="","",IF($R198&gt;=5,"",MAX($L198:$Q198)+CHOOSE($R198+1,SETTINGS!$C$9,SETTINGS!$C$10,SETTINGS!$C$11,SETTINGS!$C$12,SETTINGS!$C$13)))</f>
        <v/>
      </c>
      <c r="T198" s="34" t="str">
        <f aca="true">IF($H198="","(chưa có nội dung)",IF($L198="",IF($C198&lt;TODAY(),"⚠ TRỄ HỌC",IF($C198=TODAY(),"★ HỌC HÔM NAY","• Chưa tới")),IF($R198&gt;=5,"✔ MASTER",IF($S198&lt;TODAY(),"⚠ TRỄ ÔN",IF($S198=TODAY(),"◆ ÔN HÔM NAY","✔ Đúng tiến độ")))))</f>
        <v>• Chưa tới</v>
      </c>
      <c r="U198" s="38" t="n">
        <f aca="false">IF($H198="","",$R198/5)</f>
        <v>0</v>
      </c>
    </row>
    <row r="199" customFormat="false" ht="15" hidden="false" customHeight="false" outlineLevel="0" collapsed="false">
      <c r="A199" s="31" t="s">
        <v>1337</v>
      </c>
      <c r="B199" s="31" t="n">
        <v>10</v>
      </c>
      <c r="C199" s="32" t="n">
        <f aca="false">SETTINGS!$C$3+$B199-1</f>
        <v>46309</v>
      </c>
      <c r="D199" s="33" t="s">
        <v>154</v>
      </c>
      <c r="E199" s="34" t="s">
        <v>1242</v>
      </c>
      <c r="F199" s="34" t="s">
        <v>280</v>
      </c>
      <c r="G199" s="34" t="s">
        <v>1338</v>
      </c>
      <c r="H199" s="35" t="s">
        <v>1339</v>
      </c>
      <c r="I199" s="36" t="s">
        <v>1340</v>
      </c>
      <c r="J199" s="34" t="s">
        <v>1341</v>
      </c>
      <c r="K199" s="34" t="s">
        <v>1342</v>
      </c>
      <c r="L199" s="37"/>
      <c r="M199" s="37"/>
      <c r="N199" s="37"/>
      <c r="O199" s="37"/>
      <c r="P199" s="37"/>
      <c r="Q199" s="37"/>
      <c r="R199" s="31" t="n">
        <f aca="false">COUNT($M199:$Q199)</f>
        <v>0</v>
      </c>
      <c r="S199" s="32" t="str">
        <f aca="false">IF($L199="","",IF($R199&gt;=5,"",MAX($L199:$Q199)+CHOOSE($R199+1,SETTINGS!$C$9,SETTINGS!$C$10,SETTINGS!$C$11,SETTINGS!$C$12,SETTINGS!$C$13)))</f>
        <v/>
      </c>
      <c r="T199" s="34" t="str">
        <f aca="true">IF($H199="","(chưa có nội dung)",IF($L199="",IF($C199&lt;TODAY(),"⚠ TRỄ HỌC",IF($C199=TODAY(),"★ HỌC HÔM NAY","• Chưa tới")),IF($R199&gt;=5,"✔ MASTER",IF($S199&lt;TODAY(),"⚠ TRỄ ÔN",IF($S199=TODAY(),"◆ ÔN HÔM NAY","✔ Đúng tiến độ")))))</f>
        <v>• Chưa tới</v>
      </c>
      <c r="U199" s="38" t="n">
        <f aca="false">IF($H199="","",$R199/5)</f>
        <v>0</v>
      </c>
    </row>
    <row r="200" customFormat="false" ht="15" hidden="false" customHeight="false" outlineLevel="0" collapsed="false">
      <c r="A200" s="31" t="s">
        <v>1343</v>
      </c>
      <c r="B200" s="31" t="n">
        <v>10</v>
      </c>
      <c r="C200" s="32" t="n">
        <f aca="false">SETTINGS!$C$3+$B200-1</f>
        <v>46309</v>
      </c>
      <c r="D200" s="33" t="s">
        <v>154</v>
      </c>
      <c r="E200" s="34" t="s">
        <v>1242</v>
      </c>
      <c r="F200" s="34" t="s">
        <v>280</v>
      </c>
      <c r="G200" s="34" t="s">
        <v>1344</v>
      </c>
      <c r="H200" s="35" t="s">
        <v>1345</v>
      </c>
      <c r="I200" s="36" t="s">
        <v>1346</v>
      </c>
      <c r="J200" s="34" t="s">
        <v>1347</v>
      </c>
      <c r="K200" s="34" t="s">
        <v>1348</v>
      </c>
      <c r="L200" s="37"/>
      <c r="M200" s="37"/>
      <c r="N200" s="37"/>
      <c r="O200" s="37"/>
      <c r="P200" s="37"/>
      <c r="Q200" s="37"/>
      <c r="R200" s="31" t="n">
        <f aca="false">COUNT($M200:$Q200)</f>
        <v>0</v>
      </c>
      <c r="S200" s="32" t="str">
        <f aca="false">IF($L200="","",IF($R200&gt;=5,"",MAX($L200:$Q200)+CHOOSE($R200+1,SETTINGS!$C$9,SETTINGS!$C$10,SETTINGS!$C$11,SETTINGS!$C$12,SETTINGS!$C$13)))</f>
        <v/>
      </c>
      <c r="T200" s="34" t="str">
        <f aca="true">IF($H200="","(chưa có nội dung)",IF($L200="",IF($C200&lt;TODAY(),"⚠ TRỄ HỌC",IF($C200=TODAY(),"★ HỌC HÔM NAY","• Chưa tới")),IF($R200&gt;=5,"✔ MASTER",IF($S200&lt;TODAY(),"⚠ TRỄ ÔN",IF($S200=TODAY(),"◆ ÔN HÔM NAY","✔ Đúng tiến độ")))))</f>
        <v>• Chưa tới</v>
      </c>
      <c r="U200" s="38" t="n">
        <f aca="false">IF($H200="","",$R200/5)</f>
        <v>0</v>
      </c>
    </row>
    <row r="201" customFormat="false" ht="15" hidden="false" customHeight="false" outlineLevel="0" collapsed="false">
      <c r="A201" s="31" t="s">
        <v>1349</v>
      </c>
      <c r="B201" s="31" t="n">
        <v>10</v>
      </c>
      <c r="C201" s="32" t="n">
        <f aca="false">SETTINGS!$C$3+$B201-1</f>
        <v>46309</v>
      </c>
      <c r="D201" s="33" t="s">
        <v>154</v>
      </c>
      <c r="E201" s="34" t="s">
        <v>1242</v>
      </c>
      <c r="F201" s="34" t="s">
        <v>280</v>
      </c>
      <c r="G201" s="34" t="s">
        <v>1350</v>
      </c>
      <c r="H201" s="35" t="s">
        <v>1351</v>
      </c>
      <c r="I201" s="36" t="s">
        <v>1352</v>
      </c>
      <c r="J201" s="34" t="s">
        <v>1353</v>
      </c>
      <c r="K201" s="34" t="s">
        <v>1354</v>
      </c>
      <c r="L201" s="37"/>
      <c r="M201" s="37"/>
      <c r="N201" s="37"/>
      <c r="O201" s="37"/>
      <c r="P201" s="37"/>
      <c r="Q201" s="37"/>
      <c r="R201" s="31" t="n">
        <f aca="false">COUNT($M201:$Q201)</f>
        <v>0</v>
      </c>
      <c r="S201" s="32" t="str">
        <f aca="false">IF($L201="","",IF($R201&gt;=5,"",MAX($L201:$Q201)+CHOOSE($R201+1,SETTINGS!$C$9,SETTINGS!$C$10,SETTINGS!$C$11,SETTINGS!$C$12,SETTINGS!$C$13)))</f>
        <v/>
      </c>
      <c r="T201" s="34" t="str">
        <f aca="true">IF($H201="","(chưa có nội dung)",IF($L201="",IF($C201&lt;TODAY(),"⚠ TRỄ HỌC",IF($C201=TODAY(),"★ HỌC HÔM NAY","• Chưa tới")),IF($R201&gt;=5,"✔ MASTER",IF($S201&lt;TODAY(),"⚠ TRỄ ÔN",IF($S201=TODAY(),"◆ ÔN HÔM NAY","✔ Đúng tiến độ")))))</f>
        <v>• Chưa tới</v>
      </c>
      <c r="U201" s="38" t="n">
        <f aca="false">IF($H201="","",$R201/5)</f>
        <v>0</v>
      </c>
    </row>
    <row r="202" customFormat="false" ht="15" hidden="false" customHeight="false" outlineLevel="0" collapsed="false">
      <c r="A202" s="31" t="s">
        <v>1355</v>
      </c>
      <c r="B202" s="31" t="n">
        <v>10</v>
      </c>
      <c r="C202" s="32" t="n">
        <f aca="false">SETTINGS!$C$3+$B202-1</f>
        <v>46309</v>
      </c>
      <c r="D202" s="33" t="s">
        <v>154</v>
      </c>
      <c r="E202" s="34" t="s">
        <v>1242</v>
      </c>
      <c r="F202" s="34" t="s">
        <v>183</v>
      </c>
      <c r="G202" s="34" t="s">
        <v>1356</v>
      </c>
      <c r="H202" s="35" t="s">
        <v>1357</v>
      </c>
      <c r="I202" s="36" t="s">
        <v>1358</v>
      </c>
      <c r="J202" s="34" t="s">
        <v>1359</v>
      </c>
      <c r="K202" s="34" t="s">
        <v>1360</v>
      </c>
      <c r="L202" s="37"/>
      <c r="M202" s="37"/>
      <c r="N202" s="37"/>
      <c r="O202" s="37"/>
      <c r="P202" s="37"/>
      <c r="Q202" s="37"/>
      <c r="R202" s="31" t="n">
        <f aca="false">COUNT($M202:$Q202)</f>
        <v>0</v>
      </c>
      <c r="S202" s="32" t="str">
        <f aca="false">IF($L202="","",IF($R202&gt;=5,"",MAX($L202:$Q202)+CHOOSE($R202+1,SETTINGS!$C$9,SETTINGS!$C$10,SETTINGS!$C$11,SETTINGS!$C$12,SETTINGS!$C$13)))</f>
        <v/>
      </c>
      <c r="T202" s="34" t="str">
        <f aca="true">IF($H202="","(chưa có nội dung)",IF($L202="",IF($C202&lt;TODAY(),"⚠ TRỄ HỌC",IF($C202=TODAY(),"★ HỌC HÔM NAY","• Chưa tới")),IF($R202&gt;=5,"✔ MASTER",IF($S202&lt;TODAY(),"⚠ TRỄ ÔN",IF($S202=TODAY(),"◆ ÔN HÔM NAY","✔ Đúng tiến độ")))))</f>
        <v>• Chưa tới</v>
      </c>
      <c r="U202" s="38" t="n">
        <f aca="false">IF($H202="","",$R202/5)</f>
        <v>0</v>
      </c>
    </row>
    <row r="203" customFormat="false" ht="15" hidden="false" customHeight="false" outlineLevel="0" collapsed="false">
      <c r="A203" s="31" t="s">
        <v>1361</v>
      </c>
      <c r="B203" s="31" t="n">
        <v>11</v>
      </c>
      <c r="C203" s="32" t="n">
        <f aca="false">SETTINGS!$C$3+$B203-1</f>
        <v>46310</v>
      </c>
      <c r="D203" s="33" t="s">
        <v>154</v>
      </c>
      <c r="E203" s="34" t="s">
        <v>1362</v>
      </c>
      <c r="F203" s="34" t="s">
        <v>280</v>
      </c>
      <c r="G203" s="34" t="s">
        <v>1363</v>
      </c>
      <c r="H203" s="35" t="s">
        <v>1364</v>
      </c>
      <c r="I203" s="36" t="s">
        <v>1365</v>
      </c>
      <c r="J203" s="34" t="s">
        <v>1366</v>
      </c>
      <c r="K203" s="34" t="s">
        <v>1367</v>
      </c>
      <c r="L203" s="37"/>
      <c r="M203" s="37"/>
      <c r="N203" s="37"/>
      <c r="O203" s="37"/>
      <c r="P203" s="37"/>
      <c r="Q203" s="37"/>
      <c r="R203" s="31" t="n">
        <f aca="false">COUNT($M203:$Q203)</f>
        <v>0</v>
      </c>
      <c r="S203" s="32" t="str">
        <f aca="false">IF($L203="","",IF($R203&gt;=5,"",MAX($L203:$Q203)+CHOOSE($R203+1,SETTINGS!$C$9,SETTINGS!$C$10,SETTINGS!$C$11,SETTINGS!$C$12,SETTINGS!$C$13)))</f>
        <v/>
      </c>
      <c r="T203" s="34" t="str">
        <f aca="true">IF($H203="","(chưa có nội dung)",IF($L203="",IF($C203&lt;TODAY(),"⚠ TRỄ HỌC",IF($C203=TODAY(),"★ HỌC HÔM NAY","• Chưa tới")),IF($R203&gt;=5,"✔ MASTER",IF($S203&lt;TODAY(),"⚠ TRỄ ÔN",IF($S203=TODAY(),"◆ ÔN HÔM NAY","✔ Đúng tiến độ")))))</f>
        <v>• Chưa tới</v>
      </c>
      <c r="U203" s="38" t="n">
        <f aca="false">IF($H203="","",$R203/5)</f>
        <v>0</v>
      </c>
    </row>
    <row r="204" customFormat="false" ht="15" hidden="false" customHeight="false" outlineLevel="0" collapsed="false">
      <c r="A204" s="31" t="s">
        <v>1368</v>
      </c>
      <c r="B204" s="31" t="n">
        <v>11</v>
      </c>
      <c r="C204" s="32" t="n">
        <f aca="false">SETTINGS!$C$3+$B204-1</f>
        <v>46310</v>
      </c>
      <c r="D204" s="33" t="s">
        <v>154</v>
      </c>
      <c r="E204" s="34" t="s">
        <v>1362</v>
      </c>
      <c r="F204" s="34" t="s">
        <v>280</v>
      </c>
      <c r="G204" s="34" t="s">
        <v>1369</v>
      </c>
      <c r="H204" s="35" t="s">
        <v>1370</v>
      </c>
      <c r="I204" s="36" t="s">
        <v>1371</v>
      </c>
      <c r="J204" s="34" t="s">
        <v>1372</v>
      </c>
      <c r="K204" s="34" t="s">
        <v>1373</v>
      </c>
      <c r="L204" s="37"/>
      <c r="M204" s="37"/>
      <c r="N204" s="37"/>
      <c r="O204" s="37"/>
      <c r="P204" s="37"/>
      <c r="Q204" s="37"/>
      <c r="R204" s="31" t="n">
        <f aca="false">COUNT($M204:$Q204)</f>
        <v>0</v>
      </c>
      <c r="S204" s="32" t="str">
        <f aca="false">IF($L204="","",IF($R204&gt;=5,"",MAX($L204:$Q204)+CHOOSE($R204+1,SETTINGS!$C$9,SETTINGS!$C$10,SETTINGS!$C$11,SETTINGS!$C$12,SETTINGS!$C$13)))</f>
        <v/>
      </c>
      <c r="T204" s="34" t="str">
        <f aca="true">IF($H204="","(chưa có nội dung)",IF($L204="",IF($C204&lt;TODAY(),"⚠ TRỄ HỌC",IF($C204=TODAY(),"★ HỌC HÔM NAY","• Chưa tới")),IF($R204&gt;=5,"✔ MASTER",IF($S204&lt;TODAY(),"⚠ TRỄ ÔN",IF($S204=TODAY(),"◆ ÔN HÔM NAY","✔ Đúng tiến độ")))))</f>
        <v>• Chưa tới</v>
      </c>
      <c r="U204" s="38" t="n">
        <f aca="false">IF($H204="","",$R204/5)</f>
        <v>0</v>
      </c>
    </row>
    <row r="205" customFormat="false" ht="15" hidden="false" customHeight="false" outlineLevel="0" collapsed="false">
      <c r="A205" s="31" t="s">
        <v>1374</v>
      </c>
      <c r="B205" s="31" t="n">
        <v>11</v>
      </c>
      <c r="C205" s="32" t="n">
        <f aca="false">SETTINGS!$C$3+$B205-1</f>
        <v>46310</v>
      </c>
      <c r="D205" s="33" t="s">
        <v>154</v>
      </c>
      <c r="E205" s="34" t="s">
        <v>1362</v>
      </c>
      <c r="F205" s="34" t="s">
        <v>280</v>
      </c>
      <c r="G205" s="34" t="s">
        <v>1375</v>
      </c>
      <c r="H205" s="35" t="s">
        <v>1376</v>
      </c>
      <c r="I205" s="36" t="s">
        <v>1377</v>
      </c>
      <c r="J205" s="34" t="s">
        <v>1378</v>
      </c>
      <c r="K205" s="34" t="s">
        <v>1379</v>
      </c>
      <c r="L205" s="37"/>
      <c r="M205" s="37"/>
      <c r="N205" s="37"/>
      <c r="O205" s="37"/>
      <c r="P205" s="37"/>
      <c r="Q205" s="37"/>
      <c r="R205" s="31" t="n">
        <f aca="false">COUNT($M205:$Q205)</f>
        <v>0</v>
      </c>
      <c r="S205" s="32" t="str">
        <f aca="false">IF($L205="","",IF($R205&gt;=5,"",MAX($L205:$Q205)+CHOOSE($R205+1,SETTINGS!$C$9,SETTINGS!$C$10,SETTINGS!$C$11,SETTINGS!$C$12,SETTINGS!$C$13)))</f>
        <v/>
      </c>
      <c r="T205" s="34" t="str">
        <f aca="true">IF($H205="","(chưa có nội dung)",IF($L205="",IF($C205&lt;TODAY(),"⚠ TRỄ HỌC",IF($C205=TODAY(),"★ HỌC HÔM NAY","• Chưa tới")),IF($R205&gt;=5,"✔ MASTER",IF($S205&lt;TODAY(),"⚠ TRỄ ÔN",IF($S205=TODAY(),"◆ ÔN HÔM NAY","✔ Đúng tiến độ")))))</f>
        <v>• Chưa tới</v>
      </c>
      <c r="U205" s="38" t="n">
        <f aca="false">IF($H205="","",$R205/5)</f>
        <v>0</v>
      </c>
    </row>
    <row r="206" customFormat="false" ht="15" hidden="false" customHeight="false" outlineLevel="0" collapsed="false">
      <c r="A206" s="31" t="s">
        <v>1380</v>
      </c>
      <c r="B206" s="31" t="n">
        <v>11</v>
      </c>
      <c r="C206" s="32" t="n">
        <f aca="false">SETTINGS!$C$3+$B206-1</f>
        <v>46310</v>
      </c>
      <c r="D206" s="33" t="s">
        <v>154</v>
      </c>
      <c r="E206" s="34" t="s">
        <v>1362</v>
      </c>
      <c r="F206" s="34" t="s">
        <v>280</v>
      </c>
      <c r="G206" s="34" t="s">
        <v>1381</v>
      </c>
      <c r="H206" s="35" t="s">
        <v>1382</v>
      </c>
      <c r="I206" s="36" t="s">
        <v>1383</v>
      </c>
      <c r="J206" s="34" t="s">
        <v>1384</v>
      </c>
      <c r="K206" s="34" t="s">
        <v>1385</v>
      </c>
      <c r="L206" s="37"/>
      <c r="M206" s="37"/>
      <c r="N206" s="37"/>
      <c r="O206" s="37"/>
      <c r="P206" s="37"/>
      <c r="Q206" s="37"/>
      <c r="R206" s="31" t="n">
        <f aca="false">COUNT($M206:$Q206)</f>
        <v>0</v>
      </c>
      <c r="S206" s="32" t="str">
        <f aca="false">IF($L206="","",IF($R206&gt;=5,"",MAX($L206:$Q206)+CHOOSE($R206+1,SETTINGS!$C$9,SETTINGS!$C$10,SETTINGS!$C$11,SETTINGS!$C$12,SETTINGS!$C$13)))</f>
        <v/>
      </c>
      <c r="T206" s="34" t="str">
        <f aca="true">IF($H206="","(chưa có nội dung)",IF($L206="",IF($C206&lt;TODAY(),"⚠ TRỄ HỌC",IF($C206=TODAY(),"★ HỌC HÔM NAY","• Chưa tới")),IF($R206&gt;=5,"✔ MASTER",IF($S206&lt;TODAY(),"⚠ TRỄ ÔN",IF($S206=TODAY(),"◆ ÔN HÔM NAY","✔ Đúng tiến độ")))))</f>
        <v>• Chưa tới</v>
      </c>
      <c r="U206" s="38" t="n">
        <f aca="false">IF($H206="","",$R206/5)</f>
        <v>0</v>
      </c>
    </row>
    <row r="207" customFormat="false" ht="15" hidden="false" customHeight="false" outlineLevel="0" collapsed="false">
      <c r="A207" s="31" t="s">
        <v>1386</v>
      </c>
      <c r="B207" s="31" t="n">
        <v>11</v>
      </c>
      <c r="C207" s="32" t="n">
        <f aca="false">SETTINGS!$C$3+$B207-1</f>
        <v>46310</v>
      </c>
      <c r="D207" s="33" t="s">
        <v>154</v>
      </c>
      <c r="E207" s="34" t="s">
        <v>1362</v>
      </c>
      <c r="F207" s="34" t="s">
        <v>280</v>
      </c>
      <c r="G207" s="34" t="s">
        <v>1387</v>
      </c>
      <c r="H207" s="35" t="s">
        <v>1388</v>
      </c>
      <c r="I207" s="36" t="s">
        <v>1389</v>
      </c>
      <c r="J207" s="34" t="s">
        <v>1390</v>
      </c>
      <c r="K207" s="34" t="s">
        <v>1391</v>
      </c>
      <c r="L207" s="37"/>
      <c r="M207" s="37"/>
      <c r="N207" s="37"/>
      <c r="O207" s="37"/>
      <c r="P207" s="37"/>
      <c r="Q207" s="37"/>
      <c r="R207" s="31" t="n">
        <f aca="false">COUNT($M207:$Q207)</f>
        <v>0</v>
      </c>
      <c r="S207" s="32" t="str">
        <f aca="false">IF($L207="","",IF($R207&gt;=5,"",MAX($L207:$Q207)+CHOOSE($R207+1,SETTINGS!$C$9,SETTINGS!$C$10,SETTINGS!$C$11,SETTINGS!$C$12,SETTINGS!$C$13)))</f>
        <v/>
      </c>
      <c r="T207" s="34" t="str">
        <f aca="true">IF($H207="","(chưa có nội dung)",IF($L207="",IF($C207&lt;TODAY(),"⚠ TRỄ HỌC",IF($C207=TODAY(),"★ HỌC HÔM NAY","• Chưa tới")),IF($R207&gt;=5,"✔ MASTER",IF($S207&lt;TODAY(),"⚠ TRỄ ÔN",IF($S207=TODAY(),"◆ ÔN HÔM NAY","✔ Đúng tiến độ")))))</f>
        <v>• Chưa tới</v>
      </c>
      <c r="U207" s="38" t="n">
        <f aca="false">IF($H207="","",$R207/5)</f>
        <v>0</v>
      </c>
    </row>
    <row r="208" customFormat="false" ht="15" hidden="false" customHeight="false" outlineLevel="0" collapsed="false">
      <c r="A208" s="31" t="s">
        <v>1392</v>
      </c>
      <c r="B208" s="31" t="n">
        <v>11</v>
      </c>
      <c r="C208" s="32" t="n">
        <f aca="false">SETTINGS!$C$3+$B208-1</f>
        <v>46310</v>
      </c>
      <c r="D208" s="33" t="s">
        <v>154</v>
      </c>
      <c r="E208" s="34" t="s">
        <v>1362</v>
      </c>
      <c r="F208" s="34" t="s">
        <v>280</v>
      </c>
      <c r="G208" s="34" t="s">
        <v>1393</v>
      </c>
      <c r="H208" s="35" t="s">
        <v>1394</v>
      </c>
      <c r="I208" s="36" t="s">
        <v>1395</v>
      </c>
      <c r="J208" s="34" t="s">
        <v>1396</v>
      </c>
      <c r="K208" s="34" t="s">
        <v>1397</v>
      </c>
      <c r="L208" s="37"/>
      <c r="M208" s="37"/>
      <c r="N208" s="37"/>
      <c r="O208" s="37"/>
      <c r="P208" s="37"/>
      <c r="Q208" s="37"/>
      <c r="R208" s="31" t="n">
        <f aca="false">COUNT($M208:$Q208)</f>
        <v>0</v>
      </c>
      <c r="S208" s="32" t="str">
        <f aca="false">IF($L208="","",IF($R208&gt;=5,"",MAX($L208:$Q208)+CHOOSE($R208+1,SETTINGS!$C$9,SETTINGS!$C$10,SETTINGS!$C$11,SETTINGS!$C$12,SETTINGS!$C$13)))</f>
        <v/>
      </c>
      <c r="T208" s="34" t="str">
        <f aca="true">IF($H208="","(chưa có nội dung)",IF($L208="",IF($C208&lt;TODAY(),"⚠ TRỄ HỌC",IF($C208=TODAY(),"★ HỌC HÔM NAY","• Chưa tới")),IF($R208&gt;=5,"✔ MASTER",IF($S208&lt;TODAY(),"⚠ TRỄ ÔN",IF($S208=TODAY(),"◆ ÔN HÔM NAY","✔ Đúng tiến độ")))))</f>
        <v>• Chưa tới</v>
      </c>
      <c r="U208" s="38" t="n">
        <f aca="false">IF($H208="","",$R208/5)</f>
        <v>0</v>
      </c>
    </row>
    <row r="209" customFormat="false" ht="15" hidden="false" customHeight="false" outlineLevel="0" collapsed="false">
      <c r="A209" s="31" t="s">
        <v>1398</v>
      </c>
      <c r="B209" s="31" t="n">
        <v>11</v>
      </c>
      <c r="C209" s="32" t="n">
        <f aca="false">SETTINGS!$C$3+$B209-1</f>
        <v>46310</v>
      </c>
      <c r="D209" s="33" t="s">
        <v>154</v>
      </c>
      <c r="E209" s="34" t="s">
        <v>1362</v>
      </c>
      <c r="F209" s="34" t="s">
        <v>163</v>
      </c>
      <c r="G209" s="34" t="s">
        <v>516</v>
      </c>
      <c r="H209" s="35" t="s">
        <v>1399</v>
      </c>
      <c r="I209" s="36" t="s">
        <v>1400</v>
      </c>
      <c r="J209" s="34" t="s">
        <v>1401</v>
      </c>
      <c r="K209" s="34" t="s">
        <v>1402</v>
      </c>
      <c r="L209" s="37"/>
      <c r="M209" s="37"/>
      <c r="N209" s="37"/>
      <c r="O209" s="37"/>
      <c r="P209" s="37"/>
      <c r="Q209" s="37"/>
      <c r="R209" s="31" t="n">
        <f aca="false">COUNT($M209:$Q209)</f>
        <v>0</v>
      </c>
      <c r="S209" s="32" t="str">
        <f aca="false">IF($L209="","",IF($R209&gt;=5,"",MAX($L209:$Q209)+CHOOSE($R209+1,SETTINGS!$C$9,SETTINGS!$C$10,SETTINGS!$C$11,SETTINGS!$C$12,SETTINGS!$C$13)))</f>
        <v/>
      </c>
      <c r="T209" s="34" t="str">
        <f aca="true">IF($H209="","(chưa có nội dung)",IF($L209="",IF($C209&lt;TODAY(),"⚠ TRỄ HỌC",IF($C209=TODAY(),"★ HỌC HÔM NAY","• Chưa tới")),IF($R209&gt;=5,"✔ MASTER",IF($S209&lt;TODAY(),"⚠ TRỄ ÔN",IF($S209=TODAY(),"◆ ÔN HÔM NAY","✔ Đúng tiến độ")))))</f>
        <v>• Chưa tới</v>
      </c>
      <c r="U209" s="38" t="n">
        <f aca="false">IF($H209="","",$R209/5)</f>
        <v>0</v>
      </c>
    </row>
    <row r="210" customFormat="false" ht="15" hidden="false" customHeight="false" outlineLevel="0" collapsed="false">
      <c r="A210" s="31" t="s">
        <v>1403</v>
      </c>
      <c r="B210" s="31" t="n">
        <v>11</v>
      </c>
      <c r="C210" s="32" t="n">
        <f aca="false">SETTINGS!$C$3+$B210-1</f>
        <v>46310</v>
      </c>
      <c r="D210" s="33" t="s">
        <v>154</v>
      </c>
      <c r="E210" s="34" t="s">
        <v>1362</v>
      </c>
      <c r="F210" s="34" t="s">
        <v>280</v>
      </c>
      <c r="G210" s="34" t="s">
        <v>1404</v>
      </c>
      <c r="H210" s="35" t="s">
        <v>1405</v>
      </c>
      <c r="I210" s="36" t="s">
        <v>1406</v>
      </c>
      <c r="J210" s="34" t="s">
        <v>1407</v>
      </c>
      <c r="K210" s="34" t="s">
        <v>1408</v>
      </c>
      <c r="L210" s="37"/>
      <c r="M210" s="37"/>
      <c r="N210" s="37"/>
      <c r="O210" s="37"/>
      <c r="P210" s="37"/>
      <c r="Q210" s="37"/>
      <c r="R210" s="31" t="n">
        <f aca="false">COUNT($M210:$Q210)</f>
        <v>0</v>
      </c>
      <c r="S210" s="32" t="str">
        <f aca="false">IF($L210="","",IF($R210&gt;=5,"",MAX($L210:$Q210)+CHOOSE($R210+1,SETTINGS!$C$9,SETTINGS!$C$10,SETTINGS!$C$11,SETTINGS!$C$12,SETTINGS!$C$13)))</f>
        <v/>
      </c>
      <c r="T210" s="34" t="str">
        <f aca="true">IF($H210="","(chưa có nội dung)",IF($L210="",IF($C210&lt;TODAY(),"⚠ TRỄ HỌC",IF($C210=TODAY(),"★ HỌC HÔM NAY","• Chưa tới")),IF($R210&gt;=5,"✔ MASTER",IF($S210&lt;TODAY(),"⚠ TRỄ ÔN",IF($S210=TODAY(),"◆ ÔN HÔM NAY","✔ Đúng tiến độ")))))</f>
        <v>• Chưa tới</v>
      </c>
      <c r="U210" s="38" t="n">
        <f aca="false">IF($H210="","",$R210/5)</f>
        <v>0</v>
      </c>
    </row>
    <row r="211" customFormat="false" ht="15" hidden="false" customHeight="false" outlineLevel="0" collapsed="false">
      <c r="A211" s="31" t="s">
        <v>1409</v>
      </c>
      <c r="B211" s="31" t="n">
        <v>11</v>
      </c>
      <c r="C211" s="32" t="n">
        <f aca="false">SETTINGS!$C$3+$B211-1</f>
        <v>46310</v>
      </c>
      <c r="D211" s="33" t="s">
        <v>154</v>
      </c>
      <c r="E211" s="34" t="s">
        <v>1362</v>
      </c>
      <c r="F211" s="34" t="s">
        <v>280</v>
      </c>
      <c r="G211" s="34" t="s">
        <v>1410</v>
      </c>
      <c r="H211" s="35" t="s">
        <v>1411</v>
      </c>
      <c r="I211" s="36" t="s">
        <v>1412</v>
      </c>
      <c r="J211" s="34" t="s">
        <v>1413</v>
      </c>
      <c r="K211" s="34" t="s">
        <v>1414</v>
      </c>
      <c r="L211" s="37"/>
      <c r="M211" s="37"/>
      <c r="N211" s="37"/>
      <c r="O211" s="37"/>
      <c r="P211" s="37"/>
      <c r="Q211" s="37"/>
      <c r="R211" s="31" t="n">
        <f aca="false">COUNT($M211:$Q211)</f>
        <v>0</v>
      </c>
      <c r="S211" s="32" t="str">
        <f aca="false">IF($L211="","",IF($R211&gt;=5,"",MAX($L211:$Q211)+CHOOSE($R211+1,SETTINGS!$C$9,SETTINGS!$C$10,SETTINGS!$C$11,SETTINGS!$C$12,SETTINGS!$C$13)))</f>
        <v/>
      </c>
      <c r="T211" s="34" t="str">
        <f aca="true">IF($H211="","(chưa có nội dung)",IF($L211="",IF($C211&lt;TODAY(),"⚠ TRỄ HỌC",IF($C211=TODAY(),"★ HỌC HÔM NAY","• Chưa tới")),IF($R211&gt;=5,"✔ MASTER",IF($S211&lt;TODAY(),"⚠ TRỄ ÔN",IF($S211=TODAY(),"◆ ÔN HÔM NAY","✔ Đúng tiến độ")))))</f>
        <v>• Chưa tới</v>
      </c>
      <c r="U211" s="38" t="n">
        <f aca="false">IF($H211="","",$R211/5)</f>
        <v>0</v>
      </c>
    </row>
    <row r="212" customFormat="false" ht="15" hidden="false" customHeight="false" outlineLevel="0" collapsed="false">
      <c r="A212" s="31" t="s">
        <v>1415</v>
      </c>
      <c r="B212" s="31" t="n">
        <v>11</v>
      </c>
      <c r="C212" s="32" t="n">
        <f aca="false">SETTINGS!$C$3+$B212-1</f>
        <v>46310</v>
      </c>
      <c r="D212" s="33" t="s">
        <v>154</v>
      </c>
      <c r="E212" s="34" t="s">
        <v>1362</v>
      </c>
      <c r="F212" s="34" t="s">
        <v>497</v>
      </c>
      <c r="G212" s="34" t="s">
        <v>1416</v>
      </c>
      <c r="H212" s="35" t="s">
        <v>1417</v>
      </c>
      <c r="I212" s="36" t="s">
        <v>1418</v>
      </c>
      <c r="J212" s="34" t="s">
        <v>1419</v>
      </c>
      <c r="K212" s="34" t="s">
        <v>1420</v>
      </c>
      <c r="L212" s="37"/>
      <c r="M212" s="37"/>
      <c r="N212" s="37"/>
      <c r="O212" s="37"/>
      <c r="P212" s="37"/>
      <c r="Q212" s="37"/>
      <c r="R212" s="31" t="n">
        <f aca="false">COUNT($M212:$Q212)</f>
        <v>0</v>
      </c>
      <c r="S212" s="32" t="str">
        <f aca="false">IF($L212="","",IF($R212&gt;=5,"",MAX($L212:$Q212)+CHOOSE($R212+1,SETTINGS!$C$9,SETTINGS!$C$10,SETTINGS!$C$11,SETTINGS!$C$12,SETTINGS!$C$13)))</f>
        <v/>
      </c>
      <c r="T212" s="34" t="str">
        <f aca="true">IF($H212="","(chưa có nội dung)",IF($L212="",IF($C212&lt;TODAY(),"⚠ TRỄ HỌC",IF($C212=TODAY(),"★ HỌC HÔM NAY","• Chưa tới")),IF($R212&gt;=5,"✔ MASTER",IF($S212&lt;TODAY(),"⚠ TRỄ ÔN",IF($S212=TODAY(),"◆ ÔN HÔM NAY","✔ Đúng tiến độ")))))</f>
        <v>• Chưa tới</v>
      </c>
      <c r="U212" s="38" t="n">
        <f aca="false">IF($H212="","",$R212/5)</f>
        <v>0</v>
      </c>
    </row>
    <row r="213" customFormat="false" ht="15" hidden="false" customHeight="false" outlineLevel="0" collapsed="false">
      <c r="A213" s="31" t="s">
        <v>1421</v>
      </c>
      <c r="B213" s="31" t="n">
        <v>11</v>
      </c>
      <c r="C213" s="32" t="n">
        <f aca="false">SETTINGS!$C$3+$B213-1</f>
        <v>46310</v>
      </c>
      <c r="D213" s="33" t="s">
        <v>154</v>
      </c>
      <c r="E213" s="34" t="s">
        <v>1362</v>
      </c>
      <c r="F213" s="34" t="s">
        <v>183</v>
      </c>
      <c r="G213" s="34" t="s">
        <v>1422</v>
      </c>
      <c r="H213" s="35" t="s">
        <v>1423</v>
      </c>
      <c r="I213" s="36" t="s">
        <v>1424</v>
      </c>
      <c r="J213" s="34" t="s">
        <v>1425</v>
      </c>
      <c r="K213" s="34" t="s">
        <v>1426</v>
      </c>
      <c r="L213" s="37"/>
      <c r="M213" s="37"/>
      <c r="N213" s="37"/>
      <c r="O213" s="37"/>
      <c r="P213" s="37"/>
      <c r="Q213" s="37"/>
      <c r="R213" s="31" t="n">
        <f aca="false">COUNT($M213:$Q213)</f>
        <v>0</v>
      </c>
      <c r="S213" s="32" t="str">
        <f aca="false">IF($L213="","",IF($R213&gt;=5,"",MAX($L213:$Q213)+CHOOSE($R213+1,SETTINGS!$C$9,SETTINGS!$C$10,SETTINGS!$C$11,SETTINGS!$C$12,SETTINGS!$C$13)))</f>
        <v/>
      </c>
      <c r="T213" s="34" t="str">
        <f aca="true">IF($H213="","(chưa có nội dung)",IF($L213="",IF($C213&lt;TODAY(),"⚠ TRỄ HỌC",IF($C213=TODAY(),"★ HỌC HÔM NAY","• Chưa tới")),IF($R213&gt;=5,"✔ MASTER",IF($S213&lt;TODAY(),"⚠ TRỄ ÔN",IF($S213=TODAY(),"◆ ÔN HÔM NAY","✔ Đúng tiến độ")))))</f>
        <v>• Chưa tới</v>
      </c>
      <c r="U213" s="38" t="n">
        <f aca="false">IF($H213="","",$R213/5)</f>
        <v>0</v>
      </c>
    </row>
    <row r="214" customFormat="false" ht="15" hidden="false" customHeight="false" outlineLevel="0" collapsed="false">
      <c r="A214" s="31" t="s">
        <v>1427</v>
      </c>
      <c r="B214" s="31" t="n">
        <v>11</v>
      </c>
      <c r="C214" s="32" t="n">
        <f aca="false">SETTINGS!$C$3+$B214-1</f>
        <v>46310</v>
      </c>
      <c r="D214" s="33" t="s">
        <v>154</v>
      </c>
      <c r="E214" s="34" t="s">
        <v>1362</v>
      </c>
      <c r="F214" s="34" t="s">
        <v>280</v>
      </c>
      <c r="G214" s="34" t="s">
        <v>1428</v>
      </c>
      <c r="H214" s="35" t="s">
        <v>1429</v>
      </c>
      <c r="I214" s="36" t="s">
        <v>1430</v>
      </c>
      <c r="J214" s="34" t="s">
        <v>1431</v>
      </c>
      <c r="K214" s="34" t="s">
        <v>1432</v>
      </c>
      <c r="L214" s="37"/>
      <c r="M214" s="37"/>
      <c r="N214" s="37"/>
      <c r="O214" s="37"/>
      <c r="P214" s="37"/>
      <c r="Q214" s="37"/>
      <c r="R214" s="31" t="n">
        <f aca="false">COUNT($M214:$Q214)</f>
        <v>0</v>
      </c>
      <c r="S214" s="32" t="str">
        <f aca="false">IF($L214="","",IF($R214&gt;=5,"",MAX($L214:$Q214)+CHOOSE($R214+1,SETTINGS!$C$9,SETTINGS!$C$10,SETTINGS!$C$11,SETTINGS!$C$12,SETTINGS!$C$13)))</f>
        <v/>
      </c>
      <c r="T214" s="34" t="str">
        <f aca="true">IF($H214="","(chưa có nội dung)",IF($L214="",IF($C214&lt;TODAY(),"⚠ TRỄ HỌC",IF($C214=TODAY(),"★ HỌC HÔM NAY","• Chưa tới")),IF($R214&gt;=5,"✔ MASTER",IF($S214&lt;TODAY(),"⚠ TRỄ ÔN",IF($S214=TODAY(),"◆ ÔN HÔM NAY","✔ Đúng tiến độ")))))</f>
        <v>• Chưa tới</v>
      </c>
      <c r="U214" s="38" t="n">
        <f aca="false">IF($H214="","",$R214/5)</f>
        <v>0</v>
      </c>
    </row>
    <row r="215" customFormat="false" ht="15" hidden="false" customHeight="false" outlineLevel="0" collapsed="false">
      <c r="A215" s="31" t="s">
        <v>1433</v>
      </c>
      <c r="B215" s="31" t="n">
        <v>11</v>
      </c>
      <c r="C215" s="32" t="n">
        <f aca="false">SETTINGS!$C$3+$B215-1</f>
        <v>46310</v>
      </c>
      <c r="D215" s="33" t="s">
        <v>154</v>
      </c>
      <c r="E215" s="34" t="s">
        <v>1362</v>
      </c>
      <c r="F215" s="34" t="s">
        <v>280</v>
      </c>
      <c r="G215" s="34" t="s">
        <v>1434</v>
      </c>
      <c r="H215" s="35" t="s">
        <v>1435</v>
      </c>
      <c r="I215" s="36" t="s">
        <v>1436</v>
      </c>
      <c r="J215" s="34" t="s">
        <v>1437</v>
      </c>
      <c r="K215" s="34" t="s">
        <v>1438</v>
      </c>
      <c r="L215" s="37"/>
      <c r="M215" s="37"/>
      <c r="N215" s="37"/>
      <c r="O215" s="37"/>
      <c r="P215" s="37"/>
      <c r="Q215" s="37"/>
      <c r="R215" s="31" t="n">
        <f aca="false">COUNT($M215:$Q215)</f>
        <v>0</v>
      </c>
      <c r="S215" s="32" t="str">
        <f aca="false">IF($L215="","",IF($R215&gt;=5,"",MAX($L215:$Q215)+CHOOSE($R215+1,SETTINGS!$C$9,SETTINGS!$C$10,SETTINGS!$C$11,SETTINGS!$C$12,SETTINGS!$C$13)))</f>
        <v/>
      </c>
      <c r="T215" s="34" t="str">
        <f aca="true">IF($H215="","(chưa có nội dung)",IF($L215="",IF($C215&lt;TODAY(),"⚠ TRỄ HỌC",IF($C215=TODAY(),"★ HỌC HÔM NAY","• Chưa tới")),IF($R215&gt;=5,"✔ MASTER",IF($S215&lt;TODAY(),"⚠ TRỄ ÔN",IF($S215=TODAY(),"◆ ÔN HÔM NAY","✔ Đúng tiến độ")))))</f>
        <v>• Chưa tới</v>
      </c>
      <c r="U215" s="38" t="n">
        <f aca="false">IF($H215="","",$R215/5)</f>
        <v>0</v>
      </c>
    </row>
    <row r="216" customFormat="false" ht="15" hidden="false" customHeight="false" outlineLevel="0" collapsed="false">
      <c r="A216" s="31" t="s">
        <v>1439</v>
      </c>
      <c r="B216" s="31" t="n">
        <v>11</v>
      </c>
      <c r="C216" s="32" t="n">
        <f aca="false">SETTINGS!$C$3+$B216-1</f>
        <v>46310</v>
      </c>
      <c r="D216" s="33" t="s">
        <v>154</v>
      </c>
      <c r="E216" s="34" t="s">
        <v>1362</v>
      </c>
      <c r="F216" s="34" t="s">
        <v>202</v>
      </c>
      <c r="G216" s="34" t="s">
        <v>1440</v>
      </c>
      <c r="H216" s="35" t="s">
        <v>1441</v>
      </c>
      <c r="I216" s="36" t="s">
        <v>1442</v>
      </c>
      <c r="J216" s="34" t="s">
        <v>1443</v>
      </c>
      <c r="K216" s="34" t="s">
        <v>1444</v>
      </c>
      <c r="L216" s="37"/>
      <c r="M216" s="37"/>
      <c r="N216" s="37"/>
      <c r="O216" s="37"/>
      <c r="P216" s="37"/>
      <c r="Q216" s="37"/>
      <c r="R216" s="31" t="n">
        <f aca="false">COUNT($M216:$Q216)</f>
        <v>0</v>
      </c>
      <c r="S216" s="32" t="str">
        <f aca="false">IF($L216="","",IF($R216&gt;=5,"",MAX($L216:$Q216)+CHOOSE($R216+1,SETTINGS!$C$9,SETTINGS!$C$10,SETTINGS!$C$11,SETTINGS!$C$12,SETTINGS!$C$13)))</f>
        <v/>
      </c>
      <c r="T216" s="34" t="str">
        <f aca="true">IF($H216="","(chưa có nội dung)",IF($L216="",IF($C216&lt;TODAY(),"⚠ TRỄ HỌC",IF($C216=TODAY(),"★ HỌC HÔM NAY","• Chưa tới")),IF($R216&gt;=5,"✔ MASTER",IF($S216&lt;TODAY(),"⚠ TRỄ ÔN",IF($S216=TODAY(),"◆ ÔN HÔM NAY","✔ Đúng tiến độ")))))</f>
        <v>• Chưa tới</v>
      </c>
      <c r="U216" s="38" t="n">
        <f aca="false">IF($H216="","",$R216/5)</f>
        <v>0</v>
      </c>
    </row>
    <row r="217" customFormat="false" ht="15" hidden="false" customHeight="false" outlineLevel="0" collapsed="false">
      <c r="A217" s="31" t="s">
        <v>1445</v>
      </c>
      <c r="B217" s="31" t="n">
        <v>11</v>
      </c>
      <c r="C217" s="32" t="n">
        <f aca="false">SETTINGS!$C$3+$B217-1</f>
        <v>46310</v>
      </c>
      <c r="D217" s="33" t="s">
        <v>154</v>
      </c>
      <c r="E217" s="34" t="s">
        <v>1362</v>
      </c>
      <c r="F217" s="34" t="s">
        <v>280</v>
      </c>
      <c r="G217" s="34" t="s">
        <v>1446</v>
      </c>
      <c r="H217" s="35" t="s">
        <v>1447</v>
      </c>
      <c r="I217" s="36" t="s">
        <v>1448</v>
      </c>
      <c r="J217" s="34" t="s">
        <v>1449</v>
      </c>
      <c r="K217" s="34" t="s">
        <v>1450</v>
      </c>
      <c r="L217" s="37"/>
      <c r="M217" s="37"/>
      <c r="N217" s="37"/>
      <c r="O217" s="37"/>
      <c r="P217" s="37"/>
      <c r="Q217" s="37"/>
      <c r="R217" s="31" t="n">
        <f aca="false">COUNT($M217:$Q217)</f>
        <v>0</v>
      </c>
      <c r="S217" s="32" t="str">
        <f aca="false">IF($L217="","",IF($R217&gt;=5,"",MAX($L217:$Q217)+CHOOSE($R217+1,SETTINGS!$C$9,SETTINGS!$C$10,SETTINGS!$C$11,SETTINGS!$C$12,SETTINGS!$C$13)))</f>
        <v/>
      </c>
      <c r="T217" s="34" t="str">
        <f aca="true">IF($H217="","(chưa có nội dung)",IF($L217="",IF($C217&lt;TODAY(),"⚠ TRỄ HỌC",IF($C217=TODAY(),"★ HỌC HÔM NAY","• Chưa tới")),IF($R217&gt;=5,"✔ MASTER",IF($S217&lt;TODAY(),"⚠ TRỄ ÔN",IF($S217=TODAY(),"◆ ÔN HÔM NAY","✔ Đúng tiến độ")))))</f>
        <v>• Chưa tới</v>
      </c>
      <c r="U217" s="38" t="n">
        <f aca="false">IF($H217="","",$R217/5)</f>
        <v>0</v>
      </c>
    </row>
    <row r="218" customFormat="false" ht="15" hidden="false" customHeight="false" outlineLevel="0" collapsed="false">
      <c r="A218" s="31" t="s">
        <v>1451</v>
      </c>
      <c r="B218" s="31" t="n">
        <v>11</v>
      </c>
      <c r="C218" s="32" t="n">
        <f aca="false">SETTINGS!$C$3+$B218-1</f>
        <v>46310</v>
      </c>
      <c r="D218" s="33" t="s">
        <v>154</v>
      </c>
      <c r="E218" s="34" t="s">
        <v>1362</v>
      </c>
      <c r="F218" s="34" t="s">
        <v>280</v>
      </c>
      <c r="G218" s="34" t="s">
        <v>1452</v>
      </c>
      <c r="H218" s="35" t="s">
        <v>1453</v>
      </c>
      <c r="I218" s="36" t="s">
        <v>1454</v>
      </c>
      <c r="J218" s="34" t="s">
        <v>1455</v>
      </c>
      <c r="K218" s="34" t="s">
        <v>1456</v>
      </c>
      <c r="L218" s="37"/>
      <c r="M218" s="37"/>
      <c r="N218" s="37"/>
      <c r="O218" s="37"/>
      <c r="P218" s="37"/>
      <c r="Q218" s="37"/>
      <c r="R218" s="31" t="n">
        <f aca="false">COUNT($M218:$Q218)</f>
        <v>0</v>
      </c>
      <c r="S218" s="32" t="str">
        <f aca="false">IF($L218="","",IF($R218&gt;=5,"",MAX($L218:$Q218)+CHOOSE($R218+1,SETTINGS!$C$9,SETTINGS!$C$10,SETTINGS!$C$11,SETTINGS!$C$12,SETTINGS!$C$13)))</f>
        <v/>
      </c>
      <c r="T218" s="34" t="str">
        <f aca="true">IF($H218="","(chưa có nội dung)",IF($L218="",IF($C218&lt;TODAY(),"⚠ TRỄ HỌC",IF($C218=TODAY(),"★ HỌC HÔM NAY","• Chưa tới")),IF($R218&gt;=5,"✔ MASTER",IF($S218&lt;TODAY(),"⚠ TRỄ ÔN",IF($S218=TODAY(),"◆ ÔN HÔM NAY","✔ Đúng tiến độ")))))</f>
        <v>• Chưa tới</v>
      </c>
      <c r="U218" s="38" t="n">
        <f aca="false">IF($H218="","",$R218/5)</f>
        <v>0</v>
      </c>
    </row>
    <row r="219" customFormat="false" ht="15" hidden="false" customHeight="false" outlineLevel="0" collapsed="false">
      <c r="A219" s="31" t="s">
        <v>1457</v>
      </c>
      <c r="B219" s="31" t="n">
        <v>11</v>
      </c>
      <c r="C219" s="32" t="n">
        <f aca="false">SETTINGS!$C$3+$B219-1</f>
        <v>46310</v>
      </c>
      <c r="D219" s="33" t="s">
        <v>154</v>
      </c>
      <c r="E219" s="34" t="s">
        <v>1362</v>
      </c>
      <c r="F219" s="34" t="s">
        <v>280</v>
      </c>
      <c r="G219" s="34" t="s">
        <v>244</v>
      </c>
      <c r="H219" s="35" t="s">
        <v>1458</v>
      </c>
      <c r="I219" s="36" t="s">
        <v>1459</v>
      </c>
      <c r="J219" s="34" t="s">
        <v>1460</v>
      </c>
      <c r="K219" s="34" t="s">
        <v>1461</v>
      </c>
      <c r="L219" s="37"/>
      <c r="M219" s="37"/>
      <c r="N219" s="37"/>
      <c r="O219" s="37"/>
      <c r="P219" s="37"/>
      <c r="Q219" s="37"/>
      <c r="R219" s="31" t="n">
        <f aca="false">COUNT($M219:$Q219)</f>
        <v>0</v>
      </c>
      <c r="S219" s="32" t="str">
        <f aca="false">IF($L219="","",IF($R219&gt;=5,"",MAX($L219:$Q219)+CHOOSE($R219+1,SETTINGS!$C$9,SETTINGS!$C$10,SETTINGS!$C$11,SETTINGS!$C$12,SETTINGS!$C$13)))</f>
        <v/>
      </c>
      <c r="T219" s="34" t="str">
        <f aca="true">IF($H219="","(chưa có nội dung)",IF($L219="",IF($C219&lt;TODAY(),"⚠ TRỄ HỌC",IF($C219=TODAY(),"★ HỌC HÔM NAY","• Chưa tới")),IF($R219&gt;=5,"✔ MASTER",IF($S219&lt;TODAY(),"⚠ TRỄ ÔN",IF($S219=TODAY(),"◆ ÔN HÔM NAY","✔ Đúng tiến độ")))))</f>
        <v>• Chưa tới</v>
      </c>
      <c r="U219" s="38" t="n">
        <f aca="false">IF($H219="","",$R219/5)</f>
        <v>0</v>
      </c>
    </row>
    <row r="220" customFormat="false" ht="15" hidden="false" customHeight="false" outlineLevel="0" collapsed="false">
      <c r="A220" s="31" t="s">
        <v>1462</v>
      </c>
      <c r="B220" s="31" t="n">
        <v>11</v>
      </c>
      <c r="C220" s="32" t="n">
        <f aca="false">SETTINGS!$C$3+$B220-1</f>
        <v>46310</v>
      </c>
      <c r="D220" s="33" t="s">
        <v>154</v>
      </c>
      <c r="E220" s="34" t="s">
        <v>1362</v>
      </c>
      <c r="F220" s="34" t="s">
        <v>280</v>
      </c>
      <c r="G220" s="34" t="s">
        <v>1463</v>
      </c>
      <c r="H220" s="35" t="s">
        <v>1464</v>
      </c>
      <c r="I220" s="36" t="s">
        <v>1465</v>
      </c>
      <c r="J220" s="34" t="s">
        <v>1466</v>
      </c>
      <c r="K220" s="34" t="s">
        <v>1467</v>
      </c>
      <c r="L220" s="37"/>
      <c r="M220" s="37"/>
      <c r="N220" s="37"/>
      <c r="O220" s="37"/>
      <c r="P220" s="37"/>
      <c r="Q220" s="37"/>
      <c r="R220" s="31" t="n">
        <f aca="false">COUNT($M220:$Q220)</f>
        <v>0</v>
      </c>
      <c r="S220" s="32" t="str">
        <f aca="false">IF($L220="","",IF($R220&gt;=5,"",MAX($L220:$Q220)+CHOOSE($R220+1,SETTINGS!$C$9,SETTINGS!$C$10,SETTINGS!$C$11,SETTINGS!$C$12,SETTINGS!$C$13)))</f>
        <v/>
      </c>
      <c r="T220" s="34" t="str">
        <f aca="true">IF($H220="","(chưa có nội dung)",IF($L220="",IF($C220&lt;TODAY(),"⚠ TRỄ HỌC",IF($C220=TODAY(),"★ HỌC HÔM NAY","• Chưa tới")),IF($R220&gt;=5,"✔ MASTER",IF($S220&lt;TODAY(),"⚠ TRỄ ÔN",IF($S220=TODAY(),"◆ ÔN HÔM NAY","✔ Đúng tiến độ")))))</f>
        <v>• Chưa tới</v>
      </c>
      <c r="U220" s="38" t="n">
        <f aca="false">IF($H220="","",$R220/5)</f>
        <v>0</v>
      </c>
    </row>
    <row r="221" customFormat="false" ht="15" hidden="false" customHeight="false" outlineLevel="0" collapsed="false">
      <c r="A221" s="31" t="s">
        <v>1468</v>
      </c>
      <c r="B221" s="31" t="n">
        <v>11</v>
      </c>
      <c r="C221" s="32" t="n">
        <f aca="false">SETTINGS!$C$3+$B221-1</f>
        <v>46310</v>
      </c>
      <c r="D221" s="33" t="s">
        <v>154</v>
      </c>
      <c r="E221" s="34" t="s">
        <v>1362</v>
      </c>
      <c r="F221" s="34" t="s">
        <v>280</v>
      </c>
      <c r="G221" s="34" t="s">
        <v>1469</v>
      </c>
      <c r="H221" s="35" t="s">
        <v>1470</v>
      </c>
      <c r="I221" s="36" t="s">
        <v>1471</v>
      </c>
      <c r="J221" s="34" t="s">
        <v>1472</v>
      </c>
      <c r="K221" s="34" t="s">
        <v>1473</v>
      </c>
      <c r="L221" s="37"/>
      <c r="M221" s="37"/>
      <c r="N221" s="37"/>
      <c r="O221" s="37"/>
      <c r="P221" s="37"/>
      <c r="Q221" s="37"/>
      <c r="R221" s="31" t="n">
        <f aca="false">COUNT($M221:$Q221)</f>
        <v>0</v>
      </c>
      <c r="S221" s="32" t="str">
        <f aca="false">IF($L221="","",IF($R221&gt;=5,"",MAX($L221:$Q221)+CHOOSE($R221+1,SETTINGS!$C$9,SETTINGS!$C$10,SETTINGS!$C$11,SETTINGS!$C$12,SETTINGS!$C$13)))</f>
        <v/>
      </c>
      <c r="T221" s="34" t="str">
        <f aca="true">IF($H221="","(chưa có nội dung)",IF($L221="",IF($C221&lt;TODAY(),"⚠ TRỄ HỌC",IF($C221=TODAY(),"★ HỌC HÔM NAY","• Chưa tới")),IF($R221&gt;=5,"✔ MASTER",IF($S221&lt;TODAY(),"⚠ TRỄ ÔN",IF($S221=TODAY(),"◆ ÔN HÔM NAY","✔ Đúng tiến độ")))))</f>
        <v>• Chưa tới</v>
      </c>
      <c r="U221" s="38" t="n">
        <f aca="false">IF($H221="","",$R221/5)</f>
        <v>0</v>
      </c>
    </row>
    <row r="222" customFormat="false" ht="15" hidden="false" customHeight="false" outlineLevel="0" collapsed="false">
      <c r="A222" s="31" t="s">
        <v>1474</v>
      </c>
      <c r="B222" s="31" t="n">
        <v>11</v>
      </c>
      <c r="C222" s="32" t="n">
        <f aca="false">SETTINGS!$C$3+$B222-1</f>
        <v>46310</v>
      </c>
      <c r="D222" s="33" t="s">
        <v>154</v>
      </c>
      <c r="E222" s="34" t="s">
        <v>1362</v>
      </c>
      <c r="F222" s="34" t="s">
        <v>183</v>
      </c>
      <c r="G222" s="34" t="s">
        <v>1475</v>
      </c>
      <c r="H222" s="35" t="s">
        <v>1476</v>
      </c>
      <c r="I222" s="36" t="s">
        <v>1477</v>
      </c>
      <c r="J222" s="34" t="s">
        <v>1478</v>
      </c>
      <c r="K222" s="34" t="s">
        <v>1479</v>
      </c>
      <c r="L222" s="37"/>
      <c r="M222" s="37"/>
      <c r="N222" s="37"/>
      <c r="O222" s="37"/>
      <c r="P222" s="37"/>
      <c r="Q222" s="37"/>
      <c r="R222" s="31" t="n">
        <f aca="false">COUNT($M222:$Q222)</f>
        <v>0</v>
      </c>
      <c r="S222" s="32" t="str">
        <f aca="false">IF($L222="","",IF($R222&gt;=5,"",MAX($L222:$Q222)+CHOOSE($R222+1,SETTINGS!$C$9,SETTINGS!$C$10,SETTINGS!$C$11,SETTINGS!$C$12,SETTINGS!$C$13)))</f>
        <v/>
      </c>
      <c r="T222" s="34" t="str">
        <f aca="true">IF($H222="","(chưa có nội dung)",IF($L222="",IF($C222&lt;TODAY(),"⚠ TRỄ HỌC",IF($C222=TODAY(),"★ HỌC HÔM NAY","• Chưa tới")),IF($R222&gt;=5,"✔ MASTER",IF($S222&lt;TODAY(),"⚠ TRỄ ÔN",IF($S222=TODAY(),"◆ ÔN HÔM NAY","✔ Đúng tiến độ")))))</f>
        <v>• Chưa tới</v>
      </c>
      <c r="U222" s="38" t="n">
        <f aca="false">IF($H222="","",$R222/5)</f>
        <v>0</v>
      </c>
    </row>
    <row r="223" customFormat="false" ht="15" hidden="false" customHeight="false" outlineLevel="0" collapsed="false">
      <c r="A223" s="31" t="s">
        <v>1480</v>
      </c>
      <c r="B223" s="31" t="n">
        <v>12</v>
      </c>
      <c r="C223" s="32" t="n">
        <f aca="false">SETTINGS!$C$3+$B223-1</f>
        <v>46311</v>
      </c>
      <c r="D223" s="33" t="s">
        <v>154</v>
      </c>
      <c r="E223" s="34" t="s">
        <v>1481</v>
      </c>
      <c r="F223" s="34" t="s">
        <v>280</v>
      </c>
      <c r="G223" s="34" t="s">
        <v>1482</v>
      </c>
      <c r="H223" s="35" t="s">
        <v>1483</v>
      </c>
      <c r="I223" s="36" t="s">
        <v>1484</v>
      </c>
      <c r="J223" s="34" t="s">
        <v>1485</v>
      </c>
      <c r="K223" s="34" t="s">
        <v>1486</v>
      </c>
      <c r="L223" s="37"/>
      <c r="M223" s="37"/>
      <c r="N223" s="37"/>
      <c r="O223" s="37"/>
      <c r="P223" s="37"/>
      <c r="Q223" s="37"/>
      <c r="R223" s="31" t="n">
        <f aca="false">COUNT($M223:$Q223)</f>
        <v>0</v>
      </c>
      <c r="S223" s="32" t="str">
        <f aca="false">IF($L223="","",IF($R223&gt;=5,"",MAX($L223:$Q223)+CHOOSE($R223+1,SETTINGS!$C$9,SETTINGS!$C$10,SETTINGS!$C$11,SETTINGS!$C$12,SETTINGS!$C$13)))</f>
        <v/>
      </c>
      <c r="T223" s="34" t="str">
        <f aca="true">IF($H223="","(chưa có nội dung)",IF($L223="",IF($C223&lt;TODAY(),"⚠ TRỄ HỌC",IF($C223=TODAY(),"★ HỌC HÔM NAY","• Chưa tới")),IF($R223&gt;=5,"✔ MASTER",IF($S223&lt;TODAY(),"⚠ TRỄ ÔN",IF($S223=TODAY(),"◆ ÔN HÔM NAY","✔ Đúng tiến độ")))))</f>
        <v>• Chưa tới</v>
      </c>
      <c r="U223" s="38" t="n">
        <f aca="false">IF($H223="","",$R223/5)</f>
        <v>0</v>
      </c>
    </row>
    <row r="224" customFormat="false" ht="15" hidden="false" customHeight="false" outlineLevel="0" collapsed="false">
      <c r="A224" s="31" t="s">
        <v>1487</v>
      </c>
      <c r="B224" s="31" t="n">
        <v>12</v>
      </c>
      <c r="C224" s="32" t="n">
        <f aca="false">SETTINGS!$C$3+$B224-1</f>
        <v>46311</v>
      </c>
      <c r="D224" s="33" t="s">
        <v>154</v>
      </c>
      <c r="E224" s="34" t="s">
        <v>1481</v>
      </c>
      <c r="F224" s="34" t="s">
        <v>163</v>
      </c>
      <c r="G224" s="34" t="s">
        <v>1488</v>
      </c>
      <c r="H224" s="35" t="s">
        <v>1489</v>
      </c>
      <c r="I224" s="36" t="s">
        <v>1490</v>
      </c>
      <c r="J224" s="34" t="s">
        <v>1491</v>
      </c>
      <c r="K224" s="34" t="s">
        <v>1492</v>
      </c>
      <c r="L224" s="37"/>
      <c r="M224" s="37"/>
      <c r="N224" s="37"/>
      <c r="O224" s="37"/>
      <c r="P224" s="37"/>
      <c r="Q224" s="37"/>
      <c r="R224" s="31" t="n">
        <f aca="false">COUNT($M224:$Q224)</f>
        <v>0</v>
      </c>
      <c r="S224" s="32" t="str">
        <f aca="false">IF($L224="","",IF($R224&gt;=5,"",MAX($L224:$Q224)+CHOOSE($R224+1,SETTINGS!$C$9,SETTINGS!$C$10,SETTINGS!$C$11,SETTINGS!$C$12,SETTINGS!$C$13)))</f>
        <v/>
      </c>
      <c r="T224" s="34" t="str">
        <f aca="true">IF($H224="","(chưa có nội dung)",IF($L224="",IF($C224&lt;TODAY(),"⚠ TRỄ HỌC",IF($C224=TODAY(),"★ HỌC HÔM NAY","• Chưa tới")),IF($R224&gt;=5,"✔ MASTER",IF($S224&lt;TODAY(),"⚠ TRỄ ÔN",IF($S224=TODAY(),"◆ ÔN HÔM NAY","✔ Đúng tiến độ")))))</f>
        <v>• Chưa tới</v>
      </c>
      <c r="U224" s="38" t="n">
        <f aca="false">IF($H224="","",$R224/5)</f>
        <v>0</v>
      </c>
    </row>
    <row r="225" customFormat="false" ht="15" hidden="false" customHeight="false" outlineLevel="0" collapsed="false">
      <c r="A225" s="31" t="s">
        <v>1493</v>
      </c>
      <c r="B225" s="31" t="n">
        <v>12</v>
      </c>
      <c r="C225" s="32" t="n">
        <f aca="false">SETTINGS!$C$3+$B225-1</f>
        <v>46311</v>
      </c>
      <c r="D225" s="33" t="s">
        <v>154</v>
      </c>
      <c r="E225" s="34" t="s">
        <v>1481</v>
      </c>
      <c r="F225" s="34" t="s">
        <v>280</v>
      </c>
      <c r="G225" s="34" t="s">
        <v>1494</v>
      </c>
      <c r="H225" s="35" t="s">
        <v>1495</v>
      </c>
      <c r="I225" s="36" t="s">
        <v>1496</v>
      </c>
      <c r="J225" s="34" t="s">
        <v>1497</v>
      </c>
      <c r="K225" s="34" t="s">
        <v>1498</v>
      </c>
      <c r="L225" s="37"/>
      <c r="M225" s="37"/>
      <c r="N225" s="37"/>
      <c r="O225" s="37"/>
      <c r="P225" s="37"/>
      <c r="Q225" s="37"/>
      <c r="R225" s="31" t="n">
        <f aca="false">COUNT($M225:$Q225)</f>
        <v>0</v>
      </c>
      <c r="S225" s="32" t="str">
        <f aca="false">IF($L225="","",IF($R225&gt;=5,"",MAX($L225:$Q225)+CHOOSE($R225+1,SETTINGS!$C$9,SETTINGS!$C$10,SETTINGS!$C$11,SETTINGS!$C$12,SETTINGS!$C$13)))</f>
        <v/>
      </c>
      <c r="T225" s="34" t="str">
        <f aca="true">IF($H225="","(chưa có nội dung)",IF($L225="",IF($C225&lt;TODAY(),"⚠ TRỄ HỌC",IF($C225=TODAY(),"★ HỌC HÔM NAY","• Chưa tới")),IF($R225&gt;=5,"✔ MASTER",IF($S225&lt;TODAY(),"⚠ TRỄ ÔN",IF($S225=TODAY(),"◆ ÔN HÔM NAY","✔ Đúng tiến độ")))))</f>
        <v>• Chưa tới</v>
      </c>
      <c r="U225" s="38" t="n">
        <f aca="false">IF($H225="","",$R225/5)</f>
        <v>0</v>
      </c>
    </row>
    <row r="226" customFormat="false" ht="15" hidden="false" customHeight="false" outlineLevel="0" collapsed="false">
      <c r="A226" s="31" t="s">
        <v>1499</v>
      </c>
      <c r="B226" s="31" t="n">
        <v>12</v>
      </c>
      <c r="C226" s="32" t="n">
        <f aca="false">SETTINGS!$C$3+$B226-1</f>
        <v>46311</v>
      </c>
      <c r="D226" s="33" t="s">
        <v>154</v>
      </c>
      <c r="E226" s="34" t="s">
        <v>1481</v>
      </c>
      <c r="F226" s="34" t="s">
        <v>280</v>
      </c>
      <c r="G226" s="34" t="s">
        <v>1500</v>
      </c>
      <c r="H226" s="35" t="s">
        <v>1501</v>
      </c>
      <c r="I226" s="36" t="s">
        <v>1502</v>
      </c>
      <c r="J226" s="34" t="s">
        <v>1503</v>
      </c>
      <c r="K226" s="34" t="s">
        <v>1504</v>
      </c>
      <c r="L226" s="37"/>
      <c r="M226" s="37"/>
      <c r="N226" s="37"/>
      <c r="O226" s="37"/>
      <c r="P226" s="37"/>
      <c r="Q226" s="37"/>
      <c r="R226" s="31" t="n">
        <f aca="false">COUNT($M226:$Q226)</f>
        <v>0</v>
      </c>
      <c r="S226" s="32" t="str">
        <f aca="false">IF($L226="","",IF($R226&gt;=5,"",MAX($L226:$Q226)+CHOOSE($R226+1,SETTINGS!$C$9,SETTINGS!$C$10,SETTINGS!$C$11,SETTINGS!$C$12,SETTINGS!$C$13)))</f>
        <v/>
      </c>
      <c r="T226" s="34" t="str">
        <f aca="true">IF($H226="","(chưa có nội dung)",IF($L226="",IF($C226&lt;TODAY(),"⚠ TRỄ HỌC",IF($C226=TODAY(),"★ HỌC HÔM NAY","• Chưa tới")),IF($R226&gt;=5,"✔ MASTER",IF($S226&lt;TODAY(),"⚠ TRỄ ÔN",IF($S226=TODAY(),"◆ ÔN HÔM NAY","✔ Đúng tiến độ")))))</f>
        <v>• Chưa tới</v>
      </c>
      <c r="U226" s="38" t="n">
        <f aca="false">IF($H226="","",$R226/5)</f>
        <v>0</v>
      </c>
    </row>
    <row r="227" customFormat="false" ht="15" hidden="false" customHeight="false" outlineLevel="0" collapsed="false">
      <c r="A227" s="31" t="s">
        <v>1505</v>
      </c>
      <c r="B227" s="31" t="n">
        <v>12</v>
      </c>
      <c r="C227" s="32" t="n">
        <f aca="false">SETTINGS!$C$3+$B227-1</f>
        <v>46311</v>
      </c>
      <c r="D227" s="33" t="s">
        <v>154</v>
      </c>
      <c r="E227" s="34" t="s">
        <v>1481</v>
      </c>
      <c r="F227" s="34" t="s">
        <v>280</v>
      </c>
      <c r="G227" s="34" t="s">
        <v>1506</v>
      </c>
      <c r="H227" s="35" t="s">
        <v>1507</v>
      </c>
      <c r="I227" s="36" t="s">
        <v>1508</v>
      </c>
      <c r="J227" s="34" t="s">
        <v>1509</v>
      </c>
      <c r="K227" s="34" t="s">
        <v>1510</v>
      </c>
      <c r="L227" s="37"/>
      <c r="M227" s="37"/>
      <c r="N227" s="37"/>
      <c r="O227" s="37"/>
      <c r="P227" s="37"/>
      <c r="Q227" s="37"/>
      <c r="R227" s="31" t="n">
        <f aca="false">COUNT($M227:$Q227)</f>
        <v>0</v>
      </c>
      <c r="S227" s="32" t="str">
        <f aca="false">IF($L227="","",IF($R227&gt;=5,"",MAX($L227:$Q227)+CHOOSE($R227+1,SETTINGS!$C$9,SETTINGS!$C$10,SETTINGS!$C$11,SETTINGS!$C$12,SETTINGS!$C$13)))</f>
        <v/>
      </c>
      <c r="T227" s="34" t="str">
        <f aca="true">IF($H227="","(chưa có nội dung)",IF($L227="",IF($C227&lt;TODAY(),"⚠ TRỄ HỌC",IF($C227=TODAY(),"★ HỌC HÔM NAY","• Chưa tới")),IF($R227&gt;=5,"✔ MASTER",IF($S227&lt;TODAY(),"⚠ TRỄ ÔN",IF($S227=TODAY(),"◆ ÔN HÔM NAY","✔ Đúng tiến độ")))))</f>
        <v>• Chưa tới</v>
      </c>
      <c r="U227" s="38" t="n">
        <f aca="false">IF($H227="","",$R227/5)</f>
        <v>0</v>
      </c>
    </row>
    <row r="228" customFormat="false" ht="15" hidden="false" customHeight="false" outlineLevel="0" collapsed="false">
      <c r="A228" s="31" t="s">
        <v>1511</v>
      </c>
      <c r="B228" s="31" t="n">
        <v>12</v>
      </c>
      <c r="C228" s="32" t="n">
        <f aca="false">SETTINGS!$C$3+$B228-1</f>
        <v>46311</v>
      </c>
      <c r="D228" s="33" t="s">
        <v>154</v>
      </c>
      <c r="E228" s="34" t="s">
        <v>1481</v>
      </c>
      <c r="F228" s="34" t="s">
        <v>183</v>
      </c>
      <c r="G228" s="34" t="s">
        <v>267</v>
      </c>
      <c r="H228" s="35" t="s">
        <v>1512</v>
      </c>
      <c r="I228" s="36" t="s">
        <v>1513</v>
      </c>
      <c r="J228" s="34" t="s">
        <v>1514</v>
      </c>
      <c r="K228" s="34" t="s">
        <v>1515</v>
      </c>
      <c r="L228" s="37"/>
      <c r="M228" s="37"/>
      <c r="N228" s="37"/>
      <c r="O228" s="37"/>
      <c r="P228" s="37"/>
      <c r="Q228" s="37"/>
      <c r="R228" s="31" t="n">
        <f aca="false">COUNT($M228:$Q228)</f>
        <v>0</v>
      </c>
      <c r="S228" s="32" t="str">
        <f aca="false">IF($L228="","",IF($R228&gt;=5,"",MAX($L228:$Q228)+CHOOSE($R228+1,SETTINGS!$C$9,SETTINGS!$C$10,SETTINGS!$C$11,SETTINGS!$C$12,SETTINGS!$C$13)))</f>
        <v/>
      </c>
      <c r="T228" s="34" t="str">
        <f aca="true">IF($H228="","(chưa có nội dung)",IF($L228="",IF($C228&lt;TODAY(),"⚠ TRỄ HỌC",IF($C228=TODAY(),"★ HỌC HÔM NAY","• Chưa tới")),IF($R228&gt;=5,"✔ MASTER",IF($S228&lt;TODAY(),"⚠ TRỄ ÔN",IF($S228=TODAY(),"◆ ÔN HÔM NAY","✔ Đúng tiến độ")))))</f>
        <v>• Chưa tới</v>
      </c>
      <c r="U228" s="38" t="n">
        <f aca="false">IF($H228="","",$R228/5)</f>
        <v>0</v>
      </c>
    </row>
    <row r="229" customFormat="false" ht="15" hidden="false" customHeight="false" outlineLevel="0" collapsed="false">
      <c r="A229" s="31" t="s">
        <v>1516</v>
      </c>
      <c r="B229" s="31" t="n">
        <v>12</v>
      </c>
      <c r="C229" s="32" t="n">
        <f aca="false">SETTINGS!$C$3+$B229-1</f>
        <v>46311</v>
      </c>
      <c r="D229" s="33" t="s">
        <v>154</v>
      </c>
      <c r="E229" s="34" t="s">
        <v>1481</v>
      </c>
      <c r="F229" s="34" t="s">
        <v>280</v>
      </c>
      <c r="G229" s="34" t="s">
        <v>1517</v>
      </c>
      <c r="H229" s="35" t="s">
        <v>1518</v>
      </c>
      <c r="I229" s="36" t="s">
        <v>1519</v>
      </c>
      <c r="J229" s="34" t="s">
        <v>1520</v>
      </c>
      <c r="K229" s="34" t="s">
        <v>1521</v>
      </c>
      <c r="L229" s="37"/>
      <c r="M229" s="37"/>
      <c r="N229" s="37"/>
      <c r="O229" s="37"/>
      <c r="P229" s="37"/>
      <c r="Q229" s="37"/>
      <c r="R229" s="31" t="n">
        <f aca="false">COUNT($M229:$Q229)</f>
        <v>0</v>
      </c>
      <c r="S229" s="32" t="str">
        <f aca="false">IF($L229="","",IF($R229&gt;=5,"",MAX($L229:$Q229)+CHOOSE($R229+1,SETTINGS!$C$9,SETTINGS!$C$10,SETTINGS!$C$11,SETTINGS!$C$12,SETTINGS!$C$13)))</f>
        <v/>
      </c>
      <c r="T229" s="34" t="str">
        <f aca="true">IF($H229="","(chưa có nội dung)",IF($L229="",IF($C229&lt;TODAY(),"⚠ TRỄ HỌC",IF($C229=TODAY(),"★ HỌC HÔM NAY","• Chưa tới")),IF($R229&gt;=5,"✔ MASTER",IF($S229&lt;TODAY(),"⚠ TRỄ ÔN",IF($S229=TODAY(),"◆ ÔN HÔM NAY","✔ Đúng tiến độ")))))</f>
        <v>• Chưa tới</v>
      </c>
      <c r="U229" s="38" t="n">
        <f aca="false">IF($H229="","",$R229/5)</f>
        <v>0</v>
      </c>
    </row>
    <row r="230" customFormat="false" ht="15" hidden="false" customHeight="false" outlineLevel="0" collapsed="false">
      <c r="A230" s="31" t="s">
        <v>1522</v>
      </c>
      <c r="B230" s="31" t="n">
        <v>12</v>
      </c>
      <c r="C230" s="32" t="n">
        <f aca="false">SETTINGS!$C$3+$B230-1</f>
        <v>46311</v>
      </c>
      <c r="D230" s="33" t="s">
        <v>154</v>
      </c>
      <c r="E230" s="34" t="s">
        <v>1481</v>
      </c>
      <c r="F230" s="34" t="s">
        <v>163</v>
      </c>
      <c r="G230" s="34" t="s">
        <v>1523</v>
      </c>
      <c r="H230" s="35" t="s">
        <v>1524</v>
      </c>
      <c r="I230" s="36" t="s">
        <v>1525</v>
      </c>
      <c r="J230" s="34" t="s">
        <v>1526</v>
      </c>
      <c r="K230" s="34" t="s">
        <v>1527</v>
      </c>
      <c r="L230" s="37"/>
      <c r="M230" s="37"/>
      <c r="N230" s="37"/>
      <c r="O230" s="37"/>
      <c r="P230" s="37"/>
      <c r="Q230" s="37"/>
      <c r="R230" s="31" t="n">
        <f aca="false">COUNT($M230:$Q230)</f>
        <v>0</v>
      </c>
      <c r="S230" s="32" t="str">
        <f aca="false">IF($L230="","",IF($R230&gt;=5,"",MAX($L230:$Q230)+CHOOSE($R230+1,SETTINGS!$C$9,SETTINGS!$C$10,SETTINGS!$C$11,SETTINGS!$C$12,SETTINGS!$C$13)))</f>
        <v/>
      </c>
      <c r="T230" s="34" t="str">
        <f aca="true">IF($H230="","(chưa có nội dung)",IF($L230="",IF($C230&lt;TODAY(),"⚠ TRỄ HỌC",IF($C230=TODAY(),"★ HỌC HÔM NAY","• Chưa tới")),IF($R230&gt;=5,"✔ MASTER",IF($S230&lt;TODAY(),"⚠ TRỄ ÔN",IF($S230=TODAY(),"◆ ÔN HÔM NAY","✔ Đúng tiến độ")))))</f>
        <v>• Chưa tới</v>
      </c>
      <c r="U230" s="38" t="n">
        <f aca="false">IF($H230="","",$R230/5)</f>
        <v>0</v>
      </c>
    </row>
    <row r="231" customFormat="false" ht="15" hidden="false" customHeight="false" outlineLevel="0" collapsed="false">
      <c r="A231" s="31" t="s">
        <v>1528</v>
      </c>
      <c r="B231" s="31" t="n">
        <v>12</v>
      </c>
      <c r="C231" s="32" t="n">
        <f aca="false">SETTINGS!$C$3+$B231-1</f>
        <v>46311</v>
      </c>
      <c r="D231" s="33" t="s">
        <v>154</v>
      </c>
      <c r="E231" s="34" t="s">
        <v>1481</v>
      </c>
      <c r="F231" s="34" t="s">
        <v>280</v>
      </c>
      <c r="G231" s="34" t="s">
        <v>1529</v>
      </c>
      <c r="H231" s="35" t="s">
        <v>1530</v>
      </c>
      <c r="I231" s="36" t="s">
        <v>1531</v>
      </c>
      <c r="J231" s="34" t="s">
        <v>1532</v>
      </c>
      <c r="K231" s="34" t="s">
        <v>1533</v>
      </c>
      <c r="L231" s="37"/>
      <c r="M231" s="37"/>
      <c r="N231" s="37"/>
      <c r="O231" s="37"/>
      <c r="P231" s="37"/>
      <c r="Q231" s="37"/>
      <c r="R231" s="31" t="n">
        <f aca="false">COUNT($M231:$Q231)</f>
        <v>0</v>
      </c>
      <c r="S231" s="32" t="str">
        <f aca="false">IF($L231="","",IF($R231&gt;=5,"",MAX($L231:$Q231)+CHOOSE($R231+1,SETTINGS!$C$9,SETTINGS!$C$10,SETTINGS!$C$11,SETTINGS!$C$12,SETTINGS!$C$13)))</f>
        <v/>
      </c>
      <c r="T231" s="34" t="str">
        <f aca="true">IF($H231="","(chưa có nội dung)",IF($L231="",IF($C231&lt;TODAY(),"⚠ TRỄ HỌC",IF($C231=TODAY(),"★ HỌC HÔM NAY","• Chưa tới")),IF($R231&gt;=5,"✔ MASTER",IF($S231&lt;TODAY(),"⚠ TRỄ ÔN",IF($S231=TODAY(),"◆ ÔN HÔM NAY","✔ Đúng tiến độ")))))</f>
        <v>• Chưa tới</v>
      </c>
      <c r="U231" s="38" t="n">
        <f aca="false">IF($H231="","",$R231/5)</f>
        <v>0</v>
      </c>
    </row>
    <row r="232" customFormat="false" ht="15" hidden="false" customHeight="false" outlineLevel="0" collapsed="false">
      <c r="A232" s="31" t="s">
        <v>1534</v>
      </c>
      <c r="B232" s="31" t="n">
        <v>12</v>
      </c>
      <c r="C232" s="32" t="n">
        <f aca="false">SETTINGS!$C$3+$B232-1</f>
        <v>46311</v>
      </c>
      <c r="D232" s="33" t="s">
        <v>154</v>
      </c>
      <c r="E232" s="34" t="s">
        <v>1481</v>
      </c>
      <c r="F232" s="34" t="s">
        <v>280</v>
      </c>
      <c r="G232" s="34" t="s">
        <v>1535</v>
      </c>
      <c r="H232" s="35" t="s">
        <v>1536</v>
      </c>
      <c r="I232" s="36" t="s">
        <v>1537</v>
      </c>
      <c r="J232" s="34" t="s">
        <v>1538</v>
      </c>
      <c r="K232" s="34" t="s">
        <v>1539</v>
      </c>
      <c r="L232" s="37"/>
      <c r="M232" s="37"/>
      <c r="N232" s="37"/>
      <c r="O232" s="37"/>
      <c r="P232" s="37"/>
      <c r="Q232" s="37"/>
      <c r="R232" s="31" t="n">
        <f aca="false">COUNT($M232:$Q232)</f>
        <v>0</v>
      </c>
      <c r="S232" s="32" t="str">
        <f aca="false">IF($L232="","",IF($R232&gt;=5,"",MAX($L232:$Q232)+CHOOSE($R232+1,SETTINGS!$C$9,SETTINGS!$C$10,SETTINGS!$C$11,SETTINGS!$C$12,SETTINGS!$C$13)))</f>
        <v/>
      </c>
      <c r="T232" s="34" t="str">
        <f aca="true">IF($H232="","(chưa có nội dung)",IF($L232="",IF($C232&lt;TODAY(),"⚠ TRỄ HỌC",IF($C232=TODAY(),"★ HỌC HÔM NAY","• Chưa tới")),IF($R232&gt;=5,"✔ MASTER",IF($S232&lt;TODAY(),"⚠ TRỄ ÔN",IF($S232=TODAY(),"◆ ÔN HÔM NAY","✔ Đúng tiến độ")))))</f>
        <v>• Chưa tới</v>
      </c>
      <c r="U232" s="38" t="n">
        <f aca="false">IF($H232="","",$R232/5)</f>
        <v>0</v>
      </c>
    </row>
    <row r="233" customFormat="false" ht="15" hidden="false" customHeight="false" outlineLevel="0" collapsed="false">
      <c r="A233" s="31" t="s">
        <v>1540</v>
      </c>
      <c r="B233" s="31" t="n">
        <v>12</v>
      </c>
      <c r="C233" s="32" t="n">
        <f aca="false">SETTINGS!$C$3+$B233-1</f>
        <v>46311</v>
      </c>
      <c r="D233" s="33" t="s">
        <v>154</v>
      </c>
      <c r="E233" s="34" t="s">
        <v>1481</v>
      </c>
      <c r="F233" s="34" t="s">
        <v>497</v>
      </c>
      <c r="G233" s="34" t="s">
        <v>1541</v>
      </c>
      <c r="H233" s="35" t="s">
        <v>1542</v>
      </c>
      <c r="I233" s="36" t="s">
        <v>1543</v>
      </c>
      <c r="J233" s="34" t="s">
        <v>1544</v>
      </c>
      <c r="K233" s="34" t="s">
        <v>1545</v>
      </c>
      <c r="L233" s="37"/>
      <c r="M233" s="37"/>
      <c r="N233" s="37"/>
      <c r="O233" s="37"/>
      <c r="P233" s="37"/>
      <c r="Q233" s="37"/>
      <c r="R233" s="31" t="n">
        <f aca="false">COUNT($M233:$Q233)</f>
        <v>0</v>
      </c>
      <c r="S233" s="32" t="str">
        <f aca="false">IF($L233="","",IF($R233&gt;=5,"",MAX($L233:$Q233)+CHOOSE($R233+1,SETTINGS!$C$9,SETTINGS!$C$10,SETTINGS!$C$11,SETTINGS!$C$12,SETTINGS!$C$13)))</f>
        <v/>
      </c>
      <c r="T233" s="34" t="str">
        <f aca="true">IF($H233="","(chưa có nội dung)",IF($L233="",IF($C233&lt;TODAY(),"⚠ TRỄ HỌC",IF($C233=TODAY(),"★ HỌC HÔM NAY","• Chưa tới")),IF($R233&gt;=5,"✔ MASTER",IF($S233&lt;TODAY(),"⚠ TRỄ ÔN",IF($S233=TODAY(),"◆ ÔN HÔM NAY","✔ Đúng tiến độ")))))</f>
        <v>• Chưa tới</v>
      </c>
      <c r="U233" s="38" t="n">
        <f aca="false">IF($H233="","",$R233/5)</f>
        <v>0</v>
      </c>
    </row>
    <row r="234" customFormat="false" ht="15" hidden="false" customHeight="false" outlineLevel="0" collapsed="false">
      <c r="A234" s="31" t="s">
        <v>1546</v>
      </c>
      <c r="B234" s="31" t="n">
        <v>12</v>
      </c>
      <c r="C234" s="32" t="n">
        <f aca="false">SETTINGS!$C$3+$B234-1</f>
        <v>46311</v>
      </c>
      <c r="D234" s="33" t="s">
        <v>154</v>
      </c>
      <c r="E234" s="34" t="s">
        <v>1481</v>
      </c>
      <c r="F234" s="34" t="s">
        <v>183</v>
      </c>
      <c r="G234" s="34" t="s">
        <v>1547</v>
      </c>
      <c r="H234" s="35" t="s">
        <v>1548</v>
      </c>
      <c r="I234" s="36" t="s">
        <v>1549</v>
      </c>
      <c r="J234" s="34" t="s">
        <v>1550</v>
      </c>
      <c r="K234" s="34" t="s">
        <v>1551</v>
      </c>
      <c r="L234" s="37"/>
      <c r="M234" s="37"/>
      <c r="N234" s="37"/>
      <c r="O234" s="37"/>
      <c r="P234" s="37"/>
      <c r="Q234" s="37"/>
      <c r="R234" s="31" t="n">
        <f aca="false">COUNT($M234:$Q234)</f>
        <v>0</v>
      </c>
      <c r="S234" s="32" t="str">
        <f aca="false">IF($L234="","",IF($R234&gt;=5,"",MAX($L234:$Q234)+CHOOSE($R234+1,SETTINGS!$C$9,SETTINGS!$C$10,SETTINGS!$C$11,SETTINGS!$C$12,SETTINGS!$C$13)))</f>
        <v/>
      </c>
      <c r="T234" s="34" t="str">
        <f aca="true">IF($H234="","(chưa có nội dung)",IF($L234="",IF($C234&lt;TODAY(),"⚠ TRỄ HỌC",IF($C234=TODAY(),"★ HỌC HÔM NAY","• Chưa tới")),IF($R234&gt;=5,"✔ MASTER",IF($S234&lt;TODAY(),"⚠ TRỄ ÔN",IF($S234=TODAY(),"◆ ÔN HÔM NAY","✔ Đúng tiến độ")))))</f>
        <v>• Chưa tới</v>
      </c>
      <c r="U234" s="38" t="n">
        <f aca="false">IF($H234="","",$R234/5)</f>
        <v>0</v>
      </c>
    </row>
    <row r="235" customFormat="false" ht="15" hidden="false" customHeight="false" outlineLevel="0" collapsed="false">
      <c r="A235" s="31" t="s">
        <v>1552</v>
      </c>
      <c r="B235" s="31" t="n">
        <v>12</v>
      </c>
      <c r="C235" s="32" t="n">
        <f aca="false">SETTINGS!$C$3+$B235-1</f>
        <v>46311</v>
      </c>
      <c r="D235" s="33" t="s">
        <v>154</v>
      </c>
      <c r="E235" s="34" t="s">
        <v>1481</v>
      </c>
      <c r="F235" s="34" t="s">
        <v>280</v>
      </c>
      <c r="G235" s="34" t="s">
        <v>1553</v>
      </c>
      <c r="H235" s="35" t="s">
        <v>1554</v>
      </c>
      <c r="I235" s="36" t="s">
        <v>1555</v>
      </c>
      <c r="J235" s="34" t="s">
        <v>1556</v>
      </c>
      <c r="K235" s="34" t="s">
        <v>1557</v>
      </c>
      <c r="L235" s="37"/>
      <c r="M235" s="37"/>
      <c r="N235" s="37"/>
      <c r="O235" s="37"/>
      <c r="P235" s="37"/>
      <c r="Q235" s="37"/>
      <c r="R235" s="31" t="n">
        <f aca="false">COUNT($M235:$Q235)</f>
        <v>0</v>
      </c>
      <c r="S235" s="32" t="str">
        <f aca="false">IF($L235="","",IF($R235&gt;=5,"",MAX($L235:$Q235)+CHOOSE($R235+1,SETTINGS!$C$9,SETTINGS!$C$10,SETTINGS!$C$11,SETTINGS!$C$12,SETTINGS!$C$13)))</f>
        <v/>
      </c>
      <c r="T235" s="34" t="str">
        <f aca="true">IF($H235="","(chưa có nội dung)",IF($L235="",IF($C235&lt;TODAY(),"⚠ TRỄ HỌC",IF($C235=TODAY(),"★ HỌC HÔM NAY","• Chưa tới")),IF($R235&gt;=5,"✔ MASTER",IF($S235&lt;TODAY(),"⚠ TRỄ ÔN",IF($S235=TODAY(),"◆ ÔN HÔM NAY","✔ Đúng tiến độ")))))</f>
        <v>• Chưa tới</v>
      </c>
      <c r="U235" s="38" t="n">
        <f aca="false">IF($H235="","",$R235/5)</f>
        <v>0</v>
      </c>
    </row>
    <row r="236" customFormat="false" ht="15" hidden="false" customHeight="false" outlineLevel="0" collapsed="false">
      <c r="A236" s="31" t="s">
        <v>1558</v>
      </c>
      <c r="B236" s="31" t="n">
        <v>12</v>
      </c>
      <c r="C236" s="32" t="n">
        <f aca="false">SETTINGS!$C$3+$B236-1</f>
        <v>46311</v>
      </c>
      <c r="D236" s="33" t="s">
        <v>154</v>
      </c>
      <c r="E236" s="34" t="s">
        <v>1481</v>
      </c>
      <c r="F236" s="34" t="s">
        <v>280</v>
      </c>
      <c r="G236" s="34" t="s">
        <v>1559</v>
      </c>
      <c r="H236" s="35" t="s">
        <v>1560</v>
      </c>
      <c r="I236" s="36" t="s">
        <v>1561</v>
      </c>
      <c r="J236" s="34" t="s">
        <v>1562</v>
      </c>
      <c r="K236" s="34" t="s">
        <v>1563</v>
      </c>
      <c r="L236" s="37"/>
      <c r="M236" s="37"/>
      <c r="N236" s="37"/>
      <c r="O236" s="37"/>
      <c r="P236" s="37"/>
      <c r="Q236" s="37"/>
      <c r="R236" s="31" t="n">
        <f aca="false">COUNT($M236:$Q236)</f>
        <v>0</v>
      </c>
      <c r="S236" s="32" t="str">
        <f aca="false">IF($L236="","",IF($R236&gt;=5,"",MAX($L236:$Q236)+CHOOSE($R236+1,SETTINGS!$C$9,SETTINGS!$C$10,SETTINGS!$C$11,SETTINGS!$C$12,SETTINGS!$C$13)))</f>
        <v/>
      </c>
      <c r="T236" s="34" t="str">
        <f aca="true">IF($H236="","(chưa có nội dung)",IF($L236="",IF($C236&lt;TODAY(),"⚠ TRỄ HỌC",IF($C236=TODAY(),"★ HỌC HÔM NAY","• Chưa tới")),IF($R236&gt;=5,"✔ MASTER",IF($S236&lt;TODAY(),"⚠ TRỄ ÔN",IF($S236=TODAY(),"◆ ÔN HÔM NAY","✔ Đúng tiến độ")))))</f>
        <v>• Chưa tới</v>
      </c>
      <c r="U236" s="38" t="n">
        <f aca="false">IF($H236="","",$R236/5)</f>
        <v>0</v>
      </c>
    </row>
    <row r="237" customFormat="false" ht="15" hidden="false" customHeight="false" outlineLevel="0" collapsed="false">
      <c r="A237" s="31" t="s">
        <v>1564</v>
      </c>
      <c r="B237" s="31" t="n">
        <v>12</v>
      </c>
      <c r="C237" s="32" t="n">
        <f aca="false">SETTINGS!$C$3+$B237-1</f>
        <v>46311</v>
      </c>
      <c r="D237" s="33" t="s">
        <v>154</v>
      </c>
      <c r="E237" s="34" t="s">
        <v>1481</v>
      </c>
      <c r="F237" s="34" t="s">
        <v>280</v>
      </c>
      <c r="G237" s="34" t="s">
        <v>1565</v>
      </c>
      <c r="H237" s="35" t="s">
        <v>1566</v>
      </c>
      <c r="I237" s="36" t="s">
        <v>1567</v>
      </c>
      <c r="J237" s="34" t="s">
        <v>1568</v>
      </c>
      <c r="K237" s="34" t="s">
        <v>1569</v>
      </c>
      <c r="L237" s="37"/>
      <c r="M237" s="37"/>
      <c r="N237" s="37"/>
      <c r="O237" s="37"/>
      <c r="P237" s="37"/>
      <c r="Q237" s="37"/>
      <c r="R237" s="31" t="n">
        <f aca="false">COUNT($M237:$Q237)</f>
        <v>0</v>
      </c>
      <c r="S237" s="32" t="str">
        <f aca="false">IF($L237="","",IF($R237&gt;=5,"",MAX($L237:$Q237)+CHOOSE($R237+1,SETTINGS!$C$9,SETTINGS!$C$10,SETTINGS!$C$11,SETTINGS!$C$12,SETTINGS!$C$13)))</f>
        <v/>
      </c>
      <c r="T237" s="34" t="str">
        <f aca="true">IF($H237="","(chưa có nội dung)",IF($L237="",IF($C237&lt;TODAY(),"⚠ TRỄ HỌC",IF($C237=TODAY(),"★ HỌC HÔM NAY","• Chưa tới")),IF($R237&gt;=5,"✔ MASTER",IF($S237&lt;TODAY(),"⚠ TRỄ ÔN",IF($S237=TODAY(),"◆ ÔN HÔM NAY","✔ Đúng tiến độ")))))</f>
        <v>• Chưa tới</v>
      </c>
      <c r="U237" s="38" t="n">
        <f aca="false">IF($H237="","",$R237/5)</f>
        <v>0</v>
      </c>
    </row>
    <row r="238" customFormat="false" ht="15" hidden="false" customHeight="false" outlineLevel="0" collapsed="false">
      <c r="A238" s="31" t="s">
        <v>1570</v>
      </c>
      <c r="B238" s="31" t="n">
        <v>12</v>
      </c>
      <c r="C238" s="32" t="n">
        <f aca="false">SETTINGS!$C$3+$B238-1</f>
        <v>46311</v>
      </c>
      <c r="D238" s="33" t="s">
        <v>154</v>
      </c>
      <c r="E238" s="34" t="s">
        <v>1481</v>
      </c>
      <c r="F238" s="34" t="s">
        <v>280</v>
      </c>
      <c r="G238" s="34" t="s">
        <v>1571</v>
      </c>
      <c r="H238" s="35" t="s">
        <v>1572</v>
      </c>
      <c r="I238" s="36" t="s">
        <v>1573</v>
      </c>
      <c r="J238" s="34" t="s">
        <v>1574</v>
      </c>
      <c r="K238" s="34" t="s">
        <v>1575</v>
      </c>
      <c r="L238" s="37"/>
      <c r="M238" s="37"/>
      <c r="N238" s="37"/>
      <c r="O238" s="37"/>
      <c r="P238" s="37"/>
      <c r="Q238" s="37"/>
      <c r="R238" s="31" t="n">
        <f aca="false">COUNT($M238:$Q238)</f>
        <v>0</v>
      </c>
      <c r="S238" s="32" t="str">
        <f aca="false">IF($L238="","",IF($R238&gt;=5,"",MAX($L238:$Q238)+CHOOSE($R238+1,SETTINGS!$C$9,SETTINGS!$C$10,SETTINGS!$C$11,SETTINGS!$C$12,SETTINGS!$C$13)))</f>
        <v/>
      </c>
      <c r="T238" s="34" t="str">
        <f aca="true">IF($H238="","(chưa có nội dung)",IF($L238="",IF($C238&lt;TODAY(),"⚠ TRỄ HỌC",IF($C238=TODAY(),"★ HỌC HÔM NAY","• Chưa tới")),IF($R238&gt;=5,"✔ MASTER",IF($S238&lt;TODAY(),"⚠ TRỄ ÔN",IF($S238=TODAY(),"◆ ÔN HÔM NAY","✔ Đúng tiến độ")))))</f>
        <v>• Chưa tới</v>
      </c>
      <c r="U238" s="38" t="n">
        <f aca="false">IF($H238="","",$R238/5)</f>
        <v>0</v>
      </c>
    </row>
    <row r="239" customFormat="false" ht="15" hidden="false" customHeight="false" outlineLevel="0" collapsed="false">
      <c r="A239" s="31" t="s">
        <v>1576</v>
      </c>
      <c r="B239" s="31" t="n">
        <v>12</v>
      </c>
      <c r="C239" s="32" t="n">
        <f aca="false">SETTINGS!$C$3+$B239-1</f>
        <v>46311</v>
      </c>
      <c r="D239" s="33" t="s">
        <v>154</v>
      </c>
      <c r="E239" s="34" t="s">
        <v>1481</v>
      </c>
      <c r="F239" s="34" t="s">
        <v>497</v>
      </c>
      <c r="G239" s="34" t="s">
        <v>1577</v>
      </c>
      <c r="H239" s="35" t="s">
        <v>1578</v>
      </c>
      <c r="I239" s="36" t="s">
        <v>1579</v>
      </c>
      <c r="J239" s="34" t="s">
        <v>1580</v>
      </c>
      <c r="K239" s="34" t="s">
        <v>1581</v>
      </c>
      <c r="L239" s="37"/>
      <c r="M239" s="37"/>
      <c r="N239" s="37"/>
      <c r="O239" s="37"/>
      <c r="P239" s="37"/>
      <c r="Q239" s="37"/>
      <c r="R239" s="31" t="n">
        <f aca="false">COUNT($M239:$Q239)</f>
        <v>0</v>
      </c>
      <c r="S239" s="32" t="str">
        <f aca="false">IF($L239="","",IF($R239&gt;=5,"",MAX($L239:$Q239)+CHOOSE($R239+1,SETTINGS!$C$9,SETTINGS!$C$10,SETTINGS!$C$11,SETTINGS!$C$12,SETTINGS!$C$13)))</f>
        <v/>
      </c>
      <c r="T239" s="34" t="str">
        <f aca="true">IF($H239="","(chưa có nội dung)",IF($L239="",IF($C239&lt;TODAY(),"⚠ TRỄ HỌC",IF($C239=TODAY(),"★ HỌC HÔM NAY","• Chưa tới")),IF($R239&gt;=5,"✔ MASTER",IF($S239&lt;TODAY(),"⚠ TRỄ ÔN",IF($S239=TODAY(),"◆ ÔN HÔM NAY","✔ Đúng tiến độ")))))</f>
        <v>• Chưa tới</v>
      </c>
      <c r="U239" s="38" t="n">
        <f aca="false">IF($H239="","",$R239/5)</f>
        <v>0</v>
      </c>
    </row>
    <row r="240" customFormat="false" ht="15" hidden="false" customHeight="false" outlineLevel="0" collapsed="false">
      <c r="A240" s="31" t="s">
        <v>1582</v>
      </c>
      <c r="B240" s="31" t="n">
        <v>12</v>
      </c>
      <c r="C240" s="32" t="n">
        <f aca="false">SETTINGS!$C$3+$B240-1</f>
        <v>46311</v>
      </c>
      <c r="D240" s="33" t="s">
        <v>154</v>
      </c>
      <c r="E240" s="34" t="s">
        <v>1481</v>
      </c>
      <c r="F240" s="34" t="s">
        <v>280</v>
      </c>
      <c r="G240" s="34" t="s">
        <v>1583</v>
      </c>
      <c r="H240" s="35" t="s">
        <v>1584</v>
      </c>
      <c r="I240" s="36" t="s">
        <v>1585</v>
      </c>
      <c r="J240" s="34" t="s">
        <v>1586</v>
      </c>
      <c r="K240" s="34" t="s">
        <v>1587</v>
      </c>
      <c r="L240" s="37"/>
      <c r="M240" s="37"/>
      <c r="N240" s="37"/>
      <c r="O240" s="37"/>
      <c r="P240" s="37"/>
      <c r="Q240" s="37"/>
      <c r="R240" s="31" t="n">
        <f aca="false">COUNT($M240:$Q240)</f>
        <v>0</v>
      </c>
      <c r="S240" s="32" t="str">
        <f aca="false">IF($L240="","",IF($R240&gt;=5,"",MAX($L240:$Q240)+CHOOSE($R240+1,SETTINGS!$C$9,SETTINGS!$C$10,SETTINGS!$C$11,SETTINGS!$C$12,SETTINGS!$C$13)))</f>
        <v/>
      </c>
      <c r="T240" s="34" t="str">
        <f aca="true">IF($H240="","(chưa có nội dung)",IF($L240="",IF($C240&lt;TODAY(),"⚠ TRỄ HỌC",IF($C240=TODAY(),"★ HỌC HÔM NAY","• Chưa tới")),IF($R240&gt;=5,"✔ MASTER",IF($S240&lt;TODAY(),"⚠ TRỄ ÔN",IF($S240=TODAY(),"◆ ÔN HÔM NAY","✔ Đúng tiến độ")))))</f>
        <v>• Chưa tới</v>
      </c>
      <c r="U240" s="38" t="n">
        <f aca="false">IF($H240="","",$R240/5)</f>
        <v>0</v>
      </c>
    </row>
    <row r="241" customFormat="false" ht="15" hidden="false" customHeight="false" outlineLevel="0" collapsed="false">
      <c r="A241" s="31" t="s">
        <v>1588</v>
      </c>
      <c r="B241" s="31" t="n">
        <v>12</v>
      </c>
      <c r="C241" s="32" t="n">
        <f aca="false">SETTINGS!$C$3+$B241-1</f>
        <v>46311</v>
      </c>
      <c r="D241" s="33" t="s">
        <v>154</v>
      </c>
      <c r="E241" s="34" t="s">
        <v>1481</v>
      </c>
      <c r="F241" s="34" t="s">
        <v>280</v>
      </c>
      <c r="G241" s="34" t="s">
        <v>1589</v>
      </c>
      <c r="H241" s="35" t="s">
        <v>1590</v>
      </c>
      <c r="I241" s="36" t="s">
        <v>1591</v>
      </c>
      <c r="J241" s="34" t="s">
        <v>1592</v>
      </c>
      <c r="K241" s="34" t="s">
        <v>1593</v>
      </c>
      <c r="L241" s="37"/>
      <c r="M241" s="37"/>
      <c r="N241" s="37"/>
      <c r="O241" s="37"/>
      <c r="P241" s="37"/>
      <c r="Q241" s="37"/>
      <c r="R241" s="31" t="n">
        <f aca="false">COUNT($M241:$Q241)</f>
        <v>0</v>
      </c>
      <c r="S241" s="32" t="str">
        <f aca="false">IF($L241="","",IF($R241&gt;=5,"",MAX($L241:$Q241)+CHOOSE($R241+1,SETTINGS!$C$9,SETTINGS!$C$10,SETTINGS!$C$11,SETTINGS!$C$12,SETTINGS!$C$13)))</f>
        <v/>
      </c>
      <c r="T241" s="34" t="str">
        <f aca="true">IF($H241="","(chưa có nội dung)",IF($L241="",IF($C241&lt;TODAY(),"⚠ TRỄ HỌC",IF($C241=TODAY(),"★ HỌC HÔM NAY","• Chưa tới")),IF($R241&gt;=5,"✔ MASTER",IF($S241&lt;TODAY(),"⚠ TRỄ ÔN",IF($S241=TODAY(),"◆ ÔN HÔM NAY","✔ Đúng tiến độ")))))</f>
        <v>• Chưa tới</v>
      </c>
      <c r="U241" s="38" t="n">
        <f aca="false">IF($H241="","",$R241/5)</f>
        <v>0</v>
      </c>
    </row>
    <row r="242" customFormat="false" ht="15" hidden="false" customHeight="false" outlineLevel="0" collapsed="false">
      <c r="A242" s="31" t="s">
        <v>1594</v>
      </c>
      <c r="B242" s="31" t="n">
        <v>12</v>
      </c>
      <c r="C242" s="32" t="n">
        <f aca="false">SETTINGS!$C$3+$B242-1</f>
        <v>46311</v>
      </c>
      <c r="D242" s="33" t="s">
        <v>154</v>
      </c>
      <c r="E242" s="34" t="s">
        <v>1481</v>
      </c>
      <c r="F242" s="34" t="s">
        <v>156</v>
      </c>
      <c r="G242" s="34" t="s">
        <v>209</v>
      </c>
      <c r="H242" s="35" t="s">
        <v>1595</v>
      </c>
      <c r="I242" s="36" t="s">
        <v>1596</v>
      </c>
      <c r="J242" s="34" t="s">
        <v>1597</v>
      </c>
      <c r="K242" s="34" t="s">
        <v>1598</v>
      </c>
      <c r="L242" s="37"/>
      <c r="M242" s="37"/>
      <c r="N242" s="37"/>
      <c r="O242" s="37"/>
      <c r="P242" s="37"/>
      <c r="Q242" s="37"/>
      <c r="R242" s="31" t="n">
        <f aca="false">COUNT($M242:$Q242)</f>
        <v>0</v>
      </c>
      <c r="S242" s="32" t="str">
        <f aca="false">IF($L242="","",IF($R242&gt;=5,"",MAX($L242:$Q242)+CHOOSE($R242+1,SETTINGS!$C$9,SETTINGS!$C$10,SETTINGS!$C$11,SETTINGS!$C$12,SETTINGS!$C$13)))</f>
        <v/>
      </c>
      <c r="T242" s="34" t="str">
        <f aca="true">IF($H242="","(chưa có nội dung)",IF($L242="",IF($C242&lt;TODAY(),"⚠ TRỄ HỌC",IF($C242=TODAY(),"★ HỌC HÔM NAY","• Chưa tới")),IF($R242&gt;=5,"✔ MASTER",IF($S242&lt;TODAY(),"⚠ TRỄ ÔN",IF($S242=TODAY(),"◆ ÔN HÔM NAY","✔ Đúng tiến độ")))))</f>
        <v>• Chưa tới</v>
      </c>
      <c r="U242" s="38" t="n">
        <f aca="false">IF($H242="","",$R242/5)</f>
        <v>0</v>
      </c>
    </row>
    <row r="243" customFormat="false" ht="15" hidden="false" customHeight="false" outlineLevel="0" collapsed="false">
      <c r="A243" s="31" t="s">
        <v>1599</v>
      </c>
      <c r="B243" s="31" t="n">
        <v>13</v>
      </c>
      <c r="C243" s="32" t="n">
        <f aca="false">SETTINGS!$C$3+$B243-1</f>
        <v>46312</v>
      </c>
      <c r="D243" s="33" t="s">
        <v>154</v>
      </c>
      <c r="E243" s="34" t="s">
        <v>1600</v>
      </c>
      <c r="F243" s="34" t="s">
        <v>163</v>
      </c>
      <c r="G243" s="34" t="s">
        <v>244</v>
      </c>
      <c r="H243" s="35" t="s">
        <v>1601</v>
      </c>
      <c r="I243" s="36" t="s">
        <v>1602</v>
      </c>
      <c r="J243" s="34" t="s">
        <v>1603</v>
      </c>
      <c r="K243" s="34" t="s">
        <v>1604</v>
      </c>
      <c r="L243" s="37"/>
      <c r="M243" s="37"/>
      <c r="N243" s="37"/>
      <c r="O243" s="37"/>
      <c r="P243" s="37"/>
      <c r="Q243" s="37"/>
      <c r="R243" s="31" t="n">
        <f aca="false">COUNT($M243:$Q243)</f>
        <v>0</v>
      </c>
      <c r="S243" s="32" t="str">
        <f aca="false">IF($L243="","",IF($R243&gt;=5,"",MAX($L243:$Q243)+CHOOSE($R243+1,SETTINGS!$C$9,SETTINGS!$C$10,SETTINGS!$C$11,SETTINGS!$C$12,SETTINGS!$C$13)))</f>
        <v/>
      </c>
      <c r="T243" s="34" t="str">
        <f aca="true">IF($H243="","(chưa có nội dung)",IF($L243="",IF($C243&lt;TODAY(),"⚠ TRỄ HỌC",IF($C243=TODAY(),"★ HỌC HÔM NAY","• Chưa tới")),IF($R243&gt;=5,"✔ MASTER",IF($S243&lt;TODAY(),"⚠ TRỄ ÔN",IF($S243=TODAY(),"◆ ÔN HÔM NAY","✔ Đúng tiến độ")))))</f>
        <v>• Chưa tới</v>
      </c>
      <c r="U243" s="38" t="n">
        <f aca="false">IF($H243="","",$R243/5)</f>
        <v>0</v>
      </c>
    </row>
    <row r="244" customFormat="false" ht="15" hidden="false" customHeight="false" outlineLevel="0" collapsed="false">
      <c r="A244" s="31" t="s">
        <v>1605</v>
      </c>
      <c r="B244" s="31" t="n">
        <v>13</v>
      </c>
      <c r="C244" s="32" t="n">
        <f aca="false">SETTINGS!$C$3+$B244-1</f>
        <v>46312</v>
      </c>
      <c r="D244" s="33" t="s">
        <v>154</v>
      </c>
      <c r="E244" s="34" t="s">
        <v>1600</v>
      </c>
      <c r="F244" s="34" t="s">
        <v>280</v>
      </c>
      <c r="G244" s="34" t="s">
        <v>1606</v>
      </c>
      <c r="H244" s="35" t="s">
        <v>1607</v>
      </c>
      <c r="I244" s="36" t="s">
        <v>1608</v>
      </c>
      <c r="J244" s="34" t="s">
        <v>1609</v>
      </c>
      <c r="K244" s="34" t="s">
        <v>1610</v>
      </c>
      <c r="L244" s="37"/>
      <c r="M244" s="37"/>
      <c r="N244" s="37"/>
      <c r="O244" s="37"/>
      <c r="P244" s="37"/>
      <c r="Q244" s="37"/>
      <c r="R244" s="31" t="n">
        <f aca="false">COUNT($M244:$Q244)</f>
        <v>0</v>
      </c>
      <c r="S244" s="32" t="str">
        <f aca="false">IF($L244="","",IF($R244&gt;=5,"",MAX($L244:$Q244)+CHOOSE($R244+1,SETTINGS!$C$9,SETTINGS!$C$10,SETTINGS!$C$11,SETTINGS!$C$12,SETTINGS!$C$13)))</f>
        <v/>
      </c>
      <c r="T244" s="34" t="str">
        <f aca="true">IF($H244="","(chưa có nội dung)",IF($L244="",IF($C244&lt;TODAY(),"⚠ TRỄ HỌC",IF($C244=TODAY(),"★ HỌC HÔM NAY","• Chưa tới")),IF($R244&gt;=5,"✔ MASTER",IF($S244&lt;TODAY(),"⚠ TRỄ ÔN",IF($S244=TODAY(),"◆ ÔN HÔM NAY","✔ Đúng tiến độ")))))</f>
        <v>• Chưa tới</v>
      </c>
      <c r="U244" s="38" t="n">
        <f aca="false">IF($H244="","",$R244/5)</f>
        <v>0</v>
      </c>
    </row>
    <row r="245" customFormat="false" ht="15" hidden="false" customHeight="false" outlineLevel="0" collapsed="false">
      <c r="A245" s="31" t="s">
        <v>1611</v>
      </c>
      <c r="B245" s="31" t="n">
        <v>13</v>
      </c>
      <c r="C245" s="32" t="n">
        <f aca="false">SETTINGS!$C$3+$B245-1</f>
        <v>46312</v>
      </c>
      <c r="D245" s="33" t="s">
        <v>154</v>
      </c>
      <c r="E245" s="34" t="s">
        <v>1600</v>
      </c>
      <c r="F245" s="34" t="s">
        <v>163</v>
      </c>
      <c r="G245" s="34" t="s">
        <v>460</v>
      </c>
      <c r="H245" s="35" t="s">
        <v>1612</v>
      </c>
      <c r="I245" s="36" t="s">
        <v>1613</v>
      </c>
      <c r="J245" s="34" t="s">
        <v>1614</v>
      </c>
      <c r="K245" s="34" t="s">
        <v>1615</v>
      </c>
      <c r="L245" s="37"/>
      <c r="M245" s="37"/>
      <c r="N245" s="37"/>
      <c r="O245" s="37"/>
      <c r="P245" s="37"/>
      <c r="Q245" s="37"/>
      <c r="R245" s="31" t="n">
        <f aca="false">COUNT($M245:$Q245)</f>
        <v>0</v>
      </c>
      <c r="S245" s="32" t="str">
        <f aca="false">IF($L245="","",IF($R245&gt;=5,"",MAX($L245:$Q245)+CHOOSE($R245+1,SETTINGS!$C$9,SETTINGS!$C$10,SETTINGS!$C$11,SETTINGS!$C$12,SETTINGS!$C$13)))</f>
        <v/>
      </c>
      <c r="T245" s="34" t="str">
        <f aca="true">IF($H245="","(chưa có nội dung)",IF($L245="",IF($C245&lt;TODAY(),"⚠ TRỄ HỌC",IF($C245=TODAY(),"★ HỌC HÔM NAY","• Chưa tới")),IF($R245&gt;=5,"✔ MASTER",IF($S245&lt;TODAY(),"⚠ TRỄ ÔN",IF($S245=TODAY(),"◆ ÔN HÔM NAY","✔ Đúng tiến độ")))))</f>
        <v>• Chưa tới</v>
      </c>
      <c r="U245" s="38" t="n">
        <f aca="false">IF($H245="","",$R245/5)</f>
        <v>0</v>
      </c>
    </row>
    <row r="246" customFormat="false" ht="15" hidden="false" customHeight="false" outlineLevel="0" collapsed="false">
      <c r="A246" s="31" t="s">
        <v>1616</v>
      </c>
      <c r="B246" s="31" t="n">
        <v>13</v>
      </c>
      <c r="C246" s="32" t="n">
        <f aca="false">SETTINGS!$C$3+$B246-1</f>
        <v>46312</v>
      </c>
      <c r="D246" s="33" t="s">
        <v>154</v>
      </c>
      <c r="E246" s="34" t="s">
        <v>1600</v>
      </c>
      <c r="F246" s="34" t="s">
        <v>280</v>
      </c>
      <c r="G246" s="34" t="s">
        <v>1617</v>
      </c>
      <c r="H246" s="35" t="s">
        <v>1618</v>
      </c>
      <c r="I246" s="36" t="s">
        <v>1619</v>
      </c>
      <c r="J246" s="34" t="s">
        <v>1620</v>
      </c>
      <c r="K246" s="34" t="s">
        <v>1621</v>
      </c>
      <c r="L246" s="37"/>
      <c r="M246" s="37"/>
      <c r="N246" s="37"/>
      <c r="O246" s="37"/>
      <c r="P246" s="37"/>
      <c r="Q246" s="37"/>
      <c r="R246" s="31" t="n">
        <f aca="false">COUNT($M246:$Q246)</f>
        <v>0</v>
      </c>
      <c r="S246" s="32" t="str">
        <f aca="false">IF($L246="","",IF($R246&gt;=5,"",MAX($L246:$Q246)+CHOOSE($R246+1,SETTINGS!$C$9,SETTINGS!$C$10,SETTINGS!$C$11,SETTINGS!$C$12,SETTINGS!$C$13)))</f>
        <v/>
      </c>
      <c r="T246" s="34" t="str">
        <f aca="true">IF($H246="","(chưa có nội dung)",IF($L246="",IF($C246&lt;TODAY(),"⚠ TRỄ HỌC",IF($C246=TODAY(),"★ HỌC HÔM NAY","• Chưa tới")),IF($R246&gt;=5,"✔ MASTER",IF($S246&lt;TODAY(),"⚠ TRỄ ÔN",IF($S246=TODAY(),"◆ ÔN HÔM NAY","✔ Đúng tiến độ")))))</f>
        <v>• Chưa tới</v>
      </c>
      <c r="U246" s="38" t="n">
        <f aca="false">IF($H246="","",$R246/5)</f>
        <v>0</v>
      </c>
    </row>
    <row r="247" customFormat="false" ht="15" hidden="false" customHeight="false" outlineLevel="0" collapsed="false">
      <c r="A247" s="31" t="s">
        <v>1622</v>
      </c>
      <c r="B247" s="31" t="n">
        <v>13</v>
      </c>
      <c r="C247" s="32" t="n">
        <f aca="false">SETTINGS!$C$3+$B247-1</f>
        <v>46312</v>
      </c>
      <c r="D247" s="33" t="s">
        <v>154</v>
      </c>
      <c r="E247" s="34" t="s">
        <v>1600</v>
      </c>
      <c r="F247" s="34" t="s">
        <v>280</v>
      </c>
      <c r="G247" s="34" t="s">
        <v>1623</v>
      </c>
      <c r="H247" s="35" t="s">
        <v>1624</v>
      </c>
      <c r="I247" s="36" t="s">
        <v>1625</v>
      </c>
      <c r="J247" s="34" t="s">
        <v>1626</v>
      </c>
      <c r="K247" s="34" t="s">
        <v>1627</v>
      </c>
      <c r="L247" s="37"/>
      <c r="M247" s="37"/>
      <c r="N247" s="37"/>
      <c r="O247" s="37"/>
      <c r="P247" s="37"/>
      <c r="Q247" s="37"/>
      <c r="R247" s="31" t="n">
        <f aca="false">COUNT($M247:$Q247)</f>
        <v>0</v>
      </c>
      <c r="S247" s="32" t="str">
        <f aca="false">IF($L247="","",IF($R247&gt;=5,"",MAX($L247:$Q247)+CHOOSE($R247+1,SETTINGS!$C$9,SETTINGS!$C$10,SETTINGS!$C$11,SETTINGS!$C$12,SETTINGS!$C$13)))</f>
        <v/>
      </c>
      <c r="T247" s="34" t="str">
        <f aca="true">IF($H247="","(chưa có nội dung)",IF($L247="",IF($C247&lt;TODAY(),"⚠ TRỄ HỌC",IF($C247=TODAY(),"★ HỌC HÔM NAY","• Chưa tới")),IF($R247&gt;=5,"✔ MASTER",IF($S247&lt;TODAY(),"⚠ TRỄ ÔN",IF($S247=TODAY(),"◆ ÔN HÔM NAY","✔ Đúng tiến độ")))))</f>
        <v>• Chưa tới</v>
      </c>
      <c r="U247" s="38" t="n">
        <f aca="false">IF($H247="","",$R247/5)</f>
        <v>0</v>
      </c>
    </row>
    <row r="248" customFormat="false" ht="15" hidden="false" customHeight="false" outlineLevel="0" collapsed="false">
      <c r="A248" s="31" t="s">
        <v>1628</v>
      </c>
      <c r="B248" s="31" t="n">
        <v>13</v>
      </c>
      <c r="C248" s="32" t="n">
        <f aca="false">SETTINGS!$C$3+$B248-1</f>
        <v>46312</v>
      </c>
      <c r="D248" s="33" t="s">
        <v>154</v>
      </c>
      <c r="E248" s="34" t="s">
        <v>1600</v>
      </c>
      <c r="F248" s="34" t="s">
        <v>163</v>
      </c>
      <c r="G248" s="34" t="s">
        <v>1629</v>
      </c>
      <c r="H248" s="35" t="s">
        <v>1630</v>
      </c>
      <c r="I248" s="36" t="s">
        <v>1631</v>
      </c>
      <c r="J248" s="34" t="s">
        <v>1632</v>
      </c>
      <c r="K248" s="34" t="s">
        <v>1633</v>
      </c>
      <c r="L248" s="37"/>
      <c r="M248" s="37"/>
      <c r="N248" s="37"/>
      <c r="O248" s="37"/>
      <c r="P248" s="37"/>
      <c r="Q248" s="37"/>
      <c r="R248" s="31" t="n">
        <f aca="false">COUNT($M248:$Q248)</f>
        <v>0</v>
      </c>
      <c r="S248" s="32" t="str">
        <f aca="false">IF($L248="","",IF($R248&gt;=5,"",MAX($L248:$Q248)+CHOOSE($R248+1,SETTINGS!$C$9,SETTINGS!$C$10,SETTINGS!$C$11,SETTINGS!$C$12,SETTINGS!$C$13)))</f>
        <v/>
      </c>
      <c r="T248" s="34" t="str">
        <f aca="true">IF($H248="","(chưa có nội dung)",IF($L248="",IF($C248&lt;TODAY(),"⚠ TRỄ HỌC",IF($C248=TODAY(),"★ HỌC HÔM NAY","• Chưa tới")),IF($R248&gt;=5,"✔ MASTER",IF($S248&lt;TODAY(),"⚠ TRỄ ÔN",IF($S248=TODAY(),"◆ ÔN HÔM NAY","✔ Đúng tiến độ")))))</f>
        <v>• Chưa tới</v>
      </c>
      <c r="U248" s="38" t="n">
        <f aca="false">IF($H248="","",$R248/5)</f>
        <v>0</v>
      </c>
    </row>
    <row r="249" customFormat="false" ht="15" hidden="false" customHeight="false" outlineLevel="0" collapsed="false">
      <c r="A249" s="31" t="s">
        <v>1634</v>
      </c>
      <c r="B249" s="31" t="n">
        <v>13</v>
      </c>
      <c r="C249" s="32" t="n">
        <f aca="false">SETTINGS!$C$3+$B249-1</f>
        <v>46312</v>
      </c>
      <c r="D249" s="33" t="s">
        <v>154</v>
      </c>
      <c r="E249" s="34" t="s">
        <v>1600</v>
      </c>
      <c r="F249" s="34" t="s">
        <v>280</v>
      </c>
      <c r="G249" s="34" t="s">
        <v>1635</v>
      </c>
      <c r="H249" s="35" t="s">
        <v>1636</v>
      </c>
      <c r="I249" s="36" t="s">
        <v>1637</v>
      </c>
      <c r="J249" s="34" t="s">
        <v>1638</v>
      </c>
      <c r="K249" s="34" t="s">
        <v>1639</v>
      </c>
      <c r="L249" s="37"/>
      <c r="M249" s="37"/>
      <c r="N249" s="37"/>
      <c r="O249" s="37"/>
      <c r="P249" s="37"/>
      <c r="Q249" s="37"/>
      <c r="R249" s="31" t="n">
        <f aca="false">COUNT($M249:$Q249)</f>
        <v>0</v>
      </c>
      <c r="S249" s="32" t="str">
        <f aca="false">IF($L249="","",IF($R249&gt;=5,"",MAX($L249:$Q249)+CHOOSE($R249+1,SETTINGS!$C$9,SETTINGS!$C$10,SETTINGS!$C$11,SETTINGS!$C$12,SETTINGS!$C$13)))</f>
        <v/>
      </c>
      <c r="T249" s="34" t="str">
        <f aca="true">IF($H249="","(chưa có nội dung)",IF($L249="",IF($C249&lt;TODAY(),"⚠ TRỄ HỌC",IF($C249=TODAY(),"★ HỌC HÔM NAY","• Chưa tới")),IF($R249&gt;=5,"✔ MASTER",IF($S249&lt;TODAY(),"⚠ TRỄ ÔN",IF($S249=TODAY(),"◆ ÔN HÔM NAY","✔ Đúng tiến độ")))))</f>
        <v>• Chưa tới</v>
      </c>
      <c r="U249" s="38" t="n">
        <f aca="false">IF($H249="","",$R249/5)</f>
        <v>0</v>
      </c>
    </row>
    <row r="250" customFormat="false" ht="15" hidden="false" customHeight="false" outlineLevel="0" collapsed="false">
      <c r="A250" s="31" t="s">
        <v>1640</v>
      </c>
      <c r="B250" s="31" t="n">
        <v>13</v>
      </c>
      <c r="C250" s="32" t="n">
        <f aca="false">SETTINGS!$C$3+$B250-1</f>
        <v>46312</v>
      </c>
      <c r="D250" s="33" t="s">
        <v>154</v>
      </c>
      <c r="E250" s="34" t="s">
        <v>1600</v>
      </c>
      <c r="F250" s="34" t="s">
        <v>183</v>
      </c>
      <c r="G250" s="34" t="s">
        <v>1641</v>
      </c>
      <c r="H250" s="35" t="s">
        <v>1642</v>
      </c>
      <c r="I250" s="36" t="s">
        <v>1643</v>
      </c>
      <c r="J250" s="34" t="s">
        <v>1644</v>
      </c>
      <c r="K250" s="34" t="s">
        <v>1633</v>
      </c>
      <c r="L250" s="37"/>
      <c r="M250" s="37"/>
      <c r="N250" s="37"/>
      <c r="O250" s="37"/>
      <c r="P250" s="37"/>
      <c r="Q250" s="37"/>
      <c r="R250" s="31" t="n">
        <f aca="false">COUNT($M250:$Q250)</f>
        <v>0</v>
      </c>
      <c r="S250" s="32" t="str">
        <f aca="false">IF($L250="","",IF($R250&gt;=5,"",MAX($L250:$Q250)+CHOOSE($R250+1,SETTINGS!$C$9,SETTINGS!$C$10,SETTINGS!$C$11,SETTINGS!$C$12,SETTINGS!$C$13)))</f>
        <v/>
      </c>
      <c r="T250" s="34" t="str">
        <f aca="true">IF($H250="","(chưa có nội dung)",IF($L250="",IF($C250&lt;TODAY(),"⚠ TRỄ HỌC",IF($C250=TODAY(),"★ HỌC HÔM NAY","• Chưa tới")),IF($R250&gt;=5,"✔ MASTER",IF($S250&lt;TODAY(),"⚠ TRỄ ÔN",IF($S250=TODAY(),"◆ ÔN HÔM NAY","✔ Đúng tiến độ")))))</f>
        <v>• Chưa tới</v>
      </c>
      <c r="U250" s="38" t="n">
        <f aca="false">IF($H250="","",$R250/5)</f>
        <v>0</v>
      </c>
    </row>
    <row r="251" customFormat="false" ht="15" hidden="false" customHeight="false" outlineLevel="0" collapsed="false">
      <c r="A251" s="31" t="s">
        <v>1645</v>
      </c>
      <c r="B251" s="31" t="n">
        <v>13</v>
      </c>
      <c r="C251" s="32" t="n">
        <f aca="false">SETTINGS!$C$3+$B251-1</f>
        <v>46312</v>
      </c>
      <c r="D251" s="33" t="s">
        <v>154</v>
      </c>
      <c r="E251" s="34" t="s">
        <v>1600</v>
      </c>
      <c r="F251" s="34" t="s">
        <v>156</v>
      </c>
      <c r="G251" s="34" t="s">
        <v>1646</v>
      </c>
      <c r="H251" s="35" t="s">
        <v>1647</v>
      </c>
      <c r="I251" s="36" t="s">
        <v>1648</v>
      </c>
      <c r="J251" s="34" t="s">
        <v>1649</v>
      </c>
      <c r="K251" s="34" t="s">
        <v>1650</v>
      </c>
      <c r="L251" s="37"/>
      <c r="M251" s="37"/>
      <c r="N251" s="37"/>
      <c r="O251" s="37"/>
      <c r="P251" s="37"/>
      <c r="Q251" s="37"/>
      <c r="R251" s="31" t="n">
        <f aca="false">COUNT($M251:$Q251)</f>
        <v>0</v>
      </c>
      <c r="S251" s="32" t="str">
        <f aca="false">IF($L251="","",IF($R251&gt;=5,"",MAX($L251:$Q251)+CHOOSE($R251+1,SETTINGS!$C$9,SETTINGS!$C$10,SETTINGS!$C$11,SETTINGS!$C$12,SETTINGS!$C$13)))</f>
        <v/>
      </c>
      <c r="T251" s="34" t="str">
        <f aca="true">IF($H251="","(chưa có nội dung)",IF($L251="",IF($C251&lt;TODAY(),"⚠ TRỄ HỌC",IF($C251=TODAY(),"★ HỌC HÔM NAY","• Chưa tới")),IF($R251&gt;=5,"✔ MASTER",IF($S251&lt;TODAY(),"⚠ TRỄ ÔN",IF($S251=TODAY(),"◆ ÔN HÔM NAY","✔ Đúng tiến độ")))))</f>
        <v>• Chưa tới</v>
      </c>
      <c r="U251" s="38" t="n">
        <f aca="false">IF($H251="","",$R251/5)</f>
        <v>0</v>
      </c>
    </row>
    <row r="252" customFormat="false" ht="15" hidden="false" customHeight="false" outlineLevel="0" collapsed="false">
      <c r="A252" s="31" t="s">
        <v>1651</v>
      </c>
      <c r="B252" s="31" t="n">
        <v>13</v>
      </c>
      <c r="C252" s="32" t="n">
        <f aca="false">SETTINGS!$C$3+$B252-1</f>
        <v>46312</v>
      </c>
      <c r="D252" s="33" t="s">
        <v>154</v>
      </c>
      <c r="E252" s="34" t="s">
        <v>1600</v>
      </c>
      <c r="F252" s="34" t="s">
        <v>163</v>
      </c>
      <c r="G252" s="34" t="s">
        <v>1652</v>
      </c>
      <c r="H252" s="35" t="s">
        <v>1653</v>
      </c>
      <c r="I252" s="36" t="s">
        <v>1654</v>
      </c>
      <c r="J252" s="34" t="s">
        <v>1655</v>
      </c>
      <c r="K252" s="34" t="s">
        <v>1656</v>
      </c>
      <c r="L252" s="37"/>
      <c r="M252" s="37"/>
      <c r="N252" s="37"/>
      <c r="O252" s="37"/>
      <c r="P252" s="37"/>
      <c r="Q252" s="37"/>
      <c r="R252" s="31" t="n">
        <f aca="false">COUNT($M252:$Q252)</f>
        <v>0</v>
      </c>
      <c r="S252" s="32" t="str">
        <f aca="false">IF($L252="","",IF($R252&gt;=5,"",MAX($L252:$Q252)+CHOOSE($R252+1,SETTINGS!$C$9,SETTINGS!$C$10,SETTINGS!$C$11,SETTINGS!$C$12,SETTINGS!$C$13)))</f>
        <v/>
      </c>
      <c r="T252" s="34" t="str">
        <f aca="true">IF($H252="","(chưa có nội dung)",IF($L252="",IF($C252&lt;TODAY(),"⚠ TRỄ HỌC",IF($C252=TODAY(),"★ HỌC HÔM NAY","• Chưa tới")),IF($R252&gt;=5,"✔ MASTER",IF($S252&lt;TODAY(),"⚠ TRỄ ÔN",IF($S252=TODAY(),"◆ ÔN HÔM NAY","✔ Đúng tiến độ")))))</f>
        <v>• Chưa tới</v>
      </c>
      <c r="U252" s="38" t="n">
        <f aca="false">IF($H252="","",$R252/5)</f>
        <v>0</v>
      </c>
    </row>
    <row r="253" customFormat="false" ht="15" hidden="false" customHeight="false" outlineLevel="0" collapsed="false">
      <c r="A253" s="31" t="s">
        <v>1657</v>
      </c>
      <c r="B253" s="31" t="n">
        <v>13</v>
      </c>
      <c r="C253" s="32" t="n">
        <f aca="false">SETTINGS!$C$3+$B253-1</f>
        <v>46312</v>
      </c>
      <c r="D253" s="33" t="s">
        <v>154</v>
      </c>
      <c r="E253" s="34" t="s">
        <v>1600</v>
      </c>
      <c r="F253" s="34" t="s">
        <v>280</v>
      </c>
      <c r="G253" s="34" t="s">
        <v>1658</v>
      </c>
      <c r="H253" s="35" t="s">
        <v>1659</v>
      </c>
      <c r="I253" s="36" t="s">
        <v>1660</v>
      </c>
      <c r="J253" s="34" t="s">
        <v>1661</v>
      </c>
      <c r="K253" s="34" t="s">
        <v>1662</v>
      </c>
      <c r="L253" s="37"/>
      <c r="M253" s="37"/>
      <c r="N253" s="37"/>
      <c r="O253" s="37"/>
      <c r="P253" s="37"/>
      <c r="Q253" s="37"/>
      <c r="R253" s="31" t="n">
        <f aca="false">COUNT($M253:$Q253)</f>
        <v>0</v>
      </c>
      <c r="S253" s="32" t="str">
        <f aca="false">IF($L253="","",IF($R253&gt;=5,"",MAX($L253:$Q253)+CHOOSE($R253+1,SETTINGS!$C$9,SETTINGS!$C$10,SETTINGS!$C$11,SETTINGS!$C$12,SETTINGS!$C$13)))</f>
        <v/>
      </c>
      <c r="T253" s="34" t="str">
        <f aca="true">IF($H253="","(chưa có nội dung)",IF($L253="",IF($C253&lt;TODAY(),"⚠ TRỄ HỌC",IF($C253=TODAY(),"★ HỌC HÔM NAY","• Chưa tới")),IF($R253&gt;=5,"✔ MASTER",IF($S253&lt;TODAY(),"⚠ TRỄ ÔN",IF($S253=TODAY(),"◆ ÔN HÔM NAY","✔ Đúng tiến độ")))))</f>
        <v>• Chưa tới</v>
      </c>
      <c r="U253" s="38" t="n">
        <f aca="false">IF($H253="","",$R253/5)</f>
        <v>0</v>
      </c>
    </row>
    <row r="254" customFormat="false" ht="15" hidden="false" customHeight="false" outlineLevel="0" collapsed="false">
      <c r="A254" s="31" t="s">
        <v>1663</v>
      </c>
      <c r="B254" s="31" t="n">
        <v>13</v>
      </c>
      <c r="C254" s="32" t="n">
        <f aca="false">SETTINGS!$C$3+$B254-1</f>
        <v>46312</v>
      </c>
      <c r="D254" s="33" t="s">
        <v>154</v>
      </c>
      <c r="E254" s="34" t="s">
        <v>1600</v>
      </c>
      <c r="F254" s="34" t="s">
        <v>156</v>
      </c>
      <c r="G254" s="34" t="s">
        <v>1664</v>
      </c>
      <c r="H254" s="35" t="s">
        <v>1665</v>
      </c>
      <c r="I254" s="36" t="s">
        <v>1666</v>
      </c>
      <c r="J254" s="34" t="s">
        <v>1667</v>
      </c>
      <c r="K254" s="34" t="s">
        <v>1668</v>
      </c>
      <c r="L254" s="37"/>
      <c r="M254" s="37"/>
      <c r="N254" s="37"/>
      <c r="O254" s="37"/>
      <c r="P254" s="37"/>
      <c r="Q254" s="37"/>
      <c r="R254" s="31" t="n">
        <f aca="false">COUNT($M254:$Q254)</f>
        <v>0</v>
      </c>
      <c r="S254" s="32" t="str">
        <f aca="false">IF($L254="","",IF($R254&gt;=5,"",MAX($L254:$Q254)+CHOOSE($R254+1,SETTINGS!$C$9,SETTINGS!$C$10,SETTINGS!$C$11,SETTINGS!$C$12,SETTINGS!$C$13)))</f>
        <v/>
      </c>
      <c r="T254" s="34" t="str">
        <f aca="true">IF($H254="","(chưa có nội dung)",IF($L254="",IF($C254&lt;TODAY(),"⚠ TRỄ HỌC",IF($C254=TODAY(),"★ HỌC HÔM NAY","• Chưa tới")),IF($R254&gt;=5,"✔ MASTER",IF($S254&lt;TODAY(),"⚠ TRỄ ÔN",IF($S254=TODAY(),"◆ ÔN HÔM NAY","✔ Đúng tiến độ")))))</f>
        <v>• Chưa tới</v>
      </c>
      <c r="U254" s="38" t="n">
        <f aca="false">IF($H254="","",$R254/5)</f>
        <v>0</v>
      </c>
    </row>
    <row r="255" customFormat="false" ht="15" hidden="false" customHeight="false" outlineLevel="0" collapsed="false">
      <c r="A255" s="31" t="s">
        <v>1669</v>
      </c>
      <c r="B255" s="31" t="n">
        <v>13</v>
      </c>
      <c r="C255" s="32" t="n">
        <f aca="false">SETTINGS!$C$3+$B255-1</f>
        <v>46312</v>
      </c>
      <c r="D255" s="33" t="s">
        <v>154</v>
      </c>
      <c r="E255" s="34" t="s">
        <v>1600</v>
      </c>
      <c r="F255" s="34" t="s">
        <v>163</v>
      </c>
      <c r="G255" s="34" t="s">
        <v>1670</v>
      </c>
      <c r="H255" s="35" t="s">
        <v>1671</v>
      </c>
      <c r="I255" s="36" t="s">
        <v>1672</v>
      </c>
      <c r="J255" s="34" t="s">
        <v>1673</v>
      </c>
      <c r="K255" s="34" t="s">
        <v>1674</v>
      </c>
      <c r="L255" s="37"/>
      <c r="M255" s="37"/>
      <c r="N255" s="37"/>
      <c r="O255" s="37"/>
      <c r="P255" s="37"/>
      <c r="Q255" s="37"/>
      <c r="R255" s="31" t="n">
        <f aca="false">COUNT($M255:$Q255)</f>
        <v>0</v>
      </c>
      <c r="S255" s="32" t="str">
        <f aca="false">IF($L255="","",IF($R255&gt;=5,"",MAX($L255:$Q255)+CHOOSE($R255+1,SETTINGS!$C$9,SETTINGS!$C$10,SETTINGS!$C$11,SETTINGS!$C$12,SETTINGS!$C$13)))</f>
        <v/>
      </c>
      <c r="T255" s="34" t="str">
        <f aca="true">IF($H255="","(chưa có nội dung)",IF($L255="",IF($C255&lt;TODAY(),"⚠ TRỄ HỌC",IF($C255=TODAY(),"★ HỌC HÔM NAY","• Chưa tới")),IF($R255&gt;=5,"✔ MASTER",IF($S255&lt;TODAY(),"⚠ TRỄ ÔN",IF($S255=TODAY(),"◆ ÔN HÔM NAY","✔ Đúng tiến độ")))))</f>
        <v>• Chưa tới</v>
      </c>
      <c r="U255" s="38" t="n">
        <f aca="false">IF($H255="","",$R255/5)</f>
        <v>0</v>
      </c>
    </row>
    <row r="256" customFormat="false" ht="15" hidden="false" customHeight="false" outlineLevel="0" collapsed="false">
      <c r="A256" s="31" t="s">
        <v>1675</v>
      </c>
      <c r="B256" s="31" t="n">
        <v>13</v>
      </c>
      <c r="C256" s="32" t="n">
        <f aca="false">SETTINGS!$C$3+$B256-1</f>
        <v>46312</v>
      </c>
      <c r="D256" s="33" t="s">
        <v>154</v>
      </c>
      <c r="E256" s="34" t="s">
        <v>1600</v>
      </c>
      <c r="F256" s="34" t="s">
        <v>280</v>
      </c>
      <c r="G256" s="34" t="s">
        <v>1676</v>
      </c>
      <c r="H256" s="35" t="s">
        <v>1677</v>
      </c>
      <c r="I256" s="36" t="s">
        <v>1678</v>
      </c>
      <c r="J256" s="34" t="s">
        <v>1679</v>
      </c>
      <c r="K256" s="34" t="s">
        <v>1680</v>
      </c>
      <c r="L256" s="37"/>
      <c r="M256" s="37"/>
      <c r="N256" s="37"/>
      <c r="O256" s="37"/>
      <c r="P256" s="37"/>
      <c r="Q256" s="37"/>
      <c r="R256" s="31" t="n">
        <f aca="false">COUNT($M256:$Q256)</f>
        <v>0</v>
      </c>
      <c r="S256" s="32" t="str">
        <f aca="false">IF($L256="","",IF($R256&gt;=5,"",MAX($L256:$Q256)+CHOOSE($R256+1,SETTINGS!$C$9,SETTINGS!$C$10,SETTINGS!$C$11,SETTINGS!$C$12,SETTINGS!$C$13)))</f>
        <v/>
      </c>
      <c r="T256" s="34" t="str">
        <f aca="true">IF($H256="","(chưa có nội dung)",IF($L256="",IF($C256&lt;TODAY(),"⚠ TRỄ HỌC",IF($C256=TODAY(),"★ HỌC HÔM NAY","• Chưa tới")),IF($R256&gt;=5,"✔ MASTER",IF($S256&lt;TODAY(),"⚠ TRỄ ÔN",IF($S256=TODAY(),"◆ ÔN HÔM NAY","✔ Đúng tiến độ")))))</f>
        <v>• Chưa tới</v>
      </c>
      <c r="U256" s="38" t="n">
        <f aca="false">IF($H256="","",$R256/5)</f>
        <v>0</v>
      </c>
    </row>
    <row r="257" customFormat="false" ht="15" hidden="false" customHeight="false" outlineLevel="0" collapsed="false">
      <c r="A257" s="31" t="s">
        <v>1681</v>
      </c>
      <c r="B257" s="31" t="n">
        <v>13</v>
      </c>
      <c r="C257" s="32" t="n">
        <f aca="false">SETTINGS!$C$3+$B257-1</f>
        <v>46312</v>
      </c>
      <c r="D257" s="33" t="s">
        <v>154</v>
      </c>
      <c r="E257" s="34" t="s">
        <v>1600</v>
      </c>
      <c r="F257" s="34" t="s">
        <v>163</v>
      </c>
      <c r="G257" s="34" t="s">
        <v>1682</v>
      </c>
      <c r="H257" s="35" t="s">
        <v>1683</v>
      </c>
      <c r="I257" s="36" t="s">
        <v>1684</v>
      </c>
      <c r="J257" s="34" t="s">
        <v>1685</v>
      </c>
      <c r="K257" s="34" t="s">
        <v>1686</v>
      </c>
      <c r="L257" s="37"/>
      <c r="M257" s="37"/>
      <c r="N257" s="37"/>
      <c r="O257" s="37"/>
      <c r="P257" s="37"/>
      <c r="Q257" s="37"/>
      <c r="R257" s="31" t="n">
        <f aca="false">COUNT($M257:$Q257)</f>
        <v>0</v>
      </c>
      <c r="S257" s="32" t="str">
        <f aca="false">IF($L257="","",IF($R257&gt;=5,"",MAX($L257:$Q257)+CHOOSE($R257+1,SETTINGS!$C$9,SETTINGS!$C$10,SETTINGS!$C$11,SETTINGS!$C$12,SETTINGS!$C$13)))</f>
        <v/>
      </c>
      <c r="T257" s="34" t="str">
        <f aca="true">IF($H257="","(chưa có nội dung)",IF($L257="",IF($C257&lt;TODAY(),"⚠ TRỄ HỌC",IF($C257=TODAY(),"★ HỌC HÔM NAY","• Chưa tới")),IF($R257&gt;=5,"✔ MASTER",IF($S257&lt;TODAY(),"⚠ TRỄ ÔN",IF($S257=TODAY(),"◆ ÔN HÔM NAY","✔ Đúng tiến độ")))))</f>
        <v>• Chưa tới</v>
      </c>
      <c r="U257" s="38" t="n">
        <f aca="false">IF($H257="","",$R257/5)</f>
        <v>0</v>
      </c>
    </row>
    <row r="258" customFormat="false" ht="15" hidden="false" customHeight="false" outlineLevel="0" collapsed="false">
      <c r="A258" s="31" t="s">
        <v>1687</v>
      </c>
      <c r="B258" s="31" t="n">
        <v>13</v>
      </c>
      <c r="C258" s="32" t="n">
        <f aca="false">SETTINGS!$C$3+$B258-1</f>
        <v>46312</v>
      </c>
      <c r="D258" s="33" t="s">
        <v>154</v>
      </c>
      <c r="E258" s="34" t="s">
        <v>1600</v>
      </c>
      <c r="F258" s="34" t="s">
        <v>280</v>
      </c>
      <c r="G258" s="34" t="s">
        <v>1688</v>
      </c>
      <c r="H258" s="35" t="s">
        <v>1689</v>
      </c>
      <c r="I258" s="36" t="s">
        <v>1690</v>
      </c>
      <c r="J258" s="34" t="s">
        <v>1691</v>
      </c>
      <c r="K258" s="34" t="s">
        <v>1692</v>
      </c>
      <c r="L258" s="37"/>
      <c r="M258" s="37"/>
      <c r="N258" s="37"/>
      <c r="O258" s="37"/>
      <c r="P258" s="37"/>
      <c r="Q258" s="37"/>
      <c r="R258" s="31" t="n">
        <f aca="false">COUNT($M258:$Q258)</f>
        <v>0</v>
      </c>
      <c r="S258" s="32" t="str">
        <f aca="false">IF($L258="","",IF($R258&gt;=5,"",MAX($L258:$Q258)+CHOOSE($R258+1,SETTINGS!$C$9,SETTINGS!$C$10,SETTINGS!$C$11,SETTINGS!$C$12,SETTINGS!$C$13)))</f>
        <v/>
      </c>
      <c r="T258" s="34" t="str">
        <f aca="true">IF($H258="","(chưa có nội dung)",IF($L258="",IF($C258&lt;TODAY(),"⚠ TRỄ HỌC",IF($C258=TODAY(),"★ HỌC HÔM NAY","• Chưa tới")),IF($R258&gt;=5,"✔ MASTER",IF($S258&lt;TODAY(),"⚠ TRỄ ÔN",IF($S258=TODAY(),"◆ ÔN HÔM NAY","✔ Đúng tiến độ")))))</f>
        <v>• Chưa tới</v>
      </c>
      <c r="U258" s="38" t="n">
        <f aca="false">IF($H258="","",$R258/5)</f>
        <v>0</v>
      </c>
    </row>
    <row r="259" customFormat="false" ht="15" hidden="false" customHeight="false" outlineLevel="0" collapsed="false">
      <c r="A259" s="31" t="s">
        <v>1693</v>
      </c>
      <c r="B259" s="31" t="n">
        <v>13</v>
      </c>
      <c r="C259" s="32" t="n">
        <f aca="false">SETTINGS!$C$3+$B259-1</f>
        <v>46312</v>
      </c>
      <c r="D259" s="33" t="s">
        <v>154</v>
      </c>
      <c r="E259" s="34" t="s">
        <v>1600</v>
      </c>
      <c r="F259" s="34" t="s">
        <v>163</v>
      </c>
      <c r="G259" s="34" t="s">
        <v>1694</v>
      </c>
      <c r="H259" s="35" t="s">
        <v>1695</v>
      </c>
      <c r="I259" s="36" t="s">
        <v>1696</v>
      </c>
      <c r="J259" s="34" t="s">
        <v>1697</v>
      </c>
      <c r="K259" s="34" t="s">
        <v>1698</v>
      </c>
      <c r="L259" s="37"/>
      <c r="M259" s="37"/>
      <c r="N259" s="37"/>
      <c r="O259" s="37"/>
      <c r="P259" s="37"/>
      <c r="Q259" s="37"/>
      <c r="R259" s="31" t="n">
        <f aca="false">COUNT($M259:$Q259)</f>
        <v>0</v>
      </c>
      <c r="S259" s="32" t="str">
        <f aca="false">IF($L259="","",IF($R259&gt;=5,"",MAX($L259:$Q259)+CHOOSE($R259+1,SETTINGS!$C$9,SETTINGS!$C$10,SETTINGS!$C$11,SETTINGS!$C$12,SETTINGS!$C$13)))</f>
        <v/>
      </c>
      <c r="T259" s="34" t="str">
        <f aca="true">IF($H259="","(chưa có nội dung)",IF($L259="",IF($C259&lt;TODAY(),"⚠ TRỄ HỌC",IF($C259=TODAY(),"★ HỌC HÔM NAY","• Chưa tới")),IF($R259&gt;=5,"✔ MASTER",IF($S259&lt;TODAY(),"⚠ TRỄ ÔN",IF($S259=TODAY(),"◆ ÔN HÔM NAY","✔ Đúng tiến độ")))))</f>
        <v>• Chưa tới</v>
      </c>
      <c r="U259" s="38" t="n">
        <f aca="false">IF($H259="","",$R259/5)</f>
        <v>0</v>
      </c>
    </row>
    <row r="260" customFormat="false" ht="15" hidden="false" customHeight="false" outlineLevel="0" collapsed="false">
      <c r="A260" s="31" t="s">
        <v>1699</v>
      </c>
      <c r="B260" s="31" t="n">
        <v>13</v>
      </c>
      <c r="C260" s="32" t="n">
        <f aca="false">SETTINGS!$C$3+$B260-1</f>
        <v>46312</v>
      </c>
      <c r="D260" s="33" t="s">
        <v>154</v>
      </c>
      <c r="E260" s="34" t="s">
        <v>1600</v>
      </c>
      <c r="F260" s="34" t="s">
        <v>280</v>
      </c>
      <c r="G260" s="34" t="s">
        <v>1700</v>
      </c>
      <c r="H260" s="35" t="s">
        <v>1701</v>
      </c>
      <c r="I260" s="36" t="s">
        <v>1702</v>
      </c>
      <c r="J260" s="34" t="s">
        <v>1703</v>
      </c>
      <c r="K260" s="34" t="s">
        <v>1704</v>
      </c>
      <c r="L260" s="37"/>
      <c r="M260" s="37"/>
      <c r="N260" s="37"/>
      <c r="O260" s="37"/>
      <c r="P260" s="37"/>
      <c r="Q260" s="37"/>
      <c r="R260" s="31" t="n">
        <f aca="false">COUNT($M260:$Q260)</f>
        <v>0</v>
      </c>
      <c r="S260" s="32" t="str">
        <f aca="false">IF($L260="","",IF($R260&gt;=5,"",MAX($L260:$Q260)+CHOOSE($R260+1,SETTINGS!$C$9,SETTINGS!$C$10,SETTINGS!$C$11,SETTINGS!$C$12,SETTINGS!$C$13)))</f>
        <v/>
      </c>
      <c r="T260" s="34" t="str">
        <f aca="true">IF($H260="","(chưa có nội dung)",IF($L260="",IF($C260&lt;TODAY(),"⚠ TRỄ HỌC",IF($C260=TODAY(),"★ HỌC HÔM NAY","• Chưa tới")),IF($R260&gt;=5,"✔ MASTER",IF($S260&lt;TODAY(),"⚠ TRỄ ÔN",IF($S260=TODAY(),"◆ ÔN HÔM NAY","✔ Đúng tiến độ")))))</f>
        <v>• Chưa tới</v>
      </c>
      <c r="U260" s="38" t="n">
        <f aca="false">IF($H260="","",$R260/5)</f>
        <v>0</v>
      </c>
    </row>
    <row r="261" customFormat="false" ht="15" hidden="false" customHeight="false" outlineLevel="0" collapsed="false">
      <c r="A261" s="31" t="s">
        <v>1705</v>
      </c>
      <c r="B261" s="31" t="n">
        <v>13</v>
      </c>
      <c r="C261" s="32" t="n">
        <f aca="false">SETTINGS!$C$3+$B261-1</f>
        <v>46312</v>
      </c>
      <c r="D261" s="33" t="s">
        <v>154</v>
      </c>
      <c r="E261" s="34" t="s">
        <v>1600</v>
      </c>
      <c r="F261" s="34" t="s">
        <v>163</v>
      </c>
      <c r="G261" s="34" t="s">
        <v>1706</v>
      </c>
      <c r="H261" s="35" t="s">
        <v>1707</v>
      </c>
      <c r="I261" s="36" t="s">
        <v>1708</v>
      </c>
      <c r="J261" s="34" t="s">
        <v>901</v>
      </c>
      <c r="K261" s="34" t="s">
        <v>902</v>
      </c>
      <c r="L261" s="37"/>
      <c r="M261" s="37"/>
      <c r="N261" s="37"/>
      <c r="O261" s="37"/>
      <c r="P261" s="37"/>
      <c r="Q261" s="37"/>
      <c r="R261" s="31" t="n">
        <f aca="false">COUNT($M261:$Q261)</f>
        <v>0</v>
      </c>
      <c r="S261" s="32" t="str">
        <f aca="false">IF($L261="","",IF($R261&gt;=5,"",MAX($L261:$Q261)+CHOOSE($R261+1,SETTINGS!$C$9,SETTINGS!$C$10,SETTINGS!$C$11,SETTINGS!$C$12,SETTINGS!$C$13)))</f>
        <v/>
      </c>
      <c r="T261" s="34" t="str">
        <f aca="true">IF($H261="","(chưa có nội dung)",IF($L261="",IF($C261&lt;TODAY(),"⚠ TRỄ HỌC",IF($C261=TODAY(),"★ HỌC HÔM NAY","• Chưa tới")),IF($R261&gt;=5,"✔ MASTER",IF($S261&lt;TODAY(),"⚠ TRỄ ÔN",IF($S261=TODAY(),"◆ ÔN HÔM NAY","✔ Đúng tiến độ")))))</f>
        <v>• Chưa tới</v>
      </c>
      <c r="U261" s="38" t="n">
        <f aca="false">IF($H261="","",$R261/5)</f>
        <v>0</v>
      </c>
    </row>
    <row r="262" customFormat="false" ht="15" hidden="false" customHeight="false" outlineLevel="0" collapsed="false">
      <c r="A262" s="31" t="s">
        <v>1709</v>
      </c>
      <c r="B262" s="31" t="n">
        <v>13</v>
      </c>
      <c r="C262" s="32" t="n">
        <f aca="false">SETTINGS!$C$3+$B262-1</f>
        <v>46312</v>
      </c>
      <c r="D262" s="33" t="s">
        <v>154</v>
      </c>
      <c r="E262" s="34" t="s">
        <v>1600</v>
      </c>
      <c r="F262" s="34" t="s">
        <v>280</v>
      </c>
      <c r="G262" s="34" t="s">
        <v>1710</v>
      </c>
      <c r="H262" s="35" t="s">
        <v>1711</v>
      </c>
      <c r="I262" s="36" t="s">
        <v>1712</v>
      </c>
      <c r="J262" s="34" t="s">
        <v>1713</v>
      </c>
      <c r="K262" s="34" t="s">
        <v>1714</v>
      </c>
      <c r="L262" s="37"/>
      <c r="M262" s="37"/>
      <c r="N262" s="37"/>
      <c r="O262" s="37"/>
      <c r="P262" s="37"/>
      <c r="Q262" s="37"/>
      <c r="R262" s="31" t="n">
        <f aca="false">COUNT($M262:$Q262)</f>
        <v>0</v>
      </c>
      <c r="S262" s="32" t="str">
        <f aca="false">IF($L262="","",IF($R262&gt;=5,"",MAX($L262:$Q262)+CHOOSE($R262+1,SETTINGS!$C$9,SETTINGS!$C$10,SETTINGS!$C$11,SETTINGS!$C$12,SETTINGS!$C$13)))</f>
        <v/>
      </c>
      <c r="T262" s="34" t="str">
        <f aca="true">IF($H262="","(chưa có nội dung)",IF($L262="",IF($C262&lt;TODAY(),"⚠ TRỄ HỌC",IF($C262=TODAY(),"★ HỌC HÔM NAY","• Chưa tới")),IF($R262&gt;=5,"✔ MASTER",IF($S262&lt;TODAY(),"⚠ TRỄ ÔN",IF($S262=TODAY(),"◆ ÔN HÔM NAY","✔ Đúng tiến độ")))))</f>
        <v>• Chưa tới</v>
      </c>
      <c r="U262" s="38" t="n">
        <f aca="false">IF($H262="","",$R262/5)</f>
        <v>0</v>
      </c>
    </row>
    <row r="263" customFormat="false" ht="15" hidden="false" customHeight="false" outlineLevel="0" collapsed="false">
      <c r="A263" s="31" t="s">
        <v>1715</v>
      </c>
      <c r="B263" s="31" t="n">
        <v>14</v>
      </c>
      <c r="C263" s="32" t="n">
        <f aca="false">SETTINGS!$C$3+$B263-1</f>
        <v>46313</v>
      </c>
      <c r="D263" s="33" t="s">
        <v>154</v>
      </c>
      <c r="E263" s="34" t="s">
        <v>1716</v>
      </c>
      <c r="F263" s="34" t="s">
        <v>163</v>
      </c>
      <c r="G263" s="34" t="s">
        <v>1717</v>
      </c>
      <c r="H263" s="35" t="s">
        <v>1718</v>
      </c>
      <c r="I263" s="36" t="s">
        <v>1719</v>
      </c>
      <c r="J263" s="34" t="s">
        <v>1720</v>
      </c>
      <c r="K263" s="34" t="s">
        <v>1721</v>
      </c>
      <c r="L263" s="37"/>
      <c r="M263" s="37"/>
      <c r="N263" s="37"/>
      <c r="O263" s="37"/>
      <c r="P263" s="37"/>
      <c r="Q263" s="37"/>
      <c r="R263" s="31" t="n">
        <f aca="false">COUNT($M263:$Q263)</f>
        <v>0</v>
      </c>
      <c r="S263" s="32" t="str">
        <f aca="false">IF($L263="","",IF($R263&gt;=5,"",MAX($L263:$Q263)+CHOOSE($R263+1,SETTINGS!$C$9,SETTINGS!$C$10,SETTINGS!$C$11,SETTINGS!$C$12,SETTINGS!$C$13)))</f>
        <v/>
      </c>
      <c r="T263" s="34" t="str">
        <f aca="true">IF($H263="","(chưa có nội dung)",IF($L263="",IF($C263&lt;TODAY(),"⚠ TRỄ HỌC",IF($C263=TODAY(),"★ HỌC HÔM NAY","• Chưa tới")),IF($R263&gt;=5,"✔ MASTER",IF($S263&lt;TODAY(),"⚠ TRỄ ÔN",IF($S263=TODAY(),"◆ ÔN HÔM NAY","✔ Đúng tiến độ")))))</f>
        <v>• Chưa tới</v>
      </c>
      <c r="U263" s="38" t="n">
        <f aca="false">IF($H263="","",$R263/5)</f>
        <v>0</v>
      </c>
    </row>
    <row r="264" customFormat="false" ht="15" hidden="false" customHeight="false" outlineLevel="0" collapsed="false">
      <c r="A264" s="31" t="s">
        <v>1722</v>
      </c>
      <c r="B264" s="31" t="n">
        <v>14</v>
      </c>
      <c r="C264" s="32" t="n">
        <f aca="false">SETTINGS!$C$3+$B264-1</f>
        <v>46313</v>
      </c>
      <c r="D264" s="33" t="s">
        <v>154</v>
      </c>
      <c r="E264" s="34" t="s">
        <v>1716</v>
      </c>
      <c r="F264" s="34" t="s">
        <v>163</v>
      </c>
      <c r="G264" s="34" t="s">
        <v>1723</v>
      </c>
      <c r="H264" s="35" t="s">
        <v>1724</v>
      </c>
      <c r="I264" s="36" t="s">
        <v>1725</v>
      </c>
      <c r="J264" s="34" t="s">
        <v>1726</v>
      </c>
      <c r="K264" s="34" t="s">
        <v>1727</v>
      </c>
      <c r="L264" s="37"/>
      <c r="M264" s="37"/>
      <c r="N264" s="37"/>
      <c r="O264" s="37"/>
      <c r="P264" s="37"/>
      <c r="Q264" s="37"/>
      <c r="R264" s="31" t="n">
        <f aca="false">COUNT($M264:$Q264)</f>
        <v>0</v>
      </c>
      <c r="S264" s="32" t="str">
        <f aca="false">IF($L264="","",IF($R264&gt;=5,"",MAX($L264:$Q264)+CHOOSE($R264+1,SETTINGS!$C$9,SETTINGS!$C$10,SETTINGS!$C$11,SETTINGS!$C$12,SETTINGS!$C$13)))</f>
        <v/>
      </c>
      <c r="T264" s="34" t="str">
        <f aca="true">IF($H264="","(chưa có nội dung)",IF($L264="",IF($C264&lt;TODAY(),"⚠ TRỄ HỌC",IF($C264=TODAY(),"★ HỌC HÔM NAY","• Chưa tới")),IF($R264&gt;=5,"✔ MASTER",IF($S264&lt;TODAY(),"⚠ TRỄ ÔN",IF($S264=TODAY(),"◆ ÔN HÔM NAY","✔ Đúng tiến độ")))))</f>
        <v>• Chưa tới</v>
      </c>
      <c r="U264" s="38" t="n">
        <f aca="false">IF($H264="","",$R264/5)</f>
        <v>0</v>
      </c>
    </row>
    <row r="265" customFormat="false" ht="15" hidden="false" customHeight="false" outlineLevel="0" collapsed="false">
      <c r="A265" s="31" t="s">
        <v>1728</v>
      </c>
      <c r="B265" s="31" t="n">
        <v>14</v>
      </c>
      <c r="C265" s="32" t="n">
        <f aca="false">SETTINGS!$C$3+$B265-1</f>
        <v>46313</v>
      </c>
      <c r="D265" s="33" t="s">
        <v>154</v>
      </c>
      <c r="E265" s="34" t="s">
        <v>1716</v>
      </c>
      <c r="F265" s="34" t="s">
        <v>280</v>
      </c>
      <c r="G265" s="34" t="s">
        <v>1729</v>
      </c>
      <c r="H265" s="35" t="s">
        <v>1730</v>
      </c>
      <c r="I265" s="36" t="s">
        <v>1731</v>
      </c>
      <c r="J265" s="34" t="s">
        <v>1732</v>
      </c>
      <c r="K265" s="34" t="s">
        <v>1733</v>
      </c>
      <c r="L265" s="37"/>
      <c r="M265" s="37"/>
      <c r="N265" s="37"/>
      <c r="O265" s="37"/>
      <c r="P265" s="37"/>
      <c r="Q265" s="37"/>
      <c r="R265" s="31" t="n">
        <f aca="false">COUNT($M265:$Q265)</f>
        <v>0</v>
      </c>
      <c r="S265" s="32" t="str">
        <f aca="false">IF($L265="","",IF($R265&gt;=5,"",MAX($L265:$Q265)+CHOOSE($R265+1,SETTINGS!$C$9,SETTINGS!$C$10,SETTINGS!$C$11,SETTINGS!$C$12,SETTINGS!$C$13)))</f>
        <v/>
      </c>
      <c r="T265" s="34" t="str">
        <f aca="true">IF($H265="","(chưa có nội dung)",IF($L265="",IF($C265&lt;TODAY(),"⚠ TRỄ HỌC",IF($C265=TODAY(),"★ HỌC HÔM NAY","• Chưa tới")),IF($R265&gt;=5,"✔ MASTER",IF($S265&lt;TODAY(),"⚠ TRỄ ÔN",IF($S265=TODAY(),"◆ ÔN HÔM NAY","✔ Đúng tiến độ")))))</f>
        <v>• Chưa tới</v>
      </c>
      <c r="U265" s="38" t="n">
        <f aca="false">IF($H265="","",$R265/5)</f>
        <v>0</v>
      </c>
    </row>
    <row r="266" customFormat="false" ht="15" hidden="false" customHeight="false" outlineLevel="0" collapsed="false">
      <c r="A266" s="31" t="s">
        <v>1734</v>
      </c>
      <c r="B266" s="31" t="n">
        <v>14</v>
      </c>
      <c r="C266" s="32" t="n">
        <f aca="false">SETTINGS!$C$3+$B266-1</f>
        <v>46313</v>
      </c>
      <c r="D266" s="33" t="s">
        <v>154</v>
      </c>
      <c r="E266" s="34" t="s">
        <v>1716</v>
      </c>
      <c r="F266" s="34" t="s">
        <v>163</v>
      </c>
      <c r="G266" s="34" t="s">
        <v>1735</v>
      </c>
      <c r="H266" s="35" t="s">
        <v>1736</v>
      </c>
      <c r="I266" s="36" t="s">
        <v>1737</v>
      </c>
      <c r="J266" s="34" t="s">
        <v>1738</v>
      </c>
      <c r="K266" s="34" t="s">
        <v>1739</v>
      </c>
      <c r="L266" s="37"/>
      <c r="M266" s="37"/>
      <c r="N266" s="37"/>
      <c r="O266" s="37"/>
      <c r="P266" s="37"/>
      <c r="Q266" s="37"/>
      <c r="R266" s="31" t="n">
        <f aca="false">COUNT($M266:$Q266)</f>
        <v>0</v>
      </c>
      <c r="S266" s="32" t="str">
        <f aca="false">IF($L266="","",IF($R266&gt;=5,"",MAX($L266:$Q266)+CHOOSE($R266+1,SETTINGS!$C$9,SETTINGS!$C$10,SETTINGS!$C$11,SETTINGS!$C$12,SETTINGS!$C$13)))</f>
        <v/>
      </c>
      <c r="T266" s="34" t="str">
        <f aca="true">IF($H266="","(chưa có nội dung)",IF($L266="",IF($C266&lt;TODAY(),"⚠ TRỄ HỌC",IF($C266=TODAY(),"★ HỌC HÔM NAY","• Chưa tới")),IF($R266&gt;=5,"✔ MASTER",IF($S266&lt;TODAY(),"⚠ TRỄ ÔN",IF($S266=TODAY(),"◆ ÔN HÔM NAY","✔ Đúng tiến độ")))))</f>
        <v>• Chưa tới</v>
      </c>
      <c r="U266" s="38" t="n">
        <f aca="false">IF($H266="","",$R266/5)</f>
        <v>0</v>
      </c>
    </row>
    <row r="267" customFormat="false" ht="15" hidden="false" customHeight="false" outlineLevel="0" collapsed="false">
      <c r="A267" s="31" t="s">
        <v>1740</v>
      </c>
      <c r="B267" s="31" t="n">
        <v>14</v>
      </c>
      <c r="C267" s="32" t="n">
        <f aca="false">SETTINGS!$C$3+$B267-1</f>
        <v>46313</v>
      </c>
      <c r="D267" s="33" t="s">
        <v>154</v>
      </c>
      <c r="E267" s="34" t="s">
        <v>1716</v>
      </c>
      <c r="F267" s="34" t="s">
        <v>280</v>
      </c>
      <c r="G267" s="34" t="s">
        <v>244</v>
      </c>
      <c r="H267" s="35" t="s">
        <v>1741</v>
      </c>
      <c r="I267" s="36" t="s">
        <v>1742</v>
      </c>
      <c r="J267" s="34" t="s">
        <v>1743</v>
      </c>
      <c r="K267" s="34" t="s">
        <v>1744</v>
      </c>
      <c r="L267" s="37"/>
      <c r="M267" s="37"/>
      <c r="N267" s="37"/>
      <c r="O267" s="37"/>
      <c r="P267" s="37"/>
      <c r="Q267" s="37"/>
      <c r="R267" s="31" t="n">
        <f aca="false">COUNT($M267:$Q267)</f>
        <v>0</v>
      </c>
      <c r="S267" s="32" t="str">
        <f aca="false">IF($L267="","",IF($R267&gt;=5,"",MAX($L267:$Q267)+CHOOSE($R267+1,SETTINGS!$C$9,SETTINGS!$C$10,SETTINGS!$C$11,SETTINGS!$C$12,SETTINGS!$C$13)))</f>
        <v/>
      </c>
      <c r="T267" s="34" t="str">
        <f aca="true">IF($H267="","(chưa có nội dung)",IF($L267="",IF($C267&lt;TODAY(),"⚠ TRỄ HỌC",IF($C267=TODAY(),"★ HỌC HÔM NAY","• Chưa tới")),IF($R267&gt;=5,"✔ MASTER",IF($S267&lt;TODAY(),"⚠ TRỄ ÔN",IF($S267=TODAY(),"◆ ÔN HÔM NAY","✔ Đúng tiến độ")))))</f>
        <v>• Chưa tới</v>
      </c>
      <c r="U267" s="38" t="n">
        <f aca="false">IF($H267="","",$R267/5)</f>
        <v>0</v>
      </c>
    </row>
    <row r="268" customFormat="false" ht="15" hidden="false" customHeight="false" outlineLevel="0" collapsed="false">
      <c r="A268" s="31" t="s">
        <v>1745</v>
      </c>
      <c r="B268" s="31" t="n">
        <v>14</v>
      </c>
      <c r="C268" s="32" t="n">
        <f aca="false">SETTINGS!$C$3+$B268-1</f>
        <v>46313</v>
      </c>
      <c r="D268" s="33" t="s">
        <v>154</v>
      </c>
      <c r="E268" s="34" t="s">
        <v>1716</v>
      </c>
      <c r="F268" s="34" t="s">
        <v>163</v>
      </c>
      <c r="G268" s="34" t="s">
        <v>1746</v>
      </c>
      <c r="H268" s="35" t="s">
        <v>1747</v>
      </c>
      <c r="I268" s="36" t="s">
        <v>1748</v>
      </c>
      <c r="J268" s="34" t="s">
        <v>1749</v>
      </c>
      <c r="K268" s="34" t="s">
        <v>1750</v>
      </c>
      <c r="L268" s="37"/>
      <c r="M268" s="37"/>
      <c r="N268" s="37"/>
      <c r="O268" s="37"/>
      <c r="P268" s="37"/>
      <c r="Q268" s="37"/>
      <c r="R268" s="31" t="n">
        <f aca="false">COUNT($M268:$Q268)</f>
        <v>0</v>
      </c>
      <c r="S268" s="32" t="str">
        <f aca="false">IF($L268="","",IF($R268&gt;=5,"",MAX($L268:$Q268)+CHOOSE($R268+1,SETTINGS!$C$9,SETTINGS!$C$10,SETTINGS!$C$11,SETTINGS!$C$12,SETTINGS!$C$13)))</f>
        <v/>
      </c>
      <c r="T268" s="34" t="str">
        <f aca="true">IF($H268="","(chưa có nội dung)",IF($L268="",IF($C268&lt;TODAY(),"⚠ TRỄ HỌC",IF($C268=TODAY(),"★ HỌC HÔM NAY","• Chưa tới")),IF($R268&gt;=5,"✔ MASTER",IF($S268&lt;TODAY(),"⚠ TRỄ ÔN",IF($S268=TODAY(),"◆ ÔN HÔM NAY","✔ Đúng tiến độ")))))</f>
        <v>• Chưa tới</v>
      </c>
      <c r="U268" s="38" t="n">
        <f aca="false">IF($H268="","",$R268/5)</f>
        <v>0</v>
      </c>
    </row>
    <row r="269" customFormat="false" ht="15" hidden="false" customHeight="false" outlineLevel="0" collapsed="false">
      <c r="A269" s="31" t="s">
        <v>1751</v>
      </c>
      <c r="B269" s="31" t="n">
        <v>14</v>
      </c>
      <c r="C269" s="32" t="n">
        <f aca="false">SETTINGS!$C$3+$B269-1</f>
        <v>46313</v>
      </c>
      <c r="D269" s="33" t="s">
        <v>154</v>
      </c>
      <c r="E269" s="34" t="s">
        <v>1716</v>
      </c>
      <c r="F269" s="34" t="s">
        <v>497</v>
      </c>
      <c r="G269" s="34" t="s">
        <v>1752</v>
      </c>
      <c r="H269" s="35" t="s">
        <v>1753</v>
      </c>
      <c r="I269" s="36" t="s">
        <v>1754</v>
      </c>
      <c r="J269" s="34" t="s">
        <v>1755</v>
      </c>
      <c r="K269" s="34" t="s">
        <v>1756</v>
      </c>
      <c r="L269" s="37"/>
      <c r="M269" s="37"/>
      <c r="N269" s="37"/>
      <c r="O269" s="37"/>
      <c r="P269" s="37"/>
      <c r="Q269" s="37"/>
      <c r="R269" s="31" t="n">
        <f aca="false">COUNT($M269:$Q269)</f>
        <v>0</v>
      </c>
      <c r="S269" s="32" t="str">
        <f aca="false">IF($L269="","",IF($R269&gt;=5,"",MAX($L269:$Q269)+CHOOSE($R269+1,SETTINGS!$C$9,SETTINGS!$C$10,SETTINGS!$C$11,SETTINGS!$C$12,SETTINGS!$C$13)))</f>
        <v/>
      </c>
      <c r="T269" s="34" t="str">
        <f aca="true">IF($H269="","(chưa có nội dung)",IF($L269="",IF($C269&lt;TODAY(),"⚠ TRỄ HỌC",IF($C269=TODAY(),"★ HỌC HÔM NAY","• Chưa tới")),IF($R269&gt;=5,"✔ MASTER",IF($S269&lt;TODAY(),"⚠ TRỄ ÔN",IF($S269=TODAY(),"◆ ÔN HÔM NAY","✔ Đúng tiến độ")))))</f>
        <v>• Chưa tới</v>
      </c>
      <c r="U269" s="38" t="n">
        <f aca="false">IF($H269="","",$R269/5)</f>
        <v>0</v>
      </c>
    </row>
    <row r="270" customFormat="false" ht="15" hidden="false" customHeight="false" outlineLevel="0" collapsed="false">
      <c r="A270" s="31" t="s">
        <v>1757</v>
      </c>
      <c r="B270" s="31" t="n">
        <v>14</v>
      </c>
      <c r="C270" s="32" t="n">
        <f aca="false">SETTINGS!$C$3+$B270-1</f>
        <v>46313</v>
      </c>
      <c r="D270" s="33" t="s">
        <v>154</v>
      </c>
      <c r="E270" s="34" t="s">
        <v>1716</v>
      </c>
      <c r="F270" s="34" t="s">
        <v>280</v>
      </c>
      <c r="G270" s="34" t="s">
        <v>1710</v>
      </c>
      <c r="H270" s="35" t="s">
        <v>1758</v>
      </c>
      <c r="I270" s="36" t="s">
        <v>1759</v>
      </c>
      <c r="J270" s="34" t="s">
        <v>1760</v>
      </c>
      <c r="K270" s="34" t="s">
        <v>1761</v>
      </c>
      <c r="L270" s="37"/>
      <c r="M270" s="37"/>
      <c r="N270" s="37"/>
      <c r="O270" s="37"/>
      <c r="P270" s="37"/>
      <c r="Q270" s="37"/>
      <c r="R270" s="31" t="n">
        <f aca="false">COUNT($M270:$Q270)</f>
        <v>0</v>
      </c>
      <c r="S270" s="32" t="str">
        <f aca="false">IF($L270="","",IF($R270&gt;=5,"",MAX($L270:$Q270)+CHOOSE($R270+1,SETTINGS!$C$9,SETTINGS!$C$10,SETTINGS!$C$11,SETTINGS!$C$12,SETTINGS!$C$13)))</f>
        <v/>
      </c>
      <c r="T270" s="34" t="str">
        <f aca="true">IF($H270="","(chưa có nội dung)",IF($L270="",IF($C270&lt;TODAY(),"⚠ TRỄ HỌC",IF($C270=TODAY(),"★ HỌC HÔM NAY","• Chưa tới")),IF($R270&gt;=5,"✔ MASTER",IF($S270&lt;TODAY(),"⚠ TRỄ ÔN",IF($S270=TODAY(),"◆ ÔN HÔM NAY","✔ Đúng tiến độ")))))</f>
        <v>• Chưa tới</v>
      </c>
      <c r="U270" s="38" t="n">
        <f aca="false">IF($H270="","",$R270/5)</f>
        <v>0</v>
      </c>
    </row>
    <row r="271" customFormat="false" ht="15" hidden="false" customHeight="false" outlineLevel="0" collapsed="false">
      <c r="A271" s="31" t="s">
        <v>1762</v>
      </c>
      <c r="B271" s="31" t="n">
        <v>14</v>
      </c>
      <c r="C271" s="32" t="n">
        <f aca="false">SETTINGS!$C$3+$B271-1</f>
        <v>46313</v>
      </c>
      <c r="D271" s="33" t="s">
        <v>154</v>
      </c>
      <c r="E271" s="34" t="s">
        <v>1716</v>
      </c>
      <c r="F271" s="34" t="s">
        <v>280</v>
      </c>
      <c r="G271" s="34" t="s">
        <v>1763</v>
      </c>
      <c r="H271" s="35" t="s">
        <v>1764</v>
      </c>
      <c r="I271" s="36" t="s">
        <v>1765</v>
      </c>
      <c r="J271" s="34" t="s">
        <v>1766</v>
      </c>
      <c r="K271" s="34" t="s">
        <v>1767</v>
      </c>
      <c r="L271" s="37"/>
      <c r="M271" s="37"/>
      <c r="N271" s="37"/>
      <c r="O271" s="37"/>
      <c r="P271" s="37"/>
      <c r="Q271" s="37"/>
      <c r="R271" s="31" t="n">
        <f aca="false">COUNT($M271:$Q271)</f>
        <v>0</v>
      </c>
      <c r="S271" s="32" t="str">
        <f aca="false">IF($L271="","",IF($R271&gt;=5,"",MAX($L271:$Q271)+CHOOSE($R271+1,SETTINGS!$C$9,SETTINGS!$C$10,SETTINGS!$C$11,SETTINGS!$C$12,SETTINGS!$C$13)))</f>
        <v/>
      </c>
      <c r="T271" s="34" t="str">
        <f aca="true">IF($H271="","(chưa có nội dung)",IF($L271="",IF($C271&lt;TODAY(),"⚠ TRỄ HỌC",IF($C271=TODAY(),"★ HỌC HÔM NAY","• Chưa tới")),IF($R271&gt;=5,"✔ MASTER",IF($S271&lt;TODAY(),"⚠ TRỄ ÔN",IF($S271=TODAY(),"◆ ÔN HÔM NAY","✔ Đúng tiến độ")))))</f>
        <v>• Chưa tới</v>
      </c>
      <c r="U271" s="38" t="n">
        <f aca="false">IF($H271="","",$R271/5)</f>
        <v>0</v>
      </c>
    </row>
    <row r="272" customFormat="false" ht="15" hidden="false" customHeight="false" outlineLevel="0" collapsed="false">
      <c r="A272" s="31" t="s">
        <v>1768</v>
      </c>
      <c r="B272" s="31" t="n">
        <v>14</v>
      </c>
      <c r="C272" s="32" t="n">
        <f aca="false">SETTINGS!$C$3+$B272-1</f>
        <v>46313</v>
      </c>
      <c r="D272" s="33" t="s">
        <v>154</v>
      </c>
      <c r="E272" s="34" t="s">
        <v>1716</v>
      </c>
      <c r="F272" s="34" t="s">
        <v>163</v>
      </c>
      <c r="G272" s="34" t="s">
        <v>1769</v>
      </c>
      <c r="H272" s="35" t="s">
        <v>1770</v>
      </c>
      <c r="I272" s="36" t="s">
        <v>1771</v>
      </c>
      <c r="J272" s="34" t="s">
        <v>1772</v>
      </c>
      <c r="K272" s="34" t="s">
        <v>1773</v>
      </c>
      <c r="L272" s="37"/>
      <c r="M272" s="37"/>
      <c r="N272" s="37"/>
      <c r="O272" s="37"/>
      <c r="P272" s="37"/>
      <c r="Q272" s="37"/>
      <c r="R272" s="31" t="n">
        <f aca="false">COUNT($M272:$Q272)</f>
        <v>0</v>
      </c>
      <c r="S272" s="32" t="str">
        <f aca="false">IF($L272="","",IF($R272&gt;=5,"",MAX($L272:$Q272)+CHOOSE($R272+1,SETTINGS!$C$9,SETTINGS!$C$10,SETTINGS!$C$11,SETTINGS!$C$12,SETTINGS!$C$13)))</f>
        <v/>
      </c>
      <c r="T272" s="34" t="str">
        <f aca="true">IF($H272="","(chưa có nội dung)",IF($L272="",IF($C272&lt;TODAY(),"⚠ TRỄ HỌC",IF($C272=TODAY(),"★ HỌC HÔM NAY","• Chưa tới")),IF($R272&gt;=5,"✔ MASTER",IF($S272&lt;TODAY(),"⚠ TRỄ ÔN",IF($S272=TODAY(),"◆ ÔN HÔM NAY","✔ Đúng tiến độ")))))</f>
        <v>• Chưa tới</v>
      </c>
      <c r="U272" s="38" t="n">
        <f aca="false">IF($H272="","",$R272/5)</f>
        <v>0</v>
      </c>
    </row>
    <row r="273" customFormat="false" ht="15" hidden="false" customHeight="false" outlineLevel="0" collapsed="false">
      <c r="A273" s="31" t="s">
        <v>1774</v>
      </c>
      <c r="B273" s="31" t="n">
        <v>14</v>
      </c>
      <c r="C273" s="32" t="n">
        <f aca="false">SETTINGS!$C$3+$B273-1</f>
        <v>46313</v>
      </c>
      <c r="D273" s="33" t="s">
        <v>154</v>
      </c>
      <c r="E273" s="34" t="s">
        <v>1716</v>
      </c>
      <c r="F273" s="34" t="s">
        <v>280</v>
      </c>
      <c r="G273" s="34" t="s">
        <v>1775</v>
      </c>
      <c r="H273" s="35" t="s">
        <v>1776</v>
      </c>
      <c r="I273" s="36" t="s">
        <v>1777</v>
      </c>
      <c r="J273" s="34" t="s">
        <v>1778</v>
      </c>
      <c r="K273" s="34" t="s">
        <v>1779</v>
      </c>
      <c r="L273" s="37"/>
      <c r="M273" s="37"/>
      <c r="N273" s="37"/>
      <c r="O273" s="37"/>
      <c r="P273" s="37"/>
      <c r="Q273" s="37"/>
      <c r="R273" s="31" t="n">
        <f aca="false">COUNT($M273:$Q273)</f>
        <v>0</v>
      </c>
      <c r="S273" s="32" t="str">
        <f aca="false">IF($L273="","",IF($R273&gt;=5,"",MAX($L273:$Q273)+CHOOSE($R273+1,SETTINGS!$C$9,SETTINGS!$C$10,SETTINGS!$C$11,SETTINGS!$C$12,SETTINGS!$C$13)))</f>
        <v/>
      </c>
      <c r="T273" s="34" t="str">
        <f aca="true">IF($H273="","(chưa có nội dung)",IF($L273="",IF($C273&lt;TODAY(),"⚠ TRỄ HỌC",IF($C273=TODAY(),"★ HỌC HÔM NAY","• Chưa tới")),IF($R273&gt;=5,"✔ MASTER",IF($S273&lt;TODAY(),"⚠ TRỄ ÔN",IF($S273=TODAY(),"◆ ÔN HÔM NAY","✔ Đúng tiến độ")))))</f>
        <v>• Chưa tới</v>
      </c>
      <c r="U273" s="38" t="n">
        <f aca="false">IF($H273="","",$R273/5)</f>
        <v>0</v>
      </c>
    </row>
    <row r="274" customFormat="false" ht="15" hidden="false" customHeight="false" outlineLevel="0" collapsed="false">
      <c r="A274" s="31" t="s">
        <v>1780</v>
      </c>
      <c r="B274" s="31" t="n">
        <v>14</v>
      </c>
      <c r="C274" s="32" t="n">
        <f aca="false">SETTINGS!$C$3+$B274-1</f>
        <v>46313</v>
      </c>
      <c r="D274" s="33" t="s">
        <v>154</v>
      </c>
      <c r="E274" s="34" t="s">
        <v>1716</v>
      </c>
      <c r="F274" s="34" t="s">
        <v>497</v>
      </c>
      <c r="G274" s="34" t="s">
        <v>365</v>
      </c>
      <c r="H274" s="35" t="s">
        <v>1781</v>
      </c>
      <c r="I274" s="36" t="s">
        <v>1782</v>
      </c>
      <c r="J274" s="34" t="s">
        <v>1783</v>
      </c>
      <c r="K274" s="34" t="s">
        <v>1784</v>
      </c>
      <c r="L274" s="37"/>
      <c r="M274" s="37"/>
      <c r="N274" s="37"/>
      <c r="O274" s="37"/>
      <c r="P274" s="37"/>
      <c r="Q274" s="37"/>
      <c r="R274" s="31" t="n">
        <f aca="false">COUNT($M274:$Q274)</f>
        <v>0</v>
      </c>
      <c r="S274" s="32" t="str">
        <f aca="false">IF($L274="","",IF($R274&gt;=5,"",MAX($L274:$Q274)+CHOOSE($R274+1,SETTINGS!$C$9,SETTINGS!$C$10,SETTINGS!$C$11,SETTINGS!$C$12,SETTINGS!$C$13)))</f>
        <v/>
      </c>
      <c r="T274" s="34" t="str">
        <f aca="true">IF($H274="","(chưa có nội dung)",IF($L274="",IF($C274&lt;TODAY(),"⚠ TRỄ HỌC",IF($C274=TODAY(),"★ HỌC HÔM NAY","• Chưa tới")),IF($R274&gt;=5,"✔ MASTER",IF($S274&lt;TODAY(),"⚠ TRỄ ÔN",IF($S274=TODAY(),"◆ ÔN HÔM NAY","✔ Đúng tiến độ")))))</f>
        <v>• Chưa tới</v>
      </c>
      <c r="U274" s="38" t="n">
        <f aca="false">IF($H274="","",$R274/5)</f>
        <v>0</v>
      </c>
    </row>
    <row r="275" customFormat="false" ht="15" hidden="false" customHeight="false" outlineLevel="0" collapsed="false">
      <c r="A275" s="31" t="s">
        <v>1785</v>
      </c>
      <c r="B275" s="31" t="n">
        <v>14</v>
      </c>
      <c r="C275" s="32" t="n">
        <f aca="false">SETTINGS!$C$3+$B275-1</f>
        <v>46313</v>
      </c>
      <c r="D275" s="33" t="s">
        <v>154</v>
      </c>
      <c r="E275" s="34" t="s">
        <v>1716</v>
      </c>
      <c r="F275" s="34" t="s">
        <v>280</v>
      </c>
      <c r="G275" s="34" t="s">
        <v>632</v>
      </c>
      <c r="H275" s="35" t="s">
        <v>1786</v>
      </c>
      <c r="I275" s="36" t="s">
        <v>1787</v>
      </c>
      <c r="J275" s="34" t="s">
        <v>1788</v>
      </c>
      <c r="K275" s="34" t="s">
        <v>1789</v>
      </c>
      <c r="L275" s="37"/>
      <c r="M275" s="37"/>
      <c r="N275" s="37"/>
      <c r="O275" s="37"/>
      <c r="P275" s="37"/>
      <c r="Q275" s="37"/>
      <c r="R275" s="31" t="n">
        <f aca="false">COUNT($M275:$Q275)</f>
        <v>0</v>
      </c>
      <c r="S275" s="32" t="str">
        <f aca="false">IF($L275="","",IF($R275&gt;=5,"",MAX($L275:$Q275)+CHOOSE($R275+1,SETTINGS!$C$9,SETTINGS!$C$10,SETTINGS!$C$11,SETTINGS!$C$12,SETTINGS!$C$13)))</f>
        <v/>
      </c>
      <c r="T275" s="34" t="str">
        <f aca="true">IF($H275="","(chưa có nội dung)",IF($L275="",IF($C275&lt;TODAY(),"⚠ TRỄ HỌC",IF($C275=TODAY(),"★ HỌC HÔM NAY","• Chưa tới")),IF($R275&gt;=5,"✔ MASTER",IF($S275&lt;TODAY(),"⚠ TRỄ ÔN",IF($S275=TODAY(),"◆ ÔN HÔM NAY","✔ Đúng tiến độ")))))</f>
        <v>• Chưa tới</v>
      </c>
      <c r="U275" s="38" t="n">
        <f aca="false">IF($H275="","",$R275/5)</f>
        <v>0</v>
      </c>
    </row>
    <row r="276" customFormat="false" ht="15" hidden="false" customHeight="false" outlineLevel="0" collapsed="false">
      <c r="A276" s="31" t="s">
        <v>1790</v>
      </c>
      <c r="B276" s="31" t="n">
        <v>14</v>
      </c>
      <c r="C276" s="32" t="n">
        <f aca="false">SETTINGS!$C$3+$B276-1</f>
        <v>46313</v>
      </c>
      <c r="D276" s="33" t="s">
        <v>154</v>
      </c>
      <c r="E276" s="34" t="s">
        <v>1716</v>
      </c>
      <c r="F276" s="34" t="s">
        <v>497</v>
      </c>
      <c r="G276" s="34" t="s">
        <v>1059</v>
      </c>
      <c r="H276" s="35" t="s">
        <v>1791</v>
      </c>
      <c r="I276" s="36" t="s">
        <v>1792</v>
      </c>
      <c r="J276" s="34" t="s">
        <v>1793</v>
      </c>
      <c r="K276" s="34" t="s">
        <v>1794</v>
      </c>
      <c r="L276" s="37"/>
      <c r="M276" s="37"/>
      <c r="N276" s="37"/>
      <c r="O276" s="37"/>
      <c r="P276" s="37"/>
      <c r="Q276" s="37"/>
      <c r="R276" s="31" t="n">
        <f aca="false">COUNT($M276:$Q276)</f>
        <v>0</v>
      </c>
      <c r="S276" s="32" t="str">
        <f aca="false">IF($L276="","",IF($R276&gt;=5,"",MAX($L276:$Q276)+CHOOSE($R276+1,SETTINGS!$C$9,SETTINGS!$C$10,SETTINGS!$C$11,SETTINGS!$C$12,SETTINGS!$C$13)))</f>
        <v/>
      </c>
      <c r="T276" s="34" t="str">
        <f aca="true">IF($H276="","(chưa có nội dung)",IF($L276="",IF($C276&lt;TODAY(),"⚠ TRỄ HỌC",IF($C276=TODAY(),"★ HỌC HÔM NAY","• Chưa tới")),IF($R276&gt;=5,"✔ MASTER",IF($S276&lt;TODAY(),"⚠ TRỄ ÔN",IF($S276=TODAY(),"◆ ÔN HÔM NAY","✔ Đúng tiến độ")))))</f>
        <v>• Chưa tới</v>
      </c>
      <c r="U276" s="38" t="n">
        <f aca="false">IF($H276="","",$R276/5)</f>
        <v>0</v>
      </c>
    </row>
    <row r="277" customFormat="false" ht="15" hidden="false" customHeight="false" outlineLevel="0" collapsed="false">
      <c r="A277" s="31" t="s">
        <v>1795</v>
      </c>
      <c r="B277" s="31" t="n">
        <v>14</v>
      </c>
      <c r="C277" s="32" t="n">
        <f aca="false">SETTINGS!$C$3+$B277-1</f>
        <v>46313</v>
      </c>
      <c r="D277" s="33" t="s">
        <v>154</v>
      </c>
      <c r="E277" s="34" t="s">
        <v>1716</v>
      </c>
      <c r="F277" s="34" t="s">
        <v>280</v>
      </c>
      <c r="G277" s="34" t="s">
        <v>1796</v>
      </c>
      <c r="H277" s="35" t="s">
        <v>1797</v>
      </c>
      <c r="I277" s="36" t="s">
        <v>1798</v>
      </c>
      <c r="J277" s="34" t="s">
        <v>1799</v>
      </c>
      <c r="K277" s="34" t="s">
        <v>1800</v>
      </c>
      <c r="L277" s="37"/>
      <c r="M277" s="37"/>
      <c r="N277" s="37"/>
      <c r="O277" s="37"/>
      <c r="P277" s="37"/>
      <c r="Q277" s="37"/>
      <c r="R277" s="31" t="n">
        <f aca="false">COUNT($M277:$Q277)</f>
        <v>0</v>
      </c>
      <c r="S277" s="32" t="str">
        <f aca="false">IF($L277="","",IF($R277&gt;=5,"",MAX($L277:$Q277)+CHOOSE($R277+1,SETTINGS!$C$9,SETTINGS!$C$10,SETTINGS!$C$11,SETTINGS!$C$12,SETTINGS!$C$13)))</f>
        <v/>
      </c>
      <c r="T277" s="34" t="str">
        <f aca="true">IF($H277="","(chưa có nội dung)",IF($L277="",IF($C277&lt;TODAY(),"⚠ TRỄ HỌC",IF($C277=TODAY(),"★ HỌC HÔM NAY","• Chưa tới")),IF($R277&gt;=5,"✔ MASTER",IF($S277&lt;TODAY(),"⚠ TRỄ ÔN",IF($S277=TODAY(),"◆ ÔN HÔM NAY","✔ Đúng tiến độ")))))</f>
        <v>• Chưa tới</v>
      </c>
      <c r="U277" s="38" t="n">
        <f aca="false">IF($H277="","",$R277/5)</f>
        <v>0</v>
      </c>
    </row>
    <row r="278" customFormat="false" ht="15" hidden="false" customHeight="false" outlineLevel="0" collapsed="false">
      <c r="A278" s="31" t="s">
        <v>1801</v>
      </c>
      <c r="B278" s="31" t="n">
        <v>14</v>
      </c>
      <c r="C278" s="32" t="n">
        <f aca="false">SETTINGS!$C$3+$B278-1</f>
        <v>46313</v>
      </c>
      <c r="D278" s="33" t="s">
        <v>154</v>
      </c>
      <c r="E278" s="34" t="s">
        <v>1716</v>
      </c>
      <c r="F278" s="34" t="s">
        <v>183</v>
      </c>
      <c r="G278" s="34" t="s">
        <v>1802</v>
      </c>
      <c r="H278" s="35" t="s">
        <v>1803</v>
      </c>
      <c r="I278" s="36" t="s">
        <v>1804</v>
      </c>
      <c r="J278" s="34" t="s">
        <v>1805</v>
      </c>
      <c r="K278" s="34" t="s">
        <v>1806</v>
      </c>
      <c r="L278" s="37"/>
      <c r="M278" s="37"/>
      <c r="N278" s="37"/>
      <c r="O278" s="37"/>
      <c r="P278" s="37"/>
      <c r="Q278" s="37"/>
      <c r="R278" s="31" t="n">
        <f aca="false">COUNT($M278:$Q278)</f>
        <v>0</v>
      </c>
      <c r="S278" s="32" t="str">
        <f aca="false">IF($L278="","",IF($R278&gt;=5,"",MAX($L278:$Q278)+CHOOSE($R278+1,SETTINGS!$C$9,SETTINGS!$C$10,SETTINGS!$C$11,SETTINGS!$C$12,SETTINGS!$C$13)))</f>
        <v/>
      </c>
      <c r="T278" s="34" t="str">
        <f aca="true">IF($H278="","(chưa có nội dung)",IF($L278="",IF($C278&lt;TODAY(),"⚠ TRỄ HỌC",IF($C278=TODAY(),"★ HỌC HÔM NAY","• Chưa tới")),IF($R278&gt;=5,"✔ MASTER",IF($S278&lt;TODAY(),"⚠ TRỄ ÔN",IF($S278=TODAY(),"◆ ÔN HÔM NAY","✔ Đúng tiến độ")))))</f>
        <v>• Chưa tới</v>
      </c>
      <c r="U278" s="38" t="n">
        <f aca="false">IF($H278="","",$R278/5)</f>
        <v>0</v>
      </c>
    </row>
    <row r="279" customFormat="false" ht="15" hidden="false" customHeight="false" outlineLevel="0" collapsed="false">
      <c r="A279" s="31" t="s">
        <v>1807</v>
      </c>
      <c r="B279" s="31" t="n">
        <v>14</v>
      </c>
      <c r="C279" s="32" t="n">
        <f aca="false">SETTINGS!$C$3+$B279-1</f>
        <v>46313</v>
      </c>
      <c r="D279" s="33" t="s">
        <v>154</v>
      </c>
      <c r="E279" s="34" t="s">
        <v>1716</v>
      </c>
      <c r="F279" s="34" t="s">
        <v>163</v>
      </c>
      <c r="G279" s="34" t="s">
        <v>1583</v>
      </c>
      <c r="H279" s="35" t="s">
        <v>1808</v>
      </c>
      <c r="I279" s="36" t="s">
        <v>1809</v>
      </c>
      <c r="J279" s="34" t="s">
        <v>1810</v>
      </c>
      <c r="K279" s="34" t="s">
        <v>1811</v>
      </c>
      <c r="L279" s="37"/>
      <c r="M279" s="37"/>
      <c r="N279" s="37"/>
      <c r="O279" s="37"/>
      <c r="P279" s="37"/>
      <c r="Q279" s="37"/>
      <c r="R279" s="31" t="n">
        <f aca="false">COUNT($M279:$Q279)</f>
        <v>0</v>
      </c>
      <c r="S279" s="32" t="str">
        <f aca="false">IF($L279="","",IF($R279&gt;=5,"",MAX($L279:$Q279)+CHOOSE($R279+1,SETTINGS!$C$9,SETTINGS!$C$10,SETTINGS!$C$11,SETTINGS!$C$12,SETTINGS!$C$13)))</f>
        <v/>
      </c>
      <c r="T279" s="34" t="str">
        <f aca="true">IF($H279="","(chưa có nội dung)",IF($L279="",IF($C279&lt;TODAY(),"⚠ TRỄ HỌC",IF($C279=TODAY(),"★ HỌC HÔM NAY","• Chưa tới")),IF($R279&gt;=5,"✔ MASTER",IF($S279&lt;TODAY(),"⚠ TRỄ ÔN",IF($S279=TODAY(),"◆ ÔN HÔM NAY","✔ Đúng tiến độ")))))</f>
        <v>• Chưa tới</v>
      </c>
      <c r="U279" s="38" t="n">
        <f aca="false">IF($H279="","",$R279/5)</f>
        <v>0</v>
      </c>
    </row>
    <row r="280" customFormat="false" ht="15" hidden="false" customHeight="false" outlineLevel="0" collapsed="false">
      <c r="A280" s="31" t="s">
        <v>1812</v>
      </c>
      <c r="B280" s="31" t="n">
        <v>14</v>
      </c>
      <c r="C280" s="32" t="n">
        <f aca="false">SETTINGS!$C$3+$B280-1</f>
        <v>46313</v>
      </c>
      <c r="D280" s="33" t="s">
        <v>154</v>
      </c>
      <c r="E280" s="34" t="s">
        <v>1716</v>
      </c>
      <c r="F280" s="34" t="s">
        <v>280</v>
      </c>
      <c r="G280" s="34" t="s">
        <v>425</v>
      </c>
      <c r="H280" s="35" t="s">
        <v>1813</v>
      </c>
      <c r="I280" s="36" t="s">
        <v>1814</v>
      </c>
      <c r="J280" s="34" t="s">
        <v>1815</v>
      </c>
      <c r="K280" s="34" t="s">
        <v>1816</v>
      </c>
      <c r="L280" s="37"/>
      <c r="M280" s="37"/>
      <c r="N280" s="37"/>
      <c r="O280" s="37"/>
      <c r="P280" s="37"/>
      <c r="Q280" s="37"/>
      <c r="R280" s="31" t="n">
        <f aca="false">COUNT($M280:$Q280)</f>
        <v>0</v>
      </c>
      <c r="S280" s="32" t="str">
        <f aca="false">IF($L280="","",IF($R280&gt;=5,"",MAX($L280:$Q280)+CHOOSE($R280+1,SETTINGS!$C$9,SETTINGS!$C$10,SETTINGS!$C$11,SETTINGS!$C$12,SETTINGS!$C$13)))</f>
        <v/>
      </c>
      <c r="T280" s="34" t="str">
        <f aca="true">IF($H280="","(chưa có nội dung)",IF($L280="",IF($C280&lt;TODAY(),"⚠ TRỄ HỌC",IF($C280=TODAY(),"★ HỌC HÔM NAY","• Chưa tới")),IF($R280&gt;=5,"✔ MASTER",IF($S280&lt;TODAY(),"⚠ TRỄ ÔN",IF($S280=TODAY(),"◆ ÔN HÔM NAY","✔ Đúng tiến độ")))))</f>
        <v>• Chưa tới</v>
      </c>
      <c r="U280" s="38" t="n">
        <f aca="false">IF($H280="","",$R280/5)</f>
        <v>0</v>
      </c>
    </row>
    <row r="281" customFormat="false" ht="15" hidden="false" customHeight="false" outlineLevel="0" collapsed="false">
      <c r="A281" s="31" t="s">
        <v>1817</v>
      </c>
      <c r="B281" s="31" t="n">
        <v>14</v>
      </c>
      <c r="C281" s="32" t="n">
        <f aca="false">SETTINGS!$C$3+$B281-1</f>
        <v>46313</v>
      </c>
      <c r="D281" s="33" t="s">
        <v>154</v>
      </c>
      <c r="E281" s="34" t="s">
        <v>1716</v>
      </c>
      <c r="F281" s="34" t="s">
        <v>163</v>
      </c>
      <c r="G281" s="34" t="s">
        <v>1818</v>
      </c>
      <c r="H281" s="35" t="s">
        <v>1819</v>
      </c>
      <c r="I281" s="36" t="s">
        <v>1820</v>
      </c>
      <c r="J281" s="34" t="s">
        <v>1821</v>
      </c>
      <c r="K281" s="34" t="s">
        <v>1822</v>
      </c>
      <c r="L281" s="37"/>
      <c r="M281" s="37"/>
      <c r="N281" s="37"/>
      <c r="O281" s="37"/>
      <c r="P281" s="37"/>
      <c r="Q281" s="37"/>
      <c r="R281" s="31" t="n">
        <f aca="false">COUNT($M281:$Q281)</f>
        <v>0</v>
      </c>
      <c r="S281" s="32" t="str">
        <f aca="false">IF($L281="","",IF($R281&gt;=5,"",MAX($L281:$Q281)+CHOOSE($R281+1,SETTINGS!$C$9,SETTINGS!$C$10,SETTINGS!$C$11,SETTINGS!$C$12,SETTINGS!$C$13)))</f>
        <v/>
      </c>
      <c r="T281" s="34" t="str">
        <f aca="true">IF($H281="","(chưa có nội dung)",IF($L281="",IF($C281&lt;TODAY(),"⚠ TRỄ HỌC",IF($C281=TODAY(),"★ HỌC HÔM NAY","• Chưa tới")),IF($R281&gt;=5,"✔ MASTER",IF($S281&lt;TODAY(),"⚠ TRỄ ÔN",IF($S281=TODAY(),"◆ ÔN HÔM NAY","✔ Đúng tiến độ")))))</f>
        <v>• Chưa tới</v>
      </c>
      <c r="U281" s="38" t="n">
        <f aca="false">IF($H281="","",$R281/5)</f>
        <v>0</v>
      </c>
    </row>
    <row r="282" customFormat="false" ht="15" hidden="false" customHeight="false" outlineLevel="0" collapsed="false">
      <c r="A282" s="31" t="s">
        <v>1823</v>
      </c>
      <c r="B282" s="31" t="n">
        <v>14</v>
      </c>
      <c r="C282" s="32" t="n">
        <f aca="false">SETTINGS!$C$3+$B282-1</f>
        <v>46313</v>
      </c>
      <c r="D282" s="33" t="s">
        <v>154</v>
      </c>
      <c r="E282" s="34" t="s">
        <v>1716</v>
      </c>
      <c r="F282" s="34" t="s">
        <v>156</v>
      </c>
      <c r="G282" s="34" t="s">
        <v>1824</v>
      </c>
      <c r="H282" s="35" t="s">
        <v>1825</v>
      </c>
      <c r="I282" s="36" t="s">
        <v>1826</v>
      </c>
      <c r="J282" s="34" t="s">
        <v>1827</v>
      </c>
      <c r="K282" s="34" t="s">
        <v>1828</v>
      </c>
      <c r="L282" s="37"/>
      <c r="M282" s="37"/>
      <c r="N282" s="37"/>
      <c r="O282" s="37"/>
      <c r="P282" s="37"/>
      <c r="Q282" s="37"/>
      <c r="R282" s="31" t="n">
        <f aca="false">COUNT($M282:$Q282)</f>
        <v>0</v>
      </c>
      <c r="S282" s="32" t="str">
        <f aca="false">IF($L282="","",IF($R282&gt;=5,"",MAX($L282:$Q282)+CHOOSE($R282+1,SETTINGS!$C$9,SETTINGS!$C$10,SETTINGS!$C$11,SETTINGS!$C$12,SETTINGS!$C$13)))</f>
        <v/>
      </c>
      <c r="T282" s="34" t="str">
        <f aca="true">IF($H282="","(chưa có nội dung)",IF($L282="",IF($C282&lt;TODAY(),"⚠ TRỄ HỌC",IF($C282=TODAY(),"★ HỌC HÔM NAY","• Chưa tới")),IF($R282&gt;=5,"✔ MASTER",IF($S282&lt;TODAY(),"⚠ TRỄ ÔN",IF($S282=TODAY(),"◆ ÔN HÔM NAY","✔ Đúng tiến độ")))))</f>
        <v>• Chưa tới</v>
      </c>
      <c r="U282" s="38" t="n">
        <f aca="false">IF($H282="","",$R282/5)</f>
        <v>0</v>
      </c>
    </row>
    <row r="283" customFormat="false" ht="15" hidden="false" customHeight="false" outlineLevel="0" collapsed="false">
      <c r="A283" s="31" t="s">
        <v>1829</v>
      </c>
      <c r="B283" s="31" t="n">
        <v>15</v>
      </c>
      <c r="C283" s="32" t="n">
        <f aca="false">SETTINGS!$C$3+$B283-1</f>
        <v>46314</v>
      </c>
      <c r="D283" s="33" t="s">
        <v>154</v>
      </c>
      <c r="E283" s="34" t="s">
        <v>1830</v>
      </c>
      <c r="F283" s="34" t="s">
        <v>280</v>
      </c>
      <c r="G283" s="34" t="s">
        <v>1831</v>
      </c>
      <c r="H283" s="35" t="s">
        <v>1832</v>
      </c>
      <c r="I283" s="36" t="s">
        <v>1833</v>
      </c>
      <c r="J283" s="34" t="s">
        <v>1834</v>
      </c>
      <c r="K283" s="34" t="s">
        <v>1835</v>
      </c>
      <c r="L283" s="37"/>
      <c r="M283" s="37"/>
      <c r="N283" s="37"/>
      <c r="O283" s="37"/>
      <c r="P283" s="37"/>
      <c r="Q283" s="37"/>
      <c r="R283" s="31" t="n">
        <f aca="false">COUNT($M283:$Q283)</f>
        <v>0</v>
      </c>
      <c r="S283" s="32" t="str">
        <f aca="false">IF($L283="","",IF($R283&gt;=5,"",MAX($L283:$Q283)+CHOOSE($R283+1,SETTINGS!$C$9,SETTINGS!$C$10,SETTINGS!$C$11,SETTINGS!$C$12,SETTINGS!$C$13)))</f>
        <v/>
      </c>
      <c r="T283" s="34" t="str">
        <f aca="true">IF($H283="","(chưa có nội dung)",IF($L283="",IF($C283&lt;TODAY(),"⚠ TRỄ HỌC",IF($C283=TODAY(),"★ HỌC HÔM NAY","• Chưa tới")),IF($R283&gt;=5,"✔ MASTER",IF($S283&lt;TODAY(),"⚠ TRỄ ÔN",IF($S283=TODAY(),"◆ ÔN HÔM NAY","✔ Đúng tiến độ")))))</f>
        <v>• Chưa tới</v>
      </c>
      <c r="U283" s="38" t="n">
        <f aca="false">IF($H283="","",$R283/5)</f>
        <v>0</v>
      </c>
    </row>
    <row r="284" customFormat="false" ht="15" hidden="false" customHeight="false" outlineLevel="0" collapsed="false">
      <c r="A284" s="31" t="s">
        <v>1836</v>
      </c>
      <c r="B284" s="31" t="n">
        <v>15</v>
      </c>
      <c r="C284" s="32" t="n">
        <f aca="false">SETTINGS!$C$3+$B284-1</f>
        <v>46314</v>
      </c>
      <c r="D284" s="33" t="s">
        <v>154</v>
      </c>
      <c r="E284" s="34" t="s">
        <v>1830</v>
      </c>
      <c r="F284" s="34" t="s">
        <v>280</v>
      </c>
      <c r="G284" s="34" t="s">
        <v>1837</v>
      </c>
      <c r="H284" s="35" t="s">
        <v>1838</v>
      </c>
      <c r="I284" s="36" t="s">
        <v>1839</v>
      </c>
      <c r="J284" s="34" t="s">
        <v>1840</v>
      </c>
      <c r="K284" s="34" t="s">
        <v>1841</v>
      </c>
      <c r="L284" s="37"/>
      <c r="M284" s="37"/>
      <c r="N284" s="37"/>
      <c r="O284" s="37"/>
      <c r="P284" s="37"/>
      <c r="Q284" s="37"/>
      <c r="R284" s="31" t="n">
        <f aca="false">COUNT($M284:$Q284)</f>
        <v>0</v>
      </c>
      <c r="S284" s="32" t="str">
        <f aca="false">IF($L284="","",IF($R284&gt;=5,"",MAX($L284:$Q284)+CHOOSE($R284+1,SETTINGS!$C$9,SETTINGS!$C$10,SETTINGS!$C$11,SETTINGS!$C$12,SETTINGS!$C$13)))</f>
        <v/>
      </c>
      <c r="T284" s="34" t="str">
        <f aca="true">IF($H284="","(chưa có nội dung)",IF($L284="",IF($C284&lt;TODAY(),"⚠ TRỄ HỌC",IF($C284=TODAY(),"★ HỌC HÔM NAY","• Chưa tới")),IF($R284&gt;=5,"✔ MASTER",IF($S284&lt;TODAY(),"⚠ TRỄ ÔN",IF($S284=TODAY(),"◆ ÔN HÔM NAY","✔ Đúng tiến độ")))))</f>
        <v>• Chưa tới</v>
      </c>
      <c r="U284" s="38" t="n">
        <f aca="false">IF($H284="","",$R284/5)</f>
        <v>0</v>
      </c>
    </row>
    <row r="285" customFormat="false" ht="15" hidden="false" customHeight="false" outlineLevel="0" collapsed="false">
      <c r="A285" s="31" t="s">
        <v>1842</v>
      </c>
      <c r="B285" s="31" t="n">
        <v>15</v>
      </c>
      <c r="C285" s="32" t="n">
        <f aca="false">SETTINGS!$C$3+$B285-1</f>
        <v>46314</v>
      </c>
      <c r="D285" s="33" t="s">
        <v>154</v>
      </c>
      <c r="E285" s="34" t="s">
        <v>1830</v>
      </c>
      <c r="F285" s="34" t="s">
        <v>280</v>
      </c>
      <c r="G285" s="34" t="s">
        <v>1843</v>
      </c>
      <c r="H285" s="35" t="s">
        <v>1844</v>
      </c>
      <c r="I285" s="36" t="s">
        <v>1845</v>
      </c>
      <c r="J285" s="34" t="s">
        <v>1846</v>
      </c>
      <c r="K285" s="34" t="s">
        <v>1847</v>
      </c>
      <c r="L285" s="37"/>
      <c r="M285" s="37"/>
      <c r="N285" s="37"/>
      <c r="O285" s="37"/>
      <c r="P285" s="37"/>
      <c r="Q285" s="37"/>
      <c r="R285" s="31" t="n">
        <f aca="false">COUNT($M285:$Q285)</f>
        <v>0</v>
      </c>
      <c r="S285" s="32" t="str">
        <f aca="false">IF($L285="","",IF($R285&gt;=5,"",MAX($L285:$Q285)+CHOOSE($R285+1,SETTINGS!$C$9,SETTINGS!$C$10,SETTINGS!$C$11,SETTINGS!$C$12,SETTINGS!$C$13)))</f>
        <v/>
      </c>
      <c r="T285" s="34" t="str">
        <f aca="true">IF($H285="","(chưa có nội dung)",IF($L285="",IF($C285&lt;TODAY(),"⚠ TRỄ HỌC",IF($C285=TODAY(),"★ HỌC HÔM NAY","• Chưa tới")),IF($R285&gt;=5,"✔ MASTER",IF($S285&lt;TODAY(),"⚠ TRỄ ÔN",IF($S285=TODAY(),"◆ ÔN HÔM NAY","✔ Đúng tiến độ")))))</f>
        <v>• Chưa tới</v>
      </c>
      <c r="U285" s="38" t="n">
        <f aca="false">IF($H285="","",$R285/5)</f>
        <v>0</v>
      </c>
    </row>
    <row r="286" customFormat="false" ht="15" hidden="false" customHeight="false" outlineLevel="0" collapsed="false">
      <c r="A286" s="31" t="s">
        <v>1848</v>
      </c>
      <c r="B286" s="31" t="n">
        <v>15</v>
      </c>
      <c r="C286" s="32" t="n">
        <f aca="false">SETTINGS!$C$3+$B286-1</f>
        <v>46314</v>
      </c>
      <c r="D286" s="33" t="s">
        <v>154</v>
      </c>
      <c r="E286" s="34" t="s">
        <v>1830</v>
      </c>
      <c r="F286" s="34" t="s">
        <v>280</v>
      </c>
      <c r="G286" s="34" t="s">
        <v>1849</v>
      </c>
      <c r="H286" s="35" t="s">
        <v>1850</v>
      </c>
      <c r="I286" s="36" t="s">
        <v>1851</v>
      </c>
      <c r="J286" s="34" t="s">
        <v>1852</v>
      </c>
      <c r="K286" s="34" t="s">
        <v>1853</v>
      </c>
      <c r="L286" s="37"/>
      <c r="M286" s="37"/>
      <c r="N286" s="37"/>
      <c r="O286" s="37"/>
      <c r="P286" s="37"/>
      <c r="Q286" s="37"/>
      <c r="R286" s="31" t="n">
        <f aca="false">COUNT($M286:$Q286)</f>
        <v>0</v>
      </c>
      <c r="S286" s="32" t="str">
        <f aca="false">IF($L286="","",IF($R286&gt;=5,"",MAX($L286:$Q286)+CHOOSE($R286+1,SETTINGS!$C$9,SETTINGS!$C$10,SETTINGS!$C$11,SETTINGS!$C$12,SETTINGS!$C$13)))</f>
        <v/>
      </c>
      <c r="T286" s="34" t="str">
        <f aca="true">IF($H286="","(chưa có nội dung)",IF($L286="",IF($C286&lt;TODAY(),"⚠ TRỄ HỌC",IF($C286=TODAY(),"★ HỌC HÔM NAY","• Chưa tới")),IF($R286&gt;=5,"✔ MASTER",IF($S286&lt;TODAY(),"⚠ TRỄ ÔN",IF($S286=TODAY(),"◆ ÔN HÔM NAY","✔ Đúng tiến độ")))))</f>
        <v>• Chưa tới</v>
      </c>
      <c r="U286" s="38" t="n">
        <f aca="false">IF($H286="","",$R286/5)</f>
        <v>0</v>
      </c>
    </row>
    <row r="287" customFormat="false" ht="15" hidden="false" customHeight="false" outlineLevel="0" collapsed="false">
      <c r="A287" s="31" t="s">
        <v>1854</v>
      </c>
      <c r="B287" s="31" t="n">
        <v>15</v>
      </c>
      <c r="C287" s="32" t="n">
        <f aca="false">SETTINGS!$C$3+$B287-1</f>
        <v>46314</v>
      </c>
      <c r="D287" s="33" t="s">
        <v>154</v>
      </c>
      <c r="E287" s="34" t="s">
        <v>1830</v>
      </c>
      <c r="F287" s="34" t="s">
        <v>280</v>
      </c>
      <c r="G287" s="34" t="s">
        <v>1855</v>
      </c>
      <c r="H287" s="35" t="s">
        <v>1856</v>
      </c>
      <c r="I287" s="36" t="s">
        <v>1857</v>
      </c>
      <c r="J287" s="34" t="s">
        <v>1858</v>
      </c>
      <c r="K287" s="34" t="s">
        <v>1859</v>
      </c>
      <c r="L287" s="37"/>
      <c r="M287" s="37"/>
      <c r="N287" s="37"/>
      <c r="O287" s="37"/>
      <c r="P287" s="37"/>
      <c r="Q287" s="37"/>
      <c r="R287" s="31" t="n">
        <f aca="false">COUNT($M287:$Q287)</f>
        <v>0</v>
      </c>
      <c r="S287" s="32" t="str">
        <f aca="false">IF($L287="","",IF($R287&gt;=5,"",MAX($L287:$Q287)+CHOOSE($R287+1,SETTINGS!$C$9,SETTINGS!$C$10,SETTINGS!$C$11,SETTINGS!$C$12,SETTINGS!$C$13)))</f>
        <v/>
      </c>
      <c r="T287" s="34" t="str">
        <f aca="true">IF($H287="","(chưa có nội dung)",IF($L287="",IF($C287&lt;TODAY(),"⚠ TRỄ HỌC",IF($C287=TODAY(),"★ HỌC HÔM NAY","• Chưa tới")),IF($R287&gt;=5,"✔ MASTER",IF($S287&lt;TODAY(),"⚠ TRỄ ÔN",IF($S287=TODAY(),"◆ ÔN HÔM NAY","✔ Đúng tiến độ")))))</f>
        <v>• Chưa tới</v>
      </c>
      <c r="U287" s="38" t="n">
        <f aca="false">IF($H287="","",$R287/5)</f>
        <v>0</v>
      </c>
    </row>
    <row r="288" customFormat="false" ht="15" hidden="false" customHeight="false" outlineLevel="0" collapsed="false">
      <c r="A288" s="31" t="s">
        <v>1860</v>
      </c>
      <c r="B288" s="31" t="n">
        <v>15</v>
      </c>
      <c r="C288" s="32" t="n">
        <f aca="false">SETTINGS!$C$3+$B288-1</f>
        <v>46314</v>
      </c>
      <c r="D288" s="33" t="s">
        <v>154</v>
      </c>
      <c r="E288" s="34" t="s">
        <v>1830</v>
      </c>
      <c r="F288" s="34" t="s">
        <v>280</v>
      </c>
      <c r="G288" s="34" t="s">
        <v>1104</v>
      </c>
      <c r="H288" s="35" t="s">
        <v>1861</v>
      </c>
      <c r="I288" s="36" t="s">
        <v>1862</v>
      </c>
      <c r="J288" s="34" t="s">
        <v>1863</v>
      </c>
      <c r="K288" s="34" t="s">
        <v>1864</v>
      </c>
      <c r="L288" s="37"/>
      <c r="M288" s="37"/>
      <c r="N288" s="37"/>
      <c r="O288" s="37"/>
      <c r="P288" s="37"/>
      <c r="Q288" s="37"/>
      <c r="R288" s="31" t="n">
        <f aca="false">COUNT($M288:$Q288)</f>
        <v>0</v>
      </c>
      <c r="S288" s="32" t="str">
        <f aca="false">IF($L288="","",IF($R288&gt;=5,"",MAX($L288:$Q288)+CHOOSE($R288+1,SETTINGS!$C$9,SETTINGS!$C$10,SETTINGS!$C$11,SETTINGS!$C$12,SETTINGS!$C$13)))</f>
        <v/>
      </c>
      <c r="T288" s="34" t="str">
        <f aca="true">IF($H288="","(chưa có nội dung)",IF($L288="",IF($C288&lt;TODAY(),"⚠ TRỄ HỌC",IF($C288=TODAY(),"★ HỌC HÔM NAY","• Chưa tới")),IF($R288&gt;=5,"✔ MASTER",IF($S288&lt;TODAY(),"⚠ TRỄ ÔN",IF($S288=TODAY(),"◆ ÔN HÔM NAY","✔ Đúng tiến độ")))))</f>
        <v>• Chưa tới</v>
      </c>
      <c r="U288" s="38" t="n">
        <f aca="false">IF($H288="","",$R288/5)</f>
        <v>0</v>
      </c>
    </row>
    <row r="289" customFormat="false" ht="15" hidden="false" customHeight="false" outlineLevel="0" collapsed="false">
      <c r="A289" s="31" t="s">
        <v>1865</v>
      </c>
      <c r="B289" s="31" t="n">
        <v>15</v>
      </c>
      <c r="C289" s="32" t="n">
        <f aca="false">SETTINGS!$C$3+$B289-1</f>
        <v>46314</v>
      </c>
      <c r="D289" s="33" t="s">
        <v>154</v>
      </c>
      <c r="E289" s="34" t="s">
        <v>1830</v>
      </c>
      <c r="F289" s="34" t="s">
        <v>163</v>
      </c>
      <c r="G289" s="34" t="s">
        <v>1866</v>
      </c>
      <c r="H289" s="35" t="s">
        <v>1867</v>
      </c>
      <c r="I289" s="36" t="s">
        <v>1868</v>
      </c>
      <c r="J289" s="34" t="s">
        <v>1869</v>
      </c>
      <c r="K289" s="34" t="s">
        <v>1870</v>
      </c>
      <c r="L289" s="37"/>
      <c r="M289" s="37"/>
      <c r="N289" s="37"/>
      <c r="O289" s="37"/>
      <c r="P289" s="37"/>
      <c r="Q289" s="37"/>
      <c r="R289" s="31" t="n">
        <f aca="false">COUNT($M289:$Q289)</f>
        <v>0</v>
      </c>
      <c r="S289" s="32" t="str">
        <f aca="false">IF($L289="","",IF($R289&gt;=5,"",MAX($L289:$Q289)+CHOOSE($R289+1,SETTINGS!$C$9,SETTINGS!$C$10,SETTINGS!$C$11,SETTINGS!$C$12,SETTINGS!$C$13)))</f>
        <v/>
      </c>
      <c r="T289" s="34" t="str">
        <f aca="true">IF($H289="","(chưa có nội dung)",IF($L289="",IF($C289&lt;TODAY(),"⚠ TRỄ HỌC",IF($C289=TODAY(),"★ HỌC HÔM NAY","• Chưa tới")),IF($R289&gt;=5,"✔ MASTER",IF($S289&lt;TODAY(),"⚠ TRỄ ÔN",IF($S289=TODAY(),"◆ ÔN HÔM NAY","✔ Đúng tiến độ")))))</f>
        <v>• Chưa tới</v>
      </c>
      <c r="U289" s="38" t="n">
        <f aca="false">IF($H289="","",$R289/5)</f>
        <v>0</v>
      </c>
    </row>
    <row r="290" customFormat="false" ht="15" hidden="false" customHeight="false" outlineLevel="0" collapsed="false">
      <c r="A290" s="31" t="s">
        <v>1871</v>
      </c>
      <c r="B290" s="31" t="n">
        <v>15</v>
      </c>
      <c r="C290" s="32" t="n">
        <f aca="false">SETTINGS!$C$3+$B290-1</f>
        <v>46314</v>
      </c>
      <c r="D290" s="33" t="s">
        <v>154</v>
      </c>
      <c r="E290" s="34" t="s">
        <v>1830</v>
      </c>
      <c r="F290" s="34" t="s">
        <v>280</v>
      </c>
      <c r="G290" s="34" t="s">
        <v>1729</v>
      </c>
      <c r="H290" s="35" t="s">
        <v>1872</v>
      </c>
      <c r="I290" s="36" t="s">
        <v>1873</v>
      </c>
      <c r="J290" s="34" t="s">
        <v>1874</v>
      </c>
      <c r="K290" s="34" t="s">
        <v>1875</v>
      </c>
      <c r="L290" s="37"/>
      <c r="M290" s="37"/>
      <c r="N290" s="37"/>
      <c r="O290" s="37"/>
      <c r="P290" s="37"/>
      <c r="Q290" s="37"/>
      <c r="R290" s="31" t="n">
        <f aca="false">COUNT($M290:$Q290)</f>
        <v>0</v>
      </c>
      <c r="S290" s="32" t="str">
        <f aca="false">IF($L290="","",IF($R290&gt;=5,"",MAX($L290:$Q290)+CHOOSE($R290+1,SETTINGS!$C$9,SETTINGS!$C$10,SETTINGS!$C$11,SETTINGS!$C$12,SETTINGS!$C$13)))</f>
        <v/>
      </c>
      <c r="T290" s="34" t="str">
        <f aca="true">IF($H290="","(chưa có nội dung)",IF($L290="",IF($C290&lt;TODAY(),"⚠ TRỄ HỌC",IF($C290=TODAY(),"★ HỌC HÔM NAY","• Chưa tới")),IF($R290&gt;=5,"✔ MASTER",IF($S290&lt;TODAY(),"⚠ TRỄ ÔN",IF($S290=TODAY(),"◆ ÔN HÔM NAY","✔ Đúng tiến độ")))))</f>
        <v>• Chưa tới</v>
      </c>
      <c r="U290" s="38" t="n">
        <f aca="false">IF($H290="","",$R290/5)</f>
        <v>0</v>
      </c>
    </row>
    <row r="291" customFormat="false" ht="15" hidden="false" customHeight="false" outlineLevel="0" collapsed="false">
      <c r="A291" s="31" t="s">
        <v>1876</v>
      </c>
      <c r="B291" s="31" t="n">
        <v>15</v>
      </c>
      <c r="C291" s="32" t="n">
        <f aca="false">SETTINGS!$C$3+$B291-1</f>
        <v>46314</v>
      </c>
      <c r="D291" s="33" t="s">
        <v>154</v>
      </c>
      <c r="E291" s="34" t="s">
        <v>1830</v>
      </c>
      <c r="F291" s="34" t="s">
        <v>202</v>
      </c>
      <c r="G291" s="34" t="s">
        <v>1877</v>
      </c>
      <c r="H291" s="35" t="s">
        <v>1878</v>
      </c>
      <c r="I291" s="36" t="s">
        <v>1879</v>
      </c>
      <c r="J291" s="34" t="s">
        <v>1880</v>
      </c>
      <c r="K291" s="34" t="s">
        <v>1881</v>
      </c>
      <c r="L291" s="37"/>
      <c r="M291" s="37"/>
      <c r="N291" s="37"/>
      <c r="O291" s="37"/>
      <c r="P291" s="37"/>
      <c r="Q291" s="37"/>
      <c r="R291" s="31" t="n">
        <f aca="false">COUNT($M291:$Q291)</f>
        <v>0</v>
      </c>
      <c r="S291" s="32" t="str">
        <f aca="false">IF($L291="","",IF($R291&gt;=5,"",MAX($L291:$Q291)+CHOOSE($R291+1,SETTINGS!$C$9,SETTINGS!$C$10,SETTINGS!$C$11,SETTINGS!$C$12,SETTINGS!$C$13)))</f>
        <v/>
      </c>
      <c r="T291" s="34" t="str">
        <f aca="true">IF($H291="","(chưa có nội dung)",IF($L291="",IF($C291&lt;TODAY(),"⚠ TRỄ HỌC",IF($C291=TODAY(),"★ HỌC HÔM NAY","• Chưa tới")),IF($R291&gt;=5,"✔ MASTER",IF($S291&lt;TODAY(),"⚠ TRỄ ÔN",IF($S291=TODAY(),"◆ ÔN HÔM NAY","✔ Đúng tiến độ")))))</f>
        <v>• Chưa tới</v>
      </c>
      <c r="U291" s="38" t="n">
        <f aca="false">IF($H291="","",$R291/5)</f>
        <v>0</v>
      </c>
    </row>
    <row r="292" customFormat="false" ht="15" hidden="false" customHeight="false" outlineLevel="0" collapsed="false">
      <c r="A292" s="31" t="s">
        <v>1882</v>
      </c>
      <c r="B292" s="31" t="n">
        <v>15</v>
      </c>
      <c r="C292" s="32" t="n">
        <f aca="false">SETTINGS!$C$3+$B292-1</f>
        <v>46314</v>
      </c>
      <c r="D292" s="33" t="s">
        <v>154</v>
      </c>
      <c r="E292" s="34" t="s">
        <v>1830</v>
      </c>
      <c r="F292" s="34" t="s">
        <v>280</v>
      </c>
      <c r="G292" s="34" t="s">
        <v>1883</v>
      </c>
      <c r="H292" s="35" t="s">
        <v>1884</v>
      </c>
      <c r="I292" s="36" t="s">
        <v>1885</v>
      </c>
      <c r="J292" s="34" t="s">
        <v>1886</v>
      </c>
      <c r="K292" s="34" t="s">
        <v>1887</v>
      </c>
      <c r="L292" s="37"/>
      <c r="M292" s="37"/>
      <c r="N292" s="37"/>
      <c r="O292" s="37"/>
      <c r="P292" s="37"/>
      <c r="Q292" s="37"/>
      <c r="R292" s="31" t="n">
        <f aca="false">COUNT($M292:$Q292)</f>
        <v>0</v>
      </c>
      <c r="S292" s="32" t="str">
        <f aca="false">IF($L292="","",IF($R292&gt;=5,"",MAX($L292:$Q292)+CHOOSE($R292+1,SETTINGS!$C$9,SETTINGS!$C$10,SETTINGS!$C$11,SETTINGS!$C$12,SETTINGS!$C$13)))</f>
        <v/>
      </c>
      <c r="T292" s="34" t="str">
        <f aca="true">IF($H292="","(chưa có nội dung)",IF($L292="",IF($C292&lt;TODAY(),"⚠ TRỄ HỌC",IF($C292=TODAY(),"★ HỌC HÔM NAY","• Chưa tới")),IF($R292&gt;=5,"✔ MASTER",IF($S292&lt;TODAY(),"⚠ TRỄ ÔN",IF($S292=TODAY(),"◆ ÔN HÔM NAY","✔ Đúng tiến độ")))))</f>
        <v>• Chưa tới</v>
      </c>
      <c r="U292" s="38" t="n">
        <f aca="false">IF($H292="","",$R292/5)</f>
        <v>0</v>
      </c>
    </row>
    <row r="293" customFormat="false" ht="15" hidden="false" customHeight="false" outlineLevel="0" collapsed="false">
      <c r="A293" s="31" t="s">
        <v>1888</v>
      </c>
      <c r="B293" s="31" t="n">
        <v>15</v>
      </c>
      <c r="C293" s="32" t="n">
        <f aca="false">SETTINGS!$C$3+$B293-1</f>
        <v>46314</v>
      </c>
      <c r="D293" s="33" t="s">
        <v>154</v>
      </c>
      <c r="E293" s="34" t="s">
        <v>1830</v>
      </c>
      <c r="F293" s="34" t="s">
        <v>280</v>
      </c>
      <c r="G293" s="34" t="s">
        <v>1889</v>
      </c>
      <c r="H293" s="35" t="s">
        <v>1890</v>
      </c>
      <c r="I293" s="36" t="s">
        <v>1891</v>
      </c>
      <c r="J293" s="34" t="s">
        <v>1892</v>
      </c>
      <c r="K293" s="34" t="s">
        <v>1893</v>
      </c>
      <c r="L293" s="37"/>
      <c r="M293" s="37"/>
      <c r="N293" s="37"/>
      <c r="O293" s="37"/>
      <c r="P293" s="37"/>
      <c r="Q293" s="37"/>
      <c r="R293" s="31" t="n">
        <f aca="false">COUNT($M293:$Q293)</f>
        <v>0</v>
      </c>
      <c r="S293" s="32" t="str">
        <f aca="false">IF($L293="","",IF($R293&gt;=5,"",MAX($L293:$Q293)+CHOOSE($R293+1,SETTINGS!$C$9,SETTINGS!$C$10,SETTINGS!$C$11,SETTINGS!$C$12,SETTINGS!$C$13)))</f>
        <v/>
      </c>
      <c r="T293" s="34" t="str">
        <f aca="true">IF($H293="","(chưa có nội dung)",IF($L293="",IF($C293&lt;TODAY(),"⚠ TRỄ HỌC",IF($C293=TODAY(),"★ HỌC HÔM NAY","• Chưa tới")),IF($R293&gt;=5,"✔ MASTER",IF($S293&lt;TODAY(),"⚠ TRỄ ÔN",IF($S293=TODAY(),"◆ ÔN HÔM NAY","✔ Đúng tiến độ")))))</f>
        <v>• Chưa tới</v>
      </c>
      <c r="U293" s="38" t="n">
        <f aca="false">IF($H293="","",$R293/5)</f>
        <v>0</v>
      </c>
    </row>
    <row r="294" customFormat="false" ht="15" hidden="false" customHeight="false" outlineLevel="0" collapsed="false">
      <c r="A294" s="31" t="s">
        <v>1894</v>
      </c>
      <c r="B294" s="31" t="n">
        <v>15</v>
      </c>
      <c r="C294" s="32" t="n">
        <f aca="false">SETTINGS!$C$3+$B294-1</f>
        <v>46314</v>
      </c>
      <c r="D294" s="33" t="s">
        <v>154</v>
      </c>
      <c r="E294" s="34" t="s">
        <v>1830</v>
      </c>
      <c r="F294" s="34" t="s">
        <v>280</v>
      </c>
      <c r="G294" s="34" t="s">
        <v>1895</v>
      </c>
      <c r="H294" s="35" t="s">
        <v>1896</v>
      </c>
      <c r="I294" s="36" t="s">
        <v>1897</v>
      </c>
      <c r="J294" s="34" t="s">
        <v>1898</v>
      </c>
      <c r="K294" s="34" t="s">
        <v>1899</v>
      </c>
      <c r="L294" s="37"/>
      <c r="M294" s="37"/>
      <c r="N294" s="37"/>
      <c r="O294" s="37"/>
      <c r="P294" s="37"/>
      <c r="Q294" s="37"/>
      <c r="R294" s="31" t="n">
        <f aca="false">COUNT($M294:$Q294)</f>
        <v>0</v>
      </c>
      <c r="S294" s="32" t="str">
        <f aca="false">IF($L294="","",IF($R294&gt;=5,"",MAX($L294:$Q294)+CHOOSE($R294+1,SETTINGS!$C$9,SETTINGS!$C$10,SETTINGS!$C$11,SETTINGS!$C$12,SETTINGS!$C$13)))</f>
        <v/>
      </c>
      <c r="T294" s="34" t="str">
        <f aca="true">IF($H294="","(chưa có nội dung)",IF($L294="",IF($C294&lt;TODAY(),"⚠ TRỄ HỌC",IF($C294=TODAY(),"★ HỌC HÔM NAY","• Chưa tới")),IF($R294&gt;=5,"✔ MASTER",IF($S294&lt;TODAY(),"⚠ TRỄ ÔN",IF($S294=TODAY(),"◆ ÔN HÔM NAY","✔ Đúng tiến độ")))))</f>
        <v>• Chưa tới</v>
      </c>
      <c r="U294" s="38" t="n">
        <f aca="false">IF($H294="","",$R294/5)</f>
        <v>0</v>
      </c>
    </row>
    <row r="295" customFormat="false" ht="15" hidden="false" customHeight="false" outlineLevel="0" collapsed="false">
      <c r="A295" s="31" t="s">
        <v>1900</v>
      </c>
      <c r="B295" s="31" t="n">
        <v>15</v>
      </c>
      <c r="C295" s="32" t="n">
        <f aca="false">SETTINGS!$C$3+$B295-1</f>
        <v>46314</v>
      </c>
      <c r="D295" s="33" t="s">
        <v>154</v>
      </c>
      <c r="E295" s="34" t="s">
        <v>1830</v>
      </c>
      <c r="F295" s="34" t="s">
        <v>280</v>
      </c>
      <c r="G295" s="34" t="s">
        <v>1901</v>
      </c>
      <c r="H295" s="35" t="s">
        <v>1902</v>
      </c>
      <c r="I295" s="36" t="s">
        <v>1903</v>
      </c>
      <c r="J295" s="34" t="s">
        <v>1904</v>
      </c>
      <c r="K295" s="34" t="s">
        <v>1905</v>
      </c>
      <c r="L295" s="37"/>
      <c r="M295" s="37"/>
      <c r="N295" s="37"/>
      <c r="O295" s="37"/>
      <c r="P295" s="37"/>
      <c r="Q295" s="37"/>
      <c r="R295" s="31" t="n">
        <f aca="false">COUNT($M295:$Q295)</f>
        <v>0</v>
      </c>
      <c r="S295" s="32" t="str">
        <f aca="false">IF($L295="","",IF($R295&gt;=5,"",MAX($L295:$Q295)+CHOOSE($R295+1,SETTINGS!$C$9,SETTINGS!$C$10,SETTINGS!$C$11,SETTINGS!$C$12,SETTINGS!$C$13)))</f>
        <v/>
      </c>
      <c r="T295" s="34" t="str">
        <f aca="true">IF($H295="","(chưa có nội dung)",IF($L295="",IF($C295&lt;TODAY(),"⚠ TRỄ HỌC",IF($C295=TODAY(),"★ HỌC HÔM NAY","• Chưa tới")),IF($R295&gt;=5,"✔ MASTER",IF($S295&lt;TODAY(),"⚠ TRỄ ÔN",IF($S295=TODAY(),"◆ ÔN HÔM NAY","✔ Đúng tiến độ")))))</f>
        <v>• Chưa tới</v>
      </c>
      <c r="U295" s="38" t="n">
        <f aca="false">IF($H295="","",$R295/5)</f>
        <v>0</v>
      </c>
    </row>
    <row r="296" customFormat="false" ht="15" hidden="false" customHeight="false" outlineLevel="0" collapsed="false">
      <c r="A296" s="31" t="s">
        <v>1906</v>
      </c>
      <c r="B296" s="31" t="n">
        <v>15</v>
      </c>
      <c r="C296" s="32" t="n">
        <f aca="false">SETTINGS!$C$3+$B296-1</f>
        <v>46314</v>
      </c>
      <c r="D296" s="33" t="s">
        <v>154</v>
      </c>
      <c r="E296" s="34" t="s">
        <v>1830</v>
      </c>
      <c r="F296" s="34" t="s">
        <v>183</v>
      </c>
      <c r="G296" s="34" t="s">
        <v>1907</v>
      </c>
      <c r="H296" s="35" t="s">
        <v>1908</v>
      </c>
      <c r="I296" s="36" t="s">
        <v>1909</v>
      </c>
      <c r="J296" s="34" t="s">
        <v>1910</v>
      </c>
      <c r="K296" s="34" t="s">
        <v>1911</v>
      </c>
      <c r="L296" s="37"/>
      <c r="M296" s="37"/>
      <c r="N296" s="37"/>
      <c r="O296" s="37"/>
      <c r="P296" s="37"/>
      <c r="Q296" s="37"/>
      <c r="R296" s="31" t="n">
        <f aca="false">COUNT($M296:$Q296)</f>
        <v>0</v>
      </c>
      <c r="S296" s="32" t="str">
        <f aca="false">IF($L296="","",IF($R296&gt;=5,"",MAX($L296:$Q296)+CHOOSE($R296+1,SETTINGS!$C$9,SETTINGS!$C$10,SETTINGS!$C$11,SETTINGS!$C$12,SETTINGS!$C$13)))</f>
        <v/>
      </c>
      <c r="T296" s="34" t="str">
        <f aca="true">IF($H296="","(chưa có nội dung)",IF($L296="",IF($C296&lt;TODAY(),"⚠ TRỄ HỌC",IF($C296=TODAY(),"★ HỌC HÔM NAY","• Chưa tới")),IF($R296&gt;=5,"✔ MASTER",IF($S296&lt;TODAY(),"⚠ TRỄ ÔN",IF($S296=TODAY(),"◆ ÔN HÔM NAY","✔ Đúng tiến độ")))))</f>
        <v>• Chưa tới</v>
      </c>
      <c r="U296" s="38" t="n">
        <f aca="false">IF($H296="","",$R296/5)</f>
        <v>0</v>
      </c>
    </row>
    <row r="297" customFormat="false" ht="15" hidden="false" customHeight="false" outlineLevel="0" collapsed="false">
      <c r="A297" s="31" t="s">
        <v>1912</v>
      </c>
      <c r="B297" s="31" t="n">
        <v>15</v>
      </c>
      <c r="C297" s="32" t="n">
        <f aca="false">SETTINGS!$C$3+$B297-1</f>
        <v>46314</v>
      </c>
      <c r="D297" s="33" t="s">
        <v>154</v>
      </c>
      <c r="E297" s="34" t="s">
        <v>1830</v>
      </c>
      <c r="F297" s="34" t="s">
        <v>280</v>
      </c>
      <c r="G297" s="34" t="s">
        <v>1314</v>
      </c>
      <c r="H297" s="35" t="s">
        <v>1913</v>
      </c>
      <c r="I297" s="36" t="s">
        <v>1914</v>
      </c>
      <c r="J297" s="34" t="s">
        <v>1915</v>
      </c>
      <c r="K297" s="34" t="s">
        <v>1916</v>
      </c>
      <c r="L297" s="37"/>
      <c r="M297" s="37"/>
      <c r="N297" s="37"/>
      <c r="O297" s="37"/>
      <c r="P297" s="37"/>
      <c r="Q297" s="37"/>
      <c r="R297" s="31" t="n">
        <f aca="false">COUNT($M297:$Q297)</f>
        <v>0</v>
      </c>
      <c r="S297" s="32" t="str">
        <f aca="false">IF($L297="","",IF($R297&gt;=5,"",MAX($L297:$Q297)+CHOOSE($R297+1,SETTINGS!$C$9,SETTINGS!$C$10,SETTINGS!$C$11,SETTINGS!$C$12,SETTINGS!$C$13)))</f>
        <v/>
      </c>
      <c r="T297" s="34" t="str">
        <f aca="true">IF($H297="","(chưa có nội dung)",IF($L297="",IF($C297&lt;TODAY(),"⚠ TRỄ HỌC",IF($C297=TODAY(),"★ HỌC HÔM NAY","• Chưa tới")),IF($R297&gt;=5,"✔ MASTER",IF($S297&lt;TODAY(),"⚠ TRỄ ÔN",IF($S297=TODAY(),"◆ ÔN HÔM NAY","✔ Đúng tiến độ")))))</f>
        <v>• Chưa tới</v>
      </c>
      <c r="U297" s="38" t="n">
        <f aca="false">IF($H297="","",$R297/5)</f>
        <v>0</v>
      </c>
    </row>
    <row r="298" customFormat="false" ht="15" hidden="false" customHeight="false" outlineLevel="0" collapsed="false">
      <c r="A298" s="31" t="s">
        <v>1917</v>
      </c>
      <c r="B298" s="31" t="n">
        <v>15</v>
      </c>
      <c r="C298" s="32" t="n">
        <f aca="false">SETTINGS!$C$3+$B298-1</f>
        <v>46314</v>
      </c>
      <c r="D298" s="33" t="s">
        <v>154</v>
      </c>
      <c r="E298" s="34" t="s">
        <v>1830</v>
      </c>
      <c r="F298" s="34" t="s">
        <v>280</v>
      </c>
      <c r="G298" s="34" t="s">
        <v>1918</v>
      </c>
      <c r="H298" s="35" t="s">
        <v>1919</v>
      </c>
      <c r="I298" s="36" t="s">
        <v>1920</v>
      </c>
      <c r="J298" s="34" t="s">
        <v>1921</v>
      </c>
      <c r="K298" s="34" t="s">
        <v>1922</v>
      </c>
      <c r="L298" s="37"/>
      <c r="M298" s="37"/>
      <c r="N298" s="37"/>
      <c r="O298" s="37"/>
      <c r="P298" s="37"/>
      <c r="Q298" s="37"/>
      <c r="R298" s="31" t="n">
        <f aca="false">COUNT($M298:$Q298)</f>
        <v>0</v>
      </c>
      <c r="S298" s="32" t="str">
        <f aca="false">IF($L298="","",IF($R298&gt;=5,"",MAX($L298:$Q298)+CHOOSE($R298+1,SETTINGS!$C$9,SETTINGS!$C$10,SETTINGS!$C$11,SETTINGS!$C$12,SETTINGS!$C$13)))</f>
        <v/>
      </c>
      <c r="T298" s="34" t="str">
        <f aca="true">IF($H298="","(chưa có nội dung)",IF($L298="",IF($C298&lt;TODAY(),"⚠ TRỄ HỌC",IF($C298=TODAY(),"★ HỌC HÔM NAY","• Chưa tới")),IF($R298&gt;=5,"✔ MASTER",IF($S298&lt;TODAY(),"⚠ TRỄ ÔN",IF($S298=TODAY(),"◆ ÔN HÔM NAY","✔ Đúng tiến độ")))))</f>
        <v>• Chưa tới</v>
      </c>
      <c r="U298" s="38" t="n">
        <f aca="false">IF($H298="","",$R298/5)</f>
        <v>0</v>
      </c>
    </row>
    <row r="299" customFormat="false" ht="15" hidden="false" customHeight="false" outlineLevel="0" collapsed="false">
      <c r="A299" s="31" t="s">
        <v>1923</v>
      </c>
      <c r="B299" s="31" t="n">
        <v>15</v>
      </c>
      <c r="C299" s="32" t="n">
        <f aca="false">SETTINGS!$C$3+$B299-1</f>
        <v>46314</v>
      </c>
      <c r="D299" s="33" t="s">
        <v>154</v>
      </c>
      <c r="E299" s="34" t="s">
        <v>1830</v>
      </c>
      <c r="F299" s="34" t="s">
        <v>497</v>
      </c>
      <c r="G299" s="34" t="s">
        <v>1924</v>
      </c>
      <c r="H299" s="35" t="s">
        <v>1925</v>
      </c>
      <c r="I299" s="36" t="s">
        <v>1926</v>
      </c>
      <c r="J299" s="34" t="s">
        <v>1927</v>
      </c>
      <c r="K299" s="34" t="s">
        <v>1928</v>
      </c>
      <c r="L299" s="37"/>
      <c r="M299" s="37"/>
      <c r="N299" s="37"/>
      <c r="O299" s="37"/>
      <c r="P299" s="37"/>
      <c r="Q299" s="37"/>
      <c r="R299" s="31" t="n">
        <f aca="false">COUNT($M299:$Q299)</f>
        <v>0</v>
      </c>
      <c r="S299" s="32" t="str">
        <f aca="false">IF($L299="","",IF($R299&gt;=5,"",MAX($L299:$Q299)+CHOOSE($R299+1,SETTINGS!$C$9,SETTINGS!$C$10,SETTINGS!$C$11,SETTINGS!$C$12,SETTINGS!$C$13)))</f>
        <v/>
      </c>
      <c r="T299" s="34" t="str">
        <f aca="true">IF($H299="","(chưa có nội dung)",IF($L299="",IF($C299&lt;TODAY(),"⚠ TRỄ HỌC",IF($C299=TODAY(),"★ HỌC HÔM NAY","• Chưa tới")),IF($R299&gt;=5,"✔ MASTER",IF($S299&lt;TODAY(),"⚠ TRỄ ÔN",IF($S299=TODAY(),"◆ ÔN HÔM NAY","✔ Đúng tiến độ")))))</f>
        <v>• Chưa tới</v>
      </c>
      <c r="U299" s="38" t="n">
        <f aca="false">IF($H299="","",$R299/5)</f>
        <v>0</v>
      </c>
    </row>
    <row r="300" customFormat="false" ht="15" hidden="false" customHeight="false" outlineLevel="0" collapsed="false">
      <c r="A300" s="31" t="s">
        <v>1929</v>
      </c>
      <c r="B300" s="31" t="n">
        <v>15</v>
      </c>
      <c r="C300" s="32" t="n">
        <f aca="false">SETTINGS!$C$3+$B300-1</f>
        <v>46314</v>
      </c>
      <c r="D300" s="33" t="s">
        <v>154</v>
      </c>
      <c r="E300" s="34" t="s">
        <v>1830</v>
      </c>
      <c r="F300" s="34" t="s">
        <v>280</v>
      </c>
      <c r="G300" s="34" t="s">
        <v>1901</v>
      </c>
      <c r="H300" s="35" t="s">
        <v>1930</v>
      </c>
      <c r="I300" s="36" t="s">
        <v>1931</v>
      </c>
      <c r="J300" s="34" t="s">
        <v>1932</v>
      </c>
      <c r="K300" s="34" t="s">
        <v>1933</v>
      </c>
      <c r="L300" s="37"/>
      <c r="M300" s="37"/>
      <c r="N300" s="37"/>
      <c r="O300" s="37"/>
      <c r="P300" s="37"/>
      <c r="Q300" s="37"/>
      <c r="R300" s="31" t="n">
        <f aca="false">COUNT($M300:$Q300)</f>
        <v>0</v>
      </c>
      <c r="S300" s="32" t="str">
        <f aca="false">IF($L300="","",IF($R300&gt;=5,"",MAX($L300:$Q300)+CHOOSE($R300+1,SETTINGS!$C$9,SETTINGS!$C$10,SETTINGS!$C$11,SETTINGS!$C$12,SETTINGS!$C$13)))</f>
        <v/>
      </c>
      <c r="T300" s="34" t="str">
        <f aca="true">IF($H300="","(chưa có nội dung)",IF($L300="",IF($C300&lt;TODAY(),"⚠ TRỄ HỌC",IF($C300=TODAY(),"★ HỌC HÔM NAY","• Chưa tới")),IF($R300&gt;=5,"✔ MASTER",IF($S300&lt;TODAY(),"⚠ TRỄ ÔN",IF($S300=TODAY(),"◆ ÔN HÔM NAY","✔ Đúng tiến độ")))))</f>
        <v>• Chưa tới</v>
      </c>
      <c r="U300" s="38" t="n">
        <f aca="false">IF($H300="","",$R300/5)</f>
        <v>0</v>
      </c>
    </row>
    <row r="301" customFormat="false" ht="15" hidden="false" customHeight="false" outlineLevel="0" collapsed="false">
      <c r="A301" s="31" t="s">
        <v>1934</v>
      </c>
      <c r="B301" s="31" t="n">
        <v>15</v>
      </c>
      <c r="C301" s="32" t="n">
        <f aca="false">SETTINGS!$C$3+$B301-1</f>
        <v>46314</v>
      </c>
      <c r="D301" s="33" t="s">
        <v>154</v>
      </c>
      <c r="E301" s="34" t="s">
        <v>1830</v>
      </c>
      <c r="F301" s="34" t="s">
        <v>280</v>
      </c>
      <c r="G301" s="34" t="s">
        <v>1935</v>
      </c>
      <c r="H301" s="35" t="s">
        <v>1936</v>
      </c>
      <c r="I301" s="36" t="s">
        <v>1937</v>
      </c>
      <c r="J301" s="34" t="s">
        <v>1938</v>
      </c>
      <c r="K301" s="34" t="s">
        <v>1939</v>
      </c>
      <c r="L301" s="37"/>
      <c r="M301" s="37"/>
      <c r="N301" s="37"/>
      <c r="O301" s="37"/>
      <c r="P301" s="37"/>
      <c r="Q301" s="37"/>
      <c r="R301" s="31" t="n">
        <f aca="false">COUNT($M301:$Q301)</f>
        <v>0</v>
      </c>
      <c r="S301" s="32" t="str">
        <f aca="false">IF($L301="","",IF($R301&gt;=5,"",MAX($L301:$Q301)+CHOOSE($R301+1,SETTINGS!$C$9,SETTINGS!$C$10,SETTINGS!$C$11,SETTINGS!$C$12,SETTINGS!$C$13)))</f>
        <v/>
      </c>
      <c r="T301" s="34" t="str">
        <f aca="true">IF($H301="","(chưa có nội dung)",IF($L301="",IF($C301&lt;TODAY(),"⚠ TRỄ HỌC",IF($C301=TODAY(),"★ HỌC HÔM NAY","• Chưa tới")),IF($R301&gt;=5,"✔ MASTER",IF($S301&lt;TODAY(),"⚠ TRỄ ÔN",IF($S301=TODAY(),"◆ ÔN HÔM NAY","✔ Đúng tiến độ")))))</f>
        <v>• Chưa tới</v>
      </c>
      <c r="U301" s="38" t="n">
        <f aca="false">IF($H301="","",$R301/5)</f>
        <v>0</v>
      </c>
    </row>
    <row r="302" customFormat="false" ht="15" hidden="false" customHeight="false" outlineLevel="0" collapsed="false">
      <c r="A302" s="31" t="s">
        <v>1940</v>
      </c>
      <c r="B302" s="31" t="n">
        <v>15</v>
      </c>
      <c r="C302" s="32" t="n">
        <f aca="false">SETTINGS!$C$3+$B302-1</f>
        <v>46314</v>
      </c>
      <c r="D302" s="33" t="s">
        <v>154</v>
      </c>
      <c r="E302" s="34" t="s">
        <v>1830</v>
      </c>
      <c r="F302" s="34" t="s">
        <v>280</v>
      </c>
      <c r="G302" s="34" t="s">
        <v>1941</v>
      </c>
      <c r="H302" s="35" t="s">
        <v>1942</v>
      </c>
      <c r="I302" s="36" t="s">
        <v>1943</v>
      </c>
      <c r="J302" s="34" t="s">
        <v>1944</v>
      </c>
      <c r="K302" s="34" t="s">
        <v>1945</v>
      </c>
      <c r="L302" s="37"/>
      <c r="M302" s="37"/>
      <c r="N302" s="37"/>
      <c r="O302" s="37"/>
      <c r="P302" s="37"/>
      <c r="Q302" s="37"/>
      <c r="R302" s="31" t="n">
        <f aca="false">COUNT($M302:$Q302)</f>
        <v>0</v>
      </c>
      <c r="S302" s="32" t="str">
        <f aca="false">IF($L302="","",IF($R302&gt;=5,"",MAX($L302:$Q302)+CHOOSE($R302+1,SETTINGS!$C$9,SETTINGS!$C$10,SETTINGS!$C$11,SETTINGS!$C$12,SETTINGS!$C$13)))</f>
        <v/>
      </c>
      <c r="T302" s="34" t="str">
        <f aca="true">IF($H302="","(chưa có nội dung)",IF($L302="",IF($C302&lt;TODAY(),"⚠ TRỄ HỌC",IF($C302=TODAY(),"★ HỌC HÔM NAY","• Chưa tới")),IF($R302&gt;=5,"✔ MASTER",IF($S302&lt;TODAY(),"⚠ TRỄ ÔN",IF($S302=TODAY(),"◆ ÔN HÔM NAY","✔ Đúng tiến độ")))))</f>
        <v>• Chưa tới</v>
      </c>
      <c r="U302" s="38" t="n">
        <f aca="false">IF($H302="","",$R302/5)</f>
        <v>0</v>
      </c>
    </row>
    <row r="303" customFormat="false" ht="23.85" hidden="false" customHeight="false" outlineLevel="0" collapsed="false">
      <c r="A303" s="31" t="s">
        <v>1946</v>
      </c>
      <c r="B303" s="31" t="n">
        <v>16</v>
      </c>
      <c r="C303" s="32" t="n">
        <f aca="false">SETTINGS!$C$3+$B303-1</f>
        <v>46315</v>
      </c>
      <c r="D303" s="39" t="s">
        <v>1947</v>
      </c>
      <c r="E303" s="34" t="s">
        <v>1948</v>
      </c>
      <c r="F303" s="34" t="s">
        <v>280</v>
      </c>
      <c r="G303" s="34" t="s">
        <v>1949</v>
      </c>
      <c r="H303" s="35" t="s">
        <v>1950</v>
      </c>
      <c r="I303" s="36" t="s">
        <v>1951</v>
      </c>
      <c r="J303" s="34" t="s">
        <v>1952</v>
      </c>
      <c r="K303" s="34" t="s">
        <v>1953</v>
      </c>
      <c r="L303" s="37"/>
      <c r="M303" s="37"/>
      <c r="N303" s="37"/>
      <c r="O303" s="37"/>
      <c r="P303" s="37"/>
      <c r="Q303" s="37"/>
      <c r="R303" s="31" t="n">
        <f aca="false">COUNT($M303:$Q303)</f>
        <v>0</v>
      </c>
      <c r="S303" s="32" t="str">
        <f aca="false">IF($L303="","",IF($R303&gt;=5,"",MAX($L303:$Q303)+CHOOSE($R303+1,SETTINGS!$C$9,SETTINGS!$C$10,SETTINGS!$C$11,SETTINGS!$C$12,SETTINGS!$C$13)))</f>
        <v/>
      </c>
      <c r="T303" s="34" t="str">
        <f aca="true">IF($H303="","(chưa có nội dung)",IF($L303="",IF($C303&lt;TODAY(),"⚠ TRỄ HỌC",IF($C303=TODAY(),"★ HỌC HÔM NAY","• Chưa tới")),IF($R303&gt;=5,"✔ MASTER",IF($S303&lt;TODAY(),"⚠ TRỄ ÔN",IF($S303=TODAY(),"◆ ÔN HÔM NAY","✔ Đúng tiến độ")))))</f>
        <v>• Chưa tới</v>
      </c>
      <c r="U303" s="38" t="n">
        <f aca="false">IF($H303="","",$R303/5)</f>
        <v>0</v>
      </c>
    </row>
    <row r="304" customFormat="false" ht="23.85" hidden="false" customHeight="false" outlineLevel="0" collapsed="false">
      <c r="A304" s="31" t="s">
        <v>1954</v>
      </c>
      <c r="B304" s="31" t="n">
        <v>16</v>
      </c>
      <c r="C304" s="32" t="n">
        <f aca="false">SETTINGS!$C$3+$B304-1</f>
        <v>46315</v>
      </c>
      <c r="D304" s="39" t="s">
        <v>1947</v>
      </c>
      <c r="E304" s="34" t="s">
        <v>1948</v>
      </c>
      <c r="F304" s="34" t="s">
        <v>163</v>
      </c>
      <c r="G304" s="34" t="s">
        <v>1955</v>
      </c>
      <c r="H304" s="35" t="s">
        <v>1956</v>
      </c>
      <c r="I304" s="36" t="s">
        <v>1957</v>
      </c>
      <c r="J304" s="34" t="s">
        <v>1958</v>
      </c>
      <c r="K304" s="34" t="s">
        <v>1959</v>
      </c>
      <c r="L304" s="37"/>
      <c r="M304" s="37"/>
      <c r="N304" s="37"/>
      <c r="O304" s="37"/>
      <c r="P304" s="37"/>
      <c r="Q304" s="37"/>
      <c r="R304" s="31" t="n">
        <f aca="false">COUNT($M304:$Q304)</f>
        <v>0</v>
      </c>
      <c r="S304" s="32" t="str">
        <f aca="false">IF($L304="","",IF($R304&gt;=5,"",MAX($L304:$Q304)+CHOOSE($R304+1,SETTINGS!$C$9,SETTINGS!$C$10,SETTINGS!$C$11,SETTINGS!$C$12,SETTINGS!$C$13)))</f>
        <v/>
      </c>
      <c r="T304" s="34" t="str">
        <f aca="true">IF($H304="","(chưa có nội dung)",IF($L304="",IF($C304&lt;TODAY(),"⚠ TRỄ HỌC",IF($C304=TODAY(),"★ HỌC HÔM NAY","• Chưa tới")),IF($R304&gt;=5,"✔ MASTER",IF($S304&lt;TODAY(),"⚠ TRỄ ÔN",IF($S304=TODAY(),"◆ ÔN HÔM NAY","✔ Đúng tiến độ")))))</f>
        <v>• Chưa tới</v>
      </c>
      <c r="U304" s="38" t="n">
        <f aca="false">IF($H304="","",$R304/5)</f>
        <v>0</v>
      </c>
    </row>
    <row r="305" customFormat="false" ht="23.85" hidden="false" customHeight="false" outlineLevel="0" collapsed="false">
      <c r="A305" s="31" t="s">
        <v>1960</v>
      </c>
      <c r="B305" s="31" t="n">
        <v>16</v>
      </c>
      <c r="C305" s="32" t="n">
        <f aca="false">SETTINGS!$C$3+$B305-1</f>
        <v>46315</v>
      </c>
      <c r="D305" s="39" t="s">
        <v>1947</v>
      </c>
      <c r="E305" s="34" t="s">
        <v>1948</v>
      </c>
      <c r="F305" s="34" t="s">
        <v>183</v>
      </c>
      <c r="G305" s="34" t="s">
        <v>1961</v>
      </c>
      <c r="H305" s="35" t="s">
        <v>1962</v>
      </c>
      <c r="I305" s="36" t="s">
        <v>1963</v>
      </c>
      <c r="J305" s="34" t="s">
        <v>1964</v>
      </c>
      <c r="K305" s="34" t="s">
        <v>1965</v>
      </c>
      <c r="L305" s="37"/>
      <c r="M305" s="37"/>
      <c r="N305" s="37"/>
      <c r="O305" s="37"/>
      <c r="P305" s="37"/>
      <c r="Q305" s="37"/>
      <c r="R305" s="31" t="n">
        <f aca="false">COUNT($M305:$Q305)</f>
        <v>0</v>
      </c>
      <c r="S305" s="32" t="str">
        <f aca="false">IF($L305="","",IF($R305&gt;=5,"",MAX($L305:$Q305)+CHOOSE($R305+1,SETTINGS!$C$9,SETTINGS!$C$10,SETTINGS!$C$11,SETTINGS!$C$12,SETTINGS!$C$13)))</f>
        <v/>
      </c>
      <c r="T305" s="34" t="str">
        <f aca="true">IF($H305="","(chưa có nội dung)",IF($L305="",IF($C305&lt;TODAY(),"⚠ TRỄ HỌC",IF($C305=TODAY(),"★ HỌC HÔM NAY","• Chưa tới")),IF($R305&gt;=5,"✔ MASTER",IF($S305&lt;TODAY(),"⚠ TRỄ ÔN",IF($S305=TODAY(),"◆ ÔN HÔM NAY","✔ Đúng tiến độ")))))</f>
        <v>• Chưa tới</v>
      </c>
      <c r="U305" s="38" t="n">
        <f aca="false">IF($H305="","",$R305/5)</f>
        <v>0</v>
      </c>
    </row>
    <row r="306" customFormat="false" ht="23.85" hidden="false" customHeight="false" outlineLevel="0" collapsed="false">
      <c r="A306" s="31" t="s">
        <v>1966</v>
      </c>
      <c r="B306" s="31" t="n">
        <v>16</v>
      </c>
      <c r="C306" s="32" t="n">
        <f aca="false">SETTINGS!$C$3+$B306-1</f>
        <v>46315</v>
      </c>
      <c r="D306" s="39" t="s">
        <v>1947</v>
      </c>
      <c r="E306" s="34" t="s">
        <v>1948</v>
      </c>
      <c r="F306" s="34" t="s">
        <v>280</v>
      </c>
      <c r="G306" s="34" t="s">
        <v>1092</v>
      </c>
      <c r="H306" s="35" t="s">
        <v>1967</v>
      </c>
      <c r="I306" s="36" t="s">
        <v>1968</v>
      </c>
      <c r="J306" s="34" t="s">
        <v>1969</v>
      </c>
      <c r="K306" s="34" t="s">
        <v>1096</v>
      </c>
      <c r="L306" s="37"/>
      <c r="M306" s="37"/>
      <c r="N306" s="37"/>
      <c r="O306" s="37"/>
      <c r="P306" s="37"/>
      <c r="Q306" s="37"/>
      <c r="R306" s="31" t="n">
        <f aca="false">COUNT($M306:$Q306)</f>
        <v>0</v>
      </c>
      <c r="S306" s="32" t="str">
        <f aca="false">IF($L306="","",IF($R306&gt;=5,"",MAX($L306:$Q306)+CHOOSE($R306+1,SETTINGS!$C$9,SETTINGS!$C$10,SETTINGS!$C$11,SETTINGS!$C$12,SETTINGS!$C$13)))</f>
        <v/>
      </c>
      <c r="T306" s="34" t="str">
        <f aca="true">IF($H306="","(chưa có nội dung)",IF($L306="",IF($C306&lt;TODAY(),"⚠ TRỄ HỌC",IF($C306=TODAY(),"★ HỌC HÔM NAY","• Chưa tới")),IF($R306&gt;=5,"✔ MASTER",IF($S306&lt;TODAY(),"⚠ TRỄ ÔN",IF($S306=TODAY(),"◆ ÔN HÔM NAY","✔ Đúng tiến độ")))))</f>
        <v>• Chưa tới</v>
      </c>
      <c r="U306" s="38" t="n">
        <f aca="false">IF($H306="","",$R306/5)</f>
        <v>0</v>
      </c>
    </row>
    <row r="307" customFormat="false" ht="23.85" hidden="false" customHeight="false" outlineLevel="0" collapsed="false">
      <c r="A307" s="31" t="s">
        <v>1970</v>
      </c>
      <c r="B307" s="31" t="n">
        <v>16</v>
      </c>
      <c r="C307" s="32" t="n">
        <f aca="false">SETTINGS!$C$3+$B307-1</f>
        <v>46315</v>
      </c>
      <c r="D307" s="39" t="s">
        <v>1947</v>
      </c>
      <c r="E307" s="34" t="s">
        <v>1948</v>
      </c>
      <c r="F307" s="34" t="s">
        <v>497</v>
      </c>
      <c r="G307" s="34" t="s">
        <v>1971</v>
      </c>
      <c r="H307" s="35" t="s">
        <v>1972</v>
      </c>
      <c r="I307" s="36" t="s">
        <v>1973</v>
      </c>
      <c r="J307" s="34" t="s">
        <v>1974</v>
      </c>
      <c r="K307" s="34" t="s">
        <v>1975</v>
      </c>
      <c r="L307" s="37"/>
      <c r="M307" s="37"/>
      <c r="N307" s="37"/>
      <c r="O307" s="37"/>
      <c r="P307" s="37"/>
      <c r="Q307" s="37"/>
      <c r="R307" s="31" t="n">
        <f aca="false">COUNT($M307:$Q307)</f>
        <v>0</v>
      </c>
      <c r="S307" s="32" t="str">
        <f aca="false">IF($L307="","",IF($R307&gt;=5,"",MAX($L307:$Q307)+CHOOSE($R307+1,SETTINGS!$C$9,SETTINGS!$C$10,SETTINGS!$C$11,SETTINGS!$C$12,SETTINGS!$C$13)))</f>
        <v/>
      </c>
      <c r="T307" s="34" t="str">
        <f aca="true">IF($H307="","(chưa có nội dung)",IF($L307="",IF($C307&lt;TODAY(),"⚠ TRỄ HỌC",IF($C307=TODAY(),"★ HỌC HÔM NAY","• Chưa tới")),IF($R307&gt;=5,"✔ MASTER",IF($S307&lt;TODAY(),"⚠ TRỄ ÔN",IF($S307=TODAY(),"◆ ÔN HÔM NAY","✔ Đúng tiến độ")))))</f>
        <v>• Chưa tới</v>
      </c>
      <c r="U307" s="38" t="n">
        <f aca="false">IF($H307="","",$R307/5)</f>
        <v>0</v>
      </c>
    </row>
    <row r="308" customFormat="false" ht="23.85" hidden="false" customHeight="false" outlineLevel="0" collapsed="false">
      <c r="A308" s="31" t="s">
        <v>1976</v>
      </c>
      <c r="B308" s="31" t="n">
        <v>16</v>
      </c>
      <c r="C308" s="32" t="n">
        <f aca="false">SETTINGS!$C$3+$B308-1</f>
        <v>46315</v>
      </c>
      <c r="D308" s="39" t="s">
        <v>1947</v>
      </c>
      <c r="E308" s="34" t="s">
        <v>1948</v>
      </c>
      <c r="F308" s="34" t="s">
        <v>280</v>
      </c>
      <c r="G308" s="34" t="s">
        <v>323</v>
      </c>
      <c r="H308" s="35" t="s">
        <v>1977</v>
      </c>
      <c r="I308" s="36" t="s">
        <v>1978</v>
      </c>
      <c r="J308" s="34" t="s">
        <v>1979</v>
      </c>
      <c r="K308" s="34" t="s">
        <v>1980</v>
      </c>
      <c r="L308" s="37"/>
      <c r="M308" s="37"/>
      <c r="N308" s="37"/>
      <c r="O308" s="37"/>
      <c r="P308" s="37"/>
      <c r="Q308" s="37"/>
      <c r="R308" s="31" t="n">
        <f aca="false">COUNT($M308:$Q308)</f>
        <v>0</v>
      </c>
      <c r="S308" s="32" t="str">
        <f aca="false">IF($L308="","",IF($R308&gt;=5,"",MAX($L308:$Q308)+CHOOSE($R308+1,SETTINGS!$C$9,SETTINGS!$C$10,SETTINGS!$C$11,SETTINGS!$C$12,SETTINGS!$C$13)))</f>
        <v/>
      </c>
      <c r="T308" s="34" t="str">
        <f aca="true">IF($H308="","(chưa có nội dung)",IF($L308="",IF($C308&lt;TODAY(),"⚠ TRỄ HỌC",IF($C308=TODAY(),"★ HỌC HÔM NAY","• Chưa tới")),IF($R308&gt;=5,"✔ MASTER",IF($S308&lt;TODAY(),"⚠ TRỄ ÔN",IF($S308=TODAY(),"◆ ÔN HÔM NAY","✔ Đúng tiến độ")))))</f>
        <v>• Chưa tới</v>
      </c>
      <c r="U308" s="38" t="n">
        <f aca="false">IF($H308="","",$R308/5)</f>
        <v>0</v>
      </c>
    </row>
    <row r="309" customFormat="false" ht="23.85" hidden="false" customHeight="false" outlineLevel="0" collapsed="false">
      <c r="A309" s="31" t="s">
        <v>1981</v>
      </c>
      <c r="B309" s="31" t="n">
        <v>16</v>
      </c>
      <c r="C309" s="32" t="n">
        <f aca="false">SETTINGS!$C$3+$B309-1</f>
        <v>46315</v>
      </c>
      <c r="D309" s="39" t="s">
        <v>1947</v>
      </c>
      <c r="E309" s="34" t="s">
        <v>1948</v>
      </c>
      <c r="F309" s="34" t="s">
        <v>280</v>
      </c>
      <c r="G309" s="34" t="s">
        <v>1982</v>
      </c>
      <c r="H309" s="35" t="s">
        <v>1983</v>
      </c>
      <c r="I309" s="36" t="s">
        <v>1984</v>
      </c>
      <c r="J309" s="34" t="s">
        <v>1985</v>
      </c>
      <c r="K309" s="34" t="s">
        <v>1986</v>
      </c>
      <c r="L309" s="37"/>
      <c r="M309" s="37"/>
      <c r="N309" s="37"/>
      <c r="O309" s="37"/>
      <c r="P309" s="37"/>
      <c r="Q309" s="37"/>
      <c r="R309" s="31" t="n">
        <f aca="false">COUNT($M309:$Q309)</f>
        <v>0</v>
      </c>
      <c r="S309" s="32" t="str">
        <f aca="false">IF($L309="","",IF($R309&gt;=5,"",MAX($L309:$Q309)+CHOOSE($R309+1,SETTINGS!$C$9,SETTINGS!$C$10,SETTINGS!$C$11,SETTINGS!$C$12,SETTINGS!$C$13)))</f>
        <v/>
      </c>
      <c r="T309" s="34" t="str">
        <f aca="true">IF($H309="","(chưa có nội dung)",IF($L309="",IF($C309&lt;TODAY(),"⚠ TRỄ HỌC",IF($C309=TODAY(),"★ HỌC HÔM NAY","• Chưa tới")),IF($R309&gt;=5,"✔ MASTER",IF($S309&lt;TODAY(),"⚠ TRỄ ÔN",IF($S309=TODAY(),"◆ ÔN HÔM NAY","✔ Đúng tiến độ")))))</f>
        <v>• Chưa tới</v>
      </c>
      <c r="U309" s="38" t="n">
        <f aca="false">IF($H309="","",$R309/5)</f>
        <v>0</v>
      </c>
    </row>
    <row r="310" customFormat="false" ht="23.85" hidden="false" customHeight="false" outlineLevel="0" collapsed="false">
      <c r="A310" s="31" t="s">
        <v>1987</v>
      </c>
      <c r="B310" s="31" t="n">
        <v>16</v>
      </c>
      <c r="C310" s="32" t="n">
        <f aca="false">SETTINGS!$C$3+$B310-1</f>
        <v>46315</v>
      </c>
      <c r="D310" s="39" t="s">
        <v>1947</v>
      </c>
      <c r="E310" s="34" t="s">
        <v>1948</v>
      </c>
      <c r="F310" s="34" t="s">
        <v>183</v>
      </c>
      <c r="G310" s="34" t="s">
        <v>1988</v>
      </c>
      <c r="H310" s="35" t="s">
        <v>1989</v>
      </c>
      <c r="I310" s="36" t="s">
        <v>1990</v>
      </c>
      <c r="J310" s="34" t="s">
        <v>1991</v>
      </c>
      <c r="K310" s="34" t="s">
        <v>1992</v>
      </c>
      <c r="L310" s="37"/>
      <c r="M310" s="37"/>
      <c r="N310" s="37"/>
      <c r="O310" s="37"/>
      <c r="P310" s="37"/>
      <c r="Q310" s="37"/>
      <c r="R310" s="31" t="n">
        <f aca="false">COUNT($M310:$Q310)</f>
        <v>0</v>
      </c>
      <c r="S310" s="32" t="str">
        <f aca="false">IF($L310="","",IF($R310&gt;=5,"",MAX($L310:$Q310)+CHOOSE($R310+1,SETTINGS!$C$9,SETTINGS!$C$10,SETTINGS!$C$11,SETTINGS!$C$12,SETTINGS!$C$13)))</f>
        <v/>
      </c>
      <c r="T310" s="34" t="str">
        <f aca="true">IF($H310="","(chưa có nội dung)",IF($L310="",IF($C310&lt;TODAY(),"⚠ TRỄ HỌC",IF($C310=TODAY(),"★ HỌC HÔM NAY","• Chưa tới")),IF($R310&gt;=5,"✔ MASTER",IF($S310&lt;TODAY(),"⚠ TRỄ ÔN",IF($S310=TODAY(),"◆ ÔN HÔM NAY","✔ Đúng tiến độ")))))</f>
        <v>• Chưa tới</v>
      </c>
      <c r="U310" s="38" t="n">
        <f aca="false">IF($H310="","",$R310/5)</f>
        <v>0</v>
      </c>
    </row>
    <row r="311" customFormat="false" ht="23.85" hidden="false" customHeight="false" outlineLevel="0" collapsed="false">
      <c r="A311" s="31" t="s">
        <v>1993</v>
      </c>
      <c r="B311" s="31" t="n">
        <v>16</v>
      </c>
      <c r="C311" s="32" t="n">
        <f aca="false">SETTINGS!$C$3+$B311-1</f>
        <v>46315</v>
      </c>
      <c r="D311" s="39" t="s">
        <v>1947</v>
      </c>
      <c r="E311" s="34" t="s">
        <v>1948</v>
      </c>
      <c r="F311" s="34" t="s">
        <v>163</v>
      </c>
      <c r="G311" s="34" t="s">
        <v>1994</v>
      </c>
      <c r="H311" s="35" t="s">
        <v>1995</v>
      </c>
      <c r="I311" s="36" t="s">
        <v>1996</v>
      </c>
      <c r="J311" s="34" t="s">
        <v>1997</v>
      </c>
      <c r="K311" s="34" t="s">
        <v>1998</v>
      </c>
      <c r="L311" s="37"/>
      <c r="M311" s="37"/>
      <c r="N311" s="37"/>
      <c r="O311" s="37"/>
      <c r="P311" s="37"/>
      <c r="Q311" s="37"/>
      <c r="R311" s="31" t="n">
        <f aca="false">COUNT($M311:$Q311)</f>
        <v>0</v>
      </c>
      <c r="S311" s="32" t="str">
        <f aca="false">IF($L311="","",IF($R311&gt;=5,"",MAX($L311:$Q311)+CHOOSE($R311+1,SETTINGS!$C$9,SETTINGS!$C$10,SETTINGS!$C$11,SETTINGS!$C$12,SETTINGS!$C$13)))</f>
        <v/>
      </c>
      <c r="T311" s="34" t="str">
        <f aca="true">IF($H311="","(chưa có nội dung)",IF($L311="",IF($C311&lt;TODAY(),"⚠ TRỄ HỌC",IF($C311=TODAY(),"★ HỌC HÔM NAY","• Chưa tới")),IF($R311&gt;=5,"✔ MASTER",IF($S311&lt;TODAY(),"⚠ TRỄ ÔN",IF($S311=TODAY(),"◆ ÔN HÔM NAY","✔ Đúng tiến độ")))))</f>
        <v>• Chưa tới</v>
      </c>
      <c r="U311" s="38" t="n">
        <f aca="false">IF($H311="","",$R311/5)</f>
        <v>0</v>
      </c>
    </row>
    <row r="312" customFormat="false" ht="23.85" hidden="false" customHeight="false" outlineLevel="0" collapsed="false">
      <c r="A312" s="31" t="s">
        <v>1999</v>
      </c>
      <c r="B312" s="31" t="n">
        <v>16</v>
      </c>
      <c r="C312" s="32" t="n">
        <f aca="false">SETTINGS!$C$3+$B312-1</f>
        <v>46315</v>
      </c>
      <c r="D312" s="39" t="s">
        <v>1947</v>
      </c>
      <c r="E312" s="34" t="s">
        <v>1948</v>
      </c>
      <c r="F312" s="34" t="s">
        <v>280</v>
      </c>
      <c r="G312" s="34" t="s">
        <v>2000</v>
      </c>
      <c r="H312" s="35" t="s">
        <v>2001</v>
      </c>
      <c r="I312" s="36" t="s">
        <v>2002</v>
      </c>
      <c r="J312" s="34" t="s">
        <v>2003</v>
      </c>
      <c r="K312" s="34" t="s">
        <v>2004</v>
      </c>
      <c r="L312" s="37"/>
      <c r="M312" s="37"/>
      <c r="N312" s="37"/>
      <c r="O312" s="37"/>
      <c r="P312" s="37"/>
      <c r="Q312" s="37"/>
      <c r="R312" s="31" t="n">
        <f aca="false">COUNT($M312:$Q312)</f>
        <v>0</v>
      </c>
      <c r="S312" s="32" t="str">
        <f aca="false">IF($L312="","",IF($R312&gt;=5,"",MAX($L312:$Q312)+CHOOSE($R312+1,SETTINGS!$C$9,SETTINGS!$C$10,SETTINGS!$C$11,SETTINGS!$C$12,SETTINGS!$C$13)))</f>
        <v/>
      </c>
      <c r="T312" s="34" t="str">
        <f aca="true">IF($H312="","(chưa có nội dung)",IF($L312="",IF($C312&lt;TODAY(),"⚠ TRỄ HỌC",IF($C312=TODAY(),"★ HỌC HÔM NAY","• Chưa tới")),IF($R312&gt;=5,"✔ MASTER",IF($S312&lt;TODAY(),"⚠ TRỄ ÔN",IF($S312=TODAY(),"◆ ÔN HÔM NAY","✔ Đúng tiến độ")))))</f>
        <v>• Chưa tới</v>
      </c>
      <c r="U312" s="38" t="n">
        <f aca="false">IF($H312="","",$R312/5)</f>
        <v>0</v>
      </c>
    </row>
    <row r="313" customFormat="false" ht="23.85" hidden="false" customHeight="false" outlineLevel="0" collapsed="false">
      <c r="A313" s="31" t="s">
        <v>2005</v>
      </c>
      <c r="B313" s="31" t="n">
        <v>16</v>
      </c>
      <c r="C313" s="32" t="n">
        <f aca="false">SETTINGS!$C$3+$B313-1</f>
        <v>46315</v>
      </c>
      <c r="D313" s="39" t="s">
        <v>1947</v>
      </c>
      <c r="E313" s="34" t="s">
        <v>1948</v>
      </c>
      <c r="F313" s="34" t="s">
        <v>163</v>
      </c>
      <c r="G313" s="34" t="s">
        <v>2006</v>
      </c>
      <c r="H313" s="35" t="s">
        <v>2007</v>
      </c>
      <c r="I313" s="36" t="s">
        <v>2008</v>
      </c>
      <c r="J313" s="34" t="s">
        <v>2009</v>
      </c>
      <c r="K313" s="34" t="s">
        <v>2010</v>
      </c>
      <c r="L313" s="37"/>
      <c r="M313" s="37"/>
      <c r="N313" s="37"/>
      <c r="O313" s="37"/>
      <c r="P313" s="37"/>
      <c r="Q313" s="37"/>
      <c r="R313" s="31" t="n">
        <f aca="false">COUNT($M313:$Q313)</f>
        <v>0</v>
      </c>
      <c r="S313" s="32" t="str">
        <f aca="false">IF($L313="","",IF($R313&gt;=5,"",MAX($L313:$Q313)+CHOOSE($R313+1,SETTINGS!$C$9,SETTINGS!$C$10,SETTINGS!$C$11,SETTINGS!$C$12,SETTINGS!$C$13)))</f>
        <v/>
      </c>
      <c r="T313" s="34" t="str">
        <f aca="true">IF($H313="","(chưa có nội dung)",IF($L313="",IF($C313&lt;TODAY(),"⚠ TRỄ HỌC",IF($C313=TODAY(),"★ HỌC HÔM NAY","• Chưa tới")),IF($R313&gt;=5,"✔ MASTER",IF($S313&lt;TODAY(),"⚠ TRỄ ÔN",IF($S313=TODAY(),"◆ ÔN HÔM NAY","✔ Đúng tiến độ")))))</f>
        <v>• Chưa tới</v>
      </c>
      <c r="U313" s="38" t="n">
        <f aca="false">IF($H313="","",$R313/5)</f>
        <v>0</v>
      </c>
    </row>
    <row r="314" customFormat="false" ht="23.85" hidden="false" customHeight="false" outlineLevel="0" collapsed="false">
      <c r="A314" s="31" t="s">
        <v>2011</v>
      </c>
      <c r="B314" s="31" t="n">
        <v>16</v>
      </c>
      <c r="C314" s="32" t="n">
        <f aca="false">SETTINGS!$C$3+$B314-1</f>
        <v>46315</v>
      </c>
      <c r="D314" s="39" t="s">
        <v>1947</v>
      </c>
      <c r="E314" s="34" t="s">
        <v>1948</v>
      </c>
      <c r="F314" s="34" t="s">
        <v>183</v>
      </c>
      <c r="G314" s="34" t="s">
        <v>454</v>
      </c>
      <c r="H314" s="35" t="s">
        <v>2012</v>
      </c>
      <c r="I314" s="36" t="s">
        <v>2013</v>
      </c>
      <c r="J314" s="34" t="s">
        <v>2014</v>
      </c>
      <c r="K314" s="34" t="s">
        <v>2015</v>
      </c>
      <c r="L314" s="37"/>
      <c r="M314" s="37"/>
      <c r="N314" s="37"/>
      <c r="O314" s="37"/>
      <c r="P314" s="37"/>
      <c r="Q314" s="37"/>
      <c r="R314" s="31" t="n">
        <f aca="false">COUNT($M314:$Q314)</f>
        <v>0</v>
      </c>
      <c r="S314" s="32" t="str">
        <f aca="false">IF($L314="","",IF($R314&gt;=5,"",MAX($L314:$Q314)+CHOOSE($R314+1,SETTINGS!$C$9,SETTINGS!$C$10,SETTINGS!$C$11,SETTINGS!$C$12,SETTINGS!$C$13)))</f>
        <v/>
      </c>
      <c r="T314" s="34" t="str">
        <f aca="true">IF($H314="","(chưa có nội dung)",IF($L314="",IF($C314&lt;TODAY(),"⚠ TRỄ HỌC",IF($C314=TODAY(),"★ HỌC HÔM NAY","• Chưa tới")),IF($R314&gt;=5,"✔ MASTER",IF($S314&lt;TODAY(),"⚠ TRỄ ÔN",IF($S314=TODAY(),"◆ ÔN HÔM NAY","✔ Đúng tiến độ")))))</f>
        <v>• Chưa tới</v>
      </c>
      <c r="U314" s="38" t="n">
        <f aca="false">IF($H314="","",$R314/5)</f>
        <v>0</v>
      </c>
    </row>
    <row r="315" customFormat="false" ht="23.85" hidden="false" customHeight="false" outlineLevel="0" collapsed="false">
      <c r="A315" s="31" t="s">
        <v>2016</v>
      </c>
      <c r="B315" s="31" t="n">
        <v>16</v>
      </c>
      <c r="C315" s="32" t="n">
        <f aca="false">SETTINGS!$C$3+$B315-1</f>
        <v>46315</v>
      </c>
      <c r="D315" s="39" t="s">
        <v>1947</v>
      </c>
      <c r="E315" s="34" t="s">
        <v>1948</v>
      </c>
      <c r="F315" s="34" t="s">
        <v>183</v>
      </c>
      <c r="G315" s="34" t="s">
        <v>2017</v>
      </c>
      <c r="H315" s="35" t="s">
        <v>2018</v>
      </c>
      <c r="I315" s="36" t="s">
        <v>2019</v>
      </c>
      <c r="J315" s="34" t="s">
        <v>2020</v>
      </c>
      <c r="K315" s="34" t="s">
        <v>2021</v>
      </c>
      <c r="L315" s="37"/>
      <c r="M315" s="37"/>
      <c r="N315" s="37"/>
      <c r="O315" s="37"/>
      <c r="P315" s="37"/>
      <c r="Q315" s="37"/>
      <c r="R315" s="31" t="n">
        <f aca="false">COUNT($M315:$Q315)</f>
        <v>0</v>
      </c>
      <c r="S315" s="32" t="str">
        <f aca="false">IF($L315="","",IF($R315&gt;=5,"",MAX($L315:$Q315)+CHOOSE($R315+1,SETTINGS!$C$9,SETTINGS!$C$10,SETTINGS!$C$11,SETTINGS!$C$12,SETTINGS!$C$13)))</f>
        <v/>
      </c>
      <c r="T315" s="34" t="str">
        <f aca="true">IF($H315="","(chưa có nội dung)",IF($L315="",IF($C315&lt;TODAY(),"⚠ TRỄ HỌC",IF($C315=TODAY(),"★ HỌC HÔM NAY","• Chưa tới")),IF($R315&gt;=5,"✔ MASTER",IF($S315&lt;TODAY(),"⚠ TRỄ ÔN",IF($S315=TODAY(),"◆ ÔN HÔM NAY","✔ Đúng tiến độ")))))</f>
        <v>• Chưa tới</v>
      </c>
      <c r="U315" s="38" t="n">
        <f aca="false">IF($H315="","",$R315/5)</f>
        <v>0</v>
      </c>
    </row>
    <row r="316" customFormat="false" ht="23.85" hidden="false" customHeight="false" outlineLevel="0" collapsed="false">
      <c r="A316" s="31" t="s">
        <v>2022</v>
      </c>
      <c r="B316" s="31" t="n">
        <v>16</v>
      </c>
      <c r="C316" s="32" t="n">
        <f aca="false">SETTINGS!$C$3+$B316-1</f>
        <v>46315</v>
      </c>
      <c r="D316" s="39" t="s">
        <v>1947</v>
      </c>
      <c r="E316" s="34" t="s">
        <v>1948</v>
      </c>
      <c r="F316" s="34" t="s">
        <v>280</v>
      </c>
      <c r="G316" s="34" t="s">
        <v>2023</v>
      </c>
      <c r="H316" s="35" t="s">
        <v>2024</v>
      </c>
      <c r="I316" s="36" t="s">
        <v>2025</v>
      </c>
      <c r="J316" s="34" t="s">
        <v>2026</v>
      </c>
      <c r="K316" s="34" t="s">
        <v>2027</v>
      </c>
      <c r="L316" s="37"/>
      <c r="M316" s="37"/>
      <c r="N316" s="37"/>
      <c r="O316" s="37"/>
      <c r="P316" s="37"/>
      <c r="Q316" s="37"/>
      <c r="R316" s="31" t="n">
        <f aca="false">COUNT($M316:$Q316)</f>
        <v>0</v>
      </c>
      <c r="S316" s="32" t="str">
        <f aca="false">IF($L316="","",IF($R316&gt;=5,"",MAX($L316:$Q316)+CHOOSE($R316+1,SETTINGS!$C$9,SETTINGS!$C$10,SETTINGS!$C$11,SETTINGS!$C$12,SETTINGS!$C$13)))</f>
        <v/>
      </c>
      <c r="T316" s="34" t="str">
        <f aca="true">IF($H316="","(chưa có nội dung)",IF($L316="",IF($C316&lt;TODAY(),"⚠ TRỄ HỌC",IF($C316=TODAY(),"★ HỌC HÔM NAY","• Chưa tới")),IF($R316&gt;=5,"✔ MASTER",IF($S316&lt;TODAY(),"⚠ TRỄ ÔN",IF($S316=TODAY(),"◆ ÔN HÔM NAY","✔ Đúng tiến độ")))))</f>
        <v>• Chưa tới</v>
      </c>
      <c r="U316" s="38" t="n">
        <f aca="false">IF($H316="","",$R316/5)</f>
        <v>0</v>
      </c>
    </row>
    <row r="317" customFormat="false" ht="23.85" hidden="false" customHeight="false" outlineLevel="0" collapsed="false">
      <c r="A317" s="31" t="s">
        <v>2028</v>
      </c>
      <c r="B317" s="31" t="n">
        <v>16</v>
      </c>
      <c r="C317" s="32" t="n">
        <f aca="false">SETTINGS!$C$3+$B317-1</f>
        <v>46315</v>
      </c>
      <c r="D317" s="39" t="s">
        <v>1947</v>
      </c>
      <c r="E317" s="34" t="s">
        <v>1948</v>
      </c>
      <c r="F317" s="34" t="s">
        <v>163</v>
      </c>
      <c r="G317" s="34" t="s">
        <v>2029</v>
      </c>
      <c r="H317" s="35" t="s">
        <v>2030</v>
      </c>
      <c r="I317" s="36" t="s">
        <v>2031</v>
      </c>
      <c r="J317" s="34" t="s">
        <v>2032</v>
      </c>
      <c r="K317" s="34" t="s">
        <v>386</v>
      </c>
      <c r="L317" s="37"/>
      <c r="M317" s="37"/>
      <c r="N317" s="37"/>
      <c r="O317" s="37"/>
      <c r="P317" s="37"/>
      <c r="Q317" s="37"/>
      <c r="R317" s="31" t="n">
        <f aca="false">COUNT($M317:$Q317)</f>
        <v>0</v>
      </c>
      <c r="S317" s="32" t="str">
        <f aca="false">IF($L317="","",IF($R317&gt;=5,"",MAX($L317:$Q317)+CHOOSE($R317+1,SETTINGS!$C$9,SETTINGS!$C$10,SETTINGS!$C$11,SETTINGS!$C$12,SETTINGS!$C$13)))</f>
        <v/>
      </c>
      <c r="T317" s="34" t="str">
        <f aca="true">IF($H317="","(chưa có nội dung)",IF($L317="",IF($C317&lt;TODAY(),"⚠ TRỄ HỌC",IF($C317=TODAY(),"★ HỌC HÔM NAY","• Chưa tới")),IF($R317&gt;=5,"✔ MASTER",IF($S317&lt;TODAY(),"⚠ TRỄ ÔN",IF($S317=TODAY(),"◆ ÔN HÔM NAY","✔ Đúng tiến độ")))))</f>
        <v>• Chưa tới</v>
      </c>
      <c r="U317" s="38" t="n">
        <f aca="false">IF($H317="","",$R317/5)</f>
        <v>0</v>
      </c>
    </row>
    <row r="318" customFormat="false" ht="23.85" hidden="false" customHeight="false" outlineLevel="0" collapsed="false">
      <c r="A318" s="31" t="s">
        <v>2033</v>
      </c>
      <c r="B318" s="31" t="n">
        <v>16</v>
      </c>
      <c r="C318" s="32" t="n">
        <f aca="false">SETTINGS!$C$3+$B318-1</f>
        <v>46315</v>
      </c>
      <c r="D318" s="39" t="s">
        <v>1947</v>
      </c>
      <c r="E318" s="34" t="s">
        <v>1948</v>
      </c>
      <c r="F318" s="34" t="s">
        <v>280</v>
      </c>
      <c r="G318" s="34" t="s">
        <v>2034</v>
      </c>
      <c r="H318" s="35" t="s">
        <v>2035</v>
      </c>
      <c r="I318" s="36" t="s">
        <v>2036</v>
      </c>
      <c r="J318" s="34" t="s">
        <v>2037</v>
      </c>
      <c r="K318" s="34" t="s">
        <v>2038</v>
      </c>
      <c r="L318" s="37"/>
      <c r="M318" s="37"/>
      <c r="N318" s="37"/>
      <c r="O318" s="37"/>
      <c r="P318" s="37"/>
      <c r="Q318" s="37"/>
      <c r="R318" s="31" t="n">
        <f aca="false">COUNT($M318:$Q318)</f>
        <v>0</v>
      </c>
      <c r="S318" s="32" t="str">
        <f aca="false">IF($L318="","",IF($R318&gt;=5,"",MAX($L318:$Q318)+CHOOSE($R318+1,SETTINGS!$C$9,SETTINGS!$C$10,SETTINGS!$C$11,SETTINGS!$C$12,SETTINGS!$C$13)))</f>
        <v/>
      </c>
      <c r="T318" s="34" t="str">
        <f aca="true">IF($H318="","(chưa có nội dung)",IF($L318="",IF($C318&lt;TODAY(),"⚠ TRỄ HỌC",IF($C318=TODAY(),"★ HỌC HÔM NAY","• Chưa tới")),IF($R318&gt;=5,"✔ MASTER",IF($S318&lt;TODAY(),"⚠ TRỄ ÔN",IF($S318=TODAY(),"◆ ÔN HÔM NAY","✔ Đúng tiến độ")))))</f>
        <v>• Chưa tới</v>
      </c>
      <c r="U318" s="38" t="n">
        <f aca="false">IF($H318="","",$R318/5)</f>
        <v>0</v>
      </c>
    </row>
    <row r="319" customFormat="false" ht="23.85" hidden="false" customHeight="false" outlineLevel="0" collapsed="false">
      <c r="A319" s="31" t="s">
        <v>2039</v>
      </c>
      <c r="B319" s="31" t="n">
        <v>16</v>
      </c>
      <c r="C319" s="32" t="n">
        <f aca="false">SETTINGS!$C$3+$B319-1</f>
        <v>46315</v>
      </c>
      <c r="D319" s="39" t="s">
        <v>1947</v>
      </c>
      <c r="E319" s="34" t="s">
        <v>1948</v>
      </c>
      <c r="F319" s="34" t="s">
        <v>183</v>
      </c>
      <c r="G319" s="34" t="s">
        <v>2040</v>
      </c>
      <c r="H319" s="35" t="s">
        <v>2041</v>
      </c>
      <c r="I319" s="36" t="s">
        <v>2042</v>
      </c>
      <c r="J319" s="34" t="s">
        <v>2043</v>
      </c>
      <c r="K319" s="34" t="s">
        <v>2044</v>
      </c>
      <c r="L319" s="37"/>
      <c r="M319" s="37"/>
      <c r="N319" s="37"/>
      <c r="O319" s="37"/>
      <c r="P319" s="37"/>
      <c r="Q319" s="37"/>
      <c r="R319" s="31" t="n">
        <f aca="false">COUNT($M319:$Q319)</f>
        <v>0</v>
      </c>
      <c r="S319" s="32" t="str">
        <f aca="false">IF($L319="","",IF($R319&gt;=5,"",MAX($L319:$Q319)+CHOOSE($R319+1,SETTINGS!$C$9,SETTINGS!$C$10,SETTINGS!$C$11,SETTINGS!$C$12,SETTINGS!$C$13)))</f>
        <v/>
      </c>
      <c r="T319" s="34" t="str">
        <f aca="true">IF($H319="","(chưa có nội dung)",IF($L319="",IF($C319&lt;TODAY(),"⚠ TRỄ HỌC",IF($C319=TODAY(),"★ HỌC HÔM NAY","• Chưa tới")),IF($R319&gt;=5,"✔ MASTER",IF($S319&lt;TODAY(),"⚠ TRỄ ÔN",IF($S319=TODAY(),"◆ ÔN HÔM NAY","✔ Đúng tiến độ")))))</f>
        <v>• Chưa tới</v>
      </c>
      <c r="U319" s="38" t="n">
        <f aca="false">IF($H319="","",$R319/5)</f>
        <v>0</v>
      </c>
    </row>
    <row r="320" customFormat="false" ht="23.85" hidden="false" customHeight="false" outlineLevel="0" collapsed="false">
      <c r="A320" s="31" t="s">
        <v>2045</v>
      </c>
      <c r="B320" s="31" t="n">
        <v>16</v>
      </c>
      <c r="C320" s="32" t="n">
        <f aca="false">SETTINGS!$C$3+$B320-1</f>
        <v>46315</v>
      </c>
      <c r="D320" s="39" t="s">
        <v>1947</v>
      </c>
      <c r="E320" s="34" t="s">
        <v>1948</v>
      </c>
      <c r="F320" s="34" t="s">
        <v>497</v>
      </c>
      <c r="G320" s="34" t="s">
        <v>2046</v>
      </c>
      <c r="H320" s="35" t="s">
        <v>2047</v>
      </c>
      <c r="I320" s="36" t="s">
        <v>2048</v>
      </c>
      <c r="J320" s="34" t="s">
        <v>2049</v>
      </c>
      <c r="K320" s="34" t="s">
        <v>2050</v>
      </c>
      <c r="L320" s="37"/>
      <c r="M320" s="37"/>
      <c r="N320" s="37"/>
      <c r="O320" s="37"/>
      <c r="P320" s="37"/>
      <c r="Q320" s="37"/>
      <c r="R320" s="31" t="n">
        <f aca="false">COUNT($M320:$Q320)</f>
        <v>0</v>
      </c>
      <c r="S320" s="32" t="str">
        <f aca="false">IF($L320="","",IF($R320&gt;=5,"",MAX($L320:$Q320)+CHOOSE($R320+1,SETTINGS!$C$9,SETTINGS!$C$10,SETTINGS!$C$11,SETTINGS!$C$12,SETTINGS!$C$13)))</f>
        <v/>
      </c>
      <c r="T320" s="34" t="str">
        <f aca="true">IF($H320="","(chưa có nội dung)",IF($L320="",IF($C320&lt;TODAY(),"⚠ TRỄ HỌC",IF($C320=TODAY(),"★ HỌC HÔM NAY","• Chưa tới")),IF($R320&gt;=5,"✔ MASTER",IF($S320&lt;TODAY(),"⚠ TRỄ ÔN",IF($S320=TODAY(),"◆ ÔN HÔM NAY","✔ Đúng tiến độ")))))</f>
        <v>• Chưa tới</v>
      </c>
      <c r="U320" s="38" t="n">
        <f aca="false">IF($H320="","",$R320/5)</f>
        <v>0</v>
      </c>
    </row>
    <row r="321" customFormat="false" ht="23.85" hidden="false" customHeight="false" outlineLevel="0" collapsed="false">
      <c r="A321" s="31" t="s">
        <v>2051</v>
      </c>
      <c r="B321" s="31" t="n">
        <v>16</v>
      </c>
      <c r="C321" s="32" t="n">
        <f aca="false">SETTINGS!$C$3+$B321-1</f>
        <v>46315</v>
      </c>
      <c r="D321" s="39" t="s">
        <v>1947</v>
      </c>
      <c r="E321" s="34" t="s">
        <v>1948</v>
      </c>
      <c r="F321" s="34" t="s">
        <v>280</v>
      </c>
      <c r="G321" s="34" t="s">
        <v>2052</v>
      </c>
      <c r="H321" s="35" t="s">
        <v>2053</v>
      </c>
      <c r="I321" s="36" t="s">
        <v>2054</v>
      </c>
      <c r="J321" s="34" t="s">
        <v>2055</v>
      </c>
      <c r="K321" s="34" t="s">
        <v>2056</v>
      </c>
      <c r="L321" s="37"/>
      <c r="M321" s="37"/>
      <c r="N321" s="37"/>
      <c r="O321" s="37"/>
      <c r="P321" s="37"/>
      <c r="Q321" s="37"/>
      <c r="R321" s="31" t="n">
        <f aca="false">COUNT($M321:$Q321)</f>
        <v>0</v>
      </c>
      <c r="S321" s="32" t="str">
        <f aca="false">IF($L321="","",IF($R321&gt;=5,"",MAX($L321:$Q321)+CHOOSE($R321+1,SETTINGS!$C$9,SETTINGS!$C$10,SETTINGS!$C$11,SETTINGS!$C$12,SETTINGS!$C$13)))</f>
        <v/>
      </c>
      <c r="T321" s="34" t="str">
        <f aca="true">IF($H321="","(chưa có nội dung)",IF($L321="",IF($C321&lt;TODAY(),"⚠ TRỄ HỌC",IF($C321=TODAY(),"★ HỌC HÔM NAY","• Chưa tới")),IF($R321&gt;=5,"✔ MASTER",IF($S321&lt;TODAY(),"⚠ TRỄ ÔN",IF($S321=TODAY(),"◆ ÔN HÔM NAY","✔ Đúng tiến độ")))))</f>
        <v>• Chưa tới</v>
      </c>
      <c r="U321" s="38" t="n">
        <f aca="false">IF($H321="","",$R321/5)</f>
        <v>0</v>
      </c>
    </row>
    <row r="322" customFormat="false" ht="23.85" hidden="false" customHeight="false" outlineLevel="0" collapsed="false">
      <c r="A322" s="31" t="s">
        <v>2057</v>
      </c>
      <c r="B322" s="31" t="n">
        <v>16</v>
      </c>
      <c r="C322" s="32" t="n">
        <f aca="false">SETTINGS!$C$3+$B322-1</f>
        <v>46315</v>
      </c>
      <c r="D322" s="39" t="s">
        <v>1947</v>
      </c>
      <c r="E322" s="34" t="s">
        <v>1948</v>
      </c>
      <c r="F322" s="34" t="s">
        <v>280</v>
      </c>
      <c r="G322" s="34" t="s">
        <v>2000</v>
      </c>
      <c r="H322" s="35" t="s">
        <v>2058</v>
      </c>
      <c r="I322" s="36" t="s">
        <v>2059</v>
      </c>
      <c r="J322" s="34" t="s">
        <v>2060</v>
      </c>
      <c r="K322" s="34" t="s">
        <v>2061</v>
      </c>
      <c r="L322" s="37"/>
      <c r="M322" s="37"/>
      <c r="N322" s="37"/>
      <c r="O322" s="37"/>
      <c r="P322" s="37"/>
      <c r="Q322" s="37"/>
      <c r="R322" s="31" t="n">
        <f aca="false">COUNT($M322:$Q322)</f>
        <v>0</v>
      </c>
      <c r="S322" s="32" t="str">
        <f aca="false">IF($L322="","",IF($R322&gt;=5,"",MAX($L322:$Q322)+CHOOSE($R322+1,SETTINGS!$C$9,SETTINGS!$C$10,SETTINGS!$C$11,SETTINGS!$C$12,SETTINGS!$C$13)))</f>
        <v/>
      </c>
      <c r="T322" s="34" t="str">
        <f aca="true">IF($H322="","(chưa có nội dung)",IF($L322="",IF($C322&lt;TODAY(),"⚠ TRỄ HỌC",IF($C322=TODAY(),"★ HỌC HÔM NAY","• Chưa tới")),IF($R322&gt;=5,"✔ MASTER",IF($S322&lt;TODAY(),"⚠ TRỄ ÔN",IF($S322=TODAY(),"◆ ÔN HÔM NAY","✔ Đúng tiến độ")))))</f>
        <v>• Chưa tới</v>
      </c>
      <c r="U322" s="38" t="n">
        <f aca="false">IF($H322="","",$R322/5)</f>
        <v>0</v>
      </c>
    </row>
    <row r="323" customFormat="false" ht="23.85" hidden="false" customHeight="false" outlineLevel="0" collapsed="false">
      <c r="A323" s="31" t="s">
        <v>2062</v>
      </c>
      <c r="B323" s="31" t="n">
        <v>17</v>
      </c>
      <c r="C323" s="32" t="n">
        <f aca="false">SETTINGS!$C$3+$B323-1</f>
        <v>46316</v>
      </c>
      <c r="D323" s="39" t="s">
        <v>1947</v>
      </c>
      <c r="E323" s="34" t="s">
        <v>2063</v>
      </c>
      <c r="F323" s="34" t="s">
        <v>280</v>
      </c>
      <c r="G323" s="34" t="s">
        <v>2064</v>
      </c>
      <c r="H323" s="35" t="s">
        <v>2065</v>
      </c>
      <c r="I323" s="36" t="s">
        <v>2066</v>
      </c>
      <c r="J323" s="34" t="s">
        <v>2067</v>
      </c>
      <c r="K323" s="34" t="s">
        <v>2068</v>
      </c>
      <c r="L323" s="37"/>
      <c r="M323" s="37"/>
      <c r="N323" s="37"/>
      <c r="O323" s="37"/>
      <c r="P323" s="37"/>
      <c r="Q323" s="37"/>
      <c r="R323" s="31" t="n">
        <f aca="false">COUNT($M323:$Q323)</f>
        <v>0</v>
      </c>
      <c r="S323" s="32" t="str">
        <f aca="false">IF($L323="","",IF($R323&gt;=5,"",MAX($L323:$Q323)+CHOOSE($R323+1,SETTINGS!$C$9,SETTINGS!$C$10,SETTINGS!$C$11,SETTINGS!$C$12,SETTINGS!$C$13)))</f>
        <v/>
      </c>
      <c r="T323" s="34" t="str">
        <f aca="true">IF($H323="","(chưa có nội dung)",IF($L323="",IF($C323&lt;TODAY(),"⚠ TRỄ HỌC",IF($C323=TODAY(),"★ HỌC HÔM NAY","• Chưa tới")),IF($R323&gt;=5,"✔ MASTER",IF($S323&lt;TODAY(),"⚠ TRỄ ÔN",IF($S323=TODAY(),"◆ ÔN HÔM NAY","✔ Đúng tiến độ")))))</f>
        <v>• Chưa tới</v>
      </c>
      <c r="U323" s="38" t="n">
        <f aca="false">IF($H323="","",$R323/5)</f>
        <v>0</v>
      </c>
    </row>
    <row r="324" customFormat="false" ht="23.85" hidden="false" customHeight="false" outlineLevel="0" collapsed="false">
      <c r="A324" s="31" t="s">
        <v>2069</v>
      </c>
      <c r="B324" s="31" t="n">
        <v>17</v>
      </c>
      <c r="C324" s="32" t="n">
        <f aca="false">SETTINGS!$C$3+$B324-1</f>
        <v>46316</v>
      </c>
      <c r="D324" s="39" t="s">
        <v>1947</v>
      </c>
      <c r="E324" s="34" t="s">
        <v>2063</v>
      </c>
      <c r="F324" s="34" t="s">
        <v>163</v>
      </c>
      <c r="G324" s="34" t="s">
        <v>2070</v>
      </c>
      <c r="H324" s="35" t="s">
        <v>2071</v>
      </c>
      <c r="I324" s="36" t="s">
        <v>2072</v>
      </c>
      <c r="J324" s="34" t="s">
        <v>2073</v>
      </c>
      <c r="K324" s="34" t="s">
        <v>225</v>
      </c>
      <c r="L324" s="37"/>
      <c r="M324" s="37"/>
      <c r="N324" s="37"/>
      <c r="O324" s="37"/>
      <c r="P324" s="37"/>
      <c r="Q324" s="37"/>
      <c r="R324" s="31" t="n">
        <f aca="false">COUNT($M324:$Q324)</f>
        <v>0</v>
      </c>
      <c r="S324" s="32" t="str">
        <f aca="false">IF($L324="","",IF($R324&gt;=5,"",MAX($L324:$Q324)+CHOOSE($R324+1,SETTINGS!$C$9,SETTINGS!$C$10,SETTINGS!$C$11,SETTINGS!$C$12,SETTINGS!$C$13)))</f>
        <v/>
      </c>
      <c r="T324" s="34" t="str">
        <f aca="true">IF($H324="","(chưa có nội dung)",IF($L324="",IF($C324&lt;TODAY(),"⚠ TRỄ HỌC",IF($C324=TODAY(),"★ HỌC HÔM NAY","• Chưa tới")),IF($R324&gt;=5,"✔ MASTER",IF($S324&lt;TODAY(),"⚠ TRỄ ÔN",IF($S324=TODAY(),"◆ ÔN HÔM NAY","✔ Đúng tiến độ")))))</f>
        <v>• Chưa tới</v>
      </c>
      <c r="U324" s="38" t="n">
        <f aca="false">IF($H324="","",$R324/5)</f>
        <v>0</v>
      </c>
    </row>
    <row r="325" customFormat="false" ht="23.85" hidden="false" customHeight="false" outlineLevel="0" collapsed="false">
      <c r="A325" s="31" t="s">
        <v>2074</v>
      </c>
      <c r="B325" s="31" t="n">
        <v>17</v>
      </c>
      <c r="C325" s="32" t="n">
        <f aca="false">SETTINGS!$C$3+$B325-1</f>
        <v>46316</v>
      </c>
      <c r="D325" s="39" t="s">
        <v>1947</v>
      </c>
      <c r="E325" s="34" t="s">
        <v>2063</v>
      </c>
      <c r="F325" s="34" t="s">
        <v>163</v>
      </c>
      <c r="G325" s="34" t="s">
        <v>2075</v>
      </c>
      <c r="H325" s="35" t="s">
        <v>2076</v>
      </c>
      <c r="I325" s="36" t="s">
        <v>2077</v>
      </c>
      <c r="J325" s="34" t="s">
        <v>2078</v>
      </c>
      <c r="K325" s="34" t="s">
        <v>2079</v>
      </c>
      <c r="L325" s="37"/>
      <c r="M325" s="37"/>
      <c r="N325" s="37"/>
      <c r="O325" s="37"/>
      <c r="P325" s="37"/>
      <c r="Q325" s="37"/>
      <c r="R325" s="31" t="n">
        <f aca="false">COUNT($M325:$Q325)</f>
        <v>0</v>
      </c>
      <c r="S325" s="32" t="str">
        <f aca="false">IF($L325="","",IF($R325&gt;=5,"",MAX($L325:$Q325)+CHOOSE($R325+1,SETTINGS!$C$9,SETTINGS!$C$10,SETTINGS!$C$11,SETTINGS!$C$12,SETTINGS!$C$13)))</f>
        <v/>
      </c>
      <c r="T325" s="34" t="str">
        <f aca="true">IF($H325="","(chưa có nội dung)",IF($L325="",IF($C325&lt;TODAY(),"⚠ TRỄ HỌC",IF($C325=TODAY(),"★ HỌC HÔM NAY","• Chưa tới")),IF($R325&gt;=5,"✔ MASTER",IF($S325&lt;TODAY(),"⚠ TRỄ ÔN",IF($S325=TODAY(),"◆ ÔN HÔM NAY","✔ Đúng tiến độ")))))</f>
        <v>• Chưa tới</v>
      </c>
      <c r="U325" s="38" t="n">
        <f aca="false">IF($H325="","",$R325/5)</f>
        <v>0</v>
      </c>
    </row>
    <row r="326" customFormat="false" ht="23.85" hidden="false" customHeight="false" outlineLevel="0" collapsed="false">
      <c r="A326" s="31" t="s">
        <v>2080</v>
      </c>
      <c r="B326" s="31" t="n">
        <v>17</v>
      </c>
      <c r="C326" s="32" t="n">
        <f aca="false">SETTINGS!$C$3+$B326-1</f>
        <v>46316</v>
      </c>
      <c r="D326" s="39" t="s">
        <v>1947</v>
      </c>
      <c r="E326" s="34" t="s">
        <v>2063</v>
      </c>
      <c r="F326" s="34" t="s">
        <v>183</v>
      </c>
      <c r="G326" s="34" t="s">
        <v>2081</v>
      </c>
      <c r="H326" s="35" t="s">
        <v>2082</v>
      </c>
      <c r="I326" s="36" t="s">
        <v>2083</v>
      </c>
      <c r="J326" s="34" t="s">
        <v>2084</v>
      </c>
      <c r="K326" s="34" t="s">
        <v>2085</v>
      </c>
      <c r="L326" s="37"/>
      <c r="M326" s="37"/>
      <c r="N326" s="37"/>
      <c r="O326" s="37"/>
      <c r="P326" s="37"/>
      <c r="Q326" s="37"/>
      <c r="R326" s="31" t="n">
        <f aca="false">COUNT($M326:$Q326)</f>
        <v>0</v>
      </c>
      <c r="S326" s="32" t="str">
        <f aca="false">IF($L326="","",IF($R326&gt;=5,"",MAX($L326:$Q326)+CHOOSE($R326+1,SETTINGS!$C$9,SETTINGS!$C$10,SETTINGS!$C$11,SETTINGS!$C$12,SETTINGS!$C$13)))</f>
        <v/>
      </c>
      <c r="T326" s="34" t="str">
        <f aca="true">IF($H326="","(chưa có nội dung)",IF($L326="",IF($C326&lt;TODAY(),"⚠ TRỄ HỌC",IF($C326=TODAY(),"★ HỌC HÔM NAY","• Chưa tới")),IF($R326&gt;=5,"✔ MASTER",IF($S326&lt;TODAY(),"⚠ TRỄ ÔN",IF($S326=TODAY(),"◆ ÔN HÔM NAY","✔ Đúng tiến độ")))))</f>
        <v>• Chưa tới</v>
      </c>
      <c r="U326" s="38" t="n">
        <f aca="false">IF($H326="","",$R326/5)</f>
        <v>0</v>
      </c>
    </row>
    <row r="327" customFormat="false" ht="23.85" hidden="false" customHeight="false" outlineLevel="0" collapsed="false">
      <c r="A327" s="31" t="s">
        <v>2086</v>
      </c>
      <c r="B327" s="31" t="n">
        <v>17</v>
      </c>
      <c r="C327" s="32" t="n">
        <f aca="false">SETTINGS!$C$3+$B327-1</f>
        <v>46316</v>
      </c>
      <c r="D327" s="39" t="s">
        <v>1947</v>
      </c>
      <c r="E327" s="34" t="s">
        <v>2063</v>
      </c>
      <c r="F327" s="34" t="s">
        <v>280</v>
      </c>
      <c r="G327" s="34" t="s">
        <v>2087</v>
      </c>
      <c r="H327" s="35" t="s">
        <v>2088</v>
      </c>
      <c r="I327" s="36" t="s">
        <v>2089</v>
      </c>
      <c r="J327" s="34" t="s">
        <v>2090</v>
      </c>
      <c r="K327" s="34" t="s">
        <v>2091</v>
      </c>
      <c r="L327" s="37"/>
      <c r="M327" s="37"/>
      <c r="N327" s="37"/>
      <c r="O327" s="37"/>
      <c r="P327" s="37"/>
      <c r="Q327" s="37"/>
      <c r="R327" s="31" t="n">
        <f aca="false">COUNT($M327:$Q327)</f>
        <v>0</v>
      </c>
      <c r="S327" s="32" t="str">
        <f aca="false">IF($L327="","",IF($R327&gt;=5,"",MAX($L327:$Q327)+CHOOSE($R327+1,SETTINGS!$C$9,SETTINGS!$C$10,SETTINGS!$C$11,SETTINGS!$C$12,SETTINGS!$C$13)))</f>
        <v/>
      </c>
      <c r="T327" s="34" t="str">
        <f aca="true">IF($H327="","(chưa có nội dung)",IF($L327="",IF($C327&lt;TODAY(),"⚠ TRỄ HỌC",IF($C327=TODAY(),"★ HỌC HÔM NAY","• Chưa tới")),IF($R327&gt;=5,"✔ MASTER",IF($S327&lt;TODAY(),"⚠ TRỄ ÔN",IF($S327=TODAY(),"◆ ÔN HÔM NAY","✔ Đúng tiến độ")))))</f>
        <v>• Chưa tới</v>
      </c>
      <c r="U327" s="38" t="n">
        <f aca="false">IF($H327="","",$R327/5)</f>
        <v>0</v>
      </c>
    </row>
    <row r="328" customFormat="false" ht="23.85" hidden="false" customHeight="false" outlineLevel="0" collapsed="false">
      <c r="A328" s="31" t="s">
        <v>2092</v>
      </c>
      <c r="B328" s="31" t="n">
        <v>17</v>
      </c>
      <c r="C328" s="32" t="n">
        <f aca="false">SETTINGS!$C$3+$B328-1</f>
        <v>46316</v>
      </c>
      <c r="D328" s="39" t="s">
        <v>1947</v>
      </c>
      <c r="E328" s="34" t="s">
        <v>2063</v>
      </c>
      <c r="F328" s="34" t="s">
        <v>163</v>
      </c>
      <c r="G328" s="34" t="s">
        <v>2093</v>
      </c>
      <c r="H328" s="35" t="s">
        <v>2094</v>
      </c>
      <c r="I328" s="36" t="s">
        <v>2095</v>
      </c>
      <c r="J328" s="34" t="s">
        <v>2096</v>
      </c>
      <c r="K328" s="34" t="s">
        <v>2097</v>
      </c>
      <c r="L328" s="37"/>
      <c r="M328" s="37"/>
      <c r="N328" s="37"/>
      <c r="O328" s="37"/>
      <c r="P328" s="37"/>
      <c r="Q328" s="37"/>
      <c r="R328" s="31" t="n">
        <f aca="false">COUNT($M328:$Q328)</f>
        <v>0</v>
      </c>
      <c r="S328" s="32" t="str">
        <f aca="false">IF($L328="","",IF($R328&gt;=5,"",MAX($L328:$Q328)+CHOOSE($R328+1,SETTINGS!$C$9,SETTINGS!$C$10,SETTINGS!$C$11,SETTINGS!$C$12,SETTINGS!$C$13)))</f>
        <v/>
      </c>
      <c r="T328" s="34" t="str">
        <f aca="true">IF($H328="","(chưa có nội dung)",IF($L328="",IF($C328&lt;TODAY(),"⚠ TRỄ HỌC",IF($C328=TODAY(),"★ HỌC HÔM NAY","• Chưa tới")),IF($R328&gt;=5,"✔ MASTER",IF($S328&lt;TODAY(),"⚠ TRỄ ÔN",IF($S328=TODAY(),"◆ ÔN HÔM NAY","✔ Đúng tiến độ")))))</f>
        <v>• Chưa tới</v>
      </c>
      <c r="U328" s="38" t="n">
        <f aca="false">IF($H328="","",$R328/5)</f>
        <v>0</v>
      </c>
    </row>
    <row r="329" customFormat="false" ht="23.85" hidden="false" customHeight="false" outlineLevel="0" collapsed="false">
      <c r="A329" s="31" t="s">
        <v>2098</v>
      </c>
      <c r="B329" s="31" t="n">
        <v>17</v>
      </c>
      <c r="C329" s="32" t="n">
        <f aca="false">SETTINGS!$C$3+$B329-1</f>
        <v>46316</v>
      </c>
      <c r="D329" s="39" t="s">
        <v>1947</v>
      </c>
      <c r="E329" s="34" t="s">
        <v>2063</v>
      </c>
      <c r="F329" s="34" t="s">
        <v>280</v>
      </c>
      <c r="G329" s="34" t="s">
        <v>2099</v>
      </c>
      <c r="H329" s="35" t="s">
        <v>2100</v>
      </c>
      <c r="I329" s="36" t="s">
        <v>2101</v>
      </c>
      <c r="J329" s="34" t="s">
        <v>2102</v>
      </c>
      <c r="K329" s="34" t="s">
        <v>2103</v>
      </c>
      <c r="L329" s="37"/>
      <c r="M329" s="37"/>
      <c r="N329" s="37"/>
      <c r="O329" s="37"/>
      <c r="P329" s="37"/>
      <c r="Q329" s="37"/>
      <c r="R329" s="31" t="n">
        <f aca="false">COUNT($M329:$Q329)</f>
        <v>0</v>
      </c>
      <c r="S329" s="32" t="str">
        <f aca="false">IF($L329="","",IF($R329&gt;=5,"",MAX($L329:$Q329)+CHOOSE($R329+1,SETTINGS!$C$9,SETTINGS!$C$10,SETTINGS!$C$11,SETTINGS!$C$12,SETTINGS!$C$13)))</f>
        <v/>
      </c>
      <c r="T329" s="34" t="str">
        <f aca="true">IF($H329="","(chưa có nội dung)",IF($L329="",IF($C329&lt;TODAY(),"⚠ TRỄ HỌC",IF($C329=TODAY(),"★ HỌC HÔM NAY","• Chưa tới")),IF($R329&gt;=5,"✔ MASTER",IF($S329&lt;TODAY(),"⚠ TRỄ ÔN",IF($S329=TODAY(),"◆ ÔN HÔM NAY","✔ Đúng tiến độ")))))</f>
        <v>• Chưa tới</v>
      </c>
      <c r="U329" s="38" t="n">
        <f aca="false">IF($H329="","",$R329/5)</f>
        <v>0</v>
      </c>
    </row>
    <row r="330" customFormat="false" ht="23.85" hidden="false" customHeight="false" outlineLevel="0" collapsed="false">
      <c r="A330" s="31" t="s">
        <v>2104</v>
      </c>
      <c r="B330" s="31" t="n">
        <v>17</v>
      </c>
      <c r="C330" s="32" t="n">
        <f aca="false">SETTINGS!$C$3+$B330-1</f>
        <v>46316</v>
      </c>
      <c r="D330" s="39" t="s">
        <v>1947</v>
      </c>
      <c r="E330" s="34" t="s">
        <v>2063</v>
      </c>
      <c r="F330" s="34" t="s">
        <v>163</v>
      </c>
      <c r="G330" s="34" t="s">
        <v>2105</v>
      </c>
      <c r="H330" s="35" t="s">
        <v>2106</v>
      </c>
      <c r="I330" s="36" t="s">
        <v>2107</v>
      </c>
      <c r="J330" s="34" t="s">
        <v>2108</v>
      </c>
      <c r="K330" s="34" t="s">
        <v>1492</v>
      </c>
      <c r="L330" s="37"/>
      <c r="M330" s="37"/>
      <c r="N330" s="37"/>
      <c r="O330" s="37"/>
      <c r="P330" s="37"/>
      <c r="Q330" s="37"/>
      <c r="R330" s="31" t="n">
        <f aca="false">COUNT($M330:$Q330)</f>
        <v>0</v>
      </c>
      <c r="S330" s="32" t="str">
        <f aca="false">IF($L330="","",IF($R330&gt;=5,"",MAX($L330:$Q330)+CHOOSE($R330+1,SETTINGS!$C$9,SETTINGS!$C$10,SETTINGS!$C$11,SETTINGS!$C$12,SETTINGS!$C$13)))</f>
        <v/>
      </c>
      <c r="T330" s="34" t="str">
        <f aca="true">IF($H330="","(chưa có nội dung)",IF($L330="",IF($C330&lt;TODAY(),"⚠ TRỄ HỌC",IF($C330=TODAY(),"★ HỌC HÔM NAY","• Chưa tới")),IF($R330&gt;=5,"✔ MASTER",IF($S330&lt;TODAY(),"⚠ TRỄ ÔN",IF($S330=TODAY(),"◆ ÔN HÔM NAY","✔ Đúng tiến độ")))))</f>
        <v>• Chưa tới</v>
      </c>
      <c r="U330" s="38" t="n">
        <f aca="false">IF($H330="","",$R330/5)</f>
        <v>0</v>
      </c>
    </row>
    <row r="331" customFormat="false" ht="23.85" hidden="false" customHeight="false" outlineLevel="0" collapsed="false">
      <c r="A331" s="31" t="s">
        <v>2109</v>
      </c>
      <c r="B331" s="31" t="n">
        <v>17</v>
      </c>
      <c r="C331" s="32" t="n">
        <f aca="false">SETTINGS!$C$3+$B331-1</f>
        <v>46316</v>
      </c>
      <c r="D331" s="39" t="s">
        <v>1947</v>
      </c>
      <c r="E331" s="34" t="s">
        <v>2063</v>
      </c>
      <c r="F331" s="34" t="s">
        <v>280</v>
      </c>
      <c r="G331" s="34" t="s">
        <v>1796</v>
      </c>
      <c r="H331" s="35" t="s">
        <v>2110</v>
      </c>
      <c r="I331" s="36" t="s">
        <v>2111</v>
      </c>
      <c r="J331" s="34" t="s">
        <v>2112</v>
      </c>
      <c r="K331" s="34" t="s">
        <v>2113</v>
      </c>
      <c r="L331" s="37"/>
      <c r="M331" s="37"/>
      <c r="N331" s="37"/>
      <c r="O331" s="37"/>
      <c r="P331" s="37"/>
      <c r="Q331" s="37"/>
      <c r="R331" s="31" t="n">
        <f aca="false">COUNT($M331:$Q331)</f>
        <v>0</v>
      </c>
      <c r="S331" s="32" t="str">
        <f aca="false">IF($L331="","",IF($R331&gt;=5,"",MAX($L331:$Q331)+CHOOSE($R331+1,SETTINGS!$C$9,SETTINGS!$C$10,SETTINGS!$C$11,SETTINGS!$C$12,SETTINGS!$C$13)))</f>
        <v/>
      </c>
      <c r="T331" s="34" t="str">
        <f aca="true">IF($H331="","(chưa có nội dung)",IF($L331="",IF($C331&lt;TODAY(),"⚠ TRỄ HỌC",IF($C331=TODAY(),"★ HỌC HÔM NAY","• Chưa tới")),IF($R331&gt;=5,"✔ MASTER",IF($S331&lt;TODAY(),"⚠ TRỄ ÔN",IF($S331=TODAY(),"◆ ÔN HÔM NAY","✔ Đúng tiến độ")))))</f>
        <v>• Chưa tới</v>
      </c>
      <c r="U331" s="38" t="n">
        <f aca="false">IF($H331="","",$R331/5)</f>
        <v>0</v>
      </c>
    </row>
    <row r="332" customFormat="false" ht="23.85" hidden="false" customHeight="false" outlineLevel="0" collapsed="false">
      <c r="A332" s="31" t="s">
        <v>2114</v>
      </c>
      <c r="B332" s="31" t="n">
        <v>17</v>
      </c>
      <c r="C332" s="32" t="n">
        <f aca="false">SETTINGS!$C$3+$B332-1</f>
        <v>46316</v>
      </c>
      <c r="D332" s="39" t="s">
        <v>1947</v>
      </c>
      <c r="E332" s="34" t="s">
        <v>2063</v>
      </c>
      <c r="F332" s="34" t="s">
        <v>497</v>
      </c>
      <c r="G332" s="34" t="s">
        <v>2000</v>
      </c>
      <c r="H332" s="35" t="s">
        <v>2115</v>
      </c>
      <c r="I332" s="36" t="s">
        <v>2116</v>
      </c>
      <c r="J332" s="34" t="s">
        <v>2117</v>
      </c>
      <c r="K332" s="34" t="s">
        <v>2118</v>
      </c>
      <c r="L332" s="37"/>
      <c r="M332" s="37"/>
      <c r="N332" s="37"/>
      <c r="O332" s="37"/>
      <c r="P332" s="37"/>
      <c r="Q332" s="37"/>
      <c r="R332" s="31" t="n">
        <f aca="false">COUNT($M332:$Q332)</f>
        <v>0</v>
      </c>
      <c r="S332" s="32" t="str">
        <f aca="false">IF($L332="","",IF($R332&gt;=5,"",MAX($L332:$Q332)+CHOOSE($R332+1,SETTINGS!$C$9,SETTINGS!$C$10,SETTINGS!$C$11,SETTINGS!$C$12,SETTINGS!$C$13)))</f>
        <v/>
      </c>
      <c r="T332" s="34" t="str">
        <f aca="true">IF($H332="","(chưa có nội dung)",IF($L332="",IF($C332&lt;TODAY(),"⚠ TRỄ HỌC",IF($C332=TODAY(),"★ HỌC HÔM NAY","• Chưa tới")),IF($R332&gt;=5,"✔ MASTER",IF($S332&lt;TODAY(),"⚠ TRỄ ÔN",IF($S332=TODAY(),"◆ ÔN HÔM NAY","✔ Đúng tiến độ")))))</f>
        <v>• Chưa tới</v>
      </c>
      <c r="U332" s="38" t="n">
        <f aca="false">IF($H332="","",$R332/5)</f>
        <v>0</v>
      </c>
    </row>
    <row r="333" customFormat="false" ht="23.85" hidden="false" customHeight="false" outlineLevel="0" collapsed="false">
      <c r="A333" s="31" t="s">
        <v>2119</v>
      </c>
      <c r="B333" s="31" t="n">
        <v>17</v>
      </c>
      <c r="C333" s="32" t="n">
        <f aca="false">SETTINGS!$C$3+$B333-1</f>
        <v>46316</v>
      </c>
      <c r="D333" s="39" t="s">
        <v>1947</v>
      </c>
      <c r="E333" s="34" t="s">
        <v>2063</v>
      </c>
      <c r="F333" s="34" t="s">
        <v>472</v>
      </c>
      <c r="G333" s="34" t="s">
        <v>2120</v>
      </c>
      <c r="H333" s="35" t="s">
        <v>2121</v>
      </c>
      <c r="I333" s="36" t="s">
        <v>2122</v>
      </c>
      <c r="J333" s="34" t="s">
        <v>2123</v>
      </c>
      <c r="K333" s="34" t="s">
        <v>2124</v>
      </c>
      <c r="L333" s="37"/>
      <c r="M333" s="37"/>
      <c r="N333" s="37"/>
      <c r="O333" s="37"/>
      <c r="P333" s="37"/>
      <c r="Q333" s="37"/>
      <c r="R333" s="31" t="n">
        <f aca="false">COUNT($M333:$Q333)</f>
        <v>0</v>
      </c>
      <c r="S333" s="32" t="str">
        <f aca="false">IF($L333="","",IF($R333&gt;=5,"",MAX($L333:$Q333)+CHOOSE($R333+1,SETTINGS!$C$9,SETTINGS!$C$10,SETTINGS!$C$11,SETTINGS!$C$12,SETTINGS!$C$13)))</f>
        <v/>
      </c>
      <c r="T333" s="34" t="str">
        <f aca="true">IF($H333="","(chưa có nội dung)",IF($L333="",IF($C333&lt;TODAY(),"⚠ TRỄ HỌC",IF($C333=TODAY(),"★ HỌC HÔM NAY","• Chưa tới")),IF($R333&gt;=5,"✔ MASTER",IF($S333&lt;TODAY(),"⚠ TRỄ ÔN",IF($S333=TODAY(),"◆ ÔN HÔM NAY","✔ Đúng tiến độ")))))</f>
        <v>• Chưa tới</v>
      </c>
      <c r="U333" s="38" t="n">
        <f aca="false">IF($H333="","",$R333/5)</f>
        <v>0</v>
      </c>
    </row>
    <row r="334" customFormat="false" ht="23.85" hidden="false" customHeight="false" outlineLevel="0" collapsed="false">
      <c r="A334" s="31" t="s">
        <v>2125</v>
      </c>
      <c r="B334" s="31" t="n">
        <v>17</v>
      </c>
      <c r="C334" s="32" t="n">
        <f aca="false">SETTINGS!$C$3+$B334-1</f>
        <v>46316</v>
      </c>
      <c r="D334" s="39" t="s">
        <v>1947</v>
      </c>
      <c r="E334" s="34" t="s">
        <v>2063</v>
      </c>
      <c r="F334" s="34" t="s">
        <v>163</v>
      </c>
      <c r="G334" s="34" t="s">
        <v>2126</v>
      </c>
      <c r="H334" s="35" t="s">
        <v>2127</v>
      </c>
      <c r="I334" s="36" t="s">
        <v>2128</v>
      </c>
      <c r="J334" s="34" t="s">
        <v>2129</v>
      </c>
      <c r="K334" s="34" t="s">
        <v>2130</v>
      </c>
      <c r="L334" s="37"/>
      <c r="M334" s="37"/>
      <c r="N334" s="37"/>
      <c r="O334" s="37"/>
      <c r="P334" s="37"/>
      <c r="Q334" s="37"/>
      <c r="R334" s="31" t="n">
        <f aca="false">COUNT($M334:$Q334)</f>
        <v>0</v>
      </c>
      <c r="S334" s="32" t="str">
        <f aca="false">IF($L334="","",IF($R334&gt;=5,"",MAX($L334:$Q334)+CHOOSE($R334+1,SETTINGS!$C$9,SETTINGS!$C$10,SETTINGS!$C$11,SETTINGS!$C$12,SETTINGS!$C$13)))</f>
        <v/>
      </c>
      <c r="T334" s="34" t="str">
        <f aca="true">IF($H334="","(chưa có nội dung)",IF($L334="",IF($C334&lt;TODAY(),"⚠ TRỄ HỌC",IF($C334=TODAY(),"★ HỌC HÔM NAY","• Chưa tới")),IF($R334&gt;=5,"✔ MASTER",IF($S334&lt;TODAY(),"⚠ TRỄ ÔN",IF($S334=TODAY(),"◆ ÔN HÔM NAY","✔ Đúng tiến độ")))))</f>
        <v>• Chưa tới</v>
      </c>
      <c r="U334" s="38" t="n">
        <f aca="false">IF($H334="","",$R334/5)</f>
        <v>0</v>
      </c>
    </row>
    <row r="335" customFormat="false" ht="23.85" hidden="false" customHeight="false" outlineLevel="0" collapsed="false">
      <c r="A335" s="31" t="s">
        <v>2131</v>
      </c>
      <c r="B335" s="31" t="n">
        <v>17</v>
      </c>
      <c r="C335" s="32" t="n">
        <f aca="false">SETTINGS!$C$3+$B335-1</f>
        <v>46316</v>
      </c>
      <c r="D335" s="39" t="s">
        <v>1947</v>
      </c>
      <c r="E335" s="34" t="s">
        <v>2063</v>
      </c>
      <c r="F335" s="34" t="s">
        <v>280</v>
      </c>
      <c r="G335" s="34" t="s">
        <v>2132</v>
      </c>
      <c r="H335" s="35" t="s">
        <v>2133</v>
      </c>
      <c r="I335" s="36" t="s">
        <v>2134</v>
      </c>
      <c r="J335" s="34" t="s">
        <v>2135</v>
      </c>
      <c r="K335" s="34" t="s">
        <v>2136</v>
      </c>
      <c r="L335" s="37"/>
      <c r="M335" s="37"/>
      <c r="N335" s="37"/>
      <c r="O335" s="37"/>
      <c r="P335" s="37"/>
      <c r="Q335" s="37"/>
      <c r="R335" s="31" t="n">
        <f aca="false">COUNT($M335:$Q335)</f>
        <v>0</v>
      </c>
      <c r="S335" s="32" t="str">
        <f aca="false">IF($L335="","",IF($R335&gt;=5,"",MAX($L335:$Q335)+CHOOSE($R335+1,SETTINGS!$C$9,SETTINGS!$C$10,SETTINGS!$C$11,SETTINGS!$C$12,SETTINGS!$C$13)))</f>
        <v/>
      </c>
      <c r="T335" s="34" t="str">
        <f aca="true">IF($H335="","(chưa có nội dung)",IF($L335="",IF($C335&lt;TODAY(),"⚠ TRỄ HỌC",IF($C335=TODAY(),"★ HỌC HÔM NAY","• Chưa tới")),IF($R335&gt;=5,"✔ MASTER",IF($S335&lt;TODAY(),"⚠ TRỄ ÔN",IF($S335=TODAY(),"◆ ÔN HÔM NAY","✔ Đúng tiến độ")))))</f>
        <v>• Chưa tới</v>
      </c>
      <c r="U335" s="38" t="n">
        <f aca="false">IF($H335="","",$R335/5)</f>
        <v>0</v>
      </c>
    </row>
    <row r="336" customFormat="false" ht="23.85" hidden="false" customHeight="false" outlineLevel="0" collapsed="false">
      <c r="A336" s="31" t="s">
        <v>2137</v>
      </c>
      <c r="B336" s="31" t="n">
        <v>17</v>
      </c>
      <c r="C336" s="32" t="n">
        <f aca="false">SETTINGS!$C$3+$B336-1</f>
        <v>46316</v>
      </c>
      <c r="D336" s="39" t="s">
        <v>1947</v>
      </c>
      <c r="E336" s="34" t="s">
        <v>2063</v>
      </c>
      <c r="F336" s="34" t="s">
        <v>183</v>
      </c>
      <c r="G336" s="34" t="s">
        <v>2138</v>
      </c>
      <c r="H336" s="35" t="s">
        <v>2139</v>
      </c>
      <c r="I336" s="36" t="s">
        <v>2140</v>
      </c>
      <c r="J336" s="34" t="s">
        <v>2141</v>
      </c>
      <c r="K336" s="34" t="s">
        <v>2142</v>
      </c>
      <c r="L336" s="37"/>
      <c r="M336" s="37"/>
      <c r="N336" s="37"/>
      <c r="O336" s="37"/>
      <c r="P336" s="37"/>
      <c r="Q336" s="37"/>
      <c r="R336" s="31" t="n">
        <f aca="false">COUNT($M336:$Q336)</f>
        <v>0</v>
      </c>
      <c r="S336" s="32" t="str">
        <f aca="false">IF($L336="","",IF($R336&gt;=5,"",MAX($L336:$Q336)+CHOOSE($R336+1,SETTINGS!$C$9,SETTINGS!$C$10,SETTINGS!$C$11,SETTINGS!$C$12,SETTINGS!$C$13)))</f>
        <v/>
      </c>
      <c r="T336" s="34" t="str">
        <f aca="true">IF($H336="","(chưa có nội dung)",IF($L336="",IF($C336&lt;TODAY(),"⚠ TRỄ HỌC",IF($C336=TODAY(),"★ HỌC HÔM NAY","• Chưa tới")),IF($R336&gt;=5,"✔ MASTER",IF($S336&lt;TODAY(),"⚠ TRỄ ÔN",IF($S336=TODAY(),"◆ ÔN HÔM NAY","✔ Đúng tiến độ")))))</f>
        <v>• Chưa tới</v>
      </c>
      <c r="U336" s="38" t="n">
        <f aca="false">IF($H336="","",$R336/5)</f>
        <v>0</v>
      </c>
    </row>
    <row r="337" customFormat="false" ht="23.85" hidden="false" customHeight="false" outlineLevel="0" collapsed="false">
      <c r="A337" s="31" t="s">
        <v>2143</v>
      </c>
      <c r="B337" s="31" t="n">
        <v>17</v>
      </c>
      <c r="C337" s="32" t="n">
        <f aca="false">SETTINGS!$C$3+$B337-1</f>
        <v>46316</v>
      </c>
      <c r="D337" s="39" t="s">
        <v>1947</v>
      </c>
      <c r="E337" s="34" t="s">
        <v>2063</v>
      </c>
      <c r="F337" s="34" t="s">
        <v>163</v>
      </c>
      <c r="G337" s="34" t="s">
        <v>2144</v>
      </c>
      <c r="H337" s="35" t="s">
        <v>2145</v>
      </c>
      <c r="I337" s="36" t="s">
        <v>2146</v>
      </c>
      <c r="J337" s="34" t="s">
        <v>2147</v>
      </c>
      <c r="K337" s="34" t="s">
        <v>1219</v>
      </c>
      <c r="L337" s="37"/>
      <c r="M337" s="37"/>
      <c r="N337" s="37"/>
      <c r="O337" s="37"/>
      <c r="P337" s="37"/>
      <c r="Q337" s="37"/>
      <c r="R337" s="31" t="n">
        <f aca="false">COUNT($M337:$Q337)</f>
        <v>0</v>
      </c>
      <c r="S337" s="32" t="str">
        <f aca="false">IF($L337="","",IF($R337&gt;=5,"",MAX($L337:$Q337)+CHOOSE($R337+1,SETTINGS!$C$9,SETTINGS!$C$10,SETTINGS!$C$11,SETTINGS!$C$12,SETTINGS!$C$13)))</f>
        <v/>
      </c>
      <c r="T337" s="34" t="str">
        <f aca="true">IF($H337="","(chưa có nội dung)",IF($L337="",IF($C337&lt;TODAY(),"⚠ TRỄ HỌC",IF($C337=TODAY(),"★ HỌC HÔM NAY","• Chưa tới")),IF($R337&gt;=5,"✔ MASTER",IF($S337&lt;TODAY(),"⚠ TRỄ ÔN",IF($S337=TODAY(),"◆ ÔN HÔM NAY","✔ Đúng tiến độ")))))</f>
        <v>• Chưa tới</v>
      </c>
      <c r="U337" s="38" t="n">
        <f aca="false">IF($H337="","",$R337/5)</f>
        <v>0</v>
      </c>
    </row>
    <row r="338" customFormat="false" ht="23.85" hidden="false" customHeight="false" outlineLevel="0" collapsed="false">
      <c r="A338" s="31" t="s">
        <v>2148</v>
      </c>
      <c r="B338" s="31" t="n">
        <v>17</v>
      </c>
      <c r="C338" s="32" t="n">
        <f aca="false">SETTINGS!$C$3+$B338-1</f>
        <v>46316</v>
      </c>
      <c r="D338" s="39" t="s">
        <v>1947</v>
      </c>
      <c r="E338" s="34" t="s">
        <v>2063</v>
      </c>
      <c r="F338" s="34" t="s">
        <v>280</v>
      </c>
      <c r="G338" s="34" t="s">
        <v>2149</v>
      </c>
      <c r="H338" s="35" t="s">
        <v>2150</v>
      </c>
      <c r="I338" s="36" t="s">
        <v>2151</v>
      </c>
      <c r="J338" s="34" t="s">
        <v>2152</v>
      </c>
      <c r="K338" s="34" t="s">
        <v>2153</v>
      </c>
      <c r="L338" s="37"/>
      <c r="M338" s="37"/>
      <c r="N338" s="37"/>
      <c r="O338" s="37"/>
      <c r="P338" s="37"/>
      <c r="Q338" s="37"/>
      <c r="R338" s="31" t="n">
        <f aca="false">COUNT($M338:$Q338)</f>
        <v>0</v>
      </c>
      <c r="S338" s="32" t="str">
        <f aca="false">IF($L338="","",IF($R338&gt;=5,"",MAX($L338:$Q338)+CHOOSE($R338+1,SETTINGS!$C$9,SETTINGS!$C$10,SETTINGS!$C$11,SETTINGS!$C$12,SETTINGS!$C$13)))</f>
        <v/>
      </c>
      <c r="T338" s="34" t="str">
        <f aca="true">IF($H338="","(chưa có nội dung)",IF($L338="",IF($C338&lt;TODAY(),"⚠ TRỄ HỌC",IF($C338=TODAY(),"★ HỌC HÔM NAY","• Chưa tới")),IF($R338&gt;=5,"✔ MASTER",IF($S338&lt;TODAY(),"⚠ TRỄ ÔN",IF($S338=TODAY(),"◆ ÔN HÔM NAY","✔ Đúng tiến độ")))))</f>
        <v>• Chưa tới</v>
      </c>
      <c r="U338" s="38" t="n">
        <f aca="false">IF($H338="","",$R338/5)</f>
        <v>0</v>
      </c>
    </row>
    <row r="339" customFormat="false" ht="23.85" hidden="false" customHeight="false" outlineLevel="0" collapsed="false">
      <c r="A339" s="31" t="s">
        <v>2154</v>
      </c>
      <c r="B339" s="31" t="n">
        <v>17</v>
      </c>
      <c r="C339" s="32" t="n">
        <f aca="false">SETTINGS!$C$3+$B339-1</f>
        <v>46316</v>
      </c>
      <c r="D339" s="39" t="s">
        <v>1947</v>
      </c>
      <c r="E339" s="34" t="s">
        <v>2063</v>
      </c>
      <c r="F339" s="34" t="s">
        <v>280</v>
      </c>
      <c r="G339" s="34" t="s">
        <v>2155</v>
      </c>
      <c r="H339" s="35" t="s">
        <v>2156</v>
      </c>
      <c r="I339" s="36" t="s">
        <v>2157</v>
      </c>
      <c r="J339" s="34" t="s">
        <v>2158</v>
      </c>
      <c r="K339" s="34" t="s">
        <v>2159</v>
      </c>
      <c r="L339" s="37"/>
      <c r="M339" s="37"/>
      <c r="N339" s="37"/>
      <c r="O339" s="37"/>
      <c r="P339" s="37"/>
      <c r="Q339" s="37"/>
      <c r="R339" s="31" t="n">
        <f aca="false">COUNT($M339:$Q339)</f>
        <v>0</v>
      </c>
      <c r="S339" s="32" t="str">
        <f aca="false">IF($L339="","",IF($R339&gt;=5,"",MAX($L339:$Q339)+CHOOSE($R339+1,SETTINGS!$C$9,SETTINGS!$C$10,SETTINGS!$C$11,SETTINGS!$C$12,SETTINGS!$C$13)))</f>
        <v/>
      </c>
      <c r="T339" s="34" t="str">
        <f aca="true">IF($H339="","(chưa có nội dung)",IF($L339="",IF($C339&lt;TODAY(),"⚠ TRỄ HỌC",IF($C339=TODAY(),"★ HỌC HÔM NAY","• Chưa tới")),IF($R339&gt;=5,"✔ MASTER",IF($S339&lt;TODAY(),"⚠ TRỄ ÔN",IF($S339=TODAY(),"◆ ÔN HÔM NAY","✔ Đúng tiến độ")))))</f>
        <v>• Chưa tới</v>
      </c>
      <c r="U339" s="38" t="n">
        <f aca="false">IF($H339="","",$R339/5)</f>
        <v>0</v>
      </c>
    </row>
    <row r="340" customFormat="false" ht="23.85" hidden="false" customHeight="false" outlineLevel="0" collapsed="false">
      <c r="A340" s="31" t="s">
        <v>2160</v>
      </c>
      <c r="B340" s="31" t="n">
        <v>17</v>
      </c>
      <c r="C340" s="32" t="n">
        <f aca="false">SETTINGS!$C$3+$B340-1</f>
        <v>46316</v>
      </c>
      <c r="D340" s="39" t="s">
        <v>1947</v>
      </c>
      <c r="E340" s="34" t="s">
        <v>2063</v>
      </c>
      <c r="F340" s="34" t="s">
        <v>183</v>
      </c>
      <c r="G340" s="34" t="s">
        <v>2161</v>
      </c>
      <c r="H340" s="35" t="s">
        <v>2162</v>
      </c>
      <c r="I340" s="36" t="s">
        <v>2163</v>
      </c>
      <c r="J340" s="34" t="s">
        <v>2164</v>
      </c>
      <c r="K340" s="34" t="s">
        <v>1551</v>
      </c>
      <c r="L340" s="37"/>
      <c r="M340" s="37"/>
      <c r="N340" s="37"/>
      <c r="O340" s="37"/>
      <c r="P340" s="37"/>
      <c r="Q340" s="37"/>
      <c r="R340" s="31" t="n">
        <f aca="false">COUNT($M340:$Q340)</f>
        <v>0</v>
      </c>
      <c r="S340" s="32" t="str">
        <f aca="false">IF($L340="","",IF($R340&gt;=5,"",MAX($L340:$Q340)+CHOOSE($R340+1,SETTINGS!$C$9,SETTINGS!$C$10,SETTINGS!$C$11,SETTINGS!$C$12,SETTINGS!$C$13)))</f>
        <v/>
      </c>
      <c r="T340" s="34" t="str">
        <f aca="true">IF($H340="","(chưa có nội dung)",IF($L340="",IF($C340&lt;TODAY(),"⚠ TRỄ HỌC",IF($C340=TODAY(),"★ HỌC HÔM NAY","• Chưa tới")),IF($R340&gt;=5,"✔ MASTER",IF($S340&lt;TODAY(),"⚠ TRỄ ÔN",IF($S340=TODAY(),"◆ ÔN HÔM NAY","✔ Đúng tiến độ")))))</f>
        <v>• Chưa tới</v>
      </c>
      <c r="U340" s="38" t="n">
        <f aca="false">IF($H340="","",$R340/5)</f>
        <v>0</v>
      </c>
    </row>
    <row r="341" customFormat="false" ht="23.85" hidden="false" customHeight="false" outlineLevel="0" collapsed="false">
      <c r="A341" s="31" t="s">
        <v>2165</v>
      </c>
      <c r="B341" s="31" t="n">
        <v>17</v>
      </c>
      <c r="C341" s="32" t="n">
        <f aca="false">SETTINGS!$C$3+$B341-1</f>
        <v>46316</v>
      </c>
      <c r="D341" s="39" t="s">
        <v>1947</v>
      </c>
      <c r="E341" s="34" t="s">
        <v>2063</v>
      </c>
      <c r="F341" s="34" t="s">
        <v>163</v>
      </c>
      <c r="G341" s="34" t="s">
        <v>2166</v>
      </c>
      <c r="H341" s="35" t="s">
        <v>2167</v>
      </c>
      <c r="I341" s="36" t="s">
        <v>2168</v>
      </c>
      <c r="J341" s="34" t="s">
        <v>2169</v>
      </c>
      <c r="K341" s="34" t="s">
        <v>2170</v>
      </c>
      <c r="L341" s="37"/>
      <c r="M341" s="37"/>
      <c r="N341" s="37"/>
      <c r="O341" s="37"/>
      <c r="P341" s="37"/>
      <c r="Q341" s="37"/>
      <c r="R341" s="31" t="n">
        <f aca="false">COUNT($M341:$Q341)</f>
        <v>0</v>
      </c>
      <c r="S341" s="32" t="str">
        <f aca="false">IF($L341="","",IF($R341&gt;=5,"",MAX($L341:$Q341)+CHOOSE($R341+1,SETTINGS!$C$9,SETTINGS!$C$10,SETTINGS!$C$11,SETTINGS!$C$12,SETTINGS!$C$13)))</f>
        <v/>
      </c>
      <c r="T341" s="34" t="str">
        <f aca="true">IF($H341="","(chưa có nội dung)",IF($L341="",IF($C341&lt;TODAY(),"⚠ TRỄ HỌC",IF($C341=TODAY(),"★ HỌC HÔM NAY","• Chưa tới")),IF($R341&gt;=5,"✔ MASTER",IF($S341&lt;TODAY(),"⚠ TRỄ ÔN",IF($S341=TODAY(),"◆ ÔN HÔM NAY","✔ Đúng tiến độ")))))</f>
        <v>• Chưa tới</v>
      </c>
      <c r="U341" s="38" t="n">
        <f aca="false">IF($H341="","",$R341/5)</f>
        <v>0</v>
      </c>
    </row>
    <row r="342" customFormat="false" ht="23.85" hidden="false" customHeight="false" outlineLevel="0" collapsed="false">
      <c r="A342" s="31" t="s">
        <v>2171</v>
      </c>
      <c r="B342" s="31" t="n">
        <v>17</v>
      </c>
      <c r="C342" s="32" t="n">
        <f aca="false">SETTINGS!$C$3+$B342-1</f>
        <v>46316</v>
      </c>
      <c r="D342" s="39" t="s">
        <v>1947</v>
      </c>
      <c r="E342" s="34" t="s">
        <v>2063</v>
      </c>
      <c r="F342" s="34" t="s">
        <v>280</v>
      </c>
      <c r="G342" s="34" t="s">
        <v>2172</v>
      </c>
      <c r="H342" s="35" t="s">
        <v>2173</v>
      </c>
      <c r="I342" s="36" t="s">
        <v>2174</v>
      </c>
      <c r="J342" s="34" t="s">
        <v>2175</v>
      </c>
      <c r="K342" s="34" t="s">
        <v>2176</v>
      </c>
      <c r="L342" s="37"/>
      <c r="M342" s="37"/>
      <c r="N342" s="37"/>
      <c r="O342" s="37"/>
      <c r="P342" s="37"/>
      <c r="Q342" s="37"/>
      <c r="R342" s="31" t="n">
        <f aca="false">COUNT($M342:$Q342)</f>
        <v>0</v>
      </c>
      <c r="S342" s="32" t="str">
        <f aca="false">IF($L342="","",IF($R342&gt;=5,"",MAX($L342:$Q342)+CHOOSE($R342+1,SETTINGS!$C$9,SETTINGS!$C$10,SETTINGS!$C$11,SETTINGS!$C$12,SETTINGS!$C$13)))</f>
        <v/>
      </c>
      <c r="T342" s="34" t="str">
        <f aca="true">IF($H342="","(chưa có nội dung)",IF($L342="",IF($C342&lt;TODAY(),"⚠ TRỄ HỌC",IF($C342=TODAY(),"★ HỌC HÔM NAY","• Chưa tới")),IF($R342&gt;=5,"✔ MASTER",IF($S342&lt;TODAY(),"⚠ TRỄ ÔN",IF($S342=TODAY(),"◆ ÔN HÔM NAY","✔ Đúng tiến độ")))))</f>
        <v>• Chưa tới</v>
      </c>
      <c r="U342" s="38" t="n">
        <f aca="false">IF($H342="","",$R342/5)</f>
        <v>0</v>
      </c>
    </row>
    <row r="343" customFormat="false" ht="15" hidden="false" customHeight="false" outlineLevel="0" collapsed="false">
      <c r="A343" s="31" t="s">
        <v>2177</v>
      </c>
      <c r="B343" s="31" t="n">
        <v>18</v>
      </c>
      <c r="C343" s="32" t="n">
        <f aca="false">SETTINGS!$C$3+$B343-1</f>
        <v>46317</v>
      </c>
      <c r="D343" s="39" t="s">
        <v>1947</v>
      </c>
      <c r="E343" s="34" t="s">
        <v>2178</v>
      </c>
      <c r="F343" s="34" t="s">
        <v>280</v>
      </c>
      <c r="G343" s="34" t="s">
        <v>2179</v>
      </c>
      <c r="H343" s="35" t="s">
        <v>2180</v>
      </c>
      <c r="I343" s="36" t="s">
        <v>2181</v>
      </c>
      <c r="J343" s="34" t="s">
        <v>2182</v>
      </c>
      <c r="K343" s="34" t="s">
        <v>2183</v>
      </c>
      <c r="L343" s="37"/>
      <c r="M343" s="37"/>
      <c r="N343" s="37"/>
      <c r="O343" s="37"/>
      <c r="P343" s="37"/>
      <c r="Q343" s="37"/>
      <c r="R343" s="31" t="n">
        <f aca="false">COUNT($M343:$Q343)</f>
        <v>0</v>
      </c>
      <c r="S343" s="32" t="str">
        <f aca="false">IF($L343="","",IF($R343&gt;=5,"",MAX($L343:$Q343)+CHOOSE($R343+1,SETTINGS!$C$9,SETTINGS!$C$10,SETTINGS!$C$11,SETTINGS!$C$12,SETTINGS!$C$13)))</f>
        <v/>
      </c>
      <c r="T343" s="34" t="str">
        <f aca="true">IF($H343="","(chưa có nội dung)",IF($L343="",IF($C343&lt;TODAY(),"⚠ TRỄ HỌC",IF($C343=TODAY(),"★ HỌC HÔM NAY","• Chưa tới")),IF($R343&gt;=5,"✔ MASTER",IF($S343&lt;TODAY(),"⚠ TRỄ ÔN",IF($S343=TODAY(),"◆ ÔN HÔM NAY","✔ Đúng tiến độ")))))</f>
        <v>• Chưa tới</v>
      </c>
      <c r="U343" s="38" t="n">
        <f aca="false">IF($H343="","",$R343/5)</f>
        <v>0</v>
      </c>
    </row>
    <row r="344" customFormat="false" ht="15" hidden="false" customHeight="false" outlineLevel="0" collapsed="false">
      <c r="A344" s="31" t="s">
        <v>2184</v>
      </c>
      <c r="B344" s="31" t="n">
        <v>18</v>
      </c>
      <c r="C344" s="32" t="n">
        <f aca="false">SETTINGS!$C$3+$B344-1</f>
        <v>46317</v>
      </c>
      <c r="D344" s="39" t="s">
        <v>1947</v>
      </c>
      <c r="E344" s="34" t="s">
        <v>2178</v>
      </c>
      <c r="F344" s="34" t="s">
        <v>280</v>
      </c>
      <c r="G344" s="34" t="s">
        <v>2185</v>
      </c>
      <c r="H344" s="35" t="s">
        <v>2186</v>
      </c>
      <c r="I344" s="36" t="s">
        <v>2187</v>
      </c>
      <c r="J344" s="34" t="s">
        <v>2188</v>
      </c>
      <c r="K344" s="34" t="s">
        <v>2189</v>
      </c>
      <c r="L344" s="37"/>
      <c r="M344" s="37"/>
      <c r="N344" s="37"/>
      <c r="O344" s="37"/>
      <c r="P344" s="37"/>
      <c r="Q344" s="37"/>
      <c r="R344" s="31" t="n">
        <f aca="false">COUNT($M344:$Q344)</f>
        <v>0</v>
      </c>
      <c r="S344" s="32" t="str">
        <f aca="false">IF($L344="","",IF($R344&gt;=5,"",MAX($L344:$Q344)+CHOOSE($R344+1,SETTINGS!$C$9,SETTINGS!$C$10,SETTINGS!$C$11,SETTINGS!$C$12,SETTINGS!$C$13)))</f>
        <v/>
      </c>
      <c r="T344" s="34" t="str">
        <f aca="true">IF($H344="","(chưa có nội dung)",IF($L344="",IF($C344&lt;TODAY(),"⚠ TRỄ HỌC",IF($C344=TODAY(),"★ HỌC HÔM NAY","• Chưa tới")),IF($R344&gt;=5,"✔ MASTER",IF($S344&lt;TODAY(),"⚠ TRỄ ÔN",IF($S344=TODAY(),"◆ ÔN HÔM NAY","✔ Đúng tiến độ")))))</f>
        <v>• Chưa tới</v>
      </c>
      <c r="U344" s="38" t="n">
        <f aca="false">IF($H344="","",$R344/5)</f>
        <v>0</v>
      </c>
    </row>
    <row r="345" customFormat="false" ht="15" hidden="false" customHeight="false" outlineLevel="0" collapsed="false">
      <c r="A345" s="31" t="s">
        <v>2190</v>
      </c>
      <c r="B345" s="31" t="n">
        <v>18</v>
      </c>
      <c r="C345" s="32" t="n">
        <f aca="false">SETTINGS!$C$3+$B345-1</f>
        <v>46317</v>
      </c>
      <c r="D345" s="39" t="s">
        <v>1947</v>
      </c>
      <c r="E345" s="34" t="s">
        <v>2178</v>
      </c>
      <c r="F345" s="34" t="s">
        <v>163</v>
      </c>
      <c r="G345" s="34" t="s">
        <v>2191</v>
      </c>
      <c r="H345" s="35" t="s">
        <v>2192</v>
      </c>
      <c r="I345" s="36" t="s">
        <v>2193</v>
      </c>
      <c r="J345" s="34" t="s">
        <v>2194</v>
      </c>
      <c r="K345" s="34" t="s">
        <v>2195</v>
      </c>
      <c r="L345" s="37"/>
      <c r="M345" s="37"/>
      <c r="N345" s="37"/>
      <c r="O345" s="37"/>
      <c r="P345" s="37"/>
      <c r="Q345" s="37"/>
      <c r="R345" s="31" t="n">
        <f aca="false">COUNT($M345:$Q345)</f>
        <v>0</v>
      </c>
      <c r="S345" s="32" t="str">
        <f aca="false">IF($L345="","",IF($R345&gt;=5,"",MAX($L345:$Q345)+CHOOSE($R345+1,SETTINGS!$C$9,SETTINGS!$C$10,SETTINGS!$C$11,SETTINGS!$C$12,SETTINGS!$C$13)))</f>
        <v/>
      </c>
      <c r="T345" s="34" t="str">
        <f aca="true">IF($H345="","(chưa có nội dung)",IF($L345="",IF($C345&lt;TODAY(),"⚠ TRỄ HỌC",IF($C345=TODAY(),"★ HỌC HÔM NAY","• Chưa tới")),IF($R345&gt;=5,"✔ MASTER",IF($S345&lt;TODAY(),"⚠ TRỄ ÔN",IF($S345=TODAY(),"◆ ÔN HÔM NAY","✔ Đúng tiến độ")))))</f>
        <v>• Chưa tới</v>
      </c>
      <c r="U345" s="38" t="n">
        <f aca="false">IF($H345="","",$R345/5)</f>
        <v>0</v>
      </c>
    </row>
    <row r="346" customFormat="false" ht="15" hidden="false" customHeight="false" outlineLevel="0" collapsed="false">
      <c r="A346" s="31" t="s">
        <v>2196</v>
      </c>
      <c r="B346" s="31" t="n">
        <v>18</v>
      </c>
      <c r="C346" s="32" t="n">
        <f aca="false">SETTINGS!$C$3+$B346-1</f>
        <v>46317</v>
      </c>
      <c r="D346" s="39" t="s">
        <v>1947</v>
      </c>
      <c r="E346" s="34" t="s">
        <v>2178</v>
      </c>
      <c r="F346" s="34" t="s">
        <v>280</v>
      </c>
      <c r="G346" s="34" t="s">
        <v>2197</v>
      </c>
      <c r="H346" s="35" t="s">
        <v>2198</v>
      </c>
      <c r="I346" s="36" t="s">
        <v>2199</v>
      </c>
      <c r="J346" s="34" t="s">
        <v>2200</v>
      </c>
      <c r="K346" s="34" t="s">
        <v>600</v>
      </c>
      <c r="L346" s="37"/>
      <c r="M346" s="37"/>
      <c r="N346" s="37"/>
      <c r="O346" s="37"/>
      <c r="P346" s="37"/>
      <c r="Q346" s="37"/>
      <c r="R346" s="31" t="n">
        <f aca="false">COUNT($M346:$Q346)</f>
        <v>0</v>
      </c>
      <c r="S346" s="32" t="str">
        <f aca="false">IF($L346="","",IF($R346&gt;=5,"",MAX($L346:$Q346)+CHOOSE($R346+1,SETTINGS!$C$9,SETTINGS!$C$10,SETTINGS!$C$11,SETTINGS!$C$12,SETTINGS!$C$13)))</f>
        <v/>
      </c>
      <c r="T346" s="34" t="str">
        <f aca="true">IF($H346="","(chưa có nội dung)",IF($L346="",IF($C346&lt;TODAY(),"⚠ TRỄ HỌC",IF($C346=TODAY(),"★ HỌC HÔM NAY","• Chưa tới")),IF($R346&gt;=5,"✔ MASTER",IF($S346&lt;TODAY(),"⚠ TRỄ ÔN",IF($S346=TODAY(),"◆ ÔN HÔM NAY","✔ Đúng tiến độ")))))</f>
        <v>• Chưa tới</v>
      </c>
      <c r="U346" s="38" t="n">
        <f aca="false">IF($H346="","",$R346/5)</f>
        <v>0</v>
      </c>
    </row>
    <row r="347" customFormat="false" ht="15" hidden="false" customHeight="false" outlineLevel="0" collapsed="false">
      <c r="A347" s="31" t="s">
        <v>2201</v>
      </c>
      <c r="B347" s="31" t="n">
        <v>18</v>
      </c>
      <c r="C347" s="32" t="n">
        <f aca="false">SETTINGS!$C$3+$B347-1</f>
        <v>46317</v>
      </c>
      <c r="D347" s="39" t="s">
        <v>1947</v>
      </c>
      <c r="E347" s="34" t="s">
        <v>2178</v>
      </c>
      <c r="F347" s="34" t="s">
        <v>202</v>
      </c>
      <c r="G347" s="34" t="s">
        <v>2202</v>
      </c>
      <c r="H347" s="35" t="s">
        <v>2203</v>
      </c>
      <c r="I347" s="36" t="s">
        <v>2204</v>
      </c>
      <c r="J347" s="34" t="s">
        <v>2205</v>
      </c>
      <c r="K347" s="34" t="s">
        <v>2206</v>
      </c>
      <c r="L347" s="37"/>
      <c r="M347" s="37"/>
      <c r="N347" s="37"/>
      <c r="O347" s="37"/>
      <c r="P347" s="37"/>
      <c r="Q347" s="37"/>
      <c r="R347" s="31" t="n">
        <f aca="false">COUNT($M347:$Q347)</f>
        <v>0</v>
      </c>
      <c r="S347" s="32" t="str">
        <f aca="false">IF($L347="","",IF($R347&gt;=5,"",MAX($L347:$Q347)+CHOOSE($R347+1,SETTINGS!$C$9,SETTINGS!$C$10,SETTINGS!$C$11,SETTINGS!$C$12,SETTINGS!$C$13)))</f>
        <v/>
      </c>
      <c r="T347" s="34" t="str">
        <f aca="true">IF($H347="","(chưa có nội dung)",IF($L347="",IF($C347&lt;TODAY(),"⚠ TRỄ HỌC",IF($C347=TODAY(),"★ HỌC HÔM NAY","• Chưa tới")),IF($R347&gt;=5,"✔ MASTER",IF($S347&lt;TODAY(),"⚠ TRỄ ÔN",IF($S347=TODAY(),"◆ ÔN HÔM NAY","✔ Đúng tiến độ")))))</f>
        <v>• Chưa tới</v>
      </c>
      <c r="U347" s="38" t="n">
        <f aca="false">IF($H347="","",$R347/5)</f>
        <v>0</v>
      </c>
    </row>
    <row r="348" customFormat="false" ht="15" hidden="false" customHeight="false" outlineLevel="0" collapsed="false">
      <c r="A348" s="31" t="s">
        <v>2207</v>
      </c>
      <c r="B348" s="31" t="n">
        <v>18</v>
      </c>
      <c r="C348" s="32" t="n">
        <f aca="false">SETTINGS!$C$3+$B348-1</f>
        <v>46317</v>
      </c>
      <c r="D348" s="39" t="s">
        <v>1947</v>
      </c>
      <c r="E348" s="34" t="s">
        <v>2178</v>
      </c>
      <c r="F348" s="34" t="s">
        <v>280</v>
      </c>
      <c r="G348" s="34" t="s">
        <v>2208</v>
      </c>
      <c r="H348" s="35" t="s">
        <v>2209</v>
      </c>
      <c r="I348" s="36" t="s">
        <v>2210</v>
      </c>
      <c r="J348" s="34" t="s">
        <v>2211</v>
      </c>
      <c r="K348" s="34" t="s">
        <v>2212</v>
      </c>
      <c r="L348" s="37"/>
      <c r="M348" s="37"/>
      <c r="N348" s="37"/>
      <c r="O348" s="37"/>
      <c r="P348" s="37"/>
      <c r="Q348" s="37"/>
      <c r="R348" s="31" t="n">
        <f aca="false">COUNT($M348:$Q348)</f>
        <v>0</v>
      </c>
      <c r="S348" s="32" t="str">
        <f aca="false">IF($L348="","",IF($R348&gt;=5,"",MAX($L348:$Q348)+CHOOSE($R348+1,SETTINGS!$C$9,SETTINGS!$C$10,SETTINGS!$C$11,SETTINGS!$C$12,SETTINGS!$C$13)))</f>
        <v/>
      </c>
      <c r="T348" s="34" t="str">
        <f aca="true">IF($H348="","(chưa có nội dung)",IF($L348="",IF($C348&lt;TODAY(),"⚠ TRỄ HỌC",IF($C348=TODAY(),"★ HỌC HÔM NAY","• Chưa tới")),IF($R348&gt;=5,"✔ MASTER",IF($S348&lt;TODAY(),"⚠ TRỄ ÔN",IF($S348=TODAY(),"◆ ÔN HÔM NAY","✔ Đúng tiến độ")))))</f>
        <v>• Chưa tới</v>
      </c>
      <c r="U348" s="38" t="n">
        <f aca="false">IF($H348="","",$R348/5)</f>
        <v>0</v>
      </c>
    </row>
    <row r="349" customFormat="false" ht="15" hidden="false" customHeight="false" outlineLevel="0" collapsed="false">
      <c r="A349" s="31" t="s">
        <v>2213</v>
      </c>
      <c r="B349" s="31" t="n">
        <v>18</v>
      </c>
      <c r="C349" s="32" t="n">
        <f aca="false">SETTINGS!$C$3+$B349-1</f>
        <v>46317</v>
      </c>
      <c r="D349" s="39" t="s">
        <v>1947</v>
      </c>
      <c r="E349" s="34" t="s">
        <v>2178</v>
      </c>
      <c r="F349" s="34" t="s">
        <v>280</v>
      </c>
      <c r="G349" s="34" t="s">
        <v>2214</v>
      </c>
      <c r="H349" s="35" t="s">
        <v>2215</v>
      </c>
      <c r="I349" s="36" t="s">
        <v>2216</v>
      </c>
      <c r="J349" s="34" t="s">
        <v>2217</v>
      </c>
      <c r="K349" s="34" t="s">
        <v>2218</v>
      </c>
      <c r="L349" s="37"/>
      <c r="M349" s="37"/>
      <c r="N349" s="37"/>
      <c r="O349" s="37"/>
      <c r="P349" s="37"/>
      <c r="Q349" s="37"/>
      <c r="R349" s="31" t="n">
        <f aca="false">COUNT($M349:$Q349)</f>
        <v>0</v>
      </c>
      <c r="S349" s="32" t="str">
        <f aca="false">IF($L349="","",IF($R349&gt;=5,"",MAX($L349:$Q349)+CHOOSE($R349+1,SETTINGS!$C$9,SETTINGS!$C$10,SETTINGS!$C$11,SETTINGS!$C$12,SETTINGS!$C$13)))</f>
        <v/>
      </c>
      <c r="T349" s="34" t="str">
        <f aca="true">IF($H349="","(chưa có nội dung)",IF($L349="",IF($C349&lt;TODAY(),"⚠ TRỄ HỌC",IF($C349=TODAY(),"★ HỌC HÔM NAY","• Chưa tới")),IF($R349&gt;=5,"✔ MASTER",IF($S349&lt;TODAY(),"⚠ TRỄ ÔN",IF($S349=TODAY(),"◆ ÔN HÔM NAY","✔ Đúng tiến độ")))))</f>
        <v>• Chưa tới</v>
      </c>
      <c r="U349" s="38" t="n">
        <f aca="false">IF($H349="","",$R349/5)</f>
        <v>0</v>
      </c>
    </row>
    <row r="350" customFormat="false" ht="15" hidden="false" customHeight="false" outlineLevel="0" collapsed="false">
      <c r="A350" s="31" t="s">
        <v>2219</v>
      </c>
      <c r="B350" s="31" t="n">
        <v>18</v>
      </c>
      <c r="C350" s="32" t="n">
        <f aca="false">SETTINGS!$C$3+$B350-1</f>
        <v>46317</v>
      </c>
      <c r="D350" s="39" t="s">
        <v>1947</v>
      </c>
      <c r="E350" s="34" t="s">
        <v>2178</v>
      </c>
      <c r="F350" s="34" t="s">
        <v>202</v>
      </c>
      <c r="G350" s="34" t="s">
        <v>2220</v>
      </c>
      <c r="H350" s="35" t="s">
        <v>2221</v>
      </c>
      <c r="I350" s="36" t="s">
        <v>2222</v>
      </c>
      <c r="J350" s="34" t="s">
        <v>2223</v>
      </c>
      <c r="K350" s="34" t="s">
        <v>2224</v>
      </c>
      <c r="L350" s="37"/>
      <c r="M350" s="37"/>
      <c r="N350" s="37"/>
      <c r="O350" s="37"/>
      <c r="P350" s="37"/>
      <c r="Q350" s="37"/>
      <c r="R350" s="31" t="n">
        <f aca="false">COUNT($M350:$Q350)</f>
        <v>0</v>
      </c>
      <c r="S350" s="32" t="str">
        <f aca="false">IF($L350="","",IF($R350&gt;=5,"",MAX($L350:$Q350)+CHOOSE($R350+1,SETTINGS!$C$9,SETTINGS!$C$10,SETTINGS!$C$11,SETTINGS!$C$12,SETTINGS!$C$13)))</f>
        <v/>
      </c>
      <c r="T350" s="34" t="str">
        <f aca="true">IF($H350="","(chưa có nội dung)",IF($L350="",IF($C350&lt;TODAY(),"⚠ TRỄ HỌC",IF($C350=TODAY(),"★ HỌC HÔM NAY","• Chưa tới")),IF($R350&gt;=5,"✔ MASTER",IF($S350&lt;TODAY(),"⚠ TRỄ ÔN",IF($S350=TODAY(),"◆ ÔN HÔM NAY","✔ Đúng tiến độ")))))</f>
        <v>• Chưa tới</v>
      </c>
      <c r="U350" s="38" t="n">
        <f aca="false">IF($H350="","",$R350/5)</f>
        <v>0</v>
      </c>
    </row>
    <row r="351" customFormat="false" ht="15" hidden="false" customHeight="false" outlineLevel="0" collapsed="false">
      <c r="A351" s="31" t="s">
        <v>2225</v>
      </c>
      <c r="B351" s="31" t="n">
        <v>18</v>
      </c>
      <c r="C351" s="32" t="n">
        <f aca="false">SETTINGS!$C$3+$B351-1</f>
        <v>46317</v>
      </c>
      <c r="D351" s="39" t="s">
        <v>1947</v>
      </c>
      <c r="E351" s="34" t="s">
        <v>2178</v>
      </c>
      <c r="F351" s="34" t="s">
        <v>280</v>
      </c>
      <c r="G351" s="34" t="s">
        <v>2226</v>
      </c>
      <c r="H351" s="35" t="s">
        <v>2227</v>
      </c>
      <c r="I351" s="36" t="s">
        <v>2228</v>
      </c>
      <c r="J351" s="34" t="s">
        <v>2229</v>
      </c>
      <c r="K351" s="34" t="s">
        <v>2230</v>
      </c>
      <c r="L351" s="37"/>
      <c r="M351" s="37"/>
      <c r="N351" s="37"/>
      <c r="O351" s="37"/>
      <c r="P351" s="37"/>
      <c r="Q351" s="37"/>
      <c r="R351" s="31" t="n">
        <f aca="false">COUNT($M351:$Q351)</f>
        <v>0</v>
      </c>
      <c r="S351" s="32" t="str">
        <f aca="false">IF($L351="","",IF($R351&gt;=5,"",MAX($L351:$Q351)+CHOOSE($R351+1,SETTINGS!$C$9,SETTINGS!$C$10,SETTINGS!$C$11,SETTINGS!$C$12,SETTINGS!$C$13)))</f>
        <v/>
      </c>
      <c r="T351" s="34" t="str">
        <f aca="true">IF($H351="","(chưa có nội dung)",IF($L351="",IF($C351&lt;TODAY(),"⚠ TRỄ HỌC",IF($C351=TODAY(),"★ HỌC HÔM NAY","• Chưa tới")),IF($R351&gt;=5,"✔ MASTER",IF($S351&lt;TODAY(),"⚠ TRỄ ÔN",IF($S351=TODAY(),"◆ ÔN HÔM NAY","✔ Đúng tiến độ")))))</f>
        <v>• Chưa tới</v>
      </c>
      <c r="U351" s="38" t="n">
        <f aca="false">IF($H351="","",$R351/5)</f>
        <v>0</v>
      </c>
    </row>
    <row r="352" customFormat="false" ht="15" hidden="false" customHeight="false" outlineLevel="0" collapsed="false">
      <c r="A352" s="31" t="s">
        <v>2231</v>
      </c>
      <c r="B352" s="31" t="n">
        <v>18</v>
      </c>
      <c r="C352" s="32" t="n">
        <f aca="false">SETTINGS!$C$3+$B352-1</f>
        <v>46317</v>
      </c>
      <c r="D352" s="39" t="s">
        <v>1947</v>
      </c>
      <c r="E352" s="34" t="s">
        <v>2178</v>
      </c>
      <c r="F352" s="34" t="s">
        <v>280</v>
      </c>
      <c r="G352" s="34" t="s">
        <v>2232</v>
      </c>
      <c r="H352" s="35" t="s">
        <v>2233</v>
      </c>
      <c r="I352" s="36" t="s">
        <v>2234</v>
      </c>
      <c r="J352" s="34" t="s">
        <v>2235</v>
      </c>
      <c r="K352" s="34" t="s">
        <v>2236</v>
      </c>
      <c r="L352" s="37"/>
      <c r="M352" s="37"/>
      <c r="N352" s="37"/>
      <c r="O352" s="37"/>
      <c r="P352" s="37"/>
      <c r="Q352" s="37"/>
      <c r="R352" s="31" t="n">
        <f aca="false">COUNT($M352:$Q352)</f>
        <v>0</v>
      </c>
      <c r="S352" s="32" t="str">
        <f aca="false">IF($L352="","",IF($R352&gt;=5,"",MAX($L352:$Q352)+CHOOSE($R352+1,SETTINGS!$C$9,SETTINGS!$C$10,SETTINGS!$C$11,SETTINGS!$C$12,SETTINGS!$C$13)))</f>
        <v/>
      </c>
      <c r="T352" s="34" t="str">
        <f aca="true">IF($H352="","(chưa có nội dung)",IF($L352="",IF($C352&lt;TODAY(),"⚠ TRỄ HỌC",IF($C352=TODAY(),"★ HỌC HÔM NAY","• Chưa tới")),IF($R352&gt;=5,"✔ MASTER",IF($S352&lt;TODAY(),"⚠ TRỄ ÔN",IF($S352=TODAY(),"◆ ÔN HÔM NAY","✔ Đúng tiến độ")))))</f>
        <v>• Chưa tới</v>
      </c>
      <c r="U352" s="38" t="n">
        <f aca="false">IF($H352="","",$R352/5)</f>
        <v>0</v>
      </c>
    </row>
    <row r="353" customFormat="false" ht="15" hidden="false" customHeight="false" outlineLevel="0" collapsed="false">
      <c r="A353" s="31" t="s">
        <v>2237</v>
      </c>
      <c r="B353" s="31" t="n">
        <v>18</v>
      </c>
      <c r="C353" s="32" t="n">
        <f aca="false">SETTINGS!$C$3+$B353-1</f>
        <v>46317</v>
      </c>
      <c r="D353" s="39" t="s">
        <v>1947</v>
      </c>
      <c r="E353" s="34" t="s">
        <v>2178</v>
      </c>
      <c r="F353" s="34" t="s">
        <v>202</v>
      </c>
      <c r="G353" s="34" t="s">
        <v>2238</v>
      </c>
      <c r="H353" s="35" t="s">
        <v>2239</v>
      </c>
      <c r="I353" s="36" t="s">
        <v>2240</v>
      </c>
      <c r="J353" s="34" t="s">
        <v>2241</v>
      </c>
      <c r="K353" s="34" t="s">
        <v>2242</v>
      </c>
      <c r="L353" s="37"/>
      <c r="M353" s="37"/>
      <c r="N353" s="37"/>
      <c r="O353" s="37"/>
      <c r="P353" s="37"/>
      <c r="Q353" s="37"/>
      <c r="R353" s="31" t="n">
        <f aca="false">COUNT($M353:$Q353)</f>
        <v>0</v>
      </c>
      <c r="S353" s="32" t="str">
        <f aca="false">IF($L353="","",IF($R353&gt;=5,"",MAX($L353:$Q353)+CHOOSE($R353+1,SETTINGS!$C$9,SETTINGS!$C$10,SETTINGS!$C$11,SETTINGS!$C$12,SETTINGS!$C$13)))</f>
        <v/>
      </c>
      <c r="T353" s="34" t="str">
        <f aca="true">IF($H353="","(chưa có nội dung)",IF($L353="",IF($C353&lt;TODAY(),"⚠ TRỄ HỌC",IF($C353=TODAY(),"★ HỌC HÔM NAY","• Chưa tới")),IF($R353&gt;=5,"✔ MASTER",IF($S353&lt;TODAY(),"⚠ TRỄ ÔN",IF($S353=TODAY(),"◆ ÔN HÔM NAY","✔ Đúng tiến độ")))))</f>
        <v>• Chưa tới</v>
      </c>
      <c r="U353" s="38" t="n">
        <f aca="false">IF($H353="","",$R353/5)</f>
        <v>0</v>
      </c>
    </row>
    <row r="354" customFormat="false" ht="15" hidden="false" customHeight="false" outlineLevel="0" collapsed="false">
      <c r="A354" s="31" t="s">
        <v>2243</v>
      </c>
      <c r="B354" s="31" t="n">
        <v>18</v>
      </c>
      <c r="C354" s="32" t="n">
        <f aca="false">SETTINGS!$C$3+$B354-1</f>
        <v>46317</v>
      </c>
      <c r="D354" s="39" t="s">
        <v>1947</v>
      </c>
      <c r="E354" s="34" t="s">
        <v>2178</v>
      </c>
      <c r="F354" s="34" t="s">
        <v>280</v>
      </c>
      <c r="G354" s="34" t="s">
        <v>2244</v>
      </c>
      <c r="H354" s="35" t="s">
        <v>2245</v>
      </c>
      <c r="I354" s="36" t="s">
        <v>2246</v>
      </c>
      <c r="J354" s="34" t="s">
        <v>2247</v>
      </c>
      <c r="K354" s="34" t="s">
        <v>2248</v>
      </c>
      <c r="L354" s="37"/>
      <c r="M354" s="37"/>
      <c r="N354" s="37"/>
      <c r="O354" s="37"/>
      <c r="P354" s="37"/>
      <c r="Q354" s="37"/>
      <c r="R354" s="31" t="n">
        <f aca="false">COUNT($M354:$Q354)</f>
        <v>0</v>
      </c>
      <c r="S354" s="32" t="str">
        <f aca="false">IF($L354="","",IF($R354&gt;=5,"",MAX($L354:$Q354)+CHOOSE($R354+1,SETTINGS!$C$9,SETTINGS!$C$10,SETTINGS!$C$11,SETTINGS!$C$12,SETTINGS!$C$13)))</f>
        <v/>
      </c>
      <c r="T354" s="34" t="str">
        <f aca="true">IF($H354="","(chưa có nội dung)",IF($L354="",IF($C354&lt;TODAY(),"⚠ TRỄ HỌC",IF($C354=TODAY(),"★ HỌC HÔM NAY","• Chưa tới")),IF($R354&gt;=5,"✔ MASTER",IF($S354&lt;TODAY(),"⚠ TRỄ ÔN",IF($S354=TODAY(),"◆ ÔN HÔM NAY","✔ Đúng tiến độ")))))</f>
        <v>• Chưa tới</v>
      </c>
      <c r="U354" s="38" t="n">
        <f aca="false">IF($H354="","",$R354/5)</f>
        <v>0</v>
      </c>
    </row>
    <row r="355" customFormat="false" ht="15" hidden="false" customHeight="false" outlineLevel="0" collapsed="false">
      <c r="A355" s="31" t="s">
        <v>2249</v>
      </c>
      <c r="B355" s="31" t="n">
        <v>18</v>
      </c>
      <c r="C355" s="32" t="n">
        <f aca="false">SETTINGS!$C$3+$B355-1</f>
        <v>46317</v>
      </c>
      <c r="D355" s="39" t="s">
        <v>1947</v>
      </c>
      <c r="E355" s="34" t="s">
        <v>2178</v>
      </c>
      <c r="F355" s="34" t="s">
        <v>280</v>
      </c>
      <c r="G355" s="34" t="s">
        <v>2250</v>
      </c>
      <c r="H355" s="35" t="s">
        <v>2251</v>
      </c>
      <c r="I355" s="36" t="s">
        <v>2252</v>
      </c>
      <c r="J355" s="34" t="s">
        <v>2253</v>
      </c>
      <c r="K355" s="34" t="s">
        <v>2254</v>
      </c>
      <c r="L355" s="37"/>
      <c r="M355" s="37"/>
      <c r="N355" s="37"/>
      <c r="O355" s="37"/>
      <c r="P355" s="37"/>
      <c r="Q355" s="37"/>
      <c r="R355" s="31" t="n">
        <f aca="false">COUNT($M355:$Q355)</f>
        <v>0</v>
      </c>
      <c r="S355" s="32" t="str">
        <f aca="false">IF($L355="","",IF($R355&gt;=5,"",MAX($L355:$Q355)+CHOOSE($R355+1,SETTINGS!$C$9,SETTINGS!$C$10,SETTINGS!$C$11,SETTINGS!$C$12,SETTINGS!$C$13)))</f>
        <v/>
      </c>
      <c r="T355" s="34" t="str">
        <f aca="true">IF($H355="","(chưa có nội dung)",IF($L355="",IF($C355&lt;TODAY(),"⚠ TRỄ HỌC",IF($C355=TODAY(),"★ HỌC HÔM NAY","• Chưa tới")),IF($R355&gt;=5,"✔ MASTER",IF($S355&lt;TODAY(),"⚠ TRỄ ÔN",IF($S355=TODAY(),"◆ ÔN HÔM NAY","✔ Đúng tiến độ")))))</f>
        <v>• Chưa tới</v>
      </c>
      <c r="U355" s="38" t="n">
        <f aca="false">IF($H355="","",$R355/5)</f>
        <v>0</v>
      </c>
    </row>
    <row r="356" customFormat="false" ht="15" hidden="false" customHeight="false" outlineLevel="0" collapsed="false">
      <c r="A356" s="31" t="s">
        <v>2255</v>
      </c>
      <c r="B356" s="31" t="n">
        <v>18</v>
      </c>
      <c r="C356" s="32" t="n">
        <f aca="false">SETTINGS!$C$3+$B356-1</f>
        <v>46317</v>
      </c>
      <c r="D356" s="39" t="s">
        <v>1947</v>
      </c>
      <c r="E356" s="34" t="s">
        <v>2178</v>
      </c>
      <c r="F356" s="34" t="s">
        <v>202</v>
      </c>
      <c r="G356" s="34" t="s">
        <v>2256</v>
      </c>
      <c r="H356" s="35" t="s">
        <v>2257</v>
      </c>
      <c r="I356" s="36" t="s">
        <v>2258</v>
      </c>
      <c r="J356" s="34" t="s">
        <v>2259</v>
      </c>
      <c r="K356" s="34" t="s">
        <v>2260</v>
      </c>
      <c r="L356" s="37"/>
      <c r="M356" s="37"/>
      <c r="N356" s="37"/>
      <c r="O356" s="37"/>
      <c r="P356" s="37"/>
      <c r="Q356" s="37"/>
      <c r="R356" s="31" t="n">
        <f aca="false">COUNT($M356:$Q356)</f>
        <v>0</v>
      </c>
      <c r="S356" s="32" t="str">
        <f aca="false">IF($L356="","",IF($R356&gt;=5,"",MAX($L356:$Q356)+CHOOSE($R356+1,SETTINGS!$C$9,SETTINGS!$C$10,SETTINGS!$C$11,SETTINGS!$C$12,SETTINGS!$C$13)))</f>
        <v/>
      </c>
      <c r="T356" s="34" t="str">
        <f aca="true">IF($H356="","(chưa có nội dung)",IF($L356="",IF($C356&lt;TODAY(),"⚠ TRỄ HỌC",IF($C356=TODAY(),"★ HỌC HÔM NAY","• Chưa tới")),IF($R356&gt;=5,"✔ MASTER",IF($S356&lt;TODAY(),"⚠ TRỄ ÔN",IF($S356=TODAY(),"◆ ÔN HÔM NAY","✔ Đúng tiến độ")))))</f>
        <v>• Chưa tới</v>
      </c>
      <c r="U356" s="38" t="n">
        <f aca="false">IF($H356="","",$R356/5)</f>
        <v>0</v>
      </c>
    </row>
    <row r="357" customFormat="false" ht="15" hidden="false" customHeight="false" outlineLevel="0" collapsed="false">
      <c r="A357" s="31" t="s">
        <v>2261</v>
      </c>
      <c r="B357" s="31" t="n">
        <v>18</v>
      </c>
      <c r="C357" s="32" t="n">
        <f aca="false">SETTINGS!$C$3+$B357-1</f>
        <v>46317</v>
      </c>
      <c r="D357" s="39" t="s">
        <v>1947</v>
      </c>
      <c r="E357" s="34" t="s">
        <v>2178</v>
      </c>
      <c r="F357" s="34" t="s">
        <v>280</v>
      </c>
      <c r="G357" s="34" t="s">
        <v>2262</v>
      </c>
      <c r="H357" s="35" t="s">
        <v>2263</v>
      </c>
      <c r="I357" s="36" t="s">
        <v>2264</v>
      </c>
      <c r="J357" s="34" t="s">
        <v>2265</v>
      </c>
      <c r="K357" s="34" t="s">
        <v>2266</v>
      </c>
      <c r="L357" s="37"/>
      <c r="M357" s="37"/>
      <c r="N357" s="37"/>
      <c r="O357" s="37"/>
      <c r="P357" s="37"/>
      <c r="Q357" s="37"/>
      <c r="R357" s="31" t="n">
        <f aca="false">COUNT($M357:$Q357)</f>
        <v>0</v>
      </c>
      <c r="S357" s="32" t="str">
        <f aca="false">IF($L357="","",IF($R357&gt;=5,"",MAX($L357:$Q357)+CHOOSE($R357+1,SETTINGS!$C$9,SETTINGS!$C$10,SETTINGS!$C$11,SETTINGS!$C$12,SETTINGS!$C$13)))</f>
        <v/>
      </c>
      <c r="T357" s="34" t="str">
        <f aca="true">IF($H357="","(chưa có nội dung)",IF($L357="",IF($C357&lt;TODAY(),"⚠ TRỄ HỌC",IF($C357=TODAY(),"★ HỌC HÔM NAY","• Chưa tới")),IF($R357&gt;=5,"✔ MASTER",IF($S357&lt;TODAY(),"⚠ TRỄ ÔN",IF($S357=TODAY(),"◆ ÔN HÔM NAY","✔ Đúng tiến độ")))))</f>
        <v>• Chưa tới</v>
      </c>
      <c r="U357" s="38" t="n">
        <f aca="false">IF($H357="","",$R357/5)</f>
        <v>0</v>
      </c>
    </row>
    <row r="358" customFormat="false" ht="15" hidden="false" customHeight="false" outlineLevel="0" collapsed="false">
      <c r="A358" s="31" t="s">
        <v>2267</v>
      </c>
      <c r="B358" s="31" t="n">
        <v>18</v>
      </c>
      <c r="C358" s="32" t="n">
        <f aca="false">SETTINGS!$C$3+$B358-1</f>
        <v>46317</v>
      </c>
      <c r="D358" s="39" t="s">
        <v>1947</v>
      </c>
      <c r="E358" s="34" t="s">
        <v>2178</v>
      </c>
      <c r="F358" s="34" t="s">
        <v>280</v>
      </c>
      <c r="G358" s="34" t="s">
        <v>2268</v>
      </c>
      <c r="H358" s="35" t="s">
        <v>2269</v>
      </c>
      <c r="I358" s="36" t="s">
        <v>2270</v>
      </c>
      <c r="J358" s="34" t="s">
        <v>2271</v>
      </c>
      <c r="K358" s="34" t="s">
        <v>2272</v>
      </c>
      <c r="L358" s="37"/>
      <c r="M358" s="37"/>
      <c r="N358" s="37"/>
      <c r="O358" s="37"/>
      <c r="P358" s="37"/>
      <c r="Q358" s="37"/>
      <c r="R358" s="31" t="n">
        <f aca="false">COUNT($M358:$Q358)</f>
        <v>0</v>
      </c>
      <c r="S358" s="32" t="str">
        <f aca="false">IF($L358="","",IF($R358&gt;=5,"",MAX($L358:$Q358)+CHOOSE($R358+1,SETTINGS!$C$9,SETTINGS!$C$10,SETTINGS!$C$11,SETTINGS!$C$12,SETTINGS!$C$13)))</f>
        <v/>
      </c>
      <c r="T358" s="34" t="str">
        <f aca="true">IF($H358="","(chưa có nội dung)",IF($L358="",IF($C358&lt;TODAY(),"⚠ TRỄ HỌC",IF($C358=TODAY(),"★ HỌC HÔM NAY","• Chưa tới")),IF($R358&gt;=5,"✔ MASTER",IF($S358&lt;TODAY(),"⚠ TRỄ ÔN",IF($S358=TODAY(),"◆ ÔN HÔM NAY","✔ Đúng tiến độ")))))</f>
        <v>• Chưa tới</v>
      </c>
      <c r="U358" s="38" t="n">
        <f aca="false">IF($H358="","",$R358/5)</f>
        <v>0</v>
      </c>
    </row>
    <row r="359" customFormat="false" ht="15" hidden="false" customHeight="false" outlineLevel="0" collapsed="false">
      <c r="A359" s="31" t="s">
        <v>2273</v>
      </c>
      <c r="B359" s="31" t="n">
        <v>18</v>
      </c>
      <c r="C359" s="32" t="n">
        <f aca="false">SETTINGS!$C$3+$B359-1</f>
        <v>46317</v>
      </c>
      <c r="D359" s="39" t="s">
        <v>1947</v>
      </c>
      <c r="E359" s="34" t="s">
        <v>2178</v>
      </c>
      <c r="F359" s="34" t="s">
        <v>280</v>
      </c>
      <c r="G359" s="34" t="s">
        <v>2274</v>
      </c>
      <c r="H359" s="35" t="s">
        <v>2275</v>
      </c>
      <c r="I359" s="36" t="s">
        <v>2276</v>
      </c>
      <c r="J359" s="34" t="s">
        <v>2277</v>
      </c>
      <c r="K359" s="34" t="s">
        <v>2278</v>
      </c>
      <c r="L359" s="37"/>
      <c r="M359" s="37"/>
      <c r="N359" s="37"/>
      <c r="O359" s="37"/>
      <c r="P359" s="37"/>
      <c r="Q359" s="37"/>
      <c r="R359" s="31" t="n">
        <f aca="false">COUNT($M359:$Q359)</f>
        <v>0</v>
      </c>
      <c r="S359" s="32" t="str">
        <f aca="false">IF($L359="","",IF($R359&gt;=5,"",MAX($L359:$Q359)+CHOOSE($R359+1,SETTINGS!$C$9,SETTINGS!$C$10,SETTINGS!$C$11,SETTINGS!$C$12,SETTINGS!$C$13)))</f>
        <v/>
      </c>
      <c r="T359" s="34" t="str">
        <f aca="true">IF($H359="","(chưa có nội dung)",IF($L359="",IF($C359&lt;TODAY(),"⚠ TRỄ HỌC",IF($C359=TODAY(),"★ HỌC HÔM NAY","• Chưa tới")),IF($R359&gt;=5,"✔ MASTER",IF($S359&lt;TODAY(),"⚠ TRỄ ÔN",IF($S359=TODAY(),"◆ ÔN HÔM NAY","✔ Đúng tiến độ")))))</f>
        <v>• Chưa tới</v>
      </c>
      <c r="U359" s="38" t="n">
        <f aca="false">IF($H359="","",$R359/5)</f>
        <v>0</v>
      </c>
    </row>
    <row r="360" customFormat="false" ht="15" hidden="false" customHeight="false" outlineLevel="0" collapsed="false">
      <c r="A360" s="31" t="s">
        <v>2279</v>
      </c>
      <c r="B360" s="31" t="n">
        <v>18</v>
      </c>
      <c r="C360" s="32" t="n">
        <f aca="false">SETTINGS!$C$3+$B360-1</f>
        <v>46317</v>
      </c>
      <c r="D360" s="39" t="s">
        <v>1947</v>
      </c>
      <c r="E360" s="34" t="s">
        <v>2178</v>
      </c>
      <c r="F360" s="34" t="s">
        <v>202</v>
      </c>
      <c r="G360" s="34" t="s">
        <v>2280</v>
      </c>
      <c r="H360" s="35" t="s">
        <v>2281</v>
      </c>
      <c r="I360" s="36" t="s">
        <v>2282</v>
      </c>
      <c r="J360" s="34" t="s">
        <v>2283</v>
      </c>
      <c r="K360" s="34" t="s">
        <v>2284</v>
      </c>
      <c r="L360" s="37"/>
      <c r="M360" s="37"/>
      <c r="N360" s="37"/>
      <c r="O360" s="37"/>
      <c r="P360" s="37"/>
      <c r="Q360" s="37"/>
      <c r="R360" s="31" t="n">
        <f aca="false">COUNT($M360:$Q360)</f>
        <v>0</v>
      </c>
      <c r="S360" s="32" t="str">
        <f aca="false">IF($L360="","",IF($R360&gt;=5,"",MAX($L360:$Q360)+CHOOSE($R360+1,SETTINGS!$C$9,SETTINGS!$C$10,SETTINGS!$C$11,SETTINGS!$C$12,SETTINGS!$C$13)))</f>
        <v/>
      </c>
      <c r="T360" s="34" t="str">
        <f aca="true">IF($H360="","(chưa có nội dung)",IF($L360="",IF($C360&lt;TODAY(),"⚠ TRỄ HỌC",IF($C360=TODAY(),"★ HỌC HÔM NAY","• Chưa tới")),IF($R360&gt;=5,"✔ MASTER",IF($S360&lt;TODAY(),"⚠ TRỄ ÔN",IF($S360=TODAY(),"◆ ÔN HÔM NAY","✔ Đúng tiến độ")))))</f>
        <v>• Chưa tới</v>
      </c>
      <c r="U360" s="38" t="n">
        <f aca="false">IF($H360="","",$R360/5)</f>
        <v>0</v>
      </c>
    </row>
    <row r="361" customFormat="false" ht="15" hidden="false" customHeight="false" outlineLevel="0" collapsed="false">
      <c r="A361" s="31" t="s">
        <v>2285</v>
      </c>
      <c r="B361" s="31" t="n">
        <v>18</v>
      </c>
      <c r="C361" s="32" t="n">
        <f aca="false">SETTINGS!$C$3+$B361-1</f>
        <v>46317</v>
      </c>
      <c r="D361" s="39" t="s">
        <v>1947</v>
      </c>
      <c r="E361" s="34" t="s">
        <v>2178</v>
      </c>
      <c r="F361" s="34" t="s">
        <v>280</v>
      </c>
      <c r="G361" s="34" t="s">
        <v>2286</v>
      </c>
      <c r="H361" s="35" t="s">
        <v>2287</v>
      </c>
      <c r="I361" s="36" t="s">
        <v>2288</v>
      </c>
      <c r="J361" s="34" t="s">
        <v>2289</v>
      </c>
      <c r="K361" s="34" t="s">
        <v>2290</v>
      </c>
      <c r="L361" s="37"/>
      <c r="M361" s="37"/>
      <c r="N361" s="37"/>
      <c r="O361" s="37"/>
      <c r="P361" s="37"/>
      <c r="Q361" s="37"/>
      <c r="R361" s="31" t="n">
        <f aca="false">COUNT($M361:$Q361)</f>
        <v>0</v>
      </c>
      <c r="S361" s="32" t="str">
        <f aca="false">IF($L361="","",IF($R361&gt;=5,"",MAX($L361:$Q361)+CHOOSE($R361+1,SETTINGS!$C$9,SETTINGS!$C$10,SETTINGS!$C$11,SETTINGS!$C$12,SETTINGS!$C$13)))</f>
        <v/>
      </c>
      <c r="T361" s="34" t="str">
        <f aca="true">IF($H361="","(chưa có nội dung)",IF($L361="",IF($C361&lt;TODAY(),"⚠ TRỄ HỌC",IF($C361=TODAY(),"★ HỌC HÔM NAY","• Chưa tới")),IF($R361&gt;=5,"✔ MASTER",IF($S361&lt;TODAY(),"⚠ TRỄ ÔN",IF($S361=TODAY(),"◆ ÔN HÔM NAY","✔ Đúng tiến độ")))))</f>
        <v>• Chưa tới</v>
      </c>
      <c r="U361" s="38" t="n">
        <f aca="false">IF($H361="","",$R361/5)</f>
        <v>0</v>
      </c>
    </row>
    <row r="362" customFormat="false" ht="15" hidden="false" customHeight="false" outlineLevel="0" collapsed="false">
      <c r="A362" s="31" t="s">
        <v>2291</v>
      </c>
      <c r="B362" s="31" t="n">
        <v>18</v>
      </c>
      <c r="C362" s="32" t="n">
        <f aca="false">SETTINGS!$C$3+$B362-1</f>
        <v>46317</v>
      </c>
      <c r="D362" s="39" t="s">
        <v>1947</v>
      </c>
      <c r="E362" s="34" t="s">
        <v>2178</v>
      </c>
      <c r="F362" s="34" t="s">
        <v>472</v>
      </c>
      <c r="G362" s="34" t="s">
        <v>2292</v>
      </c>
      <c r="H362" s="35" t="s">
        <v>2293</v>
      </c>
      <c r="I362" s="36" t="s">
        <v>2294</v>
      </c>
      <c r="J362" s="34" t="s">
        <v>2295</v>
      </c>
      <c r="K362" s="34" t="s">
        <v>2296</v>
      </c>
      <c r="L362" s="37"/>
      <c r="M362" s="37"/>
      <c r="N362" s="37"/>
      <c r="O362" s="37"/>
      <c r="P362" s="37"/>
      <c r="Q362" s="37"/>
      <c r="R362" s="31" t="n">
        <f aca="false">COUNT($M362:$Q362)</f>
        <v>0</v>
      </c>
      <c r="S362" s="32" t="str">
        <f aca="false">IF($L362="","",IF($R362&gt;=5,"",MAX($L362:$Q362)+CHOOSE($R362+1,SETTINGS!$C$9,SETTINGS!$C$10,SETTINGS!$C$11,SETTINGS!$C$12,SETTINGS!$C$13)))</f>
        <v/>
      </c>
      <c r="T362" s="34" t="str">
        <f aca="true">IF($H362="","(chưa có nội dung)",IF($L362="",IF($C362&lt;TODAY(),"⚠ TRỄ HỌC",IF($C362=TODAY(),"★ HỌC HÔM NAY","• Chưa tới")),IF($R362&gt;=5,"✔ MASTER",IF($S362&lt;TODAY(),"⚠ TRỄ ÔN",IF($S362=TODAY(),"◆ ÔN HÔM NAY","✔ Đúng tiến độ")))))</f>
        <v>• Chưa tới</v>
      </c>
      <c r="U362" s="38" t="n">
        <f aca="false">IF($H362="","",$R362/5)</f>
        <v>0</v>
      </c>
    </row>
    <row r="363" customFormat="false" ht="15" hidden="false" customHeight="false" outlineLevel="0" collapsed="false">
      <c r="A363" s="31" t="s">
        <v>2297</v>
      </c>
      <c r="B363" s="31" t="n">
        <v>19</v>
      </c>
      <c r="C363" s="32" t="n">
        <f aca="false">SETTINGS!$C$3+$B363-1</f>
        <v>46318</v>
      </c>
      <c r="D363" s="39" t="s">
        <v>1947</v>
      </c>
      <c r="E363" s="34" t="s">
        <v>2298</v>
      </c>
      <c r="F363" s="34" t="s">
        <v>280</v>
      </c>
      <c r="G363" s="34" t="s">
        <v>626</v>
      </c>
      <c r="H363" s="35" t="s">
        <v>2299</v>
      </c>
      <c r="I363" s="36" t="s">
        <v>2300</v>
      </c>
      <c r="J363" s="34" t="s">
        <v>2301</v>
      </c>
      <c r="K363" s="34" t="s">
        <v>2302</v>
      </c>
      <c r="L363" s="37"/>
      <c r="M363" s="37"/>
      <c r="N363" s="37"/>
      <c r="O363" s="37"/>
      <c r="P363" s="37"/>
      <c r="Q363" s="37"/>
      <c r="R363" s="31" t="n">
        <f aca="false">COUNT($M363:$Q363)</f>
        <v>0</v>
      </c>
      <c r="S363" s="32" t="str">
        <f aca="false">IF($L363="","",IF($R363&gt;=5,"",MAX($L363:$Q363)+CHOOSE($R363+1,SETTINGS!$C$9,SETTINGS!$C$10,SETTINGS!$C$11,SETTINGS!$C$12,SETTINGS!$C$13)))</f>
        <v/>
      </c>
      <c r="T363" s="34" t="str">
        <f aca="true">IF($H363="","(chưa có nội dung)",IF($L363="",IF($C363&lt;TODAY(),"⚠ TRỄ HỌC",IF($C363=TODAY(),"★ HỌC HÔM NAY","• Chưa tới")),IF($R363&gt;=5,"✔ MASTER",IF($S363&lt;TODAY(),"⚠ TRỄ ÔN",IF($S363=TODAY(),"◆ ÔN HÔM NAY","✔ Đúng tiến độ")))))</f>
        <v>• Chưa tới</v>
      </c>
      <c r="U363" s="38" t="n">
        <f aca="false">IF($H363="","",$R363/5)</f>
        <v>0</v>
      </c>
    </row>
    <row r="364" customFormat="false" ht="15" hidden="false" customHeight="false" outlineLevel="0" collapsed="false">
      <c r="A364" s="31" t="s">
        <v>2303</v>
      </c>
      <c r="B364" s="31" t="n">
        <v>19</v>
      </c>
      <c r="C364" s="32" t="n">
        <f aca="false">SETTINGS!$C$3+$B364-1</f>
        <v>46318</v>
      </c>
      <c r="D364" s="39" t="s">
        <v>1947</v>
      </c>
      <c r="E364" s="34" t="s">
        <v>2298</v>
      </c>
      <c r="F364" s="34" t="s">
        <v>472</v>
      </c>
      <c r="G364" s="34" t="s">
        <v>2304</v>
      </c>
      <c r="H364" s="35" t="s">
        <v>2305</v>
      </c>
      <c r="I364" s="36" t="s">
        <v>2306</v>
      </c>
      <c r="J364" s="34" t="s">
        <v>2307</v>
      </c>
      <c r="K364" s="34" t="s">
        <v>2308</v>
      </c>
      <c r="L364" s="37"/>
      <c r="M364" s="37"/>
      <c r="N364" s="37"/>
      <c r="O364" s="37"/>
      <c r="P364" s="37"/>
      <c r="Q364" s="37"/>
      <c r="R364" s="31" t="n">
        <f aca="false">COUNT($M364:$Q364)</f>
        <v>0</v>
      </c>
      <c r="S364" s="32" t="str">
        <f aca="false">IF($L364="","",IF($R364&gt;=5,"",MAX($L364:$Q364)+CHOOSE($R364+1,SETTINGS!$C$9,SETTINGS!$C$10,SETTINGS!$C$11,SETTINGS!$C$12,SETTINGS!$C$13)))</f>
        <v/>
      </c>
      <c r="T364" s="34" t="str">
        <f aca="true">IF($H364="","(chưa có nội dung)",IF($L364="",IF($C364&lt;TODAY(),"⚠ TRỄ HỌC",IF($C364=TODAY(),"★ HỌC HÔM NAY","• Chưa tới")),IF($R364&gt;=5,"✔ MASTER",IF($S364&lt;TODAY(),"⚠ TRỄ ÔN",IF($S364=TODAY(),"◆ ÔN HÔM NAY","✔ Đúng tiến độ")))))</f>
        <v>• Chưa tới</v>
      </c>
      <c r="U364" s="38" t="n">
        <f aca="false">IF($H364="","",$R364/5)</f>
        <v>0</v>
      </c>
    </row>
    <row r="365" customFormat="false" ht="15" hidden="false" customHeight="false" outlineLevel="0" collapsed="false">
      <c r="A365" s="31" t="s">
        <v>2309</v>
      </c>
      <c r="B365" s="31" t="n">
        <v>19</v>
      </c>
      <c r="C365" s="32" t="n">
        <f aca="false">SETTINGS!$C$3+$B365-1</f>
        <v>46318</v>
      </c>
      <c r="D365" s="39" t="s">
        <v>1947</v>
      </c>
      <c r="E365" s="34" t="s">
        <v>2298</v>
      </c>
      <c r="F365" s="34" t="s">
        <v>280</v>
      </c>
      <c r="G365" s="34" t="s">
        <v>2310</v>
      </c>
      <c r="H365" s="35" t="s">
        <v>2311</v>
      </c>
      <c r="I365" s="36" t="s">
        <v>2312</v>
      </c>
      <c r="J365" s="34" t="s">
        <v>2313</v>
      </c>
      <c r="K365" s="34" t="s">
        <v>2314</v>
      </c>
      <c r="L365" s="37"/>
      <c r="M365" s="37"/>
      <c r="N365" s="37"/>
      <c r="O365" s="37"/>
      <c r="P365" s="37"/>
      <c r="Q365" s="37"/>
      <c r="R365" s="31" t="n">
        <f aca="false">COUNT($M365:$Q365)</f>
        <v>0</v>
      </c>
      <c r="S365" s="32" t="str">
        <f aca="false">IF($L365="","",IF($R365&gt;=5,"",MAX($L365:$Q365)+CHOOSE($R365+1,SETTINGS!$C$9,SETTINGS!$C$10,SETTINGS!$C$11,SETTINGS!$C$12,SETTINGS!$C$13)))</f>
        <v/>
      </c>
      <c r="T365" s="34" t="str">
        <f aca="true">IF($H365="","(chưa có nội dung)",IF($L365="",IF($C365&lt;TODAY(),"⚠ TRỄ HỌC",IF($C365=TODAY(),"★ HỌC HÔM NAY","• Chưa tới")),IF($R365&gt;=5,"✔ MASTER",IF($S365&lt;TODAY(),"⚠ TRỄ ÔN",IF($S365=TODAY(),"◆ ÔN HÔM NAY","✔ Đúng tiến độ")))))</f>
        <v>• Chưa tới</v>
      </c>
      <c r="U365" s="38" t="n">
        <f aca="false">IF($H365="","",$R365/5)</f>
        <v>0</v>
      </c>
    </row>
    <row r="366" customFormat="false" ht="15" hidden="false" customHeight="false" outlineLevel="0" collapsed="false">
      <c r="A366" s="31" t="s">
        <v>2315</v>
      </c>
      <c r="B366" s="31" t="n">
        <v>19</v>
      </c>
      <c r="C366" s="32" t="n">
        <f aca="false">SETTINGS!$C$3+$B366-1</f>
        <v>46318</v>
      </c>
      <c r="D366" s="39" t="s">
        <v>1947</v>
      </c>
      <c r="E366" s="34" t="s">
        <v>2298</v>
      </c>
      <c r="F366" s="34" t="s">
        <v>280</v>
      </c>
      <c r="G366" s="34" t="s">
        <v>2316</v>
      </c>
      <c r="H366" s="35" t="s">
        <v>2317</v>
      </c>
      <c r="I366" s="36" t="s">
        <v>2318</v>
      </c>
      <c r="J366" s="34" t="s">
        <v>2319</v>
      </c>
      <c r="K366" s="34" t="s">
        <v>2320</v>
      </c>
      <c r="L366" s="37"/>
      <c r="M366" s="37"/>
      <c r="N366" s="37"/>
      <c r="O366" s="37"/>
      <c r="P366" s="37"/>
      <c r="Q366" s="37"/>
      <c r="R366" s="31" t="n">
        <f aca="false">COUNT($M366:$Q366)</f>
        <v>0</v>
      </c>
      <c r="S366" s="32" t="str">
        <f aca="false">IF($L366="","",IF($R366&gt;=5,"",MAX($L366:$Q366)+CHOOSE($R366+1,SETTINGS!$C$9,SETTINGS!$C$10,SETTINGS!$C$11,SETTINGS!$C$12,SETTINGS!$C$13)))</f>
        <v/>
      </c>
      <c r="T366" s="34" t="str">
        <f aca="true">IF($H366="","(chưa có nội dung)",IF($L366="",IF($C366&lt;TODAY(),"⚠ TRỄ HỌC",IF($C366=TODAY(),"★ HỌC HÔM NAY","• Chưa tới")),IF($R366&gt;=5,"✔ MASTER",IF($S366&lt;TODAY(),"⚠ TRỄ ÔN",IF($S366=TODAY(),"◆ ÔN HÔM NAY","✔ Đúng tiến độ")))))</f>
        <v>• Chưa tới</v>
      </c>
      <c r="U366" s="38" t="n">
        <f aca="false">IF($H366="","",$R366/5)</f>
        <v>0</v>
      </c>
    </row>
    <row r="367" customFormat="false" ht="15" hidden="false" customHeight="false" outlineLevel="0" collapsed="false">
      <c r="A367" s="31" t="s">
        <v>2321</v>
      </c>
      <c r="B367" s="31" t="n">
        <v>19</v>
      </c>
      <c r="C367" s="32" t="n">
        <f aca="false">SETTINGS!$C$3+$B367-1</f>
        <v>46318</v>
      </c>
      <c r="D367" s="39" t="s">
        <v>1947</v>
      </c>
      <c r="E367" s="34" t="s">
        <v>2298</v>
      </c>
      <c r="F367" s="34" t="s">
        <v>280</v>
      </c>
      <c r="G367" s="34" t="s">
        <v>2322</v>
      </c>
      <c r="H367" s="35" t="s">
        <v>2323</v>
      </c>
      <c r="I367" s="36" t="s">
        <v>2324</v>
      </c>
      <c r="J367" s="34" t="s">
        <v>2325</v>
      </c>
      <c r="K367" s="34" t="s">
        <v>2326</v>
      </c>
      <c r="L367" s="37"/>
      <c r="M367" s="37"/>
      <c r="N367" s="37"/>
      <c r="O367" s="37"/>
      <c r="P367" s="37"/>
      <c r="Q367" s="37"/>
      <c r="R367" s="31" t="n">
        <f aca="false">COUNT($M367:$Q367)</f>
        <v>0</v>
      </c>
      <c r="S367" s="32" t="str">
        <f aca="false">IF($L367="","",IF($R367&gt;=5,"",MAX($L367:$Q367)+CHOOSE($R367+1,SETTINGS!$C$9,SETTINGS!$C$10,SETTINGS!$C$11,SETTINGS!$C$12,SETTINGS!$C$13)))</f>
        <v/>
      </c>
      <c r="T367" s="34" t="str">
        <f aca="true">IF($H367="","(chưa có nội dung)",IF($L367="",IF($C367&lt;TODAY(),"⚠ TRỄ HỌC",IF($C367=TODAY(),"★ HỌC HÔM NAY","• Chưa tới")),IF($R367&gt;=5,"✔ MASTER",IF($S367&lt;TODAY(),"⚠ TRỄ ÔN",IF($S367=TODAY(),"◆ ÔN HÔM NAY","✔ Đúng tiến độ")))))</f>
        <v>• Chưa tới</v>
      </c>
      <c r="U367" s="38" t="n">
        <f aca="false">IF($H367="","",$R367/5)</f>
        <v>0</v>
      </c>
    </row>
    <row r="368" customFormat="false" ht="15" hidden="false" customHeight="false" outlineLevel="0" collapsed="false">
      <c r="A368" s="31" t="s">
        <v>2327</v>
      </c>
      <c r="B368" s="31" t="n">
        <v>19</v>
      </c>
      <c r="C368" s="32" t="n">
        <f aca="false">SETTINGS!$C$3+$B368-1</f>
        <v>46318</v>
      </c>
      <c r="D368" s="39" t="s">
        <v>1947</v>
      </c>
      <c r="E368" s="34" t="s">
        <v>2298</v>
      </c>
      <c r="F368" s="34" t="s">
        <v>280</v>
      </c>
      <c r="G368" s="34" t="s">
        <v>2328</v>
      </c>
      <c r="H368" s="35" t="s">
        <v>2329</v>
      </c>
      <c r="I368" s="36" t="s">
        <v>2330</v>
      </c>
      <c r="J368" s="34" t="s">
        <v>2331</v>
      </c>
      <c r="K368" s="34" t="s">
        <v>2332</v>
      </c>
      <c r="L368" s="37"/>
      <c r="M368" s="37"/>
      <c r="N368" s="37"/>
      <c r="O368" s="37"/>
      <c r="P368" s="37"/>
      <c r="Q368" s="37"/>
      <c r="R368" s="31" t="n">
        <f aca="false">COUNT($M368:$Q368)</f>
        <v>0</v>
      </c>
      <c r="S368" s="32" t="str">
        <f aca="false">IF($L368="","",IF($R368&gt;=5,"",MAX($L368:$Q368)+CHOOSE($R368+1,SETTINGS!$C$9,SETTINGS!$C$10,SETTINGS!$C$11,SETTINGS!$C$12,SETTINGS!$C$13)))</f>
        <v/>
      </c>
      <c r="T368" s="34" t="str">
        <f aca="true">IF($H368="","(chưa có nội dung)",IF($L368="",IF($C368&lt;TODAY(),"⚠ TRỄ HỌC",IF($C368=TODAY(),"★ HỌC HÔM NAY","• Chưa tới")),IF($R368&gt;=5,"✔ MASTER",IF($S368&lt;TODAY(),"⚠ TRỄ ÔN",IF($S368=TODAY(),"◆ ÔN HÔM NAY","✔ Đúng tiến độ")))))</f>
        <v>• Chưa tới</v>
      </c>
      <c r="U368" s="38" t="n">
        <f aca="false">IF($H368="","",$R368/5)</f>
        <v>0</v>
      </c>
    </row>
    <row r="369" customFormat="false" ht="26.85" hidden="false" customHeight="false" outlineLevel="0" collapsed="false">
      <c r="A369" s="31" t="s">
        <v>2333</v>
      </c>
      <c r="B369" s="31" t="n">
        <v>19</v>
      </c>
      <c r="C369" s="32" t="n">
        <f aca="false">SETTINGS!$C$3+$B369-1</f>
        <v>46318</v>
      </c>
      <c r="D369" s="39" t="s">
        <v>1947</v>
      </c>
      <c r="E369" s="34" t="s">
        <v>2298</v>
      </c>
      <c r="F369" s="34" t="s">
        <v>280</v>
      </c>
      <c r="G369" s="34" t="s">
        <v>2334</v>
      </c>
      <c r="H369" s="35" t="s">
        <v>2335</v>
      </c>
      <c r="I369" s="36" t="s">
        <v>2336</v>
      </c>
      <c r="J369" s="34" t="s">
        <v>2337</v>
      </c>
      <c r="K369" s="34" t="s">
        <v>2338</v>
      </c>
      <c r="L369" s="37"/>
      <c r="M369" s="37"/>
      <c r="N369" s="37"/>
      <c r="O369" s="37"/>
      <c r="P369" s="37"/>
      <c r="Q369" s="37"/>
      <c r="R369" s="31" t="n">
        <f aca="false">COUNT($M369:$Q369)</f>
        <v>0</v>
      </c>
      <c r="S369" s="32" t="str">
        <f aca="false">IF($L369="","",IF($R369&gt;=5,"",MAX($L369:$Q369)+CHOOSE($R369+1,SETTINGS!$C$9,SETTINGS!$C$10,SETTINGS!$C$11,SETTINGS!$C$12,SETTINGS!$C$13)))</f>
        <v/>
      </c>
      <c r="T369" s="34" t="str">
        <f aca="true">IF($H369="","(chưa có nội dung)",IF($L369="",IF($C369&lt;TODAY(),"⚠ TRỄ HỌC",IF($C369=TODAY(),"★ HỌC HÔM NAY","• Chưa tới")),IF($R369&gt;=5,"✔ MASTER",IF($S369&lt;TODAY(),"⚠ TRỄ ÔN",IF($S369=TODAY(),"◆ ÔN HÔM NAY","✔ Đúng tiến độ")))))</f>
        <v>• Chưa tới</v>
      </c>
      <c r="U369" s="38" t="n">
        <f aca="false">IF($H369="","",$R369/5)</f>
        <v>0</v>
      </c>
    </row>
    <row r="370" customFormat="false" ht="15" hidden="false" customHeight="false" outlineLevel="0" collapsed="false">
      <c r="A370" s="31" t="s">
        <v>2339</v>
      </c>
      <c r="B370" s="31" t="n">
        <v>19</v>
      </c>
      <c r="C370" s="32" t="n">
        <f aca="false">SETTINGS!$C$3+$B370-1</f>
        <v>46318</v>
      </c>
      <c r="D370" s="39" t="s">
        <v>1947</v>
      </c>
      <c r="E370" s="34" t="s">
        <v>2298</v>
      </c>
      <c r="F370" s="34" t="s">
        <v>280</v>
      </c>
      <c r="G370" s="34" t="s">
        <v>2340</v>
      </c>
      <c r="H370" s="35" t="s">
        <v>2341</v>
      </c>
      <c r="I370" s="36" t="s">
        <v>2342</v>
      </c>
      <c r="J370" s="34" t="s">
        <v>2343</v>
      </c>
      <c r="K370" s="34" t="s">
        <v>2344</v>
      </c>
      <c r="L370" s="37"/>
      <c r="M370" s="37"/>
      <c r="N370" s="37"/>
      <c r="O370" s="37"/>
      <c r="P370" s="37"/>
      <c r="Q370" s="37"/>
      <c r="R370" s="31" t="n">
        <f aca="false">COUNT($M370:$Q370)</f>
        <v>0</v>
      </c>
      <c r="S370" s="32" t="str">
        <f aca="false">IF($L370="","",IF($R370&gt;=5,"",MAX($L370:$Q370)+CHOOSE($R370+1,SETTINGS!$C$9,SETTINGS!$C$10,SETTINGS!$C$11,SETTINGS!$C$12,SETTINGS!$C$13)))</f>
        <v/>
      </c>
      <c r="T370" s="34" t="str">
        <f aca="true">IF($H370="","(chưa có nội dung)",IF($L370="",IF($C370&lt;TODAY(),"⚠ TRỄ HỌC",IF($C370=TODAY(),"★ HỌC HÔM NAY","• Chưa tới")),IF($R370&gt;=5,"✔ MASTER",IF($S370&lt;TODAY(),"⚠ TRỄ ÔN",IF($S370=TODAY(),"◆ ÔN HÔM NAY","✔ Đúng tiến độ")))))</f>
        <v>• Chưa tới</v>
      </c>
      <c r="U370" s="38" t="n">
        <f aca="false">IF($H370="","",$R370/5)</f>
        <v>0</v>
      </c>
    </row>
    <row r="371" customFormat="false" ht="15" hidden="false" customHeight="false" outlineLevel="0" collapsed="false">
      <c r="A371" s="31" t="s">
        <v>2345</v>
      </c>
      <c r="B371" s="31" t="n">
        <v>19</v>
      </c>
      <c r="C371" s="32" t="n">
        <f aca="false">SETTINGS!$C$3+$B371-1</f>
        <v>46318</v>
      </c>
      <c r="D371" s="39" t="s">
        <v>1947</v>
      </c>
      <c r="E371" s="34" t="s">
        <v>2298</v>
      </c>
      <c r="F371" s="34" t="s">
        <v>280</v>
      </c>
      <c r="G371" s="34" t="s">
        <v>2346</v>
      </c>
      <c r="H371" s="35" t="s">
        <v>2347</v>
      </c>
      <c r="I371" s="36" t="s">
        <v>2348</v>
      </c>
      <c r="J371" s="34" t="s">
        <v>2349</v>
      </c>
      <c r="K371" s="34" t="s">
        <v>2350</v>
      </c>
      <c r="L371" s="37"/>
      <c r="M371" s="37"/>
      <c r="N371" s="37"/>
      <c r="O371" s="37"/>
      <c r="P371" s="37"/>
      <c r="Q371" s="37"/>
      <c r="R371" s="31" t="n">
        <f aca="false">COUNT($M371:$Q371)</f>
        <v>0</v>
      </c>
      <c r="S371" s="32" t="str">
        <f aca="false">IF($L371="","",IF($R371&gt;=5,"",MAX($L371:$Q371)+CHOOSE($R371+1,SETTINGS!$C$9,SETTINGS!$C$10,SETTINGS!$C$11,SETTINGS!$C$12,SETTINGS!$C$13)))</f>
        <v/>
      </c>
      <c r="T371" s="34" t="str">
        <f aca="true">IF($H371="","(chưa có nội dung)",IF($L371="",IF($C371&lt;TODAY(),"⚠ TRỄ HỌC",IF($C371=TODAY(),"★ HỌC HÔM NAY","• Chưa tới")),IF($R371&gt;=5,"✔ MASTER",IF($S371&lt;TODAY(),"⚠ TRỄ ÔN",IF($S371=TODAY(),"◆ ÔN HÔM NAY","✔ Đúng tiến độ")))))</f>
        <v>• Chưa tới</v>
      </c>
      <c r="U371" s="38" t="n">
        <f aca="false">IF($H371="","",$R371/5)</f>
        <v>0</v>
      </c>
    </row>
    <row r="372" customFormat="false" ht="15" hidden="false" customHeight="false" outlineLevel="0" collapsed="false">
      <c r="A372" s="31" t="s">
        <v>2351</v>
      </c>
      <c r="B372" s="31" t="n">
        <v>19</v>
      </c>
      <c r="C372" s="32" t="n">
        <f aca="false">SETTINGS!$C$3+$B372-1</f>
        <v>46318</v>
      </c>
      <c r="D372" s="39" t="s">
        <v>1947</v>
      </c>
      <c r="E372" s="34" t="s">
        <v>2298</v>
      </c>
      <c r="F372" s="34" t="s">
        <v>280</v>
      </c>
      <c r="G372" s="34" t="s">
        <v>2352</v>
      </c>
      <c r="H372" s="35" t="s">
        <v>2353</v>
      </c>
      <c r="I372" s="36" t="s">
        <v>2354</v>
      </c>
      <c r="J372" s="34" t="s">
        <v>2355</v>
      </c>
      <c r="K372" s="34" t="s">
        <v>1639</v>
      </c>
      <c r="L372" s="37"/>
      <c r="M372" s="37"/>
      <c r="N372" s="37"/>
      <c r="O372" s="37"/>
      <c r="P372" s="37"/>
      <c r="Q372" s="37"/>
      <c r="R372" s="31" t="n">
        <f aca="false">COUNT($M372:$Q372)</f>
        <v>0</v>
      </c>
      <c r="S372" s="32" t="str">
        <f aca="false">IF($L372="","",IF($R372&gt;=5,"",MAX($L372:$Q372)+CHOOSE($R372+1,SETTINGS!$C$9,SETTINGS!$C$10,SETTINGS!$C$11,SETTINGS!$C$12,SETTINGS!$C$13)))</f>
        <v/>
      </c>
      <c r="T372" s="34" t="str">
        <f aca="true">IF($H372="","(chưa có nội dung)",IF($L372="",IF($C372&lt;TODAY(),"⚠ TRỄ HỌC",IF($C372=TODAY(),"★ HỌC HÔM NAY","• Chưa tới")),IF($R372&gt;=5,"✔ MASTER",IF($S372&lt;TODAY(),"⚠ TRỄ ÔN",IF($S372=TODAY(),"◆ ÔN HÔM NAY","✔ Đúng tiến độ")))))</f>
        <v>• Chưa tới</v>
      </c>
      <c r="U372" s="38" t="n">
        <f aca="false">IF($H372="","",$R372/5)</f>
        <v>0</v>
      </c>
    </row>
    <row r="373" customFormat="false" ht="15" hidden="false" customHeight="false" outlineLevel="0" collapsed="false">
      <c r="A373" s="31" t="s">
        <v>2356</v>
      </c>
      <c r="B373" s="31" t="n">
        <v>19</v>
      </c>
      <c r="C373" s="32" t="n">
        <f aca="false">SETTINGS!$C$3+$B373-1</f>
        <v>46318</v>
      </c>
      <c r="D373" s="39" t="s">
        <v>1947</v>
      </c>
      <c r="E373" s="34" t="s">
        <v>2298</v>
      </c>
      <c r="F373" s="34" t="s">
        <v>163</v>
      </c>
      <c r="G373" s="34" t="s">
        <v>2357</v>
      </c>
      <c r="H373" s="35" t="s">
        <v>2358</v>
      </c>
      <c r="I373" s="36" t="s">
        <v>2359</v>
      </c>
      <c r="J373" s="34" t="s">
        <v>2360</v>
      </c>
      <c r="K373" s="34" t="s">
        <v>2361</v>
      </c>
      <c r="L373" s="37"/>
      <c r="M373" s="37"/>
      <c r="N373" s="37"/>
      <c r="O373" s="37"/>
      <c r="P373" s="37"/>
      <c r="Q373" s="37"/>
      <c r="R373" s="31" t="n">
        <f aca="false">COUNT($M373:$Q373)</f>
        <v>0</v>
      </c>
      <c r="S373" s="32" t="str">
        <f aca="false">IF($L373="","",IF($R373&gt;=5,"",MAX($L373:$Q373)+CHOOSE($R373+1,SETTINGS!$C$9,SETTINGS!$C$10,SETTINGS!$C$11,SETTINGS!$C$12,SETTINGS!$C$13)))</f>
        <v/>
      </c>
      <c r="T373" s="34" t="str">
        <f aca="true">IF($H373="","(chưa có nội dung)",IF($L373="",IF($C373&lt;TODAY(),"⚠ TRỄ HỌC",IF($C373=TODAY(),"★ HỌC HÔM NAY","• Chưa tới")),IF($R373&gt;=5,"✔ MASTER",IF($S373&lt;TODAY(),"⚠ TRỄ ÔN",IF($S373=TODAY(),"◆ ÔN HÔM NAY","✔ Đúng tiến độ")))))</f>
        <v>• Chưa tới</v>
      </c>
      <c r="U373" s="38" t="n">
        <f aca="false">IF($H373="","",$R373/5)</f>
        <v>0</v>
      </c>
    </row>
    <row r="374" customFormat="false" ht="15" hidden="false" customHeight="false" outlineLevel="0" collapsed="false">
      <c r="A374" s="31" t="s">
        <v>2362</v>
      </c>
      <c r="B374" s="31" t="n">
        <v>19</v>
      </c>
      <c r="C374" s="32" t="n">
        <f aca="false">SETTINGS!$C$3+$B374-1</f>
        <v>46318</v>
      </c>
      <c r="D374" s="39" t="s">
        <v>1947</v>
      </c>
      <c r="E374" s="34" t="s">
        <v>2298</v>
      </c>
      <c r="F374" s="34" t="s">
        <v>280</v>
      </c>
      <c r="G374" s="34" t="s">
        <v>2363</v>
      </c>
      <c r="H374" s="35" t="s">
        <v>2364</v>
      </c>
      <c r="I374" s="36" t="s">
        <v>2365</v>
      </c>
      <c r="J374" s="34" t="s">
        <v>2366</v>
      </c>
      <c r="K374" s="34" t="s">
        <v>2367</v>
      </c>
      <c r="L374" s="37"/>
      <c r="M374" s="37"/>
      <c r="N374" s="37"/>
      <c r="O374" s="37"/>
      <c r="P374" s="37"/>
      <c r="Q374" s="37"/>
      <c r="R374" s="31" t="n">
        <f aca="false">COUNT($M374:$Q374)</f>
        <v>0</v>
      </c>
      <c r="S374" s="32" t="str">
        <f aca="false">IF($L374="","",IF($R374&gt;=5,"",MAX($L374:$Q374)+CHOOSE($R374+1,SETTINGS!$C$9,SETTINGS!$C$10,SETTINGS!$C$11,SETTINGS!$C$12,SETTINGS!$C$13)))</f>
        <v/>
      </c>
      <c r="T374" s="34" t="str">
        <f aca="true">IF($H374="","(chưa có nội dung)",IF($L374="",IF($C374&lt;TODAY(),"⚠ TRỄ HỌC",IF($C374=TODAY(),"★ HỌC HÔM NAY","• Chưa tới")),IF($R374&gt;=5,"✔ MASTER",IF($S374&lt;TODAY(),"⚠ TRỄ ÔN",IF($S374=TODAY(),"◆ ÔN HÔM NAY","✔ Đúng tiến độ")))))</f>
        <v>• Chưa tới</v>
      </c>
      <c r="U374" s="38" t="n">
        <f aca="false">IF($H374="","",$R374/5)</f>
        <v>0</v>
      </c>
    </row>
    <row r="375" customFormat="false" ht="15" hidden="false" customHeight="false" outlineLevel="0" collapsed="false">
      <c r="A375" s="31" t="s">
        <v>2368</v>
      </c>
      <c r="B375" s="31" t="n">
        <v>19</v>
      </c>
      <c r="C375" s="32" t="n">
        <f aca="false">SETTINGS!$C$3+$B375-1</f>
        <v>46318</v>
      </c>
      <c r="D375" s="39" t="s">
        <v>1947</v>
      </c>
      <c r="E375" s="34" t="s">
        <v>2298</v>
      </c>
      <c r="F375" s="34" t="s">
        <v>280</v>
      </c>
      <c r="G375" s="34" t="s">
        <v>2369</v>
      </c>
      <c r="H375" s="35" t="s">
        <v>2370</v>
      </c>
      <c r="I375" s="36" t="s">
        <v>2371</v>
      </c>
      <c r="J375" s="34" t="s">
        <v>2372</v>
      </c>
      <c r="K375" s="34" t="s">
        <v>2373</v>
      </c>
      <c r="L375" s="37"/>
      <c r="M375" s="37"/>
      <c r="N375" s="37"/>
      <c r="O375" s="37"/>
      <c r="P375" s="37"/>
      <c r="Q375" s="37"/>
      <c r="R375" s="31" t="n">
        <f aca="false">COUNT($M375:$Q375)</f>
        <v>0</v>
      </c>
      <c r="S375" s="32" t="str">
        <f aca="false">IF($L375="","",IF($R375&gt;=5,"",MAX($L375:$Q375)+CHOOSE($R375+1,SETTINGS!$C$9,SETTINGS!$C$10,SETTINGS!$C$11,SETTINGS!$C$12,SETTINGS!$C$13)))</f>
        <v/>
      </c>
      <c r="T375" s="34" t="str">
        <f aca="true">IF($H375="","(chưa có nội dung)",IF($L375="",IF($C375&lt;TODAY(),"⚠ TRỄ HỌC",IF($C375=TODAY(),"★ HỌC HÔM NAY","• Chưa tới")),IF($R375&gt;=5,"✔ MASTER",IF($S375&lt;TODAY(),"⚠ TRỄ ÔN",IF($S375=TODAY(),"◆ ÔN HÔM NAY","✔ Đúng tiến độ")))))</f>
        <v>• Chưa tới</v>
      </c>
      <c r="U375" s="38" t="n">
        <f aca="false">IF($H375="","",$R375/5)</f>
        <v>0</v>
      </c>
    </row>
    <row r="376" customFormat="false" ht="15" hidden="false" customHeight="false" outlineLevel="0" collapsed="false">
      <c r="A376" s="31" t="s">
        <v>2374</v>
      </c>
      <c r="B376" s="31" t="n">
        <v>19</v>
      </c>
      <c r="C376" s="32" t="n">
        <f aca="false">SETTINGS!$C$3+$B376-1</f>
        <v>46318</v>
      </c>
      <c r="D376" s="39" t="s">
        <v>1947</v>
      </c>
      <c r="E376" s="34" t="s">
        <v>2298</v>
      </c>
      <c r="F376" s="34" t="s">
        <v>202</v>
      </c>
      <c r="G376" s="34" t="s">
        <v>2375</v>
      </c>
      <c r="H376" s="35" t="s">
        <v>2376</v>
      </c>
      <c r="I376" s="36" t="s">
        <v>2377</v>
      </c>
      <c r="J376" s="34" t="s">
        <v>2378</v>
      </c>
      <c r="K376" s="34" t="s">
        <v>2379</v>
      </c>
      <c r="L376" s="37"/>
      <c r="M376" s="37"/>
      <c r="N376" s="37"/>
      <c r="O376" s="37"/>
      <c r="P376" s="37"/>
      <c r="Q376" s="37"/>
      <c r="R376" s="31" t="n">
        <f aca="false">COUNT($M376:$Q376)</f>
        <v>0</v>
      </c>
      <c r="S376" s="32" t="str">
        <f aca="false">IF($L376="","",IF($R376&gt;=5,"",MAX($L376:$Q376)+CHOOSE($R376+1,SETTINGS!$C$9,SETTINGS!$C$10,SETTINGS!$C$11,SETTINGS!$C$12,SETTINGS!$C$13)))</f>
        <v/>
      </c>
      <c r="T376" s="34" t="str">
        <f aca="true">IF($H376="","(chưa có nội dung)",IF($L376="",IF($C376&lt;TODAY(),"⚠ TRỄ HỌC",IF($C376=TODAY(),"★ HỌC HÔM NAY","• Chưa tới")),IF($R376&gt;=5,"✔ MASTER",IF($S376&lt;TODAY(),"⚠ TRỄ ÔN",IF($S376=TODAY(),"◆ ÔN HÔM NAY","✔ Đúng tiến độ")))))</f>
        <v>• Chưa tới</v>
      </c>
      <c r="U376" s="38" t="n">
        <f aca="false">IF($H376="","",$R376/5)</f>
        <v>0</v>
      </c>
    </row>
    <row r="377" customFormat="false" ht="15" hidden="false" customHeight="false" outlineLevel="0" collapsed="false">
      <c r="A377" s="31" t="s">
        <v>2380</v>
      </c>
      <c r="B377" s="31" t="n">
        <v>19</v>
      </c>
      <c r="C377" s="32" t="n">
        <f aca="false">SETTINGS!$C$3+$B377-1</f>
        <v>46318</v>
      </c>
      <c r="D377" s="39" t="s">
        <v>1947</v>
      </c>
      <c r="E377" s="34" t="s">
        <v>2298</v>
      </c>
      <c r="F377" s="34" t="s">
        <v>280</v>
      </c>
      <c r="G377" s="34" t="s">
        <v>2381</v>
      </c>
      <c r="H377" s="35" t="s">
        <v>2382</v>
      </c>
      <c r="I377" s="36" t="s">
        <v>2383</v>
      </c>
      <c r="J377" s="34" t="s">
        <v>2384</v>
      </c>
      <c r="K377" s="34" t="s">
        <v>2050</v>
      </c>
      <c r="L377" s="37"/>
      <c r="M377" s="37"/>
      <c r="N377" s="37"/>
      <c r="O377" s="37"/>
      <c r="P377" s="37"/>
      <c r="Q377" s="37"/>
      <c r="R377" s="31" t="n">
        <f aca="false">COUNT($M377:$Q377)</f>
        <v>0</v>
      </c>
      <c r="S377" s="32" t="str">
        <f aca="false">IF($L377="","",IF($R377&gt;=5,"",MAX($L377:$Q377)+CHOOSE($R377+1,SETTINGS!$C$9,SETTINGS!$C$10,SETTINGS!$C$11,SETTINGS!$C$12,SETTINGS!$C$13)))</f>
        <v/>
      </c>
      <c r="T377" s="34" t="str">
        <f aca="true">IF($H377="","(chưa có nội dung)",IF($L377="",IF($C377&lt;TODAY(),"⚠ TRỄ HỌC",IF($C377=TODAY(),"★ HỌC HÔM NAY","• Chưa tới")),IF($R377&gt;=5,"✔ MASTER",IF($S377&lt;TODAY(),"⚠ TRỄ ÔN",IF($S377=TODAY(),"◆ ÔN HÔM NAY","✔ Đúng tiến độ")))))</f>
        <v>• Chưa tới</v>
      </c>
      <c r="U377" s="38" t="n">
        <f aca="false">IF($H377="","",$R377/5)</f>
        <v>0</v>
      </c>
    </row>
    <row r="378" customFormat="false" ht="15" hidden="false" customHeight="false" outlineLevel="0" collapsed="false">
      <c r="A378" s="31" t="s">
        <v>2385</v>
      </c>
      <c r="B378" s="31" t="n">
        <v>19</v>
      </c>
      <c r="C378" s="32" t="n">
        <f aca="false">SETTINGS!$C$3+$B378-1</f>
        <v>46318</v>
      </c>
      <c r="D378" s="39" t="s">
        <v>1947</v>
      </c>
      <c r="E378" s="34" t="s">
        <v>2298</v>
      </c>
      <c r="F378" s="34" t="s">
        <v>280</v>
      </c>
      <c r="G378" s="34" t="s">
        <v>2386</v>
      </c>
      <c r="H378" s="35" t="s">
        <v>2387</v>
      </c>
      <c r="I378" s="36" t="s">
        <v>2388</v>
      </c>
      <c r="J378" s="34" t="s">
        <v>2389</v>
      </c>
      <c r="K378" s="34" t="s">
        <v>2390</v>
      </c>
      <c r="L378" s="37"/>
      <c r="M378" s="37"/>
      <c r="N378" s="37"/>
      <c r="O378" s="37"/>
      <c r="P378" s="37"/>
      <c r="Q378" s="37"/>
      <c r="R378" s="31" t="n">
        <f aca="false">COUNT($M378:$Q378)</f>
        <v>0</v>
      </c>
      <c r="S378" s="32" t="str">
        <f aca="false">IF($L378="","",IF($R378&gt;=5,"",MAX($L378:$Q378)+CHOOSE($R378+1,SETTINGS!$C$9,SETTINGS!$C$10,SETTINGS!$C$11,SETTINGS!$C$12,SETTINGS!$C$13)))</f>
        <v/>
      </c>
      <c r="T378" s="34" t="str">
        <f aca="true">IF($H378="","(chưa có nội dung)",IF($L378="",IF($C378&lt;TODAY(),"⚠ TRỄ HỌC",IF($C378=TODAY(),"★ HỌC HÔM NAY","• Chưa tới")),IF($R378&gt;=5,"✔ MASTER",IF($S378&lt;TODAY(),"⚠ TRỄ ÔN",IF($S378=TODAY(),"◆ ÔN HÔM NAY","✔ Đúng tiến độ")))))</f>
        <v>• Chưa tới</v>
      </c>
      <c r="U378" s="38" t="n">
        <f aca="false">IF($H378="","",$R378/5)</f>
        <v>0</v>
      </c>
    </row>
    <row r="379" customFormat="false" ht="15" hidden="false" customHeight="false" outlineLevel="0" collapsed="false">
      <c r="A379" s="31" t="s">
        <v>2391</v>
      </c>
      <c r="B379" s="31" t="n">
        <v>19</v>
      </c>
      <c r="C379" s="32" t="n">
        <f aca="false">SETTINGS!$C$3+$B379-1</f>
        <v>46318</v>
      </c>
      <c r="D379" s="39" t="s">
        <v>1947</v>
      </c>
      <c r="E379" s="34" t="s">
        <v>2298</v>
      </c>
      <c r="F379" s="34" t="s">
        <v>163</v>
      </c>
      <c r="G379" s="34" t="s">
        <v>2392</v>
      </c>
      <c r="H379" s="35" t="s">
        <v>2393</v>
      </c>
      <c r="I379" s="36" t="s">
        <v>2394</v>
      </c>
      <c r="J379" s="34" t="s">
        <v>2395</v>
      </c>
      <c r="K379" s="34" t="s">
        <v>2396</v>
      </c>
      <c r="L379" s="37"/>
      <c r="M379" s="37"/>
      <c r="N379" s="37"/>
      <c r="O379" s="37"/>
      <c r="P379" s="37"/>
      <c r="Q379" s="37"/>
      <c r="R379" s="31" t="n">
        <f aca="false">COUNT($M379:$Q379)</f>
        <v>0</v>
      </c>
      <c r="S379" s="32" t="str">
        <f aca="false">IF($L379="","",IF($R379&gt;=5,"",MAX($L379:$Q379)+CHOOSE($R379+1,SETTINGS!$C$9,SETTINGS!$C$10,SETTINGS!$C$11,SETTINGS!$C$12,SETTINGS!$C$13)))</f>
        <v/>
      </c>
      <c r="T379" s="34" t="str">
        <f aca="true">IF($H379="","(chưa có nội dung)",IF($L379="",IF($C379&lt;TODAY(),"⚠ TRỄ HỌC",IF($C379=TODAY(),"★ HỌC HÔM NAY","• Chưa tới")),IF($R379&gt;=5,"✔ MASTER",IF($S379&lt;TODAY(),"⚠ TRỄ ÔN",IF($S379=TODAY(),"◆ ÔN HÔM NAY","✔ Đúng tiến độ")))))</f>
        <v>• Chưa tới</v>
      </c>
      <c r="U379" s="38" t="n">
        <f aca="false">IF($H379="","",$R379/5)</f>
        <v>0</v>
      </c>
    </row>
    <row r="380" customFormat="false" ht="15" hidden="false" customHeight="false" outlineLevel="0" collapsed="false">
      <c r="A380" s="31" t="s">
        <v>2397</v>
      </c>
      <c r="B380" s="31" t="n">
        <v>19</v>
      </c>
      <c r="C380" s="32" t="n">
        <f aca="false">SETTINGS!$C$3+$B380-1</f>
        <v>46318</v>
      </c>
      <c r="D380" s="39" t="s">
        <v>1947</v>
      </c>
      <c r="E380" s="34" t="s">
        <v>2298</v>
      </c>
      <c r="F380" s="34" t="s">
        <v>280</v>
      </c>
      <c r="G380" s="34" t="s">
        <v>2398</v>
      </c>
      <c r="H380" s="35" t="s">
        <v>2399</v>
      </c>
      <c r="I380" s="36" t="s">
        <v>2400</v>
      </c>
      <c r="J380" s="34" t="s">
        <v>2401</v>
      </c>
      <c r="K380" s="34" t="s">
        <v>2402</v>
      </c>
      <c r="L380" s="37"/>
      <c r="M380" s="37"/>
      <c r="N380" s="37"/>
      <c r="O380" s="37"/>
      <c r="P380" s="37"/>
      <c r="Q380" s="37"/>
      <c r="R380" s="31" t="n">
        <f aca="false">COUNT($M380:$Q380)</f>
        <v>0</v>
      </c>
      <c r="S380" s="32" t="str">
        <f aca="false">IF($L380="","",IF($R380&gt;=5,"",MAX($L380:$Q380)+CHOOSE($R380+1,SETTINGS!$C$9,SETTINGS!$C$10,SETTINGS!$C$11,SETTINGS!$C$12,SETTINGS!$C$13)))</f>
        <v/>
      </c>
      <c r="T380" s="34" t="str">
        <f aca="true">IF($H380="","(chưa có nội dung)",IF($L380="",IF($C380&lt;TODAY(),"⚠ TRỄ HỌC",IF($C380=TODAY(),"★ HỌC HÔM NAY","• Chưa tới")),IF($R380&gt;=5,"✔ MASTER",IF($S380&lt;TODAY(),"⚠ TRỄ ÔN",IF($S380=TODAY(),"◆ ÔN HÔM NAY","✔ Đúng tiến độ")))))</f>
        <v>• Chưa tới</v>
      </c>
      <c r="U380" s="38" t="n">
        <f aca="false">IF($H380="","",$R380/5)</f>
        <v>0</v>
      </c>
    </row>
    <row r="381" customFormat="false" ht="15" hidden="false" customHeight="false" outlineLevel="0" collapsed="false">
      <c r="A381" s="31" t="s">
        <v>2403</v>
      </c>
      <c r="B381" s="31" t="n">
        <v>19</v>
      </c>
      <c r="C381" s="32" t="n">
        <f aca="false">SETTINGS!$C$3+$B381-1</f>
        <v>46318</v>
      </c>
      <c r="D381" s="39" t="s">
        <v>1947</v>
      </c>
      <c r="E381" s="34" t="s">
        <v>2298</v>
      </c>
      <c r="F381" s="34" t="s">
        <v>280</v>
      </c>
      <c r="G381" s="34" t="s">
        <v>2404</v>
      </c>
      <c r="H381" s="35" t="s">
        <v>2405</v>
      </c>
      <c r="I381" s="36" t="s">
        <v>2406</v>
      </c>
      <c r="J381" s="34" t="s">
        <v>2407</v>
      </c>
      <c r="K381" s="34" t="s">
        <v>2332</v>
      </c>
      <c r="L381" s="37"/>
      <c r="M381" s="37"/>
      <c r="N381" s="37"/>
      <c r="O381" s="37"/>
      <c r="P381" s="37"/>
      <c r="Q381" s="37"/>
      <c r="R381" s="31" t="n">
        <f aca="false">COUNT($M381:$Q381)</f>
        <v>0</v>
      </c>
      <c r="S381" s="32" t="str">
        <f aca="false">IF($L381="","",IF($R381&gt;=5,"",MAX($L381:$Q381)+CHOOSE($R381+1,SETTINGS!$C$9,SETTINGS!$C$10,SETTINGS!$C$11,SETTINGS!$C$12,SETTINGS!$C$13)))</f>
        <v/>
      </c>
      <c r="T381" s="34" t="str">
        <f aca="true">IF($H381="","(chưa có nội dung)",IF($L381="",IF($C381&lt;TODAY(),"⚠ TRỄ HỌC",IF($C381=TODAY(),"★ HỌC HÔM NAY","• Chưa tới")),IF($R381&gt;=5,"✔ MASTER",IF($S381&lt;TODAY(),"⚠ TRỄ ÔN",IF($S381=TODAY(),"◆ ÔN HÔM NAY","✔ Đúng tiến độ")))))</f>
        <v>• Chưa tới</v>
      </c>
      <c r="U381" s="38" t="n">
        <f aca="false">IF($H381="","",$R381/5)</f>
        <v>0</v>
      </c>
    </row>
    <row r="382" customFormat="false" ht="15" hidden="false" customHeight="false" outlineLevel="0" collapsed="false">
      <c r="A382" s="31" t="s">
        <v>2408</v>
      </c>
      <c r="B382" s="31" t="n">
        <v>19</v>
      </c>
      <c r="C382" s="32" t="n">
        <f aca="false">SETTINGS!$C$3+$B382-1</f>
        <v>46318</v>
      </c>
      <c r="D382" s="39" t="s">
        <v>1947</v>
      </c>
      <c r="E382" s="34" t="s">
        <v>2298</v>
      </c>
      <c r="F382" s="34" t="s">
        <v>280</v>
      </c>
      <c r="G382" s="34" t="s">
        <v>2409</v>
      </c>
      <c r="H382" s="35" t="s">
        <v>2410</v>
      </c>
      <c r="I382" s="36" t="s">
        <v>2411</v>
      </c>
      <c r="J382" s="34" t="s">
        <v>2412</v>
      </c>
      <c r="K382" s="34" t="s">
        <v>2413</v>
      </c>
      <c r="L382" s="37"/>
      <c r="M382" s="37"/>
      <c r="N382" s="37"/>
      <c r="O382" s="37"/>
      <c r="P382" s="37"/>
      <c r="Q382" s="37"/>
      <c r="R382" s="31" t="n">
        <f aca="false">COUNT($M382:$Q382)</f>
        <v>0</v>
      </c>
      <c r="S382" s="32" t="str">
        <f aca="false">IF($L382="","",IF($R382&gt;=5,"",MAX($L382:$Q382)+CHOOSE($R382+1,SETTINGS!$C$9,SETTINGS!$C$10,SETTINGS!$C$11,SETTINGS!$C$12,SETTINGS!$C$13)))</f>
        <v/>
      </c>
      <c r="T382" s="34" t="str">
        <f aca="true">IF($H382="","(chưa có nội dung)",IF($L382="",IF($C382&lt;TODAY(),"⚠ TRỄ HỌC",IF($C382=TODAY(),"★ HỌC HÔM NAY","• Chưa tới")),IF($R382&gt;=5,"✔ MASTER",IF($S382&lt;TODAY(),"⚠ TRỄ ÔN",IF($S382=TODAY(),"◆ ÔN HÔM NAY","✔ Đúng tiến độ")))))</f>
        <v>• Chưa tới</v>
      </c>
      <c r="U382" s="38" t="n">
        <f aca="false">IF($H382="","",$R382/5)</f>
        <v>0</v>
      </c>
    </row>
    <row r="383" customFormat="false" ht="15" hidden="false" customHeight="false" outlineLevel="0" collapsed="false">
      <c r="A383" s="31" t="s">
        <v>2414</v>
      </c>
      <c r="B383" s="31" t="n">
        <v>20</v>
      </c>
      <c r="C383" s="32" t="n">
        <f aca="false">SETTINGS!$C$3+$B383-1</f>
        <v>46319</v>
      </c>
      <c r="D383" s="39" t="s">
        <v>1947</v>
      </c>
      <c r="E383" s="34" t="s">
        <v>2415</v>
      </c>
      <c r="F383" s="34" t="s">
        <v>280</v>
      </c>
      <c r="G383" s="34" t="s">
        <v>2416</v>
      </c>
      <c r="H383" s="35" t="s">
        <v>2417</v>
      </c>
      <c r="I383" s="36" t="s">
        <v>2418</v>
      </c>
      <c r="J383" s="34" t="s">
        <v>2419</v>
      </c>
      <c r="K383" s="34" t="s">
        <v>1959</v>
      </c>
      <c r="L383" s="37"/>
      <c r="M383" s="37"/>
      <c r="N383" s="37"/>
      <c r="O383" s="37"/>
      <c r="P383" s="37"/>
      <c r="Q383" s="37"/>
      <c r="R383" s="31" t="n">
        <f aca="false">COUNT($M383:$Q383)</f>
        <v>0</v>
      </c>
      <c r="S383" s="32" t="str">
        <f aca="false">IF($L383="","",IF($R383&gt;=5,"",MAX($L383:$Q383)+CHOOSE($R383+1,SETTINGS!$C$9,SETTINGS!$C$10,SETTINGS!$C$11,SETTINGS!$C$12,SETTINGS!$C$13)))</f>
        <v/>
      </c>
      <c r="T383" s="34" t="str">
        <f aca="true">IF($H383="","(chưa có nội dung)",IF($L383="",IF($C383&lt;TODAY(),"⚠ TRỄ HỌC",IF($C383=TODAY(),"★ HỌC HÔM NAY","• Chưa tới")),IF($R383&gt;=5,"✔ MASTER",IF($S383&lt;TODAY(),"⚠ TRỄ ÔN",IF($S383=TODAY(),"◆ ÔN HÔM NAY","✔ Đúng tiến độ")))))</f>
        <v>• Chưa tới</v>
      </c>
      <c r="U383" s="38" t="n">
        <f aca="false">IF($H383="","",$R383/5)</f>
        <v>0</v>
      </c>
    </row>
    <row r="384" customFormat="false" ht="15" hidden="false" customHeight="false" outlineLevel="0" collapsed="false">
      <c r="A384" s="31" t="s">
        <v>2420</v>
      </c>
      <c r="B384" s="31" t="n">
        <v>20</v>
      </c>
      <c r="C384" s="32" t="n">
        <f aca="false">SETTINGS!$C$3+$B384-1</f>
        <v>46319</v>
      </c>
      <c r="D384" s="39" t="s">
        <v>1947</v>
      </c>
      <c r="E384" s="34" t="s">
        <v>2415</v>
      </c>
      <c r="F384" s="34" t="s">
        <v>280</v>
      </c>
      <c r="G384" s="34" t="s">
        <v>2421</v>
      </c>
      <c r="H384" s="35" t="s">
        <v>2422</v>
      </c>
      <c r="I384" s="36" t="s">
        <v>2423</v>
      </c>
      <c r="J384" s="34" t="s">
        <v>2424</v>
      </c>
      <c r="K384" s="34" t="s">
        <v>2425</v>
      </c>
      <c r="L384" s="37"/>
      <c r="M384" s="37"/>
      <c r="N384" s="37"/>
      <c r="O384" s="37"/>
      <c r="P384" s="37"/>
      <c r="Q384" s="37"/>
      <c r="R384" s="31" t="n">
        <f aca="false">COUNT($M384:$Q384)</f>
        <v>0</v>
      </c>
      <c r="S384" s="32" t="str">
        <f aca="false">IF($L384="","",IF($R384&gt;=5,"",MAX($L384:$Q384)+CHOOSE($R384+1,SETTINGS!$C$9,SETTINGS!$C$10,SETTINGS!$C$11,SETTINGS!$C$12,SETTINGS!$C$13)))</f>
        <v/>
      </c>
      <c r="T384" s="34" t="str">
        <f aca="true">IF($H384="","(chưa có nội dung)",IF($L384="",IF($C384&lt;TODAY(),"⚠ TRỄ HỌC",IF($C384=TODAY(),"★ HỌC HÔM NAY","• Chưa tới")),IF($R384&gt;=5,"✔ MASTER",IF($S384&lt;TODAY(),"⚠ TRỄ ÔN",IF($S384=TODAY(),"◆ ÔN HÔM NAY","✔ Đúng tiến độ")))))</f>
        <v>• Chưa tới</v>
      </c>
      <c r="U384" s="38" t="n">
        <f aca="false">IF($H384="","",$R384/5)</f>
        <v>0</v>
      </c>
    </row>
    <row r="385" customFormat="false" ht="15" hidden="false" customHeight="false" outlineLevel="0" collapsed="false">
      <c r="A385" s="31" t="s">
        <v>2426</v>
      </c>
      <c r="B385" s="31" t="n">
        <v>20</v>
      </c>
      <c r="C385" s="32" t="n">
        <f aca="false">SETTINGS!$C$3+$B385-1</f>
        <v>46319</v>
      </c>
      <c r="D385" s="39" t="s">
        <v>1947</v>
      </c>
      <c r="E385" s="34" t="s">
        <v>2415</v>
      </c>
      <c r="F385" s="34" t="s">
        <v>280</v>
      </c>
      <c r="G385" s="34" t="s">
        <v>2427</v>
      </c>
      <c r="H385" s="35" t="s">
        <v>2428</v>
      </c>
      <c r="I385" s="36" t="s">
        <v>2429</v>
      </c>
      <c r="J385" s="34" t="s">
        <v>2430</v>
      </c>
      <c r="K385" s="34" t="s">
        <v>2431</v>
      </c>
      <c r="L385" s="37"/>
      <c r="M385" s="37"/>
      <c r="N385" s="37"/>
      <c r="O385" s="37"/>
      <c r="P385" s="37"/>
      <c r="Q385" s="37"/>
      <c r="R385" s="31" t="n">
        <f aca="false">COUNT($M385:$Q385)</f>
        <v>0</v>
      </c>
      <c r="S385" s="32" t="str">
        <f aca="false">IF($L385="","",IF($R385&gt;=5,"",MAX($L385:$Q385)+CHOOSE($R385+1,SETTINGS!$C$9,SETTINGS!$C$10,SETTINGS!$C$11,SETTINGS!$C$12,SETTINGS!$C$13)))</f>
        <v/>
      </c>
      <c r="T385" s="34" t="str">
        <f aca="true">IF($H385="","(chưa có nội dung)",IF($L385="",IF($C385&lt;TODAY(),"⚠ TRỄ HỌC",IF($C385=TODAY(),"★ HỌC HÔM NAY","• Chưa tới")),IF($R385&gt;=5,"✔ MASTER",IF($S385&lt;TODAY(),"⚠ TRỄ ÔN",IF($S385=TODAY(),"◆ ÔN HÔM NAY","✔ Đúng tiến độ")))))</f>
        <v>• Chưa tới</v>
      </c>
      <c r="U385" s="38" t="n">
        <f aca="false">IF($H385="","",$R385/5)</f>
        <v>0</v>
      </c>
    </row>
    <row r="386" customFormat="false" ht="15" hidden="false" customHeight="false" outlineLevel="0" collapsed="false">
      <c r="A386" s="31" t="s">
        <v>2432</v>
      </c>
      <c r="B386" s="31" t="n">
        <v>20</v>
      </c>
      <c r="C386" s="32" t="n">
        <f aca="false">SETTINGS!$C$3+$B386-1</f>
        <v>46319</v>
      </c>
      <c r="D386" s="39" t="s">
        <v>1947</v>
      </c>
      <c r="E386" s="34" t="s">
        <v>2415</v>
      </c>
      <c r="F386" s="34" t="s">
        <v>163</v>
      </c>
      <c r="G386" s="34" t="s">
        <v>2433</v>
      </c>
      <c r="H386" s="35" t="s">
        <v>2434</v>
      </c>
      <c r="I386" s="36" t="s">
        <v>2435</v>
      </c>
      <c r="J386" s="34" t="s">
        <v>2436</v>
      </c>
      <c r="K386" s="34" t="s">
        <v>2437</v>
      </c>
      <c r="L386" s="37"/>
      <c r="M386" s="37"/>
      <c r="N386" s="37"/>
      <c r="O386" s="37"/>
      <c r="P386" s="37"/>
      <c r="Q386" s="37"/>
      <c r="R386" s="31" t="n">
        <f aca="false">COUNT($M386:$Q386)</f>
        <v>0</v>
      </c>
      <c r="S386" s="32" t="str">
        <f aca="false">IF($L386="","",IF($R386&gt;=5,"",MAX($L386:$Q386)+CHOOSE($R386+1,SETTINGS!$C$9,SETTINGS!$C$10,SETTINGS!$C$11,SETTINGS!$C$12,SETTINGS!$C$13)))</f>
        <v/>
      </c>
      <c r="T386" s="34" t="str">
        <f aca="true">IF($H386="","(chưa có nội dung)",IF($L386="",IF($C386&lt;TODAY(),"⚠ TRỄ HỌC",IF($C386=TODAY(),"★ HỌC HÔM NAY","• Chưa tới")),IF($R386&gt;=5,"✔ MASTER",IF($S386&lt;TODAY(),"⚠ TRỄ ÔN",IF($S386=TODAY(),"◆ ÔN HÔM NAY","✔ Đúng tiến độ")))))</f>
        <v>• Chưa tới</v>
      </c>
      <c r="U386" s="38" t="n">
        <f aca="false">IF($H386="","",$R386/5)</f>
        <v>0</v>
      </c>
    </row>
    <row r="387" customFormat="false" ht="15" hidden="false" customHeight="false" outlineLevel="0" collapsed="false">
      <c r="A387" s="31" t="s">
        <v>2438</v>
      </c>
      <c r="B387" s="31" t="n">
        <v>20</v>
      </c>
      <c r="C387" s="32" t="n">
        <f aca="false">SETTINGS!$C$3+$B387-1</f>
        <v>46319</v>
      </c>
      <c r="D387" s="39" t="s">
        <v>1947</v>
      </c>
      <c r="E387" s="34" t="s">
        <v>2415</v>
      </c>
      <c r="F387" s="34" t="s">
        <v>280</v>
      </c>
      <c r="G387" s="34" t="s">
        <v>2439</v>
      </c>
      <c r="H387" s="35" t="s">
        <v>2440</v>
      </c>
      <c r="I387" s="36" t="s">
        <v>2441</v>
      </c>
      <c r="J387" s="34" t="s">
        <v>2442</v>
      </c>
      <c r="K387" s="34" t="s">
        <v>2443</v>
      </c>
      <c r="L387" s="37"/>
      <c r="M387" s="37"/>
      <c r="N387" s="37"/>
      <c r="O387" s="37"/>
      <c r="P387" s="37"/>
      <c r="Q387" s="37"/>
      <c r="R387" s="31" t="n">
        <f aca="false">COUNT($M387:$Q387)</f>
        <v>0</v>
      </c>
      <c r="S387" s="32" t="str">
        <f aca="false">IF($L387="","",IF($R387&gt;=5,"",MAX($L387:$Q387)+CHOOSE($R387+1,SETTINGS!$C$9,SETTINGS!$C$10,SETTINGS!$C$11,SETTINGS!$C$12,SETTINGS!$C$13)))</f>
        <v/>
      </c>
      <c r="T387" s="34" t="str">
        <f aca="true">IF($H387="","(chưa có nội dung)",IF($L387="",IF($C387&lt;TODAY(),"⚠ TRỄ HỌC",IF($C387=TODAY(),"★ HỌC HÔM NAY","• Chưa tới")),IF($R387&gt;=5,"✔ MASTER",IF($S387&lt;TODAY(),"⚠ TRỄ ÔN",IF($S387=TODAY(),"◆ ÔN HÔM NAY","✔ Đúng tiến độ")))))</f>
        <v>• Chưa tới</v>
      </c>
      <c r="U387" s="38" t="n">
        <f aca="false">IF($H387="","",$R387/5)</f>
        <v>0</v>
      </c>
    </row>
    <row r="388" customFormat="false" ht="15" hidden="false" customHeight="false" outlineLevel="0" collapsed="false">
      <c r="A388" s="31" t="s">
        <v>2444</v>
      </c>
      <c r="B388" s="31" t="n">
        <v>20</v>
      </c>
      <c r="C388" s="32" t="n">
        <f aca="false">SETTINGS!$C$3+$B388-1</f>
        <v>46319</v>
      </c>
      <c r="D388" s="39" t="s">
        <v>1947</v>
      </c>
      <c r="E388" s="34" t="s">
        <v>2415</v>
      </c>
      <c r="F388" s="34" t="s">
        <v>280</v>
      </c>
      <c r="G388" s="34" t="s">
        <v>2445</v>
      </c>
      <c r="H388" s="35" t="s">
        <v>2446</v>
      </c>
      <c r="I388" s="36" t="s">
        <v>2447</v>
      </c>
      <c r="J388" s="34" t="s">
        <v>2448</v>
      </c>
      <c r="K388" s="34" t="s">
        <v>2449</v>
      </c>
      <c r="L388" s="37"/>
      <c r="M388" s="37"/>
      <c r="N388" s="37"/>
      <c r="O388" s="37"/>
      <c r="P388" s="37"/>
      <c r="Q388" s="37"/>
      <c r="R388" s="31" t="n">
        <f aca="false">COUNT($M388:$Q388)</f>
        <v>0</v>
      </c>
      <c r="S388" s="32" t="str">
        <f aca="false">IF($L388="","",IF($R388&gt;=5,"",MAX($L388:$Q388)+CHOOSE($R388+1,SETTINGS!$C$9,SETTINGS!$C$10,SETTINGS!$C$11,SETTINGS!$C$12,SETTINGS!$C$13)))</f>
        <v/>
      </c>
      <c r="T388" s="34" t="str">
        <f aca="true">IF($H388="","(chưa có nội dung)",IF($L388="",IF($C388&lt;TODAY(),"⚠ TRỄ HỌC",IF($C388=TODAY(),"★ HỌC HÔM NAY","• Chưa tới")),IF($R388&gt;=5,"✔ MASTER",IF($S388&lt;TODAY(),"⚠ TRỄ ÔN",IF($S388=TODAY(),"◆ ÔN HÔM NAY","✔ Đúng tiến độ")))))</f>
        <v>• Chưa tới</v>
      </c>
      <c r="U388" s="38" t="n">
        <f aca="false">IF($H388="","",$R388/5)</f>
        <v>0</v>
      </c>
    </row>
    <row r="389" customFormat="false" ht="15" hidden="false" customHeight="false" outlineLevel="0" collapsed="false">
      <c r="A389" s="31" t="s">
        <v>2450</v>
      </c>
      <c r="B389" s="31" t="n">
        <v>20</v>
      </c>
      <c r="C389" s="32" t="n">
        <f aca="false">SETTINGS!$C$3+$B389-1</f>
        <v>46319</v>
      </c>
      <c r="D389" s="39" t="s">
        <v>1947</v>
      </c>
      <c r="E389" s="34" t="s">
        <v>2415</v>
      </c>
      <c r="F389" s="34" t="s">
        <v>156</v>
      </c>
      <c r="G389" s="34" t="s">
        <v>2451</v>
      </c>
      <c r="H389" s="35" t="s">
        <v>2452</v>
      </c>
      <c r="I389" s="36" t="s">
        <v>2453</v>
      </c>
      <c r="J389" s="34" t="s">
        <v>2454</v>
      </c>
      <c r="K389" s="34" t="s">
        <v>2455</v>
      </c>
      <c r="L389" s="37"/>
      <c r="M389" s="37"/>
      <c r="N389" s="37"/>
      <c r="O389" s="37"/>
      <c r="P389" s="37"/>
      <c r="Q389" s="37"/>
      <c r="R389" s="31" t="n">
        <f aca="false">COUNT($M389:$Q389)</f>
        <v>0</v>
      </c>
      <c r="S389" s="32" t="str">
        <f aca="false">IF($L389="","",IF($R389&gt;=5,"",MAX($L389:$Q389)+CHOOSE($R389+1,SETTINGS!$C$9,SETTINGS!$C$10,SETTINGS!$C$11,SETTINGS!$C$12,SETTINGS!$C$13)))</f>
        <v/>
      </c>
      <c r="T389" s="34" t="str">
        <f aca="true">IF($H389="","(chưa có nội dung)",IF($L389="",IF($C389&lt;TODAY(),"⚠ TRỄ HỌC",IF($C389=TODAY(),"★ HỌC HÔM NAY","• Chưa tới")),IF($R389&gt;=5,"✔ MASTER",IF($S389&lt;TODAY(),"⚠ TRỄ ÔN",IF($S389=TODAY(),"◆ ÔN HÔM NAY","✔ Đúng tiến độ")))))</f>
        <v>• Chưa tới</v>
      </c>
      <c r="U389" s="38" t="n">
        <f aca="false">IF($H389="","",$R389/5)</f>
        <v>0</v>
      </c>
    </row>
    <row r="390" customFormat="false" ht="15" hidden="false" customHeight="false" outlineLevel="0" collapsed="false">
      <c r="A390" s="31" t="s">
        <v>2456</v>
      </c>
      <c r="B390" s="31" t="n">
        <v>20</v>
      </c>
      <c r="C390" s="32" t="n">
        <f aca="false">SETTINGS!$C$3+$B390-1</f>
        <v>46319</v>
      </c>
      <c r="D390" s="39" t="s">
        <v>1947</v>
      </c>
      <c r="E390" s="34" t="s">
        <v>2415</v>
      </c>
      <c r="F390" s="34" t="s">
        <v>163</v>
      </c>
      <c r="G390" s="34" t="s">
        <v>2457</v>
      </c>
      <c r="H390" s="35" t="s">
        <v>2458</v>
      </c>
      <c r="I390" s="36" t="s">
        <v>2459</v>
      </c>
      <c r="J390" s="34" t="s">
        <v>2460</v>
      </c>
      <c r="K390" s="34" t="s">
        <v>2461</v>
      </c>
      <c r="L390" s="37"/>
      <c r="M390" s="37"/>
      <c r="N390" s="37"/>
      <c r="O390" s="37"/>
      <c r="P390" s="37"/>
      <c r="Q390" s="37"/>
      <c r="R390" s="31" t="n">
        <f aca="false">COUNT($M390:$Q390)</f>
        <v>0</v>
      </c>
      <c r="S390" s="32" t="str">
        <f aca="false">IF($L390="","",IF($R390&gt;=5,"",MAX($L390:$Q390)+CHOOSE($R390+1,SETTINGS!$C$9,SETTINGS!$C$10,SETTINGS!$C$11,SETTINGS!$C$12,SETTINGS!$C$13)))</f>
        <v/>
      </c>
      <c r="T390" s="34" t="str">
        <f aca="true">IF($H390="","(chưa có nội dung)",IF($L390="",IF($C390&lt;TODAY(),"⚠ TRỄ HỌC",IF($C390=TODAY(),"★ HỌC HÔM NAY","• Chưa tới")),IF($R390&gt;=5,"✔ MASTER",IF($S390&lt;TODAY(),"⚠ TRỄ ÔN",IF($S390=TODAY(),"◆ ÔN HÔM NAY","✔ Đúng tiến độ")))))</f>
        <v>• Chưa tới</v>
      </c>
      <c r="U390" s="38" t="n">
        <f aca="false">IF($H390="","",$R390/5)</f>
        <v>0</v>
      </c>
    </row>
    <row r="391" customFormat="false" ht="15" hidden="false" customHeight="false" outlineLevel="0" collapsed="false">
      <c r="A391" s="31" t="s">
        <v>2462</v>
      </c>
      <c r="B391" s="31" t="n">
        <v>20</v>
      </c>
      <c r="C391" s="32" t="n">
        <f aca="false">SETTINGS!$C$3+$B391-1</f>
        <v>46319</v>
      </c>
      <c r="D391" s="39" t="s">
        <v>1947</v>
      </c>
      <c r="E391" s="34" t="s">
        <v>2415</v>
      </c>
      <c r="F391" s="34" t="s">
        <v>280</v>
      </c>
      <c r="G391" s="34" t="s">
        <v>2463</v>
      </c>
      <c r="H391" s="35" t="s">
        <v>2464</v>
      </c>
      <c r="I391" s="36" t="s">
        <v>2465</v>
      </c>
      <c r="J391" s="34" t="s">
        <v>2466</v>
      </c>
      <c r="K391" s="34" t="s">
        <v>2467</v>
      </c>
      <c r="L391" s="37"/>
      <c r="M391" s="37"/>
      <c r="N391" s="37"/>
      <c r="O391" s="37"/>
      <c r="P391" s="37"/>
      <c r="Q391" s="37"/>
      <c r="R391" s="31" t="n">
        <f aca="false">COUNT($M391:$Q391)</f>
        <v>0</v>
      </c>
      <c r="S391" s="32" t="str">
        <f aca="false">IF($L391="","",IF($R391&gt;=5,"",MAX($L391:$Q391)+CHOOSE($R391+1,SETTINGS!$C$9,SETTINGS!$C$10,SETTINGS!$C$11,SETTINGS!$C$12,SETTINGS!$C$13)))</f>
        <v/>
      </c>
      <c r="T391" s="34" t="str">
        <f aca="true">IF($H391="","(chưa có nội dung)",IF($L391="",IF($C391&lt;TODAY(),"⚠ TRỄ HỌC",IF($C391=TODAY(),"★ HỌC HÔM NAY","• Chưa tới")),IF($R391&gt;=5,"✔ MASTER",IF($S391&lt;TODAY(),"⚠ TRỄ ÔN",IF($S391=TODAY(),"◆ ÔN HÔM NAY","✔ Đúng tiến độ")))))</f>
        <v>• Chưa tới</v>
      </c>
      <c r="U391" s="38" t="n">
        <f aca="false">IF($H391="","",$R391/5)</f>
        <v>0</v>
      </c>
    </row>
    <row r="392" customFormat="false" ht="15" hidden="false" customHeight="false" outlineLevel="0" collapsed="false">
      <c r="A392" s="31" t="s">
        <v>2468</v>
      </c>
      <c r="B392" s="31" t="n">
        <v>20</v>
      </c>
      <c r="C392" s="32" t="n">
        <f aca="false">SETTINGS!$C$3+$B392-1</f>
        <v>46319</v>
      </c>
      <c r="D392" s="39" t="s">
        <v>1947</v>
      </c>
      <c r="E392" s="34" t="s">
        <v>2415</v>
      </c>
      <c r="F392" s="34" t="s">
        <v>280</v>
      </c>
      <c r="G392" s="34" t="s">
        <v>2469</v>
      </c>
      <c r="H392" s="35" t="s">
        <v>2470</v>
      </c>
      <c r="I392" s="36" t="s">
        <v>2471</v>
      </c>
      <c r="J392" s="34" t="s">
        <v>2472</v>
      </c>
      <c r="K392" s="34" t="s">
        <v>2473</v>
      </c>
      <c r="L392" s="37"/>
      <c r="M392" s="37"/>
      <c r="N392" s="37"/>
      <c r="O392" s="37"/>
      <c r="P392" s="37"/>
      <c r="Q392" s="37"/>
      <c r="R392" s="31" t="n">
        <f aca="false">COUNT($M392:$Q392)</f>
        <v>0</v>
      </c>
      <c r="S392" s="32" t="str">
        <f aca="false">IF($L392="","",IF($R392&gt;=5,"",MAX($L392:$Q392)+CHOOSE($R392+1,SETTINGS!$C$9,SETTINGS!$C$10,SETTINGS!$C$11,SETTINGS!$C$12,SETTINGS!$C$13)))</f>
        <v/>
      </c>
      <c r="T392" s="34" t="str">
        <f aca="true">IF($H392="","(chưa có nội dung)",IF($L392="",IF($C392&lt;TODAY(),"⚠ TRỄ HỌC",IF($C392=TODAY(),"★ HỌC HÔM NAY","• Chưa tới")),IF($R392&gt;=5,"✔ MASTER",IF($S392&lt;TODAY(),"⚠ TRỄ ÔN",IF($S392=TODAY(),"◆ ÔN HÔM NAY","✔ Đúng tiến độ")))))</f>
        <v>• Chưa tới</v>
      </c>
      <c r="U392" s="38" t="n">
        <f aca="false">IF($H392="","",$R392/5)</f>
        <v>0</v>
      </c>
    </row>
    <row r="393" customFormat="false" ht="15" hidden="false" customHeight="false" outlineLevel="0" collapsed="false">
      <c r="A393" s="31" t="s">
        <v>2474</v>
      </c>
      <c r="B393" s="31" t="n">
        <v>20</v>
      </c>
      <c r="C393" s="32" t="n">
        <f aca="false">SETTINGS!$C$3+$B393-1</f>
        <v>46319</v>
      </c>
      <c r="D393" s="39" t="s">
        <v>1947</v>
      </c>
      <c r="E393" s="34" t="s">
        <v>2415</v>
      </c>
      <c r="F393" s="34" t="s">
        <v>183</v>
      </c>
      <c r="G393" s="34" t="s">
        <v>2475</v>
      </c>
      <c r="H393" s="35" t="s">
        <v>2476</v>
      </c>
      <c r="I393" s="36" t="s">
        <v>2477</v>
      </c>
      <c r="J393" s="34" t="s">
        <v>2478</v>
      </c>
      <c r="K393" s="34" t="s">
        <v>2479</v>
      </c>
      <c r="L393" s="37"/>
      <c r="M393" s="37"/>
      <c r="N393" s="37"/>
      <c r="O393" s="37"/>
      <c r="P393" s="37"/>
      <c r="Q393" s="37"/>
      <c r="R393" s="31" t="n">
        <f aca="false">COUNT($M393:$Q393)</f>
        <v>0</v>
      </c>
      <c r="S393" s="32" t="str">
        <f aca="false">IF($L393="","",IF($R393&gt;=5,"",MAX($L393:$Q393)+CHOOSE($R393+1,SETTINGS!$C$9,SETTINGS!$C$10,SETTINGS!$C$11,SETTINGS!$C$12,SETTINGS!$C$13)))</f>
        <v/>
      </c>
      <c r="T393" s="34" t="str">
        <f aca="true">IF($H393="","(chưa có nội dung)",IF($L393="",IF($C393&lt;TODAY(),"⚠ TRỄ HỌC",IF($C393=TODAY(),"★ HỌC HÔM NAY","• Chưa tới")),IF($R393&gt;=5,"✔ MASTER",IF($S393&lt;TODAY(),"⚠ TRỄ ÔN",IF($S393=TODAY(),"◆ ÔN HÔM NAY","✔ Đúng tiến độ")))))</f>
        <v>• Chưa tới</v>
      </c>
      <c r="U393" s="38" t="n">
        <f aca="false">IF($H393="","",$R393/5)</f>
        <v>0</v>
      </c>
    </row>
    <row r="394" customFormat="false" ht="15" hidden="false" customHeight="false" outlineLevel="0" collapsed="false">
      <c r="A394" s="31" t="s">
        <v>2480</v>
      </c>
      <c r="B394" s="31" t="n">
        <v>20</v>
      </c>
      <c r="C394" s="32" t="n">
        <f aca="false">SETTINGS!$C$3+$B394-1</f>
        <v>46319</v>
      </c>
      <c r="D394" s="39" t="s">
        <v>1947</v>
      </c>
      <c r="E394" s="34" t="s">
        <v>2415</v>
      </c>
      <c r="F394" s="34" t="s">
        <v>280</v>
      </c>
      <c r="G394" s="34" t="s">
        <v>2481</v>
      </c>
      <c r="H394" s="35" t="s">
        <v>2482</v>
      </c>
      <c r="I394" s="36" t="s">
        <v>2483</v>
      </c>
      <c r="J394" s="34" t="s">
        <v>2484</v>
      </c>
      <c r="K394" s="34" t="s">
        <v>2485</v>
      </c>
      <c r="L394" s="37"/>
      <c r="M394" s="37"/>
      <c r="N394" s="37"/>
      <c r="O394" s="37"/>
      <c r="P394" s="37"/>
      <c r="Q394" s="37"/>
      <c r="R394" s="31" t="n">
        <f aca="false">COUNT($M394:$Q394)</f>
        <v>0</v>
      </c>
      <c r="S394" s="32" t="str">
        <f aca="false">IF($L394="","",IF($R394&gt;=5,"",MAX($L394:$Q394)+CHOOSE($R394+1,SETTINGS!$C$9,SETTINGS!$C$10,SETTINGS!$C$11,SETTINGS!$C$12,SETTINGS!$C$13)))</f>
        <v/>
      </c>
      <c r="T394" s="34" t="str">
        <f aca="true">IF($H394="","(chưa có nội dung)",IF($L394="",IF($C394&lt;TODAY(),"⚠ TRỄ HỌC",IF($C394=TODAY(),"★ HỌC HÔM NAY","• Chưa tới")),IF($R394&gt;=5,"✔ MASTER",IF($S394&lt;TODAY(),"⚠ TRỄ ÔN",IF($S394=TODAY(),"◆ ÔN HÔM NAY","✔ Đúng tiến độ")))))</f>
        <v>• Chưa tới</v>
      </c>
      <c r="U394" s="38" t="n">
        <f aca="false">IF($H394="","",$R394/5)</f>
        <v>0</v>
      </c>
    </row>
    <row r="395" customFormat="false" ht="15" hidden="false" customHeight="false" outlineLevel="0" collapsed="false">
      <c r="A395" s="31" t="s">
        <v>2486</v>
      </c>
      <c r="B395" s="31" t="n">
        <v>20</v>
      </c>
      <c r="C395" s="32" t="n">
        <f aca="false">SETTINGS!$C$3+$B395-1</f>
        <v>46319</v>
      </c>
      <c r="D395" s="39" t="s">
        <v>1947</v>
      </c>
      <c r="E395" s="34" t="s">
        <v>2415</v>
      </c>
      <c r="F395" s="34" t="s">
        <v>280</v>
      </c>
      <c r="G395" s="34" t="s">
        <v>2487</v>
      </c>
      <c r="H395" s="35" t="s">
        <v>2488</v>
      </c>
      <c r="I395" s="36" t="s">
        <v>2489</v>
      </c>
      <c r="J395" s="34" t="s">
        <v>2490</v>
      </c>
      <c r="K395" s="34" t="s">
        <v>739</v>
      </c>
      <c r="L395" s="37"/>
      <c r="M395" s="37"/>
      <c r="N395" s="37"/>
      <c r="O395" s="37"/>
      <c r="P395" s="37"/>
      <c r="Q395" s="37"/>
      <c r="R395" s="31" t="n">
        <f aca="false">COUNT($M395:$Q395)</f>
        <v>0</v>
      </c>
      <c r="S395" s="32" t="str">
        <f aca="false">IF($L395="","",IF($R395&gt;=5,"",MAX($L395:$Q395)+CHOOSE($R395+1,SETTINGS!$C$9,SETTINGS!$C$10,SETTINGS!$C$11,SETTINGS!$C$12,SETTINGS!$C$13)))</f>
        <v/>
      </c>
      <c r="T395" s="34" t="str">
        <f aca="true">IF($H395="","(chưa có nội dung)",IF($L395="",IF($C395&lt;TODAY(),"⚠ TRỄ HỌC",IF($C395=TODAY(),"★ HỌC HÔM NAY","• Chưa tới")),IF($R395&gt;=5,"✔ MASTER",IF($S395&lt;TODAY(),"⚠ TRỄ ÔN",IF($S395=TODAY(),"◆ ÔN HÔM NAY","✔ Đúng tiến độ")))))</f>
        <v>• Chưa tới</v>
      </c>
      <c r="U395" s="38" t="n">
        <f aca="false">IF($H395="","",$R395/5)</f>
        <v>0</v>
      </c>
    </row>
    <row r="396" customFormat="false" ht="15" hidden="false" customHeight="false" outlineLevel="0" collapsed="false">
      <c r="A396" s="31" t="s">
        <v>2491</v>
      </c>
      <c r="B396" s="31" t="n">
        <v>20</v>
      </c>
      <c r="C396" s="32" t="n">
        <f aca="false">SETTINGS!$C$3+$B396-1</f>
        <v>46319</v>
      </c>
      <c r="D396" s="39" t="s">
        <v>1947</v>
      </c>
      <c r="E396" s="34" t="s">
        <v>2415</v>
      </c>
      <c r="F396" s="34" t="s">
        <v>163</v>
      </c>
      <c r="G396" s="34" t="s">
        <v>2492</v>
      </c>
      <c r="H396" s="35" t="s">
        <v>2493</v>
      </c>
      <c r="I396" s="36" t="s">
        <v>2494</v>
      </c>
      <c r="J396" s="34" t="s">
        <v>2495</v>
      </c>
      <c r="K396" s="34" t="s">
        <v>2496</v>
      </c>
      <c r="L396" s="37"/>
      <c r="M396" s="37"/>
      <c r="N396" s="37"/>
      <c r="O396" s="37"/>
      <c r="P396" s="37"/>
      <c r="Q396" s="37"/>
      <c r="R396" s="31" t="n">
        <f aca="false">COUNT($M396:$Q396)</f>
        <v>0</v>
      </c>
      <c r="S396" s="32" t="str">
        <f aca="false">IF($L396="","",IF($R396&gt;=5,"",MAX($L396:$Q396)+CHOOSE($R396+1,SETTINGS!$C$9,SETTINGS!$C$10,SETTINGS!$C$11,SETTINGS!$C$12,SETTINGS!$C$13)))</f>
        <v/>
      </c>
      <c r="T396" s="34" t="str">
        <f aca="true">IF($H396="","(chưa có nội dung)",IF($L396="",IF($C396&lt;TODAY(),"⚠ TRỄ HỌC",IF($C396=TODAY(),"★ HỌC HÔM NAY","• Chưa tới")),IF($R396&gt;=5,"✔ MASTER",IF($S396&lt;TODAY(),"⚠ TRỄ ÔN",IF($S396=TODAY(),"◆ ÔN HÔM NAY","✔ Đúng tiến độ")))))</f>
        <v>• Chưa tới</v>
      </c>
      <c r="U396" s="38" t="n">
        <f aca="false">IF($H396="","",$R396/5)</f>
        <v>0</v>
      </c>
    </row>
    <row r="397" customFormat="false" ht="15" hidden="false" customHeight="false" outlineLevel="0" collapsed="false">
      <c r="A397" s="31" t="s">
        <v>2497</v>
      </c>
      <c r="B397" s="31" t="n">
        <v>20</v>
      </c>
      <c r="C397" s="32" t="n">
        <f aca="false">SETTINGS!$C$3+$B397-1</f>
        <v>46319</v>
      </c>
      <c r="D397" s="39" t="s">
        <v>1947</v>
      </c>
      <c r="E397" s="34" t="s">
        <v>2415</v>
      </c>
      <c r="F397" s="34" t="s">
        <v>280</v>
      </c>
      <c r="G397" s="34" t="s">
        <v>2498</v>
      </c>
      <c r="H397" s="35" t="s">
        <v>2499</v>
      </c>
      <c r="I397" s="36" t="s">
        <v>2500</v>
      </c>
      <c r="J397" s="34" t="s">
        <v>2501</v>
      </c>
      <c r="K397" s="34" t="s">
        <v>2502</v>
      </c>
      <c r="L397" s="37"/>
      <c r="M397" s="37"/>
      <c r="N397" s="37"/>
      <c r="O397" s="37"/>
      <c r="P397" s="37"/>
      <c r="Q397" s="37"/>
      <c r="R397" s="31" t="n">
        <f aca="false">COUNT($M397:$Q397)</f>
        <v>0</v>
      </c>
      <c r="S397" s="32" t="str">
        <f aca="false">IF($L397="","",IF($R397&gt;=5,"",MAX($L397:$Q397)+CHOOSE($R397+1,SETTINGS!$C$9,SETTINGS!$C$10,SETTINGS!$C$11,SETTINGS!$C$12,SETTINGS!$C$13)))</f>
        <v/>
      </c>
      <c r="T397" s="34" t="str">
        <f aca="true">IF($H397="","(chưa có nội dung)",IF($L397="",IF($C397&lt;TODAY(),"⚠ TRỄ HỌC",IF($C397=TODAY(),"★ HỌC HÔM NAY","• Chưa tới")),IF($R397&gt;=5,"✔ MASTER",IF($S397&lt;TODAY(),"⚠ TRỄ ÔN",IF($S397=TODAY(),"◆ ÔN HÔM NAY","✔ Đúng tiến độ")))))</f>
        <v>• Chưa tới</v>
      </c>
      <c r="U397" s="38" t="n">
        <f aca="false">IF($H397="","",$R397/5)</f>
        <v>0</v>
      </c>
    </row>
    <row r="398" customFormat="false" ht="15" hidden="false" customHeight="false" outlineLevel="0" collapsed="false">
      <c r="A398" s="31" t="s">
        <v>2503</v>
      </c>
      <c r="B398" s="31" t="n">
        <v>20</v>
      </c>
      <c r="C398" s="32" t="n">
        <f aca="false">SETTINGS!$C$3+$B398-1</f>
        <v>46319</v>
      </c>
      <c r="D398" s="39" t="s">
        <v>1947</v>
      </c>
      <c r="E398" s="34" t="s">
        <v>2415</v>
      </c>
      <c r="F398" s="34" t="s">
        <v>183</v>
      </c>
      <c r="G398" s="34" t="s">
        <v>2504</v>
      </c>
      <c r="H398" s="35" t="s">
        <v>2505</v>
      </c>
      <c r="I398" s="36" t="s">
        <v>2506</v>
      </c>
      <c r="J398" s="34" t="s">
        <v>2507</v>
      </c>
      <c r="K398" s="34" t="s">
        <v>2508</v>
      </c>
      <c r="L398" s="37"/>
      <c r="M398" s="37"/>
      <c r="N398" s="37"/>
      <c r="O398" s="37"/>
      <c r="P398" s="37"/>
      <c r="Q398" s="37"/>
      <c r="R398" s="31" t="n">
        <f aca="false">COUNT($M398:$Q398)</f>
        <v>0</v>
      </c>
      <c r="S398" s="32" t="str">
        <f aca="false">IF($L398="","",IF($R398&gt;=5,"",MAX($L398:$Q398)+CHOOSE($R398+1,SETTINGS!$C$9,SETTINGS!$C$10,SETTINGS!$C$11,SETTINGS!$C$12,SETTINGS!$C$13)))</f>
        <v/>
      </c>
      <c r="T398" s="34" t="str">
        <f aca="true">IF($H398="","(chưa có nội dung)",IF($L398="",IF($C398&lt;TODAY(),"⚠ TRỄ HỌC",IF($C398=TODAY(),"★ HỌC HÔM NAY","• Chưa tới")),IF($R398&gt;=5,"✔ MASTER",IF($S398&lt;TODAY(),"⚠ TRỄ ÔN",IF($S398=TODAY(),"◆ ÔN HÔM NAY","✔ Đúng tiến độ")))))</f>
        <v>• Chưa tới</v>
      </c>
      <c r="U398" s="38" t="n">
        <f aca="false">IF($H398="","",$R398/5)</f>
        <v>0</v>
      </c>
    </row>
    <row r="399" customFormat="false" ht="15" hidden="false" customHeight="false" outlineLevel="0" collapsed="false">
      <c r="A399" s="31" t="s">
        <v>2509</v>
      </c>
      <c r="B399" s="31" t="n">
        <v>20</v>
      </c>
      <c r="C399" s="32" t="n">
        <f aca="false">SETTINGS!$C$3+$B399-1</f>
        <v>46319</v>
      </c>
      <c r="D399" s="39" t="s">
        <v>1947</v>
      </c>
      <c r="E399" s="34" t="s">
        <v>2415</v>
      </c>
      <c r="F399" s="34" t="s">
        <v>280</v>
      </c>
      <c r="G399" s="34" t="s">
        <v>2510</v>
      </c>
      <c r="H399" s="35" t="s">
        <v>2511</v>
      </c>
      <c r="I399" s="36" t="s">
        <v>2512</v>
      </c>
      <c r="J399" s="34" t="s">
        <v>2513</v>
      </c>
      <c r="K399" s="34" t="s">
        <v>2514</v>
      </c>
      <c r="L399" s="37"/>
      <c r="M399" s="37"/>
      <c r="N399" s="37"/>
      <c r="O399" s="37"/>
      <c r="P399" s="37"/>
      <c r="Q399" s="37"/>
      <c r="R399" s="31" t="n">
        <f aca="false">COUNT($M399:$Q399)</f>
        <v>0</v>
      </c>
      <c r="S399" s="32" t="str">
        <f aca="false">IF($L399="","",IF($R399&gt;=5,"",MAX($L399:$Q399)+CHOOSE($R399+1,SETTINGS!$C$9,SETTINGS!$C$10,SETTINGS!$C$11,SETTINGS!$C$12,SETTINGS!$C$13)))</f>
        <v/>
      </c>
      <c r="T399" s="34" t="str">
        <f aca="true">IF($H399="","(chưa có nội dung)",IF($L399="",IF($C399&lt;TODAY(),"⚠ TRỄ HỌC",IF($C399=TODAY(),"★ HỌC HÔM NAY","• Chưa tới")),IF($R399&gt;=5,"✔ MASTER",IF($S399&lt;TODAY(),"⚠ TRỄ ÔN",IF($S399=TODAY(),"◆ ÔN HÔM NAY","✔ Đúng tiến độ")))))</f>
        <v>• Chưa tới</v>
      </c>
      <c r="U399" s="38" t="n">
        <f aca="false">IF($H399="","",$R399/5)</f>
        <v>0</v>
      </c>
    </row>
    <row r="400" customFormat="false" ht="15" hidden="false" customHeight="false" outlineLevel="0" collapsed="false">
      <c r="A400" s="31" t="s">
        <v>2515</v>
      </c>
      <c r="B400" s="31" t="n">
        <v>20</v>
      </c>
      <c r="C400" s="32" t="n">
        <f aca="false">SETTINGS!$C$3+$B400-1</f>
        <v>46319</v>
      </c>
      <c r="D400" s="39" t="s">
        <v>1947</v>
      </c>
      <c r="E400" s="34" t="s">
        <v>2415</v>
      </c>
      <c r="F400" s="34" t="s">
        <v>280</v>
      </c>
      <c r="G400" s="34" t="s">
        <v>2516</v>
      </c>
      <c r="H400" s="35" t="s">
        <v>2517</v>
      </c>
      <c r="I400" s="36" t="s">
        <v>2518</v>
      </c>
      <c r="J400" s="34" t="s">
        <v>2519</v>
      </c>
      <c r="K400" s="34" t="s">
        <v>2520</v>
      </c>
      <c r="L400" s="37"/>
      <c r="M400" s="37"/>
      <c r="N400" s="37"/>
      <c r="O400" s="37"/>
      <c r="P400" s="37"/>
      <c r="Q400" s="37"/>
      <c r="R400" s="31" t="n">
        <f aca="false">COUNT($M400:$Q400)</f>
        <v>0</v>
      </c>
      <c r="S400" s="32" t="str">
        <f aca="false">IF($L400="","",IF($R400&gt;=5,"",MAX($L400:$Q400)+CHOOSE($R400+1,SETTINGS!$C$9,SETTINGS!$C$10,SETTINGS!$C$11,SETTINGS!$C$12,SETTINGS!$C$13)))</f>
        <v/>
      </c>
      <c r="T400" s="34" t="str">
        <f aca="true">IF($H400="","(chưa có nội dung)",IF($L400="",IF($C400&lt;TODAY(),"⚠ TRỄ HỌC",IF($C400=TODAY(),"★ HỌC HÔM NAY","• Chưa tới")),IF($R400&gt;=5,"✔ MASTER",IF($S400&lt;TODAY(),"⚠ TRỄ ÔN",IF($S400=TODAY(),"◆ ÔN HÔM NAY","✔ Đúng tiến độ")))))</f>
        <v>• Chưa tới</v>
      </c>
      <c r="U400" s="38" t="n">
        <f aca="false">IF($H400="","",$R400/5)</f>
        <v>0</v>
      </c>
    </row>
    <row r="401" customFormat="false" ht="15" hidden="false" customHeight="false" outlineLevel="0" collapsed="false">
      <c r="A401" s="31" t="s">
        <v>2521</v>
      </c>
      <c r="B401" s="31" t="n">
        <v>20</v>
      </c>
      <c r="C401" s="32" t="n">
        <f aca="false">SETTINGS!$C$3+$B401-1</f>
        <v>46319</v>
      </c>
      <c r="D401" s="39" t="s">
        <v>1947</v>
      </c>
      <c r="E401" s="34" t="s">
        <v>2415</v>
      </c>
      <c r="F401" s="34" t="s">
        <v>163</v>
      </c>
      <c r="G401" s="34" t="s">
        <v>2522</v>
      </c>
      <c r="H401" s="35" t="s">
        <v>2523</v>
      </c>
      <c r="I401" s="36" t="s">
        <v>2524</v>
      </c>
      <c r="J401" s="34" t="s">
        <v>2525</v>
      </c>
      <c r="K401" s="34" t="s">
        <v>2526</v>
      </c>
      <c r="L401" s="37"/>
      <c r="M401" s="37"/>
      <c r="N401" s="37"/>
      <c r="O401" s="37"/>
      <c r="P401" s="37"/>
      <c r="Q401" s="37"/>
      <c r="R401" s="31" t="n">
        <f aca="false">COUNT($M401:$Q401)</f>
        <v>0</v>
      </c>
      <c r="S401" s="32" t="str">
        <f aca="false">IF($L401="","",IF($R401&gt;=5,"",MAX($L401:$Q401)+CHOOSE($R401+1,SETTINGS!$C$9,SETTINGS!$C$10,SETTINGS!$C$11,SETTINGS!$C$12,SETTINGS!$C$13)))</f>
        <v/>
      </c>
      <c r="T401" s="34" t="str">
        <f aca="true">IF($H401="","(chưa có nội dung)",IF($L401="",IF($C401&lt;TODAY(),"⚠ TRỄ HỌC",IF($C401=TODAY(),"★ HỌC HÔM NAY","• Chưa tới")),IF($R401&gt;=5,"✔ MASTER",IF($S401&lt;TODAY(),"⚠ TRỄ ÔN",IF($S401=TODAY(),"◆ ÔN HÔM NAY","✔ Đúng tiến độ")))))</f>
        <v>• Chưa tới</v>
      </c>
      <c r="U401" s="38" t="n">
        <f aca="false">IF($H401="","",$R401/5)</f>
        <v>0</v>
      </c>
    </row>
    <row r="402" customFormat="false" ht="15" hidden="false" customHeight="false" outlineLevel="0" collapsed="false">
      <c r="A402" s="31" t="s">
        <v>2527</v>
      </c>
      <c r="B402" s="31" t="n">
        <v>20</v>
      </c>
      <c r="C402" s="32" t="n">
        <f aca="false">SETTINGS!$C$3+$B402-1</f>
        <v>46319</v>
      </c>
      <c r="D402" s="39" t="s">
        <v>1947</v>
      </c>
      <c r="E402" s="34" t="s">
        <v>2415</v>
      </c>
      <c r="F402" s="34" t="s">
        <v>280</v>
      </c>
      <c r="G402" s="34" t="s">
        <v>2528</v>
      </c>
      <c r="H402" s="35" t="s">
        <v>2529</v>
      </c>
      <c r="I402" s="36" t="s">
        <v>2530</v>
      </c>
      <c r="J402" s="34" t="s">
        <v>2531</v>
      </c>
      <c r="K402" s="34" t="s">
        <v>2532</v>
      </c>
      <c r="L402" s="37"/>
      <c r="M402" s="37"/>
      <c r="N402" s="37"/>
      <c r="O402" s="37"/>
      <c r="P402" s="37"/>
      <c r="Q402" s="37"/>
      <c r="R402" s="31" t="n">
        <f aca="false">COUNT($M402:$Q402)</f>
        <v>0</v>
      </c>
      <c r="S402" s="32" t="str">
        <f aca="false">IF($L402="","",IF($R402&gt;=5,"",MAX($L402:$Q402)+CHOOSE($R402+1,SETTINGS!$C$9,SETTINGS!$C$10,SETTINGS!$C$11,SETTINGS!$C$12,SETTINGS!$C$13)))</f>
        <v/>
      </c>
      <c r="T402" s="34" t="str">
        <f aca="true">IF($H402="","(chưa có nội dung)",IF($L402="",IF($C402&lt;TODAY(),"⚠ TRỄ HỌC",IF($C402=TODAY(),"★ HỌC HÔM NAY","• Chưa tới")),IF($R402&gt;=5,"✔ MASTER",IF($S402&lt;TODAY(),"⚠ TRỄ ÔN",IF($S402=TODAY(),"◆ ÔN HÔM NAY","✔ Đúng tiến độ")))))</f>
        <v>• Chưa tới</v>
      </c>
      <c r="U402" s="38" t="n">
        <f aca="false">IF($H402="","",$R402/5)</f>
        <v>0</v>
      </c>
    </row>
    <row r="403" customFormat="false" ht="15" hidden="false" customHeight="false" outlineLevel="0" collapsed="false">
      <c r="A403" s="31" t="s">
        <v>2533</v>
      </c>
      <c r="B403" s="31" t="n">
        <v>21</v>
      </c>
      <c r="C403" s="32" t="n">
        <f aca="false">SETTINGS!$C$3+$B403-1</f>
        <v>46320</v>
      </c>
      <c r="D403" s="39" t="s">
        <v>1947</v>
      </c>
      <c r="E403" s="34" t="s">
        <v>2534</v>
      </c>
      <c r="F403" s="34" t="s">
        <v>280</v>
      </c>
      <c r="G403" s="34" t="s">
        <v>2535</v>
      </c>
      <c r="H403" s="35" t="s">
        <v>2536</v>
      </c>
      <c r="I403" s="36" t="s">
        <v>2537</v>
      </c>
      <c r="J403" s="34" t="s">
        <v>2538</v>
      </c>
      <c r="K403" s="34" t="s">
        <v>2539</v>
      </c>
      <c r="L403" s="37"/>
      <c r="M403" s="37"/>
      <c r="N403" s="37"/>
      <c r="O403" s="37"/>
      <c r="P403" s="37"/>
      <c r="Q403" s="37"/>
      <c r="R403" s="31" t="n">
        <f aca="false">COUNT($M403:$Q403)</f>
        <v>0</v>
      </c>
      <c r="S403" s="32" t="str">
        <f aca="false">IF($L403="","",IF($R403&gt;=5,"",MAX($L403:$Q403)+CHOOSE($R403+1,SETTINGS!$C$9,SETTINGS!$C$10,SETTINGS!$C$11,SETTINGS!$C$12,SETTINGS!$C$13)))</f>
        <v/>
      </c>
      <c r="T403" s="34" t="str">
        <f aca="true">IF($H403="","(chưa có nội dung)",IF($L403="",IF($C403&lt;TODAY(),"⚠ TRỄ HỌC",IF($C403=TODAY(),"★ HỌC HÔM NAY","• Chưa tới")),IF($R403&gt;=5,"✔ MASTER",IF($S403&lt;TODAY(),"⚠ TRỄ ÔN",IF($S403=TODAY(),"◆ ÔN HÔM NAY","✔ Đúng tiến độ")))))</f>
        <v>• Chưa tới</v>
      </c>
      <c r="U403" s="38" t="n">
        <f aca="false">IF($H403="","",$R403/5)</f>
        <v>0</v>
      </c>
    </row>
    <row r="404" customFormat="false" ht="15" hidden="false" customHeight="false" outlineLevel="0" collapsed="false">
      <c r="A404" s="31" t="s">
        <v>2540</v>
      </c>
      <c r="B404" s="31" t="n">
        <v>21</v>
      </c>
      <c r="C404" s="32" t="n">
        <f aca="false">SETTINGS!$C$3+$B404-1</f>
        <v>46320</v>
      </c>
      <c r="D404" s="39" t="s">
        <v>1947</v>
      </c>
      <c r="E404" s="34" t="s">
        <v>2534</v>
      </c>
      <c r="F404" s="34" t="s">
        <v>280</v>
      </c>
      <c r="G404" s="34" t="s">
        <v>2541</v>
      </c>
      <c r="H404" s="35" t="s">
        <v>2542</v>
      </c>
      <c r="I404" s="36" t="s">
        <v>2543</v>
      </c>
      <c r="J404" s="34" t="s">
        <v>2544</v>
      </c>
      <c r="K404" s="34" t="s">
        <v>2545</v>
      </c>
      <c r="L404" s="37"/>
      <c r="M404" s="37"/>
      <c r="N404" s="37"/>
      <c r="O404" s="37"/>
      <c r="P404" s="37"/>
      <c r="Q404" s="37"/>
      <c r="R404" s="31" t="n">
        <f aca="false">COUNT($M404:$Q404)</f>
        <v>0</v>
      </c>
      <c r="S404" s="32" t="str">
        <f aca="false">IF($L404="","",IF($R404&gt;=5,"",MAX($L404:$Q404)+CHOOSE($R404+1,SETTINGS!$C$9,SETTINGS!$C$10,SETTINGS!$C$11,SETTINGS!$C$12,SETTINGS!$C$13)))</f>
        <v/>
      </c>
      <c r="T404" s="34" t="str">
        <f aca="true">IF($H404="","(chưa có nội dung)",IF($L404="",IF($C404&lt;TODAY(),"⚠ TRỄ HỌC",IF($C404=TODAY(),"★ HỌC HÔM NAY","• Chưa tới")),IF($R404&gt;=5,"✔ MASTER",IF($S404&lt;TODAY(),"⚠ TRỄ ÔN",IF($S404=TODAY(),"◆ ÔN HÔM NAY","✔ Đúng tiến độ")))))</f>
        <v>• Chưa tới</v>
      </c>
      <c r="U404" s="38" t="n">
        <f aca="false">IF($H404="","",$R404/5)</f>
        <v>0</v>
      </c>
    </row>
    <row r="405" customFormat="false" ht="15" hidden="false" customHeight="false" outlineLevel="0" collapsed="false">
      <c r="A405" s="31" t="s">
        <v>2546</v>
      </c>
      <c r="B405" s="31" t="n">
        <v>21</v>
      </c>
      <c r="C405" s="32" t="n">
        <f aca="false">SETTINGS!$C$3+$B405-1</f>
        <v>46320</v>
      </c>
      <c r="D405" s="39" t="s">
        <v>1947</v>
      </c>
      <c r="E405" s="34" t="s">
        <v>2534</v>
      </c>
      <c r="F405" s="34" t="s">
        <v>280</v>
      </c>
      <c r="G405" s="34" t="s">
        <v>2547</v>
      </c>
      <c r="H405" s="35" t="s">
        <v>2548</v>
      </c>
      <c r="I405" s="36" t="s">
        <v>2549</v>
      </c>
      <c r="J405" s="34" t="s">
        <v>2550</v>
      </c>
      <c r="K405" s="34" t="s">
        <v>2551</v>
      </c>
      <c r="L405" s="37"/>
      <c r="M405" s="37"/>
      <c r="N405" s="37"/>
      <c r="O405" s="37"/>
      <c r="P405" s="37"/>
      <c r="Q405" s="37"/>
      <c r="R405" s="31" t="n">
        <f aca="false">COUNT($M405:$Q405)</f>
        <v>0</v>
      </c>
      <c r="S405" s="32" t="str">
        <f aca="false">IF($L405="","",IF($R405&gt;=5,"",MAX($L405:$Q405)+CHOOSE($R405+1,SETTINGS!$C$9,SETTINGS!$C$10,SETTINGS!$C$11,SETTINGS!$C$12,SETTINGS!$C$13)))</f>
        <v/>
      </c>
      <c r="T405" s="34" t="str">
        <f aca="true">IF($H405="","(chưa có nội dung)",IF($L405="",IF($C405&lt;TODAY(),"⚠ TRỄ HỌC",IF($C405=TODAY(),"★ HỌC HÔM NAY","• Chưa tới")),IF($R405&gt;=5,"✔ MASTER",IF($S405&lt;TODAY(),"⚠ TRỄ ÔN",IF($S405=TODAY(),"◆ ÔN HÔM NAY","✔ Đúng tiến độ")))))</f>
        <v>• Chưa tới</v>
      </c>
      <c r="U405" s="38" t="n">
        <f aca="false">IF($H405="","",$R405/5)</f>
        <v>0</v>
      </c>
    </row>
    <row r="406" customFormat="false" ht="15" hidden="false" customHeight="false" outlineLevel="0" collapsed="false">
      <c r="A406" s="31" t="s">
        <v>2552</v>
      </c>
      <c r="B406" s="31" t="n">
        <v>21</v>
      </c>
      <c r="C406" s="32" t="n">
        <f aca="false">SETTINGS!$C$3+$B406-1</f>
        <v>46320</v>
      </c>
      <c r="D406" s="39" t="s">
        <v>1947</v>
      </c>
      <c r="E406" s="34" t="s">
        <v>2534</v>
      </c>
      <c r="F406" s="34" t="s">
        <v>280</v>
      </c>
      <c r="G406" s="34" t="s">
        <v>2553</v>
      </c>
      <c r="H406" s="35" t="s">
        <v>2554</v>
      </c>
      <c r="I406" s="36" t="s">
        <v>2555</v>
      </c>
      <c r="J406" s="34" t="s">
        <v>2556</v>
      </c>
      <c r="K406" s="34" t="s">
        <v>2557</v>
      </c>
      <c r="L406" s="37"/>
      <c r="M406" s="37"/>
      <c r="N406" s="37"/>
      <c r="O406" s="37"/>
      <c r="P406" s="37"/>
      <c r="Q406" s="37"/>
      <c r="R406" s="31" t="n">
        <f aca="false">COUNT($M406:$Q406)</f>
        <v>0</v>
      </c>
      <c r="S406" s="32" t="str">
        <f aca="false">IF($L406="","",IF($R406&gt;=5,"",MAX($L406:$Q406)+CHOOSE($R406+1,SETTINGS!$C$9,SETTINGS!$C$10,SETTINGS!$C$11,SETTINGS!$C$12,SETTINGS!$C$13)))</f>
        <v/>
      </c>
      <c r="T406" s="34" t="str">
        <f aca="true">IF($H406="","(chưa có nội dung)",IF($L406="",IF($C406&lt;TODAY(),"⚠ TRỄ HỌC",IF($C406=TODAY(),"★ HỌC HÔM NAY","• Chưa tới")),IF($R406&gt;=5,"✔ MASTER",IF($S406&lt;TODAY(),"⚠ TRỄ ÔN",IF($S406=TODAY(),"◆ ÔN HÔM NAY","✔ Đúng tiến độ")))))</f>
        <v>• Chưa tới</v>
      </c>
      <c r="U406" s="38" t="n">
        <f aca="false">IF($H406="","",$R406/5)</f>
        <v>0</v>
      </c>
    </row>
    <row r="407" customFormat="false" ht="15" hidden="false" customHeight="false" outlineLevel="0" collapsed="false">
      <c r="A407" s="31" t="s">
        <v>2558</v>
      </c>
      <c r="B407" s="31" t="n">
        <v>21</v>
      </c>
      <c r="C407" s="32" t="n">
        <f aca="false">SETTINGS!$C$3+$B407-1</f>
        <v>46320</v>
      </c>
      <c r="D407" s="39" t="s">
        <v>1947</v>
      </c>
      <c r="E407" s="34" t="s">
        <v>2534</v>
      </c>
      <c r="F407" s="34" t="s">
        <v>280</v>
      </c>
      <c r="G407" s="34" t="s">
        <v>1589</v>
      </c>
      <c r="H407" s="35" t="s">
        <v>2559</v>
      </c>
      <c r="I407" s="36" t="s">
        <v>2560</v>
      </c>
      <c r="J407" s="34" t="s">
        <v>2561</v>
      </c>
      <c r="K407" s="34" t="s">
        <v>2562</v>
      </c>
      <c r="L407" s="37"/>
      <c r="M407" s="37"/>
      <c r="N407" s="37"/>
      <c r="O407" s="37"/>
      <c r="P407" s="37"/>
      <c r="Q407" s="37"/>
      <c r="R407" s="31" t="n">
        <f aca="false">COUNT($M407:$Q407)</f>
        <v>0</v>
      </c>
      <c r="S407" s="32" t="str">
        <f aca="false">IF($L407="","",IF($R407&gt;=5,"",MAX($L407:$Q407)+CHOOSE($R407+1,SETTINGS!$C$9,SETTINGS!$C$10,SETTINGS!$C$11,SETTINGS!$C$12,SETTINGS!$C$13)))</f>
        <v/>
      </c>
      <c r="T407" s="34" t="str">
        <f aca="true">IF($H407="","(chưa có nội dung)",IF($L407="",IF($C407&lt;TODAY(),"⚠ TRỄ HỌC",IF($C407=TODAY(),"★ HỌC HÔM NAY","• Chưa tới")),IF($R407&gt;=5,"✔ MASTER",IF($S407&lt;TODAY(),"⚠ TRỄ ÔN",IF($S407=TODAY(),"◆ ÔN HÔM NAY","✔ Đúng tiến độ")))))</f>
        <v>• Chưa tới</v>
      </c>
      <c r="U407" s="38" t="n">
        <f aca="false">IF($H407="","",$R407/5)</f>
        <v>0</v>
      </c>
    </row>
    <row r="408" customFormat="false" ht="15" hidden="false" customHeight="false" outlineLevel="0" collapsed="false">
      <c r="A408" s="31" t="s">
        <v>2563</v>
      </c>
      <c r="B408" s="31" t="n">
        <v>21</v>
      </c>
      <c r="C408" s="32" t="n">
        <f aca="false">SETTINGS!$C$3+$B408-1</f>
        <v>46320</v>
      </c>
      <c r="D408" s="39" t="s">
        <v>1947</v>
      </c>
      <c r="E408" s="34" t="s">
        <v>2534</v>
      </c>
      <c r="F408" s="34" t="s">
        <v>280</v>
      </c>
      <c r="G408" s="34" t="s">
        <v>2564</v>
      </c>
      <c r="H408" s="35" t="s">
        <v>2565</v>
      </c>
      <c r="I408" s="36" t="s">
        <v>2566</v>
      </c>
      <c r="J408" s="34" t="s">
        <v>2567</v>
      </c>
      <c r="K408" s="34" t="s">
        <v>2568</v>
      </c>
      <c r="L408" s="37"/>
      <c r="M408" s="37"/>
      <c r="N408" s="37"/>
      <c r="O408" s="37"/>
      <c r="P408" s="37"/>
      <c r="Q408" s="37"/>
      <c r="R408" s="31" t="n">
        <f aca="false">COUNT($M408:$Q408)</f>
        <v>0</v>
      </c>
      <c r="S408" s="32" t="str">
        <f aca="false">IF($L408="","",IF($R408&gt;=5,"",MAX($L408:$Q408)+CHOOSE($R408+1,SETTINGS!$C$9,SETTINGS!$C$10,SETTINGS!$C$11,SETTINGS!$C$12,SETTINGS!$C$13)))</f>
        <v/>
      </c>
      <c r="T408" s="34" t="str">
        <f aca="true">IF($H408="","(chưa có nội dung)",IF($L408="",IF($C408&lt;TODAY(),"⚠ TRỄ HỌC",IF($C408=TODAY(),"★ HỌC HÔM NAY","• Chưa tới")),IF($R408&gt;=5,"✔ MASTER",IF($S408&lt;TODAY(),"⚠ TRỄ ÔN",IF($S408=TODAY(),"◆ ÔN HÔM NAY","✔ Đúng tiến độ")))))</f>
        <v>• Chưa tới</v>
      </c>
      <c r="U408" s="38" t="n">
        <f aca="false">IF($H408="","",$R408/5)</f>
        <v>0</v>
      </c>
    </row>
    <row r="409" customFormat="false" ht="15" hidden="false" customHeight="false" outlineLevel="0" collapsed="false">
      <c r="A409" s="31" t="s">
        <v>2569</v>
      </c>
      <c r="B409" s="31" t="n">
        <v>21</v>
      </c>
      <c r="C409" s="32" t="n">
        <f aca="false">SETTINGS!$C$3+$B409-1</f>
        <v>46320</v>
      </c>
      <c r="D409" s="39" t="s">
        <v>1947</v>
      </c>
      <c r="E409" s="34" t="s">
        <v>2534</v>
      </c>
      <c r="F409" s="34" t="s">
        <v>280</v>
      </c>
      <c r="G409" s="34" t="s">
        <v>2570</v>
      </c>
      <c r="H409" s="35" t="s">
        <v>2571</v>
      </c>
      <c r="I409" s="36" t="s">
        <v>2572</v>
      </c>
      <c r="J409" s="34" t="s">
        <v>2573</v>
      </c>
      <c r="K409" s="34" t="s">
        <v>2574</v>
      </c>
      <c r="L409" s="37"/>
      <c r="M409" s="37"/>
      <c r="N409" s="37"/>
      <c r="O409" s="37"/>
      <c r="P409" s="37"/>
      <c r="Q409" s="37"/>
      <c r="R409" s="31" t="n">
        <f aca="false">COUNT($M409:$Q409)</f>
        <v>0</v>
      </c>
      <c r="S409" s="32" t="str">
        <f aca="false">IF($L409="","",IF($R409&gt;=5,"",MAX($L409:$Q409)+CHOOSE($R409+1,SETTINGS!$C$9,SETTINGS!$C$10,SETTINGS!$C$11,SETTINGS!$C$12,SETTINGS!$C$13)))</f>
        <v/>
      </c>
      <c r="T409" s="34" t="str">
        <f aca="true">IF($H409="","(chưa có nội dung)",IF($L409="",IF($C409&lt;TODAY(),"⚠ TRỄ HỌC",IF($C409=TODAY(),"★ HỌC HÔM NAY","• Chưa tới")),IF($R409&gt;=5,"✔ MASTER",IF($S409&lt;TODAY(),"⚠ TRỄ ÔN",IF($S409=TODAY(),"◆ ÔN HÔM NAY","✔ Đúng tiến độ")))))</f>
        <v>• Chưa tới</v>
      </c>
      <c r="U409" s="38" t="n">
        <f aca="false">IF($H409="","",$R409/5)</f>
        <v>0</v>
      </c>
    </row>
    <row r="410" customFormat="false" ht="15" hidden="false" customHeight="false" outlineLevel="0" collapsed="false">
      <c r="A410" s="31" t="s">
        <v>2575</v>
      </c>
      <c r="B410" s="31" t="n">
        <v>21</v>
      </c>
      <c r="C410" s="32" t="n">
        <f aca="false">SETTINGS!$C$3+$B410-1</f>
        <v>46320</v>
      </c>
      <c r="D410" s="39" t="s">
        <v>1947</v>
      </c>
      <c r="E410" s="34" t="s">
        <v>2534</v>
      </c>
      <c r="F410" s="34" t="s">
        <v>280</v>
      </c>
      <c r="G410" s="34" t="s">
        <v>2166</v>
      </c>
      <c r="H410" s="35" t="s">
        <v>2576</v>
      </c>
      <c r="I410" s="36" t="s">
        <v>2577</v>
      </c>
      <c r="J410" s="34" t="s">
        <v>2578</v>
      </c>
      <c r="K410" s="34" t="s">
        <v>2579</v>
      </c>
      <c r="L410" s="37"/>
      <c r="M410" s="37"/>
      <c r="N410" s="37"/>
      <c r="O410" s="37"/>
      <c r="P410" s="37"/>
      <c r="Q410" s="37"/>
      <c r="R410" s="31" t="n">
        <f aca="false">COUNT($M410:$Q410)</f>
        <v>0</v>
      </c>
      <c r="S410" s="32" t="str">
        <f aca="false">IF($L410="","",IF($R410&gt;=5,"",MAX($L410:$Q410)+CHOOSE($R410+1,SETTINGS!$C$9,SETTINGS!$C$10,SETTINGS!$C$11,SETTINGS!$C$12,SETTINGS!$C$13)))</f>
        <v/>
      </c>
      <c r="T410" s="34" t="str">
        <f aca="true">IF($H410="","(chưa có nội dung)",IF($L410="",IF($C410&lt;TODAY(),"⚠ TRỄ HỌC",IF($C410=TODAY(),"★ HỌC HÔM NAY","• Chưa tới")),IF($R410&gt;=5,"✔ MASTER",IF($S410&lt;TODAY(),"⚠ TRỄ ÔN",IF($S410=TODAY(),"◆ ÔN HÔM NAY","✔ Đúng tiến độ")))))</f>
        <v>• Chưa tới</v>
      </c>
      <c r="U410" s="38" t="n">
        <f aca="false">IF($H410="","",$R410/5)</f>
        <v>0</v>
      </c>
    </row>
    <row r="411" customFormat="false" ht="15" hidden="false" customHeight="false" outlineLevel="0" collapsed="false">
      <c r="A411" s="31" t="s">
        <v>2580</v>
      </c>
      <c r="B411" s="31" t="n">
        <v>21</v>
      </c>
      <c r="C411" s="32" t="n">
        <f aca="false">SETTINGS!$C$3+$B411-1</f>
        <v>46320</v>
      </c>
      <c r="D411" s="39" t="s">
        <v>1947</v>
      </c>
      <c r="E411" s="34" t="s">
        <v>2534</v>
      </c>
      <c r="F411" s="34" t="s">
        <v>280</v>
      </c>
      <c r="G411" s="34" t="s">
        <v>2581</v>
      </c>
      <c r="H411" s="35" t="s">
        <v>2582</v>
      </c>
      <c r="I411" s="36" t="s">
        <v>2583</v>
      </c>
      <c r="J411" s="34" t="s">
        <v>2584</v>
      </c>
      <c r="K411" s="34" t="s">
        <v>2585</v>
      </c>
      <c r="L411" s="37"/>
      <c r="M411" s="37"/>
      <c r="N411" s="37"/>
      <c r="O411" s="37"/>
      <c r="P411" s="37"/>
      <c r="Q411" s="37"/>
      <c r="R411" s="31" t="n">
        <f aca="false">COUNT($M411:$Q411)</f>
        <v>0</v>
      </c>
      <c r="S411" s="32" t="str">
        <f aca="false">IF($L411="","",IF($R411&gt;=5,"",MAX($L411:$Q411)+CHOOSE($R411+1,SETTINGS!$C$9,SETTINGS!$C$10,SETTINGS!$C$11,SETTINGS!$C$12,SETTINGS!$C$13)))</f>
        <v/>
      </c>
      <c r="T411" s="34" t="str">
        <f aca="true">IF($H411="","(chưa có nội dung)",IF($L411="",IF($C411&lt;TODAY(),"⚠ TRỄ HỌC",IF($C411=TODAY(),"★ HỌC HÔM NAY","• Chưa tới")),IF($R411&gt;=5,"✔ MASTER",IF($S411&lt;TODAY(),"⚠ TRỄ ÔN",IF($S411=TODAY(),"◆ ÔN HÔM NAY","✔ Đúng tiến độ")))))</f>
        <v>• Chưa tới</v>
      </c>
      <c r="U411" s="38" t="n">
        <f aca="false">IF($H411="","",$R411/5)</f>
        <v>0</v>
      </c>
    </row>
    <row r="412" customFormat="false" ht="15" hidden="false" customHeight="false" outlineLevel="0" collapsed="false">
      <c r="A412" s="31" t="s">
        <v>2586</v>
      </c>
      <c r="B412" s="31" t="n">
        <v>21</v>
      </c>
      <c r="C412" s="32" t="n">
        <f aca="false">SETTINGS!$C$3+$B412-1</f>
        <v>46320</v>
      </c>
      <c r="D412" s="39" t="s">
        <v>1947</v>
      </c>
      <c r="E412" s="34" t="s">
        <v>2534</v>
      </c>
      <c r="F412" s="34" t="s">
        <v>280</v>
      </c>
      <c r="G412" s="34" t="s">
        <v>2587</v>
      </c>
      <c r="H412" s="35" t="s">
        <v>2588</v>
      </c>
      <c r="I412" s="36" t="s">
        <v>2589</v>
      </c>
      <c r="J412" s="34" t="s">
        <v>2590</v>
      </c>
      <c r="K412" s="34" t="s">
        <v>2591</v>
      </c>
      <c r="L412" s="37"/>
      <c r="M412" s="37"/>
      <c r="N412" s="37"/>
      <c r="O412" s="37"/>
      <c r="P412" s="37"/>
      <c r="Q412" s="37"/>
      <c r="R412" s="31" t="n">
        <f aca="false">COUNT($M412:$Q412)</f>
        <v>0</v>
      </c>
      <c r="S412" s="32" t="str">
        <f aca="false">IF($L412="","",IF($R412&gt;=5,"",MAX($L412:$Q412)+CHOOSE($R412+1,SETTINGS!$C$9,SETTINGS!$C$10,SETTINGS!$C$11,SETTINGS!$C$12,SETTINGS!$C$13)))</f>
        <v/>
      </c>
      <c r="T412" s="34" t="str">
        <f aca="true">IF($H412="","(chưa có nội dung)",IF($L412="",IF($C412&lt;TODAY(),"⚠ TRỄ HỌC",IF($C412=TODAY(),"★ HỌC HÔM NAY","• Chưa tới")),IF($R412&gt;=5,"✔ MASTER",IF($S412&lt;TODAY(),"⚠ TRỄ ÔN",IF($S412=TODAY(),"◆ ÔN HÔM NAY","✔ Đúng tiến độ")))))</f>
        <v>• Chưa tới</v>
      </c>
      <c r="U412" s="38" t="n">
        <f aca="false">IF($H412="","",$R412/5)</f>
        <v>0</v>
      </c>
    </row>
    <row r="413" customFormat="false" ht="15" hidden="false" customHeight="false" outlineLevel="0" collapsed="false">
      <c r="A413" s="31" t="s">
        <v>2592</v>
      </c>
      <c r="B413" s="31" t="n">
        <v>21</v>
      </c>
      <c r="C413" s="32" t="n">
        <f aca="false">SETTINGS!$C$3+$B413-1</f>
        <v>46320</v>
      </c>
      <c r="D413" s="39" t="s">
        <v>1947</v>
      </c>
      <c r="E413" s="34" t="s">
        <v>2534</v>
      </c>
      <c r="F413" s="34" t="s">
        <v>280</v>
      </c>
      <c r="G413" s="34" t="s">
        <v>2593</v>
      </c>
      <c r="H413" s="35" t="s">
        <v>2594</v>
      </c>
      <c r="I413" s="36" t="s">
        <v>2595</v>
      </c>
      <c r="J413" s="34" t="s">
        <v>2596</v>
      </c>
      <c r="K413" s="34" t="s">
        <v>2597</v>
      </c>
      <c r="L413" s="37"/>
      <c r="M413" s="37"/>
      <c r="N413" s="37"/>
      <c r="O413" s="37"/>
      <c r="P413" s="37"/>
      <c r="Q413" s="37"/>
      <c r="R413" s="31" t="n">
        <f aca="false">COUNT($M413:$Q413)</f>
        <v>0</v>
      </c>
      <c r="S413" s="32" t="str">
        <f aca="false">IF($L413="","",IF($R413&gt;=5,"",MAX($L413:$Q413)+CHOOSE($R413+1,SETTINGS!$C$9,SETTINGS!$C$10,SETTINGS!$C$11,SETTINGS!$C$12,SETTINGS!$C$13)))</f>
        <v/>
      </c>
      <c r="T413" s="34" t="str">
        <f aca="true">IF($H413="","(chưa có nội dung)",IF($L413="",IF($C413&lt;TODAY(),"⚠ TRỄ HỌC",IF($C413=TODAY(),"★ HỌC HÔM NAY","• Chưa tới")),IF($R413&gt;=5,"✔ MASTER",IF($S413&lt;TODAY(),"⚠ TRỄ ÔN",IF($S413=TODAY(),"◆ ÔN HÔM NAY","✔ Đúng tiến độ")))))</f>
        <v>• Chưa tới</v>
      </c>
      <c r="U413" s="38" t="n">
        <f aca="false">IF($H413="","",$R413/5)</f>
        <v>0</v>
      </c>
    </row>
    <row r="414" customFormat="false" ht="15" hidden="false" customHeight="false" outlineLevel="0" collapsed="false">
      <c r="A414" s="31" t="s">
        <v>2598</v>
      </c>
      <c r="B414" s="31" t="n">
        <v>21</v>
      </c>
      <c r="C414" s="32" t="n">
        <f aca="false">SETTINGS!$C$3+$B414-1</f>
        <v>46320</v>
      </c>
      <c r="D414" s="39" t="s">
        <v>1947</v>
      </c>
      <c r="E414" s="34" t="s">
        <v>2534</v>
      </c>
      <c r="F414" s="34" t="s">
        <v>280</v>
      </c>
      <c r="G414" s="34" t="s">
        <v>2599</v>
      </c>
      <c r="H414" s="35" t="s">
        <v>2600</v>
      </c>
      <c r="I414" s="36" t="s">
        <v>2601</v>
      </c>
      <c r="J414" s="34" t="s">
        <v>2602</v>
      </c>
      <c r="K414" s="34" t="s">
        <v>2603</v>
      </c>
      <c r="L414" s="37"/>
      <c r="M414" s="37"/>
      <c r="N414" s="37"/>
      <c r="O414" s="37"/>
      <c r="P414" s="37"/>
      <c r="Q414" s="37"/>
      <c r="R414" s="31" t="n">
        <f aca="false">COUNT($M414:$Q414)</f>
        <v>0</v>
      </c>
      <c r="S414" s="32" t="str">
        <f aca="false">IF($L414="","",IF($R414&gt;=5,"",MAX($L414:$Q414)+CHOOSE($R414+1,SETTINGS!$C$9,SETTINGS!$C$10,SETTINGS!$C$11,SETTINGS!$C$12,SETTINGS!$C$13)))</f>
        <v/>
      </c>
      <c r="T414" s="34" t="str">
        <f aca="true">IF($H414="","(chưa có nội dung)",IF($L414="",IF($C414&lt;TODAY(),"⚠ TRỄ HỌC",IF($C414=TODAY(),"★ HỌC HÔM NAY","• Chưa tới")),IF($R414&gt;=5,"✔ MASTER",IF($S414&lt;TODAY(),"⚠ TRỄ ÔN",IF($S414=TODAY(),"◆ ÔN HÔM NAY","✔ Đúng tiến độ")))))</f>
        <v>• Chưa tới</v>
      </c>
      <c r="U414" s="38" t="n">
        <f aca="false">IF($H414="","",$R414/5)</f>
        <v>0</v>
      </c>
    </row>
    <row r="415" customFormat="false" ht="15" hidden="false" customHeight="false" outlineLevel="0" collapsed="false">
      <c r="A415" s="31" t="s">
        <v>2604</v>
      </c>
      <c r="B415" s="31" t="n">
        <v>21</v>
      </c>
      <c r="C415" s="32" t="n">
        <f aca="false">SETTINGS!$C$3+$B415-1</f>
        <v>46320</v>
      </c>
      <c r="D415" s="39" t="s">
        <v>1947</v>
      </c>
      <c r="E415" s="34" t="s">
        <v>2534</v>
      </c>
      <c r="F415" s="34" t="s">
        <v>280</v>
      </c>
      <c r="G415" s="34" t="s">
        <v>2605</v>
      </c>
      <c r="H415" s="35" t="s">
        <v>2606</v>
      </c>
      <c r="I415" s="36" t="s">
        <v>2607</v>
      </c>
      <c r="J415" s="34" t="s">
        <v>2608</v>
      </c>
      <c r="K415" s="34" t="s">
        <v>2609</v>
      </c>
      <c r="L415" s="37"/>
      <c r="M415" s="37"/>
      <c r="N415" s="37"/>
      <c r="O415" s="37"/>
      <c r="P415" s="37"/>
      <c r="Q415" s="37"/>
      <c r="R415" s="31" t="n">
        <f aca="false">COUNT($M415:$Q415)</f>
        <v>0</v>
      </c>
      <c r="S415" s="32" t="str">
        <f aca="false">IF($L415="","",IF($R415&gt;=5,"",MAX($L415:$Q415)+CHOOSE($R415+1,SETTINGS!$C$9,SETTINGS!$C$10,SETTINGS!$C$11,SETTINGS!$C$12,SETTINGS!$C$13)))</f>
        <v/>
      </c>
      <c r="T415" s="34" t="str">
        <f aca="true">IF($H415="","(chưa có nội dung)",IF($L415="",IF($C415&lt;TODAY(),"⚠ TRỄ HỌC",IF($C415=TODAY(),"★ HỌC HÔM NAY","• Chưa tới")),IF($R415&gt;=5,"✔ MASTER",IF($S415&lt;TODAY(),"⚠ TRỄ ÔN",IF($S415=TODAY(),"◆ ÔN HÔM NAY","✔ Đúng tiến độ")))))</f>
        <v>• Chưa tới</v>
      </c>
      <c r="U415" s="38" t="n">
        <f aca="false">IF($H415="","",$R415/5)</f>
        <v>0</v>
      </c>
    </row>
    <row r="416" customFormat="false" ht="15" hidden="false" customHeight="false" outlineLevel="0" collapsed="false">
      <c r="A416" s="31" t="s">
        <v>2610</v>
      </c>
      <c r="B416" s="31" t="n">
        <v>21</v>
      </c>
      <c r="C416" s="32" t="n">
        <f aca="false">SETTINGS!$C$3+$B416-1</f>
        <v>46320</v>
      </c>
      <c r="D416" s="39" t="s">
        <v>1947</v>
      </c>
      <c r="E416" s="34" t="s">
        <v>2534</v>
      </c>
      <c r="F416" s="34" t="s">
        <v>280</v>
      </c>
      <c r="G416" s="34" t="s">
        <v>2611</v>
      </c>
      <c r="H416" s="35" t="s">
        <v>2612</v>
      </c>
      <c r="I416" s="36" t="s">
        <v>2613</v>
      </c>
      <c r="J416" s="34" t="s">
        <v>2614</v>
      </c>
      <c r="K416" s="34" t="s">
        <v>2615</v>
      </c>
      <c r="L416" s="37"/>
      <c r="M416" s="37"/>
      <c r="N416" s="37"/>
      <c r="O416" s="37"/>
      <c r="P416" s="37"/>
      <c r="Q416" s="37"/>
      <c r="R416" s="31" t="n">
        <f aca="false">COUNT($M416:$Q416)</f>
        <v>0</v>
      </c>
      <c r="S416" s="32" t="str">
        <f aca="false">IF($L416="","",IF($R416&gt;=5,"",MAX($L416:$Q416)+CHOOSE($R416+1,SETTINGS!$C$9,SETTINGS!$C$10,SETTINGS!$C$11,SETTINGS!$C$12,SETTINGS!$C$13)))</f>
        <v/>
      </c>
      <c r="T416" s="34" t="str">
        <f aca="true">IF($H416="","(chưa có nội dung)",IF($L416="",IF($C416&lt;TODAY(),"⚠ TRỄ HỌC",IF($C416=TODAY(),"★ HỌC HÔM NAY","• Chưa tới")),IF($R416&gt;=5,"✔ MASTER",IF($S416&lt;TODAY(),"⚠ TRỄ ÔN",IF($S416=TODAY(),"◆ ÔN HÔM NAY","✔ Đúng tiến độ")))))</f>
        <v>• Chưa tới</v>
      </c>
      <c r="U416" s="38" t="n">
        <f aca="false">IF($H416="","",$R416/5)</f>
        <v>0</v>
      </c>
    </row>
    <row r="417" customFormat="false" ht="15" hidden="false" customHeight="false" outlineLevel="0" collapsed="false">
      <c r="A417" s="31" t="s">
        <v>2616</v>
      </c>
      <c r="B417" s="31" t="n">
        <v>21</v>
      </c>
      <c r="C417" s="32" t="n">
        <f aca="false">SETTINGS!$C$3+$B417-1</f>
        <v>46320</v>
      </c>
      <c r="D417" s="39" t="s">
        <v>1947</v>
      </c>
      <c r="E417" s="34" t="s">
        <v>2534</v>
      </c>
      <c r="F417" s="34" t="s">
        <v>280</v>
      </c>
      <c r="G417" s="34" t="s">
        <v>466</v>
      </c>
      <c r="H417" s="35" t="s">
        <v>2617</v>
      </c>
      <c r="I417" s="36" t="s">
        <v>2618</v>
      </c>
      <c r="J417" s="34" t="s">
        <v>2619</v>
      </c>
      <c r="K417" s="34" t="s">
        <v>2620</v>
      </c>
      <c r="L417" s="37"/>
      <c r="M417" s="37"/>
      <c r="N417" s="37"/>
      <c r="O417" s="37"/>
      <c r="P417" s="37"/>
      <c r="Q417" s="37"/>
      <c r="R417" s="31" t="n">
        <f aca="false">COUNT($M417:$Q417)</f>
        <v>0</v>
      </c>
      <c r="S417" s="32" t="str">
        <f aca="false">IF($L417="","",IF($R417&gt;=5,"",MAX($L417:$Q417)+CHOOSE($R417+1,SETTINGS!$C$9,SETTINGS!$C$10,SETTINGS!$C$11,SETTINGS!$C$12,SETTINGS!$C$13)))</f>
        <v/>
      </c>
      <c r="T417" s="34" t="str">
        <f aca="true">IF($H417="","(chưa có nội dung)",IF($L417="",IF($C417&lt;TODAY(),"⚠ TRỄ HỌC",IF($C417=TODAY(),"★ HỌC HÔM NAY","• Chưa tới")),IF($R417&gt;=5,"✔ MASTER",IF($S417&lt;TODAY(),"⚠ TRỄ ÔN",IF($S417=TODAY(),"◆ ÔN HÔM NAY","✔ Đúng tiến độ")))))</f>
        <v>• Chưa tới</v>
      </c>
      <c r="U417" s="38" t="n">
        <f aca="false">IF($H417="","",$R417/5)</f>
        <v>0</v>
      </c>
    </row>
    <row r="418" customFormat="false" ht="15" hidden="false" customHeight="false" outlineLevel="0" collapsed="false">
      <c r="A418" s="31" t="s">
        <v>2621</v>
      </c>
      <c r="B418" s="31" t="n">
        <v>21</v>
      </c>
      <c r="C418" s="32" t="n">
        <f aca="false">SETTINGS!$C$3+$B418-1</f>
        <v>46320</v>
      </c>
      <c r="D418" s="39" t="s">
        <v>1947</v>
      </c>
      <c r="E418" s="34" t="s">
        <v>2534</v>
      </c>
      <c r="F418" s="34" t="s">
        <v>280</v>
      </c>
      <c r="G418" s="34" t="s">
        <v>2622</v>
      </c>
      <c r="H418" s="35" t="s">
        <v>2623</v>
      </c>
      <c r="I418" s="36" t="s">
        <v>2624</v>
      </c>
      <c r="J418" s="34" t="s">
        <v>2625</v>
      </c>
      <c r="K418" s="34" t="s">
        <v>2626</v>
      </c>
      <c r="L418" s="37"/>
      <c r="M418" s="37"/>
      <c r="N418" s="37"/>
      <c r="O418" s="37"/>
      <c r="P418" s="37"/>
      <c r="Q418" s="37"/>
      <c r="R418" s="31" t="n">
        <f aca="false">COUNT($M418:$Q418)</f>
        <v>0</v>
      </c>
      <c r="S418" s="32" t="str">
        <f aca="false">IF($L418="","",IF($R418&gt;=5,"",MAX($L418:$Q418)+CHOOSE($R418+1,SETTINGS!$C$9,SETTINGS!$C$10,SETTINGS!$C$11,SETTINGS!$C$12,SETTINGS!$C$13)))</f>
        <v/>
      </c>
      <c r="T418" s="34" t="str">
        <f aca="true">IF($H418="","(chưa có nội dung)",IF($L418="",IF($C418&lt;TODAY(),"⚠ TRỄ HỌC",IF($C418=TODAY(),"★ HỌC HÔM NAY","• Chưa tới")),IF($R418&gt;=5,"✔ MASTER",IF($S418&lt;TODAY(),"⚠ TRỄ ÔN",IF($S418=TODAY(),"◆ ÔN HÔM NAY","✔ Đúng tiến độ")))))</f>
        <v>• Chưa tới</v>
      </c>
      <c r="U418" s="38" t="n">
        <f aca="false">IF($H418="","",$R418/5)</f>
        <v>0</v>
      </c>
    </row>
    <row r="419" customFormat="false" ht="15" hidden="false" customHeight="false" outlineLevel="0" collapsed="false">
      <c r="A419" s="31" t="s">
        <v>2627</v>
      </c>
      <c r="B419" s="31" t="n">
        <v>21</v>
      </c>
      <c r="C419" s="32" t="n">
        <f aca="false">SETTINGS!$C$3+$B419-1</f>
        <v>46320</v>
      </c>
      <c r="D419" s="39" t="s">
        <v>1947</v>
      </c>
      <c r="E419" s="34" t="s">
        <v>2534</v>
      </c>
      <c r="F419" s="34" t="s">
        <v>163</v>
      </c>
      <c r="G419" s="34" t="s">
        <v>2628</v>
      </c>
      <c r="H419" s="35" t="s">
        <v>2629</v>
      </c>
      <c r="I419" s="36" t="s">
        <v>2630</v>
      </c>
      <c r="J419" s="34" t="s">
        <v>2631</v>
      </c>
      <c r="K419" s="34" t="s">
        <v>2632</v>
      </c>
      <c r="L419" s="37"/>
      <c r="M419" s="37"/>
      <c r="N419" s="37"/>
      <c r="O419" s="37"/>
      <c r="P419" s="37"/>
      <c r="Q419" s="37"/>
      <c r="R419" s="31" t="n">
        <f aca="false">COUNT($M419:$Q419)</f>
        <v>0</v>
      </c>
      <c r="S419" s="32" t="str">
        <f aca="false">IF($L419="","",IF($R419&gt;=5,"",MAX($L419:$Q419)+CHOOSE($R419+1,SETTINGS!$C$9,SETTINGS!$C$10,SETTINGS!$C$11,SETTINGS!$C$12,SETTINGS!$C$13)))</f>
        <v/>
      </c>
      <c r="T419" s="34" t="str">
        <f aca="true">IF($H419="","(chưa có nội dung)",IF($L419="",IF($C419&lt;TODAY(),"⚠ TRỄ HỌC",IF($C419=TODAY(),"★ HỌC HÔM NAY","• Chưa tới")),IF($R419&gt;=5,"✔ MASTER",IF($S419&lt;TODAY(),"⚠ TRỄ ÔN",IF($S419=TODAY(),"◆ ÔN HÔM NAY","✔ Đúng tiến độ")))))</f>
        <v>• Chưa tới</v>
      </c>
      <c r="U419" s="38" t="n">
        <f aca="false">IF($H419="","",$R419/5)</f>
        <v>0</v>
      </c>
    </row>
    <row r="420" customFormat="false" ht="15" hidden="false" customHeight="false" outlineLevel="0" collapsed="false">
      <c r="A420" s="31" t="s">
        <v>2633</v>
      </c>
      <c r="B420" s="31" t="n">
        <v>21</v>
      </c>
      <c r="C420" s="32" t="n">
        <f aca="false">SETTINGS!$C$3+$B420-1</f>
        <v>46320</v>
      </c>
      <c r="D420" s="39" t="s">
        <v>1947</v>
      </c>
      <c r="E420" s="34" t="s">
        <v>2534</v>
      </c>
      <c r="F420" s="34" t="s">
        <v>280</v>
      </c>
      <c r="G420" s="34" t="s">
        <v>2634</v>
      </c>
      <c r="H420" s="35" t="s">
        <v>2635</v>
      </c>
      <c r="I420" s="36" t="s">
        <v>2636</v>
      </c>
      <c r="J420" s="34" t="s">
        <v>2637</v>
      </c>
      <c r="K420" s="34" t="s">
        <v>2638</v>
      </c>
      <c r="L420" s="37"/>
      <c r="M420" s="37"/>
      <c r="N420" s="37"/>
      <c r="O420" s="37"/>
      <c r="P420" s="37"/>
      <c r="Q420" s="37"/>
      <c r="R420" s="31" t="n">
        <f aca="false">COUNT($M420:$Q420)</f>
        <v>0</v>
      </c>
      <c r="S420" s="32" t="str">
        <f aca="false">IF($L420="","",IF($R420&gt;=5,"",MAX($L420:$Q420)+CHOOSE($R420+1,SETTINGS!$C$9,SETTINGS!$C$10,SETTINGS!$C$11,SETTINGS!$C$12,SETTINGS!$C$13)))</f>
        <v/>
      </c>
      <c r="T420" s="34" t="str">
        <f aca="true">IF($H420="","(chưa có nội dung)",IF($L420="",IF($C420&lt;TODAY(),"⚠ TRỄ HỌC",IF($C420=TODAY(),"★ HỌC HÔM NAY","• Chưa tới")),IF($R420&gt;=5,"✔ MASTER",IF($S420&lt;TODAY(),"⚠ TRỄ ÔN",IF($S420=TODAY(),"◆ ÔN HÔM NAY","✔ Đúng tiến độ")))))</f>
        <v>• Chưa tới</v>
      </c>
      <c r="U420" s="38" t="n">
        <f aca="false">IF($H420="","",$R420/5)</f>
        <v>0</v>
      </c>
    </row>
    <row r="421" customFormat="false" ht="15" hidden="false" customHeight="false" outlineLevel="0" collapsed="false">
      <c r="A421" s="31" t="s">
        <v>2639</v>
      </c>
      <c r="B421" s="31" t="n">
        <v>21</v>
      </c>
      <c r="C421" s="32" t="n">
        <f aca="false">SETTINGS!$C$3+$B421-1</f>
        <v>46320</v>
      </c>
      <c r="D421" s="39" t="s">
        <v>1947</v>
      </c>
      <c r="E421" s="34" t="s">
        <v>2534</v>
      </c>
      <c r="F421" s="34" t="s">
        <v>280</v>
      </c>
      <c r="G421" s="34" t="s">
        <v>2640</v>
      </c>
      <c r="H421" s="35" t="s">
        <v>2641</v>
      </c>
      <c r="I421" s="36" t="s">
        <v>2642</v>
      </c>
      <c r="J421" s="34" t="s">
        <v>2643</v>
      </c>
      <c r="K421" s="34" t="s">
        <v>2644</v>
      </c>
      <c r="L421" s="37"/>
      <c r="M421" s="37"/>
      <c r="N421" s="37"/>
      <c r="O421" s="37"/>
      <c r="P421" s="37"/>
      <c r="Q421" s="37"/>
      <c r="R421" s="31" t="n">
        <f aca="false">COUNT($M421:$Q421)</f>
        <v>0</v>
      </c>
      <c r="S421" s="32" t="str">
        <f aca="false">IF($L421="","",IF($R421&gt;=5,"",MAX($L421:$Q421)+CHOOSE($R421+1,SETTINGS!$C$9,SETTINGS!$C$10,SETTINGS!$C$11,SETTINGS!$C$12,SETTINGS!$C$13)))</f>
        <v/>
      </c>
      <c r="T421" s="34" t="str">
        <f aca="true">IF($H421="","(chưa có nội dung)",IF($L421="",IF($C421&lt;TODAY(),"⚠ TRỄ HỌC",IF($C421=TODAY(),"★ HỌC HÔM NAY","• Chưa tới")),IF($R421&gt;=5,"✔ MASTER",IF($S421&lt;TODAY(),"⚠ TRỄ ÔN",IF($S421=TODAY(),"◆ ÔN HÔM NAY","✔ Đúng tiến độ")))))</f>
        <v>• Chưa tới</v>
      </c>
      <c r="U421" s="38" t="n">
        <f aca="false">IF($H421="","",$R421/5)</f>
        <v>0</v>
      </c>
    </row>
    <row r="422" customFormat="false" ht="15" hidden="false" customHeight="false" outlineLevel="0" collapsed="false">
      <c r="A422" s="31" t="s">
        <v>2645</v>
      </c>
      <c r="B422" s="31" t="n">
        <v>21</v>
      </c>
      <c r="C422" s="32" t="n">
        <f aca="false">SETTINGS!$C$3+$B422-1</f>
        <v>46320</v>
      </c>
      <c r="D422" s="39" t="s">
        <v>1947</v>
      </c>
      <c r="E422" s="34" t="s">
        <v>2534</v>
      </c>
      <c r="F422" s="34" t="s">
        <v>183</v>
      </c>
      <c r="G422" s="34" t="s">
        <v>1469</v>
      </c>
      <c r="H422" s="35" t="s">
        <v>2646</v>
      </c>
      <c r="I422" s="36" t="s">
        <v>2647</v>
      </c>
      <c r="J422" s="34" t="s">
        <v>2648</v>
      </c>
      <c r="K422" s="34" t="s">
        <v>2649</v>
      </c>
      <c r="L422" s="37"/>
      <c r="M422" s="37"/>
      <c r="N422" s="37"/>
      <c r="O422" s="37"/>
      <c r="P422" s="37"/>
      <c r="Q422" s="37"/>
      <c r="R422" s="31" t="n">
        <f aca="false">COUNT($M422:$Q422)</f>
        <v>0</v>
      </c>
      <c r="S422" s="32" t="str">
        <f aca="false">IF($L422="","",IF($R422&gt;=5,"",MAX($L422:$Q422)+CHOOSE($R422+1,SETTINGS!$C$9,SETTINGS!$C$10,SETTINGS!$C$11,SETTINGS!$C$12,SETTINGS!$C$13)))</f>
        <v/>
      </c>
      <c r="T422" s="34" t="str">
        <f aca="true">IF($H422="","(chưa có nội dung)",IF($L422="",IF($C422&lt;TODAY(),"⚠ TRỄ HỌC",IF($C422=TODAY(),"★ HỌC HÔM NAY","• Chưa tới")),IF($R422&gt;=5,"✔ MASTER",IF($S422&lt;TODAY(),"⚠ TRỄ ÔN",IF($S422=TODAY(),"◆ ÔN HÔM NAY","✔ Đúng tiến độ")))))</f>
        <v>• Chưa tới</v>
      </c>
      <c r="U422" s="38" t="n">
        <f aca="false">IF($H422="","",$R422/5)</f>
        <v>0</v>
      </c>
    </row>
    <row r="423" customFormat="false" ht="23.85" hidden="false" customHeight="false" outlineLevel="0" collapsed="false">
      <c r="A423" s="31" t="s">
        <v>2650</v>
      </c>
      <c r="B423" s="31" t="n">
        <v>22</v>
      </c>
      <c r="C423" s="32" t="n">
        <f aca="false">SETTINGS!$C$3+$B423-1</f>
        <v>46321</v>
      </c>
      <c r="D423" s="39" t="s">
        <v>1947</v>
      </c>
      <c r="E423" s="34" t="s">
        <v>2651</v>
      </c>
      <c r="F423" s="34" t="s">
        <v>280</v>
      </c>
      <c r="G423" s="34" t="s">
        <v>2652</v>
      </c>
      <c r="H423" s="35" t="s">
        <v>2653</v>
      </c>
      <c r="I423" s="36" t="s">
        <v>2654</v>
      </c>
      <c r="J423" s="34" t="s">
        <v>2655</v>
      </c>
      <c r="K423" s="34" t="s">
        <v>2656</v>
      </c>
      <c r="L423" s="37"/>
      <c r="M423" s="37"/>
      <c r="N423" s="37"/>
      <c r="O423" s="37"/>
      <c r="P423" s="37"/>
      <c r="Q423" s="37"/>
      <c r="R423" s="31" t="n">
        <f aca="false">COUNT($M423:$Q423)</f>
        <v>0</v>
      </c>
      <c r="S423" s="32" t="str">
        <f aca="false">IF($L423="","",IF($R423&gt;=5,"",MAX($L423:$Q423)+CHOOSE($R423+1,SETTINGS!$C$9,SETTINGS!$C$10,SETTINGS!$C$11,SETTINGS!$C$12,SETTINGS!$C$13)))</f>
        <v/>
      </c>
      <c r="T423" s="34" t="str">
        <f aca="true">IF($H423="","(chưa có nội dung)",IF($L423="",IF($C423&lt;TODAY(),"⚠ TRỄ HỌC",IF($C423=TODAY(),"★ HỌC HÔM NAY","• Chưa tới")),IF($R423&gt;=5,"✔ MASTER",IF($S423&lt;TODAY(),"⚠ TRỄ ÔN",IF($S423=TODAY(),"◆ ÔN HÔM NAY","✔ Đúng tiến độ")))))</f>
        <v>• Chưa tới</v>
      </c>
      <c r="U423" s="38" t="n">
        <f aca="false">IF($H423="","",$R423/5)</f>
        <v>0</v>
      </c>
    </row>
    <row r="424" customFormat="false" ht="23.85" hidden="false" customHeight="false" outlineLevel="0" collapsed="false">
      <c r="A424" s="31" t="s">
        <v>2657</v>
      </c>
      <c r="B424" s="31" t="n">
        <v>22</v>
      </c>
      <c r="C424" s="32" t="n">
        <f aca="false">SETTINGS!$C$3+$B424-1</f>
        <v>46321</v>
      </c>
      <c r="D424" s="39" t="s">
        <v>1947</v>
      </c>
      <c r="E424" s="34" t="s">
        <v>2651</v>
      </c>
      <c r="F424" s="34" t="s">
        <v>280</v>
      </c>
      <c r="G424" s="34" t="s">
        <v>2658</v>
      </c>
      <c r="H424" s="35" t="s">
        <v>2659</v>
      </c>
      <c r="I424" s="36" t="s">
        <v>2660</v>
      </c>
      <c r="J424" s="34" t="s">
        <v>2661</v>
      </c>
      <c r="K424" s="34" t="s">
        <v>2662</v>
      </c>
      <c r="L424" s="37"/>
      <c r="M424" s="37"/>
      <c r="N424" s="37"/>
      <c r="O424" s="37"/>
      <c r="P424" s="37"/>
      <c r="Q424" s="37"/>
      <c r="R424" s="31" t="n">
        <f aca="false">COUNT($M424:$Q424)</f>
        <v>0</v>
      </c>
      <c r="S424" s="32" t="str">
        <f aca="false">IF($L424="","",IF($R424&gt;=5,"",MAX($L424:$Q424)+CHOOSE($R424+1,SETTINGS!$C$9,SETTINGS!$C$10,SETTINGS!$C$11,SETTINGS!$C$12,SETTINGS!$C$13)))</f>
        <v/>
      </c>
      <c r="T424" s="34" t="str">
        <f aca="true">IF($H424="","(chưa có nội dung)",IF($L424="",IF($C424&lt;TODAY(),"⚠ TRỄ HỌC",IF($C424=TODAY(),"★ HỌC HÔM NAY","• Chưa tới")),IF($R424&gt;=5,"✔ MASTER",IF($S424&lt;TODAY(),"⚠ TRỄ ÔN",IF($S424=TODAY(),"◆ ÔN HÔM NAY","✔ Đúng tiến độ")))))</f>
        <v>• Chưa tới</v>
      </c>
      <c r="U424" s="38" t="n">
        <f aca="false">IF($H424="","",$R424/5)</f>
        <v>0</v>
      </c>
    </row>
    <row r="425" customFormat="false" ht="23.85" hidden="false" customHeight="false" outlineLevel="0" collapsed="false">
      <c r="A425" s="31" t="s">
        <v>2663</v>
      </c>
      <c r="B425" s="31" t="n">
        <v>22</v>
      </c>
      <c r="C425" s="32" t="n">
        <f aca="false">SETTINGS!$C$3+$B425-1</f>
        <v>46321</v>
      </c>
      <c r="D425" s="39" t="s">
        <v>1947</v>
      </c>
      <c r="E425" s="34" t="s">
        <v>2651</v>
      </c>
      <c r="F425" s="34" t="s">
        <v>280</v>
      </c>
      <c r="G425" s="34" t="s">
        <v>2664</v>
      </c>
      <c r="H425" s="35" t="s">
        <v>2665</v>
      </c>
      <c r="I425" s="36" t="s">
        <v>2666</v>
      </c>
      <c r="J425" s="34" t="s">
        <v>2667</v>
      </c>
      <c r="K425" s="34" t="s">
        <v>2668</v>
      </c>
      <c r="L425" s="37"/>
      <c r="M425" s="37"/>
      <c r="N425" s="37"/>
      <c r="O425" s="37"/>
      <c r="P425" s="37"/>
      <c r="Q425" s="37"/>
      <c r="R425" s="31" t="n">
        <f aca="false">COUNT($M425:$Q425)</f>
        <v>0</v>
      </c>
      <c r="S425" s="32" t="str">
        <f aca="false">IF($L425="","",IF($R425&gt;=5,"",MAX($L425:$Q425)+CHOOSE($R425+1,SETTINGS!$C$9,SETTINGS!$C$10,SETTINGS!$C$11,SETTINGS!$C$12,SETTINGS!$C$13)))</f>
        <v/>
      </c>
      <c r="T425" s="34" t="str">
        <f aca="true">IF($H425="","(chưa có nội dung)",IF($L425="",IF($C425&lt;TODAY(),"⚠ TRỄ HỌC",IF($C425=TODAY(),"★ HỌC HÔM NAY","• Chưa tới")),IF($R425&gt;=5,"✔ MASTER",IF($S425&lt;TODAY(),"⚠ TRỄ ÔN",IF($S425=TODAY(),"◆ ÔN HÔM NAY","✔ Đúng tiến độ")))))</f>
        <v>• Chưa tới</v>
      </c>
      <c r="U425" s="38" t="n">
        <f aca="false">IF($H425="","",$R425/5)</f>
        <v>0</v>
      </c>
    </row>
    <row r="426" customFormat="false" ht="23.85" hidden="false" customHeight="false" outlineLevel="0" collapsed="false">
      <c r="A426" s="31" t="s">
        <v>2669</v>
      </c>
      <c r="B426" s="31" t="n">
        <v>22</v>
      </c>
      <c r="C426" s="32" t="n">
        <f aca="false">SETTINGS!$C$3+$B426-1</f>
        <v>46321</v>
      </c>
      <c r="D426" s="39" t="s">
        <v>1947</v>
      </c>
      <c r="E426" s="34" t="s">
        <v>2651</v>
      </c>
      <c r="F426" s="34" t="s">
        <v>280</v>
      </c>
      <c r="G426" s="34" t="s">
        <v>2670</v>
      </c>
      <c r="H426" s="35" t="s">
        <v>2671</v>
      </c>
      <c r="I426" s="36" t="s">
        <v>2672</v>
      </c>
      <c r="J426" s="34" t="s">
        <v>2673</v>
      </c>
      <c r="K426" s="34" t="s">
        <v>2674</v>
      </c>
      <c r="L426" s="37"/>
      <c r="M426" s="37"/>
      <c r="N426" s="37"/>
      <c r="O426" s="37"/>
      <c r="P426" s="37"/>
      <c r="Q426" s="37"/>
      <c r="R426" s="31" t="n">
        <f aca="false">COUNT($M426:$Q426)</f>
        <v>0</v>
      </c>
      <c r="S426" s="32" t="str">
        <f aca="false">IF($L426="","",IF($R426&gt;=5,"",MAX($L426:$Q426)+CHOOSE($R426+1,SETTINGS!$C$9,SETTINGS!$C$10,SETTINGS!$C$11,SETTINGS!$C$12,SETTINGS!$C$13)))</f>
        <v/>
      </c>
      <c r="T426" s="34" t="str">
        <f aca="true">IF($H426="","(chưa có nội dung)",IF($L426="",IF($C426&lt;TODAY(),"⚠ TRỄ HỌC",IF($C426=TODAY(),"★ HỌC HÔM NAY","• Chưa tới")),IF($R426&gt;=5,"✔ MASTER",IF($S426&lt;TODAY(),"⚠ TRỄ ÔN",IF($S426=TODAY(),"◆ ÔN HÔM NAY","✔ Đúng tiến độ")))))</f>
        <v>• Chưa tới</v>
      </c>
      <c r="U426" s="38" t="n">
        <f aca="false">IF($H426="","",$R426/5)</f>
        <v>0</v>
      </c>
    </row>
    <row r="427" customFormat="false" ht="23.85" hidden="false" customHeight="false" outlineLevel="0" collapsed="false">
      <c r="A427" s="31" t="s">
        <v>2675</v>
      </c>
      <c r="B427" s="31" t="n">
        <v>22</v>
      </c>
      <c r="C427" s="32" t="n">
        <f aca="false">SETTINGS!$C$3+$B427-1</f>
        <v>46321</v>
      </c>
      <c r="D427" s="39" t="s">
        <v>1947</v>
      </c>
      <c r="E427" s="34" t="s">
        <v>2651</v>
      </c>
      <c r="F427" s="34" t="s">
        <v>280</v>
      </c>
      <c r="G427" s="34" t="s">
        <v>2676</v>
      </c>
      <c r="H427" s="35" t="s">
        <v>2677</v>
      </c>
      <c r="I427" s="36" t="s">
        <v>2678</v>
      </c>
      <c r="J427" s="34" t="s">
        <v>2679</v>
      </c>
      <c r="K427" s="34" t="s">
        <v>2680</v>
      </c>
      <c r="L427" s="37"/>
      <c r="M427" s="37"/>
      <c r="N427" s="37"/>
      <c r="O427" s="37"/>
      <c r="P427" s="37"/>
      <c r="Q427" s="37"/>
      <c r="R427" s="31" t="n">
        <f aca="false">COUNT($M427:$Q427)</f>
        <v>0</v>
      </c>
      <c r="S427" s="32" t="str">
        <f aca="false">IF($L427="","",IF($R427&gt;=5,"",MAX($L427:$Q427)+CHOOSE($R427+1,SETTINGS!$C$9,SETTINGS!$C$10,SETTINGS!$C$11,SETTINGS!$C$12,SETTINGS!$C$13)))</f>
        <v/>
      </c>
      <c r="T427" s="34" t="str">
        <f aca="true">IF($H427="","(chưa có nội dung)",IF($L427="",IF($C427&lt;TODAY(),"⚠ TRỄ HỌC",IF($C427=TODAY(),"★ HỌC HÔM NAY","• Chưa tới")),IF($R427&gt;=5,"✔ MASTER",IF($S427&lt;TODAY(),"⚠ TRỄ ÔN",IF($S427=TODAY(),"◆ ÔN HÔM NAY","✔ Đúng tiến độ")))))</f>
        <v>• Chưa tới</v>
      </c>
      <c r="U427" s="38" t="n">
        <f aca="false">IF($H427="","",$R427/5)</f>
        <v>0</v>
      </c>
    </row>
    <row r="428" customFormat="false" ht="23.85" hidden="false" customHeight="false" outlineLevel="0" collapsed="false">
      <c r="A428" s="31" t="s">
        <v>2681</v>
      </c>
      <c r="B428" s="31" t="n">
        <v>22</v>
      </c>
      <c r="C428" s="32" t="n">
        <f aca="false">SETTINGS!$C$3+$B428-1</f>
        <v>46321</v>
      </c>
      <c r="D428" s="39" t="s">
        <v>1947</v>
      </c>
      <c r="E428" s="34" t="s">
        <v>2651</v>
      </c>
      <c r="F428" s="34" t="s">
        <v>280</v>
      </c>
      <c r="G428" s="34" t="s">
        <v>2682</v>
      </c>
      <c r="H428" s="35" t="s">
        <v>2683</v>
      </c>
      <c r="I428" s="36" t="s">
        <v>2684</v>
      </c>
      <c r="J428" s="34" t="s">
        <v>2685</v>
      </c>
      <c r="K428" s="34" t="s">
        <v>2686</v>
      </c>
      <c r="L428" s="37"/>
      <c r="M428" s="37"/>
      <c r="N428" s="37"/>
      <c r="O428" s="37"/>
      <c r="P428" s="37"/>
      <c r="Q428" s="37"/>
      <c r="R428" s="31" t="n">
        <f aca="false">COUNT($M428:$Q428)</f>
        <v>0</v>
      </c>
      <c r="S428" s="32" t="str">
        <f aca="false">IF($L428="","",IF($R428&gt;=5,"",MAX($L428:$Q428)+CHOOSE($R428+1,SETTINGS!$C$9,SETTINGS!$C$10,SETTINGS!$C$11,SETTINGS!$C$12,SETTINGS!$C$13)))</f>
        <v/>
      </c>
      <c r="T428" s="34" t="str">
        <f aca="true">IF($H428="","(chưa có nội dung)",IF($L428="",IF($C428&lt;TODAY(),"⚠ TRỄ HỌC",IF($C428=TODAY(),"★ HỌC HÔM NAY","• Chưa tới")),IF($R428&gt;=5,"✔ MASTER",IF($S428&lt;TODAY(),"⚠ TRỄ ÔN",IF($S428=TODAY(),"◆ ÔN HÔM NAY","✔ Đúng tiến độ")))))</f>
        <v>• Chưa tới</v>
      </c>
      <c r="U428" s="38" t="n">
        <f aca="false">IF($H428="","",$R428/5)</f>
        <v>0</v>
      </c>
    </row>
    <row r="429" customFormat="false" ht="23.85" hidden="false" customHeight="false" outlineLevel="0" collapsed="false">
      <c r="A429" s="31" t="s">
        <v>2687</v>
      </c>
      <c r="B429" s="31" t="n">
        <v>22</v>
      </c>
      <c r="C429" s="32" t="n">
        <f aca="false">SETTINGS!$C$3+$B429-1</f>
        <v>46321</v>
      </c>
      <c r="D429" s="39" t="s">
        <v>1947</v>
      </c>
      <c r="E429" s="34" t="s">
        <v>2651</v>
      </c>
      <c r="F429" s="34" t="s">
        <v>280</v>
      </c>
      <c r="G429" s="34" t="s">
        <v>2688</v>
      </c>
      <c r="H429" s="35" t="s">
        <v>2689</v>
      </c>
      <c r="I429" s="36" t="s">
        <v>2690</v>
      </c>
      <c r="J429" s="34" t="s">
        <v>2691</v>
      </c>
      <c r="K429" s="34" t="s">
        <v>2692</v>
      </c>
      <c r="L429" s="37"/>
      <c r="M429" s="37"/>
      <c r="N429" s="37"/>
      <c r="O429" s="37"/>
      <c r="P429" s="37"/>
      <c r="Q429" s="37"/>
      <c r="R429" s="31" t="n">
        <f aca="false">COUNT($M429:$Q429)</f>
        <v>0</v>
      </c>
      <c r="S429" s="32" t="str">
        <f aca="false">IF($L429="","",IF($R429&gt;=5,"",MAX($L429:$Q429)+CHOOSE($R429+1,SETTINGS!$C$9,SETTINGS!$C$10,SETTINGS!$C$11,SETTINGS!$C$12,SETTINGS!$C$13)))</f>
        <v/>
      </c>
      <c r="T429" s="34" t="str">
        <f aca="true">IF($H429="","(chưa có nội dung)",IF($L429="",IF($C429&lt;TODAY(),"⚠ TRỄ HỌC",IF($C429=TODAY(),"★ HỌC HÔM NAY","• Chưa tới")),IF($R429&gt;=5,"✔ MASTER",IF($S429&lt;TODAY(),"⚠ TRỄ ÔN",IF($S429=TODAY(),"◆ ÔN HÔM NAY","✔ Đúng tiến độ")))))</f>
        <v>• Chưa tới</v>
      </c>
      <c r="U429" s="38" t="n">
        <f aca="false">IF($H429="","",$R429/5)</f>
        <v>0</v>
      </c>
    </row>
    <row r="430" customFormat="false" ht="23.85" hidden="false" customHeight="false" outlineLevel="0" collapsed="false">
      <c r="A430" s="31" t="s">
        <v>2693</v>
      </c>
      <c r="B430" s="31" t="n">
        <v>22</v>
      </c>
      <c r="C430" s="32" t="n">
        <f aca="false">SETTINGS!$C$3+$B430-1</f>
        <v>46321</v>
      </c>
      <c r="D430" s="39" t="s">
        <v>1947</v>
      </c>
      <c r="E430" s="34" t="s">
        <v>2651</v>
      </c>
      <c r="F430" s="34" t="s">
        <v>202</v>
      </c>
      <c r="G430" s="34" t="s">
        <v>2694</v>
      </c>
      <c r="H430" s="35" t="s">
        <v>2695</v>
      </c>
      <c r="I430" s="36" t="s">
        <v>2696</v>
      </c>
      <c r="J430" s="34" t="s">
        <v>2697</v>
      </c>
      <c r="K430" s="34" t="s">
        <v>2698</v>
      </c>
      <c r="L430" s="37"/>
      <c r="M430" s="37"/>
      <c r="N430" s="37"/>
      <c r="O430" s="37"/>
      <c r="P430" s="37"/>
      <c r="Q430" s="37"/>
      <c r="R430" s="31" t="n">
        <f aca="false">COUNT($M430:$Q430)</f>
        <v>0</v>
      </c>
      <c r="S430" s="32" t="str">
        <f aca="false">IF($L430="","",IF($R430&gt;=5,"",MAX($L430:$Q430)+CHOOSE($R430+1,SETTINGS!$C$9,SETTINGS!$C$10,SETTINGS!$C$11,SETTINGS!$C$12,SETTINGS!$C$13)))</f>
        <v/>
      </c>
      <c r="T430" s="34" t="str">
        <f aca="true">IF($H430="","(chưa có nội dung)",IF($L430="",IF($C430&lt;TODAY(),"⚠ TRỄ HỌC",IF($C430=TODAY(),"★ HỌC HÔM NAY","• Chưa tới")),IF($R430&gt;=5,"✔ MASTER",IF($S430&lt;TODAY(),"⚠ TRỄ ÔN",IF($S430=TODAY(),"◆ ÔN HÔM NAY","✔ Đúng tiến độ")))))</f>
        <v>• Chưa tới</v>
      </c>
      <c r="U430" s="38" t="n">
        <f aca="false">IF($H430="","",$R430/5)</f>
        <v>0</v>
      </c>
    </row>
    <row r="431" customFormat="false" ht="23.85" hidden="false" customHeight="false" outlineLevel="0" collapsed="false">
      <c r="A431" s="31" t="s">
        <v>2699</v>
      </c>
      <c r="B431" s="31" t="n">
        <v>22</v>
      </c>
      <c r="C431" s="32" t="n">
        <f aca="false">SETTINGS!$C$3+$B431-1</f>
        <v>46321</v>
      </c>
      <c r="D431" s="39" t="s">
        <v>1947</v>
      </c>
      <c r="E431" s="34" t="s">
        <v>2651</v>
      </c>
      <c r="F431" s="34" t="s">
        <v>280</v>
      </c>
      <c r="G431" s="34" t="s">
        <v>2700</v>
      </c>
      <c r="H431" s="35" t="s">
        <v>2701</v>
      </c>
      <c r="I431" s="36" t="s">
        <v>2702</v>
      </c>
      <c r="J431" s="34" t="s">
        <v>2703</v>
      </c>
      <c r="K431" s="34" t="s">
        <v>2704</v>
      </c>
      <c r="L431" s="37"/>
      <c r="M431" s="37"/>
      <c r="N431" s="37"/>
      <c r="O431" s="37"/>
      <c r="P431" s="37"/>
      <c r="Q431" s="37"/>
      <c r="R431" s="31" t="n">
        <f aca="false">COUNT($M431:$Q431)</f>
        <v>0</v>
      </c>
      <c r="S431" s="32" t="str">
        <f aca="false">IF($L431="","",IF($R431&gt;=5,"",MAX($L431:$Q431)+CHOOSE($R431+1,SETTINGS!$C$9,SETTINGS!$C$10,SETTINGS!$C$11,SETTINGS!$C$12,SETTINGS!$C$13)))</f>
        <v/>
      </c>
      <c r="T431" s="34" t="str">
        <f aca="true">IF($H431="","(chưa có nội dung)",IF($L431="",IF($C431&lt;TODAY(),"⚠ TRỄ HỌC",IF($C431=TODAY(),"★ HỌC HÔM NAY","• Chưa tới")),IF($R431&gt;=5,"✔ MASTER",IF($S431&lt;TODAY(),"⚠ TRỄ ÔN",IF($S431=TODAY(),"◆ ÔN HÔM NAY","✔ Đúng tiến độ")))))</f>
        <v>• Chưa tới</v>
      </c>
      <c r="U431" s="38" t="n">
        <f aca="false">IF($H431="","",$R431/5)</f>
        <v>0</v>
      </c>
    </row>
    <row r="432" customFormat="false" ht="23.85" hidden="false" customHeight="false" outlineLevel="0" collapsed="false">
      <c r="A432" s="31" t="s">
        <v>2705</v>
      </c>
      <c r="B432" s="31" t="n">
        <v>22</v>
      </c>
      <c r="C432" s="32" t="n">
        <f aca="false">SETTINGS!$C$3+$B432-1</f>
        <v>46321</v>
      </c>
      <c r="D432" s="39" t="s">
        <v>1947</v>
      </c>
      <c r="E432" s="34" t="s">
        <v>2651</v>
      </c>
      <c r="F432" s="34" t="s">
        <v>280</v>
      </c>
      <c r="G432" s="34" t="s">
        <v>2706</v>
      </c>
      <c r="H432" s="35" t="s">
        <v>2707</v>
      </c>
      <c r="I432" s="36" t="s">
        <v>2708</v>
      </c>
      <c r="J432" s="34" t="s">
        <v>2709</v>
      </c>
      <c r="K432" s="34" t="s">
        <v>2710</v>
      </c>
      <c r="L432" s="37"/>
      <c r="M432" s="37"/>
      <c r="N432" s="37"/>
      <c r="O432" s="37"/>
      <c r="P432" s="37"/>
      <c r="Q432" s="37"/>
      <c r="R432" s="31" t="n">
        <f aca="false">COUNT($M432:$Q432)</f>
        <v>0</v>
      </c>
      <c r="S432" s="32" t="str">
        <f aca="false">IF($L432="","",IF($R432&gt;=5,"",MAX($L432:$Q432)+CHOOSE($R432+1,SETTINGS!$C$9,SETTINGS!$C$10,SETTINGS!$C$11,SETTINGS!$C$12,SETTINGS!$C$13)))</f>
        <v/>
      </c>
      <c r="T432" s="34" t="str">
        <f aca="true">IF($H432="","(chưa có nội dung)",IF($L432="",IF($C432&lt;TODAY(),"⚠ TRỄ HỌC",IF($C432=TODAY(),"★ HỌC HÔM NAY","• Chưa tới")),IF($R432&gt;=5,"✔ MASTER",IF($S432&lt;TODAY(),"⚠ TRỄ ÔN",IF($S432=TODAY(),"◆ ÔN HÔM NAY","✔ Đúng tiến độ")))))</f>
        <v>• Chưa tới</v>
      </c>
      <c r="U432" s="38" t="n">
        <f aca="false">IF($H432="","",$R432/5)</f>
        <v>0</v>
      </c>
    </row>
    <row r="433" customFormat="false" ht="23.85" hidden="false" customHeight="false" outlineLevel="0" collapsed="false">
      <c r="A433" s="31" t="s">
        <v>2711</v>
      </c>
      <c r="B433" s="31" t="n">
        <v>22</v>
      </c>
      <c r="C433" s="32" t="n">
        <f aca="false">SETTINGS!$C$3+$B433-1</f>
        <v>46321</v>
      </c>
      <c r="D433" s="39" t="s">
        <v>1947</v>
      </c>
      <c r="E433" s="34" t="s">
        <v>2651</v>
      </c>
      <c r="F433" s="34" t="s">
        <v>280</v>
      </c>
      <c r="G433" s="34" t="s">
        <v>2712</v>
      </c>
      <c r="H433" s="35" t="s">
        <v>2713</v>
      </c>
      <c r="I433" s="36" t="s">
        <v>2714</v>
      </c>
      <c r="J433" s="34" t="s">
        <v>2715</v>
      </c>
      <c r="K433" s="34" t="s">
        <v>2716</v>
      </c>
      <c r="L433" s="37"/>
      <c r="M433" s="37"/>
      <c r="N433" s="37"/>
      <c r="O433" s="37"/>
      <c r="P433" s="37"/>
      <c r="Q433" s="37"/>
      <c r="R433" s="31" t="n">
        <f aca="false">COUNT($M433:$Q433)</f>
        <v>0</v>
      </c>
      <c r="S433" s="32" t="str">
        <f aca="false">IF($L433="","",IF($R433&gt;=5,"",MAX($L433:$Q433)+CHOOSE($R433+1,SETTINGS!$C$9,SETTINGS!$C$10,SETTINGS!$C$11,SETTINGS!$C$12,SETTINGS!$C$13)))</f>
        <v/>
      </c>
      <c r="T433" s="34" t="str">
        <f aca="true">IF($H433="","(chưa có nội dung)",IF($L433="",IF($C433&lt;TODAY(),"⚠ TRỄ HỌC",IF($C433=TODAY(),"★ HỌC HÔM NAY","• Chưa tới")),IF($R433&gt;=5,"✔ MASTER",IF($S433&lt;TODAY(),"⚠ TRỄ ÔN",IF($S433=TODAY(),"◆ ÔN HÔM NAY","✔ Đúng tiến độ")))))</f>
        <v>• Chưa tới</v>
      </c>
      <c r="U433" s="38" t="n">
        <f aca="false">IF($H433="","",$R433/5)</f>
        <v>0</v>
      </c>
    </row>
    <row r="434" customFormat="false" ht="23.85" hidden="false" customHeight="false" outlineLevel="0" collapsed="false">
      <c r="A434" s="31" t="s">
        <v>2717</v>
      </c>
      <c r="B434" s="31" t="n">
        <v>22</v>
      </c>
      <c r="C434" s="32" t="n">
        <f aca="false">SETTINGS!$C$3+$B434-1</f>
        <v>46321</v>
      </c>
      <c r="D434" s="39" t="s">
        <v>1947</v>
      </c>
      <c r="E434" s="34" t="s">
        <v>2651</v>
      </c>
      <c r="F434" s="34" t="s">
        <v>280</v>
      </c>
      <c r="G434" s="34" t="s">
        <v>2718</v>
      </c>
      <c r="H434" s="35" t="s">
        <v>2719</v>
      </c>
      <c r="I434" s="36" t="s">
        <v>2720</v>
      </c>
      <c r="J434" s="34" t="s">
        <v>2721</v>
      </c>
      <c r="K434" s="34" t="s">
        <v>2722</v>
      </c>
      <c r="L434" s="37"/>
      <c r="M434" s="37"/>
      <c r="N434" s="37"/>
      <c r="O434" s="37"/>
      <c r="P434" s="37"/>
      <c r="Q434" s="37"/>
      <c r="R434" s="31" t="n">
        <f aca="false">COUNT($M434:$Q434)</f>
        <v>0</v>
      </c>
      <c r="S434" s="32" t="str">
        <f aca="false">IF($L434="","",IF($R434&gt;=5,"",MAX($L434:$Q434)+CHOOSE($R434+1,SETTINGS!$C$9,SETTINGS!$C$10,SETTINGS!$C$11,SETTINGS!$C$12,SETTINGS!$C$13)))</f>
        <v/>
      </c>
      <c r="T434" s="34" t="str">
        <f aca="true">IF($H434="","(chưa có nội dung)",IF($L434="",IF($C434&lt;TODAY(),"⚠ TRỄ HỌC",IF($C434=TODAY(),"★ HỌC HÔM NAY","• Chưa tới")),IF($R434&gt;=5,"✔ MASTER",IF($S434&lt;TODAY(),"⚠ TRỄ ÔN",IF($S434=TODAY(),"◆ ÔN HÔM NAY","✔ Đúng tiến độ")))))</f>
        <v>• Chưa tới</v>
      </c>
      <c r="U434" s="38" t="n">
        <f aca="false">IF($H434="","",$R434/5)</f>
        <v>0</v>
      </c>
    </row>
    <row r="435" customFormat="false" ht="23.85" hidden="false" customHeight="false" outlineLevel="0" collapsed="false">
      <c r="A435" s="31" t="s">
        <v>2723</v>
      </c>
      <c r="B435" s="31" t="n">
        <v>22</v>
      </c>
      <c r="C435" s="32" t="n">
        <f aca="false">SETTINGS!$C$3+$B435-1</f>
        <v>46321</v>
      </c>
      <c r="D435" s="39" t="s">
        <v>1947</v>
      </c>
      <c r="E435" s="34" t="s">
        <v>2651</v>
      </c>
      <c r="F435" s="34" t="s">
        <v>280</v>
      </c>
      <c r="G435" s="34" t="s">
        <v>2724</v>
      </c>
      <c r="H435" s="35" t="s">
        <v>2725</v>
      </c>
      <c r="I435" s="36" t="s">
        <v>2726</v>
      </c>
      <c r="J435" s="34" t="s">
        <v>2727</v>
      </c>
      <c r="K435" s="34" t="s">
        <v>2728</v>
      </c>
      <c r="L435" s="37"/>
      <c r="M435" s="37"/>
      <c r="N435" s="37"/>
      <c r="O435" s="37"/>
      <c r="P435" s="37"/>
      <c r="Q435" s="37"/>
      <c r="R435" s="31" t="n">
        <f aca="false">COUNT($M435:$Q435)</f>
        <v>0</v>
      </c>
      <c r="S435" s="32" t="str">
        <f aca="false">IF($L435="","",IF($R435&gt;=5,"",MAX($L435:$Q435)+CHOOSE($R435+1,SETTINGS!$C$9,SETTINGS!$C$10,SETTINGS!$C$11,SETTINGS!$C$12,SETTINGS!$C$13)))</f>
        <v/>
      </c>
      <c r="T435" s="34" t="str">
        <f aca="true">IF($H435="","(chưa có nội dung)",IF($L435="",IF($C435&lt;TODAY(),"⚠ TRỄ HỌC",IF($C435=TODAY(),"★ HỌC HÔM NAY","• Chưa tới")),IF($R435&gt;=5,"✔ MASTER",IF($S435&lt;TODAY(),"⚠ TRỄ ÔN",IF($S435=TODAY(),"◆ ÔN HÔM NAY","✔ Đúng tiến độ")))))</f>
        <v>• Chưa tới</v>
      </c>
      <c r="U435" s="38" t="n">
        <f aca="false">IF($H435="","",$R435/5)</f>
        <v>0</v>
      </c>
    </row>
    <row r="436" customFormat="false" ht="23.85" hidden="false" customHeight="false" outlineLevel="0" collapsed="false">
      <c r="A436" s="31" t="s">
        <v>2729</v>
      </c>
      <c r="B436" s="31" t="n">
        <v>22</v>
      </c>
      <c r="C436" s="32" t="n">
        <f aca="false">SETTINGS!$C$3+$B436-1</f>
        <v>46321</v>
      </c>
      <c r="D436" s="39" t="s">
        <v>1947</v>
      </c>
      <c r="E436" s="34" t="s">
        <v>2651</v>
      </c>
      <c r="F436" s="34" t="s">
        <v>280</v>
      </c>
      <c r="G436" s="34" t="s">
        <v>2730</v>
      </c>
      <c r="H436" s="35" t="s">
        <v>2731</v>
      </c>
      <c r="I436" s="36" t="s">
        <v>2732</v>
      </c>
      <c r="J436" s="34" t="s">
        <v>2733</v>
      </c>
      <c r="K436" s="34" t="s">
        <v>2734</v>
      </c>
      <c r="L436" s="37"/>
      <c r="M436" s="37"/>
      <c r="N436" s="37"/>
      <c r="O436" s="37"/>
      <c r="P436" s="37"/>
      <c r="Q436" s="37"/>
      <c r="R436" s="31" t="n">
        <f aca="false">COUNT($M436:$Q436)</f>
        <v>0</v>
      </c>
      <c r="S436" s="32" t="str">
        <f aca="false">IF($L436="","",IF($R436&gt;=5,"",MAX($L436:$Q436)+CHOOSE($R436+1,SETTINGS!$C$9,SETTINGS!$C$10,SETTINGS!$C$11,SETTINGS!$C$12,SETTINGS!$C$13)))</f>
        <v/>
      </c>
      <c r="T436" s="34" t="str">
        <f aca="true">IF($H436="","(chưa có nội dung)",IF($L436="",IF($C436&lt;TODAY(),"⚠ TRỄ HỌC",IF($C436=TODAY(),"★ HỌC HÔM NAY","• Chưa tới")),IF($R436&gt;=5,"✔ MASTER",IF($S436&lt;TODAY(),"⚠ TRỄ ÔN",IF($S436=TODAY(),"◆ ÔN HÔM NAY","✔ Đúng tiến độ")))))</f>
        <v>• Chưa tới</v>
      </c>
      <c r="U436" s="38" t="n">
        <f aca="false">IF($H436="","",$R436/5)</f>
        <v>0</v>
      </c>
    </row>
    <row r="437" customFormat="false" ht="23.85" hidden="false" customHeight="false" outlineLevel="0" collapsed="false">
      <c r="A437" s="31" t="s">
        <v>2735</v>
      </c>
      <c r="B437" s="31" t="n">
        <v>22</v>
      </c>
      <c r="C437" s="32" t="n">
        <f aca="false">SETTINGS!$C$3+$B437-1</f>
        <v>46321</v>
      </c>
      <c r="D437" s="39" t="s">
        <v>1947</v>
      </c>
      <c r="E437" s="34" t="s">
        <v>2651</v>
      </c>
      <c r="F437" s="34" t="s">
        <v>202</v>
      </c>
      <c r="G437" s="34" t="s">
        <v>2736</v>
      </c>
      <c r="H437" s="35" t="s">
        <v>2737</v>
      </c>
      <c r="I437" s="36" t="s">
        <v>2738</v>
      </c>
      <c r="J437" s="34" t="s">
        <v>2739</v>
      </c>
      <c r="K437" s="34" t="s">
        <v>2740</v>
      </c>
      <c r="L437" s="37"/>
      <c r="M437" s="37"/>
      <c r="N437" s="37"/>
      <c r="O437" s="37"/>
      <c r="P437" s="37"/>
      <c r="Q437" s="37"/>
      <c r="R437" s="31" t="n">
        <f aca="false">COUNT($M437:$Q437)</f>
        <v>0</v>
      </c>
      <c r="S437" s="32" t="str">
        <f aca="false">IF($L437="","",IF($R437&gt;=5,"",MAX($L437:$Q437)+CHOOSE($R437+1,SETTINGS!$C$9,SETTINGS!$C$10,SETTINGS!$C$11,SETTINGS!$C$12,SETTINGS!$C$13)))</f>
        <v/>
      </c>
      <c r="T437" s="34" t="str">
        <f aca="true">IF($H437="","(chưa có nội dung)",IF($L437="",IF($C437&lt;TODAY(),"⚠ TRỄ HỌC",IF($C437=TODAY(),"★ HỌC HÔM NAY","• Chưa tới")),IF($R437&gt;=5,"✔ MASTER",IF($S437&lt;TODAY(),"⚠ TRỄ ÔN",IF($S437=TODAY(),"◆ ÔN HÔM NAY","✔ Đúng tiến độ")))))</f>
        <v>• Chưa tới</v>
      </c>
      <c r="U437" s="38" t="n">
        <f aca="false">IF($H437="","",$R437/5)</f>
        <v>0</v>
      </c>
    </row>
    <row r="438" customFormat="false" ht="23.85" hidden="false" customHeight="false" outlineLevel="0" collapsed="false">
      <c r="A438" s="31" t="s">
        <v>2741</v>
      </c>
      <c r="B438" s="31" t="n">
        <v>22</v>
      </c>
      <c r="C438" s="32" t="n">
        <f aca="false">SETTINGS!$C$3+$B438-1</f>
        <v>46321</v>
      </c>
      <c r="D438" s="39" t="s">
        <v>1947</v>
      </c>
      <c r="E438" s="34" t="s">
        <v>2651</v>
      </c>
      <c r="F438" s="34" t="s">
        <v>280</v>
      </c>
      <c r="G438" s="34" t="s">
        <v>2742</v>
      </c>
      <c r="H438" s="35" t="s">
        <v>2743</v>
      </c>
      <c r="I438" s="36" t="s">
        <v>2744</v>
      </c>
      <c r="J438" s="34" t="s">
        <v>2745</v>
      </c>
      <c r="K438" s="34" t="s">
        <v>2746</v>
      </c>
      <c r="L438" s="37"/>
      <c r="M438" s="37"/>
      <c r="N438" s="37"/>
      <c r="O438" s="37"/>
      <c r="P438" s="37"/>
      <c r="Q438" s="37"/>
      <c r="R438" s="31" t="n">
        <f aca="false">COUNT($M438:$Q438)</f>
        <v>0</v>
      </c>
      <c r="S438" s="32" t="str">
        <f aca="false">IF($L438="","",IF($R438&gt;=5,"",MAX($L438:$Q438)+CHOOSE($R438+1,SETTINGS!$C$9,SETTINGS!$C$10,SETTINGS!$C$11,SETTINGS!$C$12,SETTINGS!$C$13)))</f>
        <v/>
      </c>
      <c r="T438" s="34" t="str">
        <f aca="true">IF($H438="","(chưa có nội dung)",IF($L438="",IF($C438&lt;TODAY(),"⚠ TRỄ HỌC",IF($C438=TODAY(),"★ HỌC HÔM NAY","• Chưa tới")),IF($R438&gt;=5,"✔ MASTER",IF($S438&lt;TODAY(),"⚠ TRỄ ÔN",IF($S438=TODAY(),"◆ ÔN HÔM NAY","✔ Đúng tiến độ")))))</f>
        <v>• Chưa tới</v>
      </c>
      <c r="U438" s="38" t="n">
        <f aca="false">IF($H438="","",$R438/5)</f>
        <v>0</v>
      </c>
    </row>
    <row r="439" customFormat="false" ht="23.85" hidden="false" customHeight="false" outlineLevel="0" collapsed="false">
      <c r="A439" s="31" t="s">
        <v>2747</v>
      </c>
      <c r="B439" s="31" t="n">
        <v>22</v>
      </c>
      <c r="C439" s="32" t="n">
        <f aca="false">SETTINGS!$C$3+$B439-1</f>
        <v>46321</v>
      </c>
      <c r="D439" s="39" t="s">
        <v>1947</v>
      </c>
      <c r="E439" s="34" t="s">
        <v>2651</v>
      </c>
      <c r="F439" s="34" t="s">
        <v>280</v>
      </c>
      <c r="G439" s="34" t="s">
        <v>2748</v>
      </c>
      <c r="H439" s="35" t="s">
        <v>2749</v>
      </c>
      <c r="I439" s="36" t="s">
        <v>2750</v>
      </c>
      <c r="J439" s="34" t="s">
        <v>2751</v>
      </c>
      <c r="K439" s="34" t="s">
        <v>2752</v>
      </c>
      <c r="L439" s="37"/>
      <c r="M439" s="37"/>
      <c r="N439" s="37"/>
      <c r="O439" s="37"/>
      <c r="P439" s="37"/>
      <c r="Q439" s="37"/>
      <c r="R439" s="31" t="n">
        <f aca="false">COUNT($M439:$Q439)</f>
        <v>0</v>
      </c>
      <c r="S439" s="32" t="str">
        <f aca="false">IF($L439="","",IF($R439&gt;=5,"",MAX($L439:$Q439)+CHOOSE($R439+1,SETTINGS!$C$9,SETTINGS!$C$10,SETTINGS!$C$11,SETTINGS!$C$12,SETTINGS!$C$13)))</f>
        <v/>
      </c>
      <c r="T439" s="34" t="str">
        <f aca="true">IF($H439="","(chưa có nội dung)",IF($L439="",IF($C439&lt;TODAY(),"⚠ TRỄ HỌC",IF($C439=TODAY(),"★ HỌC HÔM NAY","• Chưa tới")),IF($R439&gt;=5,"✔ MASTER",IF($S439&lt;TODAY(),"⚠ TRỄ ÔN",IF($S439=TODAY(),"◆ ÔN HÔM NAY","✔ Đúng tiến độ")))))</f>
        <v>• Chưa tới</v>
      </c>
      <c r="U439" s="38" t="n">
        <f aca="false">IF($H439="","",$R439/5)</f>
        <v>0</v>
      </c>
    </row>
    <row r="440" customFormat="false" ht="23.85" hidden="false" customHeight="false" outlineLevel="0" collapsed="false">
      <c r="A440" s="31" t="s">
        <v>2753</v>
      </c>
      <c r="B440" s="31" t="n">
        <v>22</v>
      </c>
      <c r="C440" s="32" t="n">
        <f aca="false">SETTINGS!$C$3+$B440-1</f>
        <v>46321</v>
      </c>
      <c r="D440" s="39" t="s">
        <v>1947</v>
      </c>
      <c r="E440" s="34" t="s">
        <v>2651</v>
      </c>
      <c r="F440" s="34" t="s">
        <v>280</v>
      </c>
      <c r="G440" s="34" t="s">
        <v>2754</v>
      </c>
      <c r="H440" s="35" t="s">
        <v>2755</v>
      </c>
      <c r="I440" s="36" t="s">
        <v>2756</v>
      </c>
      <c r="J440" s="34" t="s">
        <v>2757</v>
      </c>
      <c r="K440" s="34" t="s">
        <v>2758</v>
      </c>
      <c r="L440" s="37"/>
      <c r="M440" s="37"/>
      <c r="N440" s="37"/>
      <c r="O440" s="37"/>
      <c r="P440" s="37"/>
      <c r="Q440" s="37"/>
      <c r="R440" s="31" t="n">
        <f aca="false">COUNT($M440:$Q440)</f>
        <v>0</v>
      </c>
      <c r="S440" s="32" t="str">
        <f aca="false">IF($L440="","",IF($R440&gt;=5,"",MAX($L440:$Q440)+CHOOSE($R440+1,SETTINGS!$C$9,SETTINGS!$C$10,SETTINGS!$C$11,SETTINGS!$C$12,SETTINGS!$C$13)))</f>
        <v/>
      </c>
      <c r="T440" s="34" t="str">
        <f aca="true">IF($H440="","(chưa có nội dung)",IF($L440="",IF($C440&lt;TODAY(),"⚠ TRỄ HỌC",IF($C440=TODAY(),"★ HỌC HÔM NAY","• Chưa tới")),IF($R440&gt;=5,"✔ MASTER",IF($S440&lt;TODAY(),"⚠ TRỄ ÔN",IF($S440=TODAY(),"◆ ÔN HÔM NAY","✔ Đúng tiến độ")))))</f>
        <v>• Chưa tới</v>
      </c>
      <c r="U440" s="38" t="n">
        <f aca="false">IF($H440="","",$R440/5)</f>
        <v>0</v>
      </c>
    </row>
    <row r="441" customFormat="false" ht="23.85" hidden="false" customHeight="false" outlineLevel="0" collapsed="false">
      <c r="A441" s="31" t="s">
        <v>2759</v>
      </c>
      <c r="B441" s="31" t="n">
        <v>22</v>
      </c>
      <c r="C441" s="32" t="n">
        <f aca="false">SETTINGS!$C$3+$B441-1</f>
        <v>46321</v>
      </c>
      <c r="D441" s="39" t="s">
        <v>1947</v>
      </c>
      <c r="E441" s="34" t="s">
        <v>2651</v>
      </c>
      <c r="F441" s="34" t="s">
        <v>280</v>
      </c>
      <c r="G441" s="34" t="s">
        <v>2760</v>
      </c>
      <c r="H441" s="35" t="s">
        <v>2761</v>
      </c>
      <c r="I441" s="36" t="s">
        <v>2762</v>
      </c>
      <c r="J441" s="34" t="s">
        <v>2763</v>
      </c>
      <c r="K441" s="34" t="s">
        <v>2764</v>
      </c>
      <c r="L441" s="37"/>
      <c r="M441" s="37"/>
      <c r="N441" s="37"/>
      <c r="O441" s="37"/>
      <c r="P441" s="37"/>
      <c r="Q441" s="37"/>
      <c r="R441" s="31" t="n">
        <f aca="false">COUNT($M441:$Q441)</f>
        <v>0</v>
      </c>
      <c r="S441" s="32" t="str">
        <f aca="false">IF($L441="","",IF($R441&gt;=5,"",MAX($L441:$Q441)+CHOOSE($R441+1,SETTINGS!$C$9,SETTINGS!$C$10,SETTINGS!$C$11,SETTINGS!$C$12,SETTINGS!$C$13)))</f>
        <v/>
      </c>
      <c r="T441" s="34" t="str">
        <f aca="true">IF($H441="","(chưa có nội dung)",IF($L441="",IF($C441&lt;TODAY(),"⚠ TRỄ HỌC",IF($C441=TODAY(),"★ HỌC HÔM NAY","• Chưa tới")),IF($R441&gt;=5,"✔ MASTER",IF($S441&lt;TODAY(),"⚠ TRỄ ÔN",IF($S441=TODAY(),"◆ ÔN HÔM NAY","✔ Đúng tiến độ")))))</f>
        <v>• Chưa tới</v>
      </c>
      <c r="U441" s="38" t="n">
        <f aca="false">IF($H441="","",$R441/5)</f>
        <v>0</v>
      </c>
    </row>
    <row r="442" customFormat="false" ht="23.85" hidden="false" customHeight="false" outlineLevel="0" collapsed="false">
      <c r="A442" s="31" t="s">
        <v>2765</v>
      </c>
      <c r="B442" s="31" t="n">
        <v>22</v>
      </c>
      <c r="C442" s="32" t="n">
        <f aca="false">SETTINGS!$C$3+$B442-1</f>
        <v>46321</v>
      </c>
      <c r="D442" s="39" t="s">
        <v>1947</v>
      </c>
      <c r="E442" s="34" t="s">
        <v>2651</v>
      </c>
      <c r="F442" s="34" t="s">
        <v>202</v>
      </c>
      <c r="G442" s="34" t="s">
        <v>2766</v>
      </c>
      <c r="H442" s="35" t="s">
        <v>2767</v>
      </c>
      <c r="I442" s="36" t="s">
        <v>2768</v>
      </c>
      <c r="J442" s="34" t="s">
        <v>2769</v>
      </c>
      <c r="K442" s="34" t="s">
        <v>2770</v>
      </c>
      <c r="L442" s="37"/>
      <c r="M442" s="37"/>
      <c r="N442" s="37"/>
      <c r="O442" s="37"/>
      <c r="P442" s="37"/>
      <c r="Q442" s="37"/>
      <c r="R442" s="31" t="n">
        <f aca="false">COUNT($M442:$Q442)</f>
        <v>0</v>
      </c>
      <c r="S442" s="32" t="str">
        <f aca="false">IF($L442="","",IF($R442&gt;=5,"",MAX($L442:$Q442)+CHOOSE($R442+1,SETTINGS!$C$9,SETTINGS!$C$10,SETTINGS!$C$11,SETTINGS!$C$12,SETTINGS!$C$13)))</f>
        <v/>
      </c>
      <c r="T442" s="34" t="str">
        <f aca="true">IF($H442="","(chưa có nội dung)",IF($L442="",IF($C442&lt;TODAY(),"⚠ TRỄ HỌC",IF($C442=TODAY(),"★ HỌC HÔM NAY","• Chưa tới")),IF($R442&gt;=5,"✔ MASTER",IF($S442&lt;TODAY(),"⚠ TRỄ ÔN",IF($S442=TODAY(),"◆ ÔN HÔM NAY","✔ Đúng tiến độ")))))</f>
        <v>• Chưa tới</v>
      </c>
      <c r="U442" s="38" t="n">
        <f aca="false">IF($H442="","",$R442/5)</f>
        <v>0</v>
      </c>
    </row>
    <row r="443" customFormat="false" ht="15" hidden="false" customHeight="false" outlineLevel="0" collapsed="false">
      <c r="A443" s="31" t="s">
        <v>2771</v>
      </c>
      <c r="B443" s="31" t="n">
        <v>23</v>
      </c>
      <c r="C443" s="32" t="n">
        <f aca="false">SETTINGS!$C$3+$B443-1</f>
        <v>46322</v>
      </c>
      <c r="D443" s="39" t="s">
        <v>1947</v>
      </c>
      <c r="E443" s="34" t="s">
        <v>2772</v>
      </c>
      <c r="F443" s="34" t="s">
        <v>280</v>
      </c>
      <c r="G443" s="34" t="s">
        <v>2773</v>
      </c>
      <c r="H443" s="35" t="s">
        <v>2774</v>
      </c>
      <c r="I443" s="36" t="s">
        <v>2775</v>
      </c>
      <c r="J443" s="34" t="s">
        <v>2776</v>
      </c>
      <c r="K443" s="34" t="s">
        <v>2777</v>
      </c>
      <c r="L443" s="37"/>
      <c r="M443" s="37"/>
      <c r="N443" s="37"/>
      <c r="O443" s="37"/>
      <c r="P443" s="37"/>
      <c r="Q443" s="37"/>
      <c r="R443" s="31" t="n">
        <f aca="false">COUNT($M443:$Q443)</f>
        <v>0</v>
      </c>
      <c r="S443" s="32" t="str">
        <f aca="false">IF($L443="","",IF($R443&gt;=5,"",MAX($L443:$Q443)+CHOOSE($R443+1,SETTINGS!$C$9,SETTINGS!$C$10,SETTINGS!$C$11,SETTINGS!$C$12,SETTINGS!$C$13)))</f>
        <v/>
      </c>
      <c r="T443" s="34" t="str">
        <f aca="true">IF($H443="","(chưa có nội dung)",IF($L443="",IF($C443&lt;TODAY(),"⚠ TRỄ HỌC",IF($C443=TODAY(),"★ HỌC HÔM NAY","• Chưa tới")),IF($R443&gt;=5,"✔ MASTER",IF($S443&lt;TODAY(),"⚠ TRỄ ÔN",IF($S443=TODAY(),"◆ ÔN HÔM NAY","✔ Đúng tiến độ")))))</f>
        <v>• Chưa tới</v>
      </c>
      <c r="U443" s="38" t="n">
        <f aca="false">IF($H443="","",$R443/5)</f>
        <v>0</v>
      </c>
    </row>
    <row r="444" customFormat="false" ht="15" hidden="false" customHeight="false" outlineLevel="0" collapsed="false">
      <c r="A444" s="31" t="s">
        <v>2778</v>
      </c>
      <c r="B444" s="31" t="n">
        <v>23</v>
      </c>
      <c r="C444" s="32" t="n">
        <f aca="false">SETTINGS!$C$3+$B444-1</f>
        <v>46322</v>
      </c>
      <c r="D444" s="39" t="s">
        <v>1947</v>
      </c>
      <c r="E444" s="34" t="s">
        <v>2772</v>
      </c>
      <c r="F444" s="34" t="s">
        <v>497</v>
      </c>
      <c r="G444" s="34" t="s">
        <v>2779</v>
      </c>
      <c r="H444" s="35" t="s">
        <v>2780</v>
      </c>
      <c r="I444" s="36" t="s">
        <v>2781</v>
      </c>
      <c r="J444" s="34" t="s">
        <v>2782</v>
      </c>
      <c r="K444" s="34" t="s">
        <v>2783</v>
      </c>
      <c r="L444" s="37"/>
      <c r="M444" s="37"/>
      <c r="N444" s="37"/>
      <c r="O444" s="37"/>
      <c r="P444" s="37"/>
      <c r="Q444" s="37"/>
      <c r="R444" s="31" t="n">
        <f aca="false">COUNT($M444:$Q444)</f>
        <v>0</v>
      </c>
      <c r="S444" s="32" t="str">
        <f aca="false">IF($L444="","",IF($R444&gt;=5,"",MAX($L444:$Q444)+CHOOSE($R444+1,SETTINGS!$C$9,SETTINGS!$C$10,SETTINGS!$C$11,SETTINGS!$C$12,SETTINGS!$C$13)))</f>
        <v/>
      </c>
      <c r="T444" s="34" t="str">
        <f aca="true">IF($H444="","(chưa có nội dung)",IF($L444="",IF($C444&lt;TODAY(),"⚠ TRỄ HỌC",IF($C444=TODAY(),"★ HỌC HÔM NAY","• Chưa tới")),IF($R444&gt;=5,"✔ MASTER",IF($S444&lt;TODAY(),"⚠ TRỄ ÔN",IF($S444=TODAY(),"◆ ÔN HÔM NAY","✔ Đúng tiến độ")))))</f>
        <v>• Chưa tới</v>
      </c>
      <c r="U444" s="38" t="n">
        <f aca="false">IF($H444="","",$R444/5)</f>
        <v>0</v>
      </c>
    </row>
    <row r="445" customFormat="false" ht="15" hidden="false" customHeight="false" outlineLevel="0" collapsed="false">
      <c r="A445" s="31" t="s">
        <v>2784</v>
      </c>
      <c r="B445" s="31" t="n">
        <v>23</v>
      </c>
      <c r="C445" s="32" t="n">
        <f aca="false">SETTINGS!$C$3+$B445-1</f>
        <v>46322</v>
      </c>
      <c r="D445" s="39" t="s">
        <v>1947</v>
      </c>
      <c r="E445" s="34" t="s">
        <v>2772</v>
      </c>
      <c r="F445" s="34" t="s">
        <v>280</v>
      </c>
      <c r="G445" s="34" t="s">
        <v>2785</v>
      </c>
      <c r="H445" s="35" t="s">
        <v>2786</v>
      </c>
      <c r="I445" s="36" t="s">
        <v>2787</v>
      </c>
      <c r="J445" s="34" t="s">
        <v>2788</v>
      </c>
      <c r="K445" s="34" t="s">
        <v>2789</v>
      </c>
      <c r="L445" s="37"/>
      <c r="M445" s="37"/>
      <c r="N445" s="37"/>
      <c r="O445" s="37"/>
      <c r="P445" s="37"/>
      <c r="Q445" s="37"/>
      <c r="R445" s="31" t="n">
        <f aca="false">COUNT($M445:$Q445)</f>
        <v>0</v>
      </c>
      <c r="S445" s="32" t="str">
        <f aca="false">IF($L445="","",IF($R445&gt;=5,"",MAX($L445:$Q445)+CHOOSE($R445+1,SETTINGS!$C$9,SETTINGS!$C$10,SETTINGS!$C$11,SETTINGS!$C$12,SETTINGS!$C$13)))</f>
        <v/>
      </c>
      <c r="T445" s="34" t="str">
        <f aca="true">IF($H445="","(chưa có nội dung)",IF($L445="",IF($C445&lt;TODAY(),"⚠ TRỄ HỌC",IF($C445=TODAY(),"★ HỌC HÔM NAY","• Chưa tới")),IF($R445&gt;=5,"✔ MASTER",IF($S445&lt;TODAY(),"⚠ TRỄ ÔN",IF($S445=TODAY(),"◆ ÔN HÔM NAY","✔ Đúng tiến độ")))))</f>
        <v>• Chưa tới</v>
      </c>
      <c r="U445" s="38" t="n">
        <f aca="false">IF($H445="","",$R445/5)</f>
        <v>0</v>
      </c>
    </row>
    <row r="446" customFormat="false" ht="15" hidden="false" customHeight="false" outlineLevel="0" collapsed="false">
      <c r="A446" s="31" t="s">
        <v>2790</v>
      </c>
      <c r="B446" s="31" t="n">
        <v>23</v>
      </c>
      <c r="C446" s="32" t="n">
        <f aca="false">SETTINGS!$C$3+$B446-1</f>
        <v>46322</v>
      </c>
      <c r="D446" s="39" t="s">
        <v>1947</v>
      </c>
      <c r="E446" s="34" t="s">
        <v>2772</v>
      </c>
      <c r="F446" s="34" t="s">
        <v>183</v>
      </c>
      <c r="G446" s="34" t="s">
        <v>2791</v>
      </c>
      <c r="H446" s="35" t="s">
        <v>2792</v>
      </c>
      <c r="I446" s="36" t="s">
        <v>2793</v>
      </c>
      <c r="J446" s="34" t="s">
        <v>2794</v>
      </c>
      <c r="K446" s="34" t="s">
        <v>2795</v>
      </c>
      <c r="L446" s="37"/>
      <c r="M446" s="37"/>
      <c r="N446" s="37"/>
      <c r="O446" s="37"/>
      <c r="P446" s="37"/>
      <c r="Q446" s="37"/>
      <c r="R446" s="31" t="n">
        <f aca="false">COUNT($M446:$Q446)</f>
        <v>0</v>
      </c>
      <c r="S446" s="32" t="str">
        <f aca="false">IF($L446="","",IF($R446&gt;=5,"",MAX($L446:$Q446)+CHOOSE($R446+1,SETTINGS!$C$9,SETTINGS!$C$10,SETTINGS!$C$11,SETTINGS!$C$12,SETTINGS!$C$13)))</f>
        <v/>
      </c>
      <c r="T446" s="34" t="str">
        <f aca="true">IF($H446="","(chưa có nội dung)",IF($L446="",IF($C446&lt;TODAY(),"⚠ TRỄ HỌC",IF($C446=TODAY(),"★ HỌC HÔM NAY","• Chưa tới")),IF($R446&gt;=5,"✔ MASTER",IF($S446&lt;TODAY(),"⚠ TRỄ ÔN",IF($S446=TODAY(),"◆ ÔN HÔM NAY","✔ Đúng tiến độ")))))</f>
        <v>• Chưa tới</v>
      </c>
      <c r="U446" s="38" t="n">
        <f aca="false">IF($H446="","",$R446/5)</f>
        <v>0</v>
      </c>
    </row>
    <row r="447" customFormat="false" ht="15" hidden="false" customHeight="false" outlineLevel="0" collapsed="false">
      <c r="A447" s="31" t="s">
        <v>2796</v>
      </c>
      <c r="B447" s="31" t="n">
        <v>23</v>
      </c>
      <c r="C447" s="32" t="n">
        <f aca="false">SETTINGS!$C$3+$B447-1</f>
        <v>46322</v>
      </c>
      <c r="D447" s="39" t="s">
        <v>1947</v>
      </c>
      <c r="E447" s="34" t="s">
        <v>2772</v>
      </c>
      <c r="F447" s="34" t="s">
        <v>280</v>
      </c>
      <c r="G447" s="34" t="s">
        <v>2797</v>
      </c>
      <c r="H447" s="35" t="s">
        <v>2798</v>
      </c>
      <c r="I447" s="36" t="s">
        <v>2799</v>
      </c>
      <c r="J447" s="34" t="s">
        <v>2800</v>
      </c>
      <c r="K447" s="34" t="s">
        <v>2801</v>
      </c>
      <c r="L447" s="37"/>
      <c r="M447" s="37"/>
      <c r="N447" s="37"/>
      <c r="O447" s="37"/>
      <c r="P447" s="37"/>
      <c r="Q447" s="37"/>
      <c r="R447" s="31" t="n">
        <f aca="false">COUNT($M447:$Q447)</f>
        <v>0</v>
      </c>
      <c r="S447" s="32" t="str">
        <f aca="false">IF($L447="","",IF($R447&gt;=5,"",MAX($L447:$Q447)+CHOOSE($R447+1,SETTINGS!$C$9,SETTINGS!$C$10,SETTINGS!$C$11,SETTINGS!$C$12,SETTINGS!$C$13)))</f>
        <v/>
      </c>
      <c r="T447" s="34" t="str">
        <f aca="true">IF($H447="","(chưa có nội dung)",IF($L447="",IF($C447&lt;TODAY(),"⚠ TRỄ HỌC",IF($C447=TODAY(),"★ HỌC HÔM NAY","• Chưa tới")),IF($R447&gt;=5,"✔ MASTER",IF($S447&lt;TODAY(),"⚠ TRỄ ÔN",IF($S447=TODAY(),"◆ ÔN HÔM NAY","✔ Đúng tiến độ")))))</f>
        <v>• Chưa tới</v>
      </c>
      <c r="U447" s="38" t="n">
        <f aca="false">IF($H447="","",$R447/5)</f>
        <v>0</v>
      </c>
    </row>
    <row r="448" customFormat="false" ht="15" hidden="false" customHeight="false" outlineLevel="0" collapsed="false">
      <c r="A448" s="31" t="s">
        <v>2802</v>
      </c>
      <c r="B448" s="31" t="n">
        <v>23</v>
      </c>
      <c r="C448" s="32" t="n">
        <f aca="false">SETTINGS!$C$3+$B448-1</f>
        <v>46322</v>
      </c>
      <c r="D448" s="39" t="s">
        <v>1947</v>
      </c>
      <c r="E448" s="34" t="s">
        <v>2772</v>
      </c>
      <c r="F448" s="34" t="s">
        <v>497</v>
      </c>
      <c r="G448" s="34" t="s">
        <v>2803</v>
      </c>
      <c r="H448" s="35" t="s">
        <v>2804</v>
      </c>
      <c r="I448" s="36" t="s">
        <v>2805</v>
      </c>
      <c r="J448" s="34" t="s">
        <v>2806</v>
      </c>
      <c r="K448" s="34" t="s">
        <v>2807</v>
      </c>
      <c r="L448" s="37"/>
      <c r="M448" s="37"/>
      <c r="N448" s="37"/>
      <c r="O448" s="37"/>
      <c r="P448" s="37"/>
      <c r="Q448" s="37"/>
      <c r="R448" s="31" t="n">
        <f aca="false">COUNT($M448:$Q448)</f>
        <v>0</v>
      </c>
      <c r="S448" s="32" t="str">
        <f aca="false">IF($L448="","",IF($R448&gt;=5,"",MAX($L448:$Q448)+CHOOSE($R448+1,SETTINGS!$C$9,SETTINGS!$C$10,SETTINGS!$C$11,SETTINGS!$C$12,SETTINGS!$C$13)))</f>
        <v/>
      </c>
      <c r="T448" s="34" t="str">
        <f aca="true">IF($H448="","(chưa có nội dung)",IF($L448="",IF($C448&lt;TODAY(),"⚠ TRỄ HỌC",IF($C448=TODAY(),"★ HỌC HÔM NAY","• Chưa tới")),IF($R448&gt;=5,"✔ MASTER",IF($S448&lt;TODAY(),"⚠ TRỄ ÔN",IF($S448=TODAY(),"◆ ÔN HÔM NAY","✔ Đúng tiến độ")))))</f>
        <v>• Chưa tới</v>
      </c>
      <c r="U448" s="38" t="n">
        <f aca="false">IF($H448="","",$R448/5)</f>
        <v>0</v>
      </c>
    </row>
    <row r="449" customFormat="false" ht="15" hidden="false" customHeight="false" outlineLevel="0" collapsed="false">
      <c r="A449" s="31" t="s">
        <v>2808</v>
      </c>
      <c r="B449" s="31" t="n">
        <v>23</v>
      </c>
      <c r="C449" s="32" t="n">
        <f aca="false">SETTINGS!$C$3+$B449-1</f>
        <v>46322</v>
      </c>
      <c r="D449" s="39" t="s">
        <v>1947</v>
      </c>
      <c r="E449" s="34" t="s">
        <v>2772</v>
      </c>
      <c r="F449" s="34" t="s">
        <v>280</v>
      </c>
      <c r="G449" s="34" t="s">
        <v>1080</v>
      </c>
      <c r="H449" s="35" t="s">
        <v>2809</v>
      </c>
      <c r="I449" s="36" t="s">
        <v>2810</v>
      </c>
      <c r="J449" s="34" t="s">
        <v>2811</v>
      </c>
      <c r="K449" s="34" t="s">
        <v>2812</v>
      </c>
      <c r="L449" s="37"/>
      <c r="M449" s="37"/>
      <c r="N449" s="37"/>
      <c r="O449" s="37"/>
      <c r="P449" s="37"/>
      <c r="Q449" s="37"/>
      <c r="R449" s="31" t="n">
        <f aca="false">COUNT($M449:$Q449)</f>
        <v>0</v>
      </c>
      <c r="S449" s="32" t="str">
        <f aca="false">IF($L449="","",IF($R449&gt;=5,"",MAX($L449:$Q449)+CHOOSE($R449+1,SETTINGS!$C$9,SETTINGS!$C$10,SETTINGS!$C$11,SETTINGS!$C$12,SETTINGS!$C$13)))</f>
        <v/>
      </c>
      <c r="T449" s="34" t="str">
        <f aca="true">IF($H449="","(chưa có nội dung)",IF($L449="",IF($C449&lt;TODAY(),"⚠ TRỄ HỌC",IF($C449=TODAY(),"★ HỌC HÔM NAY","• Chưa tới")),IF($R449&gt;=5,"✔ MASTER",IF($S449&lt;TODAY(),"⚠ TRỄ ÔN",IF($S449=TODAY(),"◆ ÔN HÔM NAY","✔ Đúng tiến độ")))))</f>
        <v>• Chưa tới</v>
      </c>
      <c r="U449" s="38" t="n">
        <f aca="false">IF($H449="","",$R449/5)</f>
        <v>0</v>
      </c>
    </row>
    <row r="450" customFormat="false" ht="15" hidden="false" customHeight="false" outlineLevel="0" collapsed="false">
      <c r="A450" s="31" t="s">
        <v>2813</v>
      </c>
      <c r="B450" s="31" t="n">
        <v>23</v>
      </c>
      <c r="C450" s="32" t="n">
        <f aca="false">SETTINGS!$C$3+$B450-1</f>
        <v>46322</v>
      </c>
      <c r="D450" s="39" t="s">
        <v>1947</v>
      </c>
      <c r="E450" s="34" t="s">
        <v>2772</v>
      </c>
      <c r="F450" s="34" t="s">
        <v>280</v>
      </c>
      <c r="G450" s="34" t="s">
        <v>2814</v>
      </c>
      <c r="H450" s="35" t="s">
        <v>2815</v>
      </c>
      <c r="I450" s="36" t="s">
        <v>2816</v>
      </c>
      <c r="J450" s="34" t="s">
        <v>2817</v>
      </c>
      <c r="K450" s="34" t="s">
        <v>2818</v>
      </c>
      <c r="L450" s="37"/>
      <c r="M450" s="37"/>
      <c r="N450" s="37"/>
      <c r="O450" s="37"/>
      <c r="P450" s="37"/>
      <c r="Q450" s="37"/>
      <c r="R450" s="31" t="n">
        <f aca="false">COUNT($M450:$Q450)</f>
        <v>0</v>
      </c>
      <c r="S450" s="32" t="str">
        <f aca="false">IF($L450="","",IF($R450&gt;=5,"",MAX($L450:$Q450)+CHOOSE($R450+1,SETTINGS!$C$9,SETTINGS!$C$10,SETTINGS!$C$11,SETTINGS!$C$12,SETTINGS!$C$13)))</f>
        <v/>
      </c>
      <c r="T450" s="34" t="str">
        <f aca="true">IF($H450="","(chưa có nội dung)",IF($L450="",IF($C450&lt;TODAY(),"⚠ TRỄ HỌC",IF($C450=TODAY(),"★ HỌC HÔM NAY","• Chưa tới")),IF($R450&gt;=5,"✔ MASTER",IF($S450&lt;TODAY(),"⚠ TRỄ ÔN",IF($S450=TODAY(),"◆ ÔN HÔM NAY","✔ Đúng tiến độ")))))</f>
        <v>• Chưa tới</v>
      </c>
      <c r="U450" s="38" t="n">
        <f aca="false">IF($H450="","",$R450/5)</f>
        <v>0</v>
      </c>
    </row>
    <row r="451" customFormat="false" ht="15" hidden="false" customHeight="false" outlineLevel="0" collapsed="false">
      <c r="A451" s="31" t="s">
        <v>2819</v>
      </c>
      <c r="B451" s="31" t="n">
        <v>23</v>
      </c>
      <c r="C451" s="32" t="n">
        <f aca="false">SETTINGS!$C$3+$B451-1</f>
        <v>46322</v>
      </c>
      <c r="D451" s="39" t="s">
        <v>1947</v>
      </c>
      <c r="E451" s="34" t="s">
        <v>2772</v>
      </c>
      <c r="F451" s="34" t="s">
        <v>280</v>
      </c>
      <c r="G451" s="34" t="s">
        <v>2820</v>
      </c>
      <c r="H451" s="35" t="s">
        <v>2821</v>
      </c>
      <c r="I451" s="36" t="s">
        <v>2822</v>
      </c>
      <c r="J451" s="34" t="s">
        <v>2823</v>
      </c>
      <c r="K451" s="34" t="s">
        <v>2824</v>
      </c>
      <c r="L451" s="37"/>
      <c r="M451" s="37"/>
      <c r="N451" s="37"/>
      <c r="O451" s="37"/>
      <c r="P451" s="37"/>
      <c r="Q451" s="37"/>
      <c r="R451" s="31" t="n">
        <f aca="false">COUNT($M451:$Q451)</f>
        <v>0</v>
      </c>
      <c r="S451" s="32" t="str">
        <f aca="false">IF($L451="","",IF($R451&gt;=5,"",MAX($L451:$Q451)+CHOOSE($R451+1,SETTINGS!$C$9,SETTINGS!$C$10,SETTINGS!$C$11,SETTINGS!$C$12,SETTINGS!$C$13)))</f>
        <v/>
      </c>
      <c r="T451" s="34" t="str">
        <f aca="true">IF($H451="","(chưa có nội dung)",IF($L451="",IF($C451&lt;TODAY(),"⚠ TRỄ HỌC",IF($C451=TODAY(),"★ HỌC HÔM NAY","• Chưa tới")),IF($R451&gt;=5,"✔ MASTER",IF($S451&lt;TODAY(),"⚠ TRỄ ÔN",IF($S451=TODAY(),"◆ ÔN HÔM NAY","✔ Đúng tiến độ")))))</f>
        <v>• Chưa tới</v>
      </c>
      <c r="U451" s="38" t="n">
        <f aca="false">IF($H451="","",$R451/5)</f>
        <v>0</v>
      </c>
    </row>
    <row r="452" customFormat="false" ht="15" hidden="false" customHeight="false" outlineLevel="0" collapsed="false">
      <c r="A452" s="31" t="s">
        <v>2825</v>
      </c>
      <c r="B452" s="31" t="n">
        <v>23</v>
      </c>
      <c r="C452" s="32" t="n">
        <f aca="false">SETTINGS!$C$3+$B452-1</f>
        <v>46322</v>
      </c>
      <c r="D452" s="39" t="s">
        <v>1947</v>
      </c>
      <c r="E452" s="34" t="s">
        <v>2772</v>
      </c>
      <c r="F452" s="34" t="s">
        <v>163</v>
      </c>
      <c r="G452" s="34" t="s">
        <v>2826</v>
      </c>
      <c r="H452" s="35" t="s">
        <v>2827</v>
      </c>
      <c r="I452" s="36" t="s">
        <v>2828</v>
      </c>
      <c r="J452" s="34" t="s">
        <v>2829</v>
      </c>
      <c r="K452" s="34" t="s">
        <v>2830</v>
      </c>
      <c r="L452" s="37"/>
      <c r="M452" s="37"/>
      <c r="N452" s="37"/>
      <c r="O452" s="37"/>
      <c r="P452" s="37"/>
      <c r="Q452" s="37"/>
      <c r="R452" s="31" t="n">
        <f aca="false">COUNT($M452:$Q452)</f>
        <v>0</v>
      </c>
      <c r="S452" s="32" t="str">
        <f aca="false">IF($L452="","",IF($R452&gt;=5,"",MAX($L452:$Q452)+CHOOSE($R452+1,SETTINGS!$C$9,SETTINGS!$C$10,SETTINGS!$C$11,SETTINGS!$C$12,SETTINGS!$C$13)))</f>
        <v/>
      </c>
      <c r="T452" s="34" t="str">
        <f aca="true">IF($H452="","(chưa có nội dung)",IF($L452="",IF($C452&lt;TODAY(),"⚠ TRỄ HỌC",IF($C452=TODAY(),"★ HỌC HÔM NAY","• Chưa tới")),IF($R452&gt;=5,"✔ MASTER",IF($S452&lt;TODAY(),"⚠ TRỄ ÔN",IF($S452=TODAY(),"◆ ÔN HÔM NAY","✔ Đúng tiến độ")))))</f>
        <v>• Chưa tới</v>
      </c>
      <c r="U452" s="38" t="n">
        <f aca="false">IF($H452="","",$R452/5)</f>
        <v>0</v>
      </c>
    </row>
    <row r="453" customFormat="false" ht="15" hidden="false" customHeight="false" outlineLevel="0" collapsed="false">
      <c r="A453" s="31" t="s">
        <v>2831</v>
      </c>
      <c r="B453" s="31" t="n">
        <v>23</v>
      </c>
      <c r="C453" s="32" t="n">
        <f aca="false">SETTINGS!$C$3+$B453-1</f>
        <v>46322</v>
      </c>
      <c r="D453" s="39" t="s">
        <v>1947</v>
      </c>
      <c r="E453" s="34" t="s">
        <v>2772</v>
      </c>
      <c r="F453" s="34" t="s">
        <v>280</v>
      </c>
      <c r="G453" s="34" t="s">
        <v>2832</v>
      </c>
      <c r="H453" s="35" t="s">
        <v>2833</v>
      </c>
      <c r="I453" s="36" t="s">
        <v>2834</v>
      </c>
      <c r="J453" s="34" t="s">
        <v>2835</v>
      </c>
      <c r="K453" s="34" t="s">
        <v>2836</v>
      </c>
      <c r="L453" s="37"/>
      <c r="M453" s="37"/>
      <c r="N453" s="37"/>
      <c r="O453" s="37"/>
      <c r="P453" s="37"/>
      <c r="Q453" s="37"/>
      <c r="R453" s="31" t="n">
        <f aca="false">COUNT($M453:$Q453)</f>
        <v>0</v>
      </c>
      <c r="S453" s="32" t="str">
        <f aca="false">IF($L453="","",IF($R453&gt;=5,"",MAX($L453:$Q453)+CHOOSE($R453+1,SETTINGS!$C$9,SETTINGS!$C$10,SETTINGS!$C$11,SETTINGS!$C$12,SETTINGS!$C$13)))</f>
        <v/>
      </c>
      <c r="T453" s="34" t="str">
        <f aca="true">IF($H453="","(chưa có nội dung)",IF($L453="",IF($C453&lt;TODAY(),"⚠ TRỄ HỌC",IF($C453=TODAY(),"★ HỌC HÔM NAY","• Chưa tới")),IF($R453&gt;=5,"✔ MASTER",IF($S453&lt;TODAY(),"⚠ TRỄ ÔN",IF($S453=TODAY(),"◆ ÔN HÔM NAY","✔ Đúng tiến độ")))))</f>
        <v>• Chưa tới</v>
      </c>
      <c r="U453" s="38" t="n">
        <f aca="false">IF($H453="","",$R453/5)</f>
        <v>0</v>
      </c>
    </row>
    <row r="454" customFormat="false" ht="15" hidden="false" customHeight="false" outlineLevel="0" collapsed="false">
      <c r="A454" s="31" t="s">
        <v>2837</v>
      </c>
      <c r="B454" s="31" t="n">
        <v>23</v>
      </c>
      <c r="C454" s="32" t="n">
        <f aca="false">SETTINGS!$C$3+$B454-1</f>
        <v>46322</v>
      </c>
      <c r="D454" s="39" t="s">
        <v>1947</v>
      </c>
      <c r="E454" s="34" t="s">
        <v>2772</v>
      </c>
      <c r="F454" s="34" t="s">
        <v>280</v>
      </c>
      <c r="G454" s="34" t="s">
        <v>2838</v>
      </c>
      <c r="H454" s="35" t="s">
        <v>2839</v>
      </c>
      <c r="I454" s="36" t="s">
        <v>2840</v>
      </c>
      <c r="J454" s="34" t="s">
        <v>2841</v>
      </c>
      <c r="K454" s="34" t="s">
        <v>2842</v>
      </c>
      <c r="L454" s="37"/>
      <c r="M454" s="37"/>
      <c r="N454" s="37"/>
      <c r="O454" s="37"/>
      <c r="P454" s="37"/>
      <c r="Q454" s="37"/>
      <c r="R454" s="31" t="n">
        <f aca="false">COUNT($M454:$Q454)</f>
        <v>0</v>
      </c>
      <c r="S454" s="32" t="str">
        <f aca="false">IF($L454="","",IF($R454&gt;=5,"",MAX($L454:$Q454)+CHOOSE($R454+1,SETTINGS!$C$9,SETTINGS!$C$10,SETTINGS!$C$11,SETTINGS!$C$12,SETTINGS!$C$13)))</f>
        <v/>
      </c>
      <c r="T454" s="34" t="str">
        <f aca="true">IF($H454="","(chưa có nội dung)",IF($L454="",IF($C454&lt;TODAY(),"⚠ TRỄ HỌC",IF($C454=TODAY(),"★ HỌC HÔM NAY","• Chưa tới")),IF($R454&gt;=5,"✔ MASTER",IF($S454&lt;TODAY(),"⚠ TRỄ ÔN",IF($S454=TODAY(),"◆ ÔN HÔM NAY","✔ Đúng tiến độ")))))</f>
        <v>• Chưa tới</v>
      </c>
      <c r="U454" s="38" t="n">
        <f aca="false">IF($H454="","",$R454/5)</f>
        <v>0</v>
      </c>
    </row>
    <row r="455" customFormat="false" ht="15" hidden="false" customHeight="false" outlineLevel="0" collapsed="false">
      <c r="A455" s="31" t="s">
        <v>2843</v>
      </c>
      <c r="B455" s="31" t="n">
        <v>23</v>
      </c>
      <c r="C455" s="32" t="n">
        <f aca="false">SETTINGS!$C$3+$B455-1</f>
        <v>46322</v>
      </c>
      <c r="D455" s="39" t="s">
        <v>1947</v>
      </c>
      <c r="E455" s="34" t="s">
        <v>2772</v>
      </c>
      <c r="F455" s="34" t="s">
        <v>497</v>
      </c>
      <c r="G455" s="34" t="s">
        <v>2844</v>
      </c>
      <c r="H455" s="35" t="s">
        <v>2845</v>
      </c>
      <c r="I455" s="36" t="s">
        <v>2846</v>
      </c>
      <c r="J455" s="34" t="s">
        <v>2847</v>
      </c>
      <c r="K455" s="34" t="s">
        <v>2848</v>
      </c>
      <c r="L455" s="37"/>
      <c r="M455" s="37"/>
      <c r="N455" s="37"/>
      <c r="O455" s="37"/>
      <c r="P455" s="37"/>
      <c r="Q455" s="37"/>
      <c r="R455" s="31" t="n">
        <f aca="false">COUNT($M455:$Q455)</f>
        <v>0</v>
      </c>
      <c r="S455" s="32" t="str">
        <f aca="false">IF($L455="","",IF($R455&gt;=5,"",MAX($L455:$Q455)+CHOOSE($R455+1,SETTINGS!$C$9,SETTINGS!$C$10,SETTINGS!$C$11,SETTINGS!$C$12,SETTINGS!$C$13)))</f>
        <v/>
      </c>
      <c r="T455" s="34" t="str">
        <f aca="true">IF($H455="","(chưa có nội dung)",IF($L455="",IF($C455&lt;TODAY(),"⚠ TRỄ HỌC",IF($C455=TODAY(),"★ HỌC HÔM NAY","• Chưa tới")),IF($R455&gt;=5,"✔ MASTER",IF($S455&lt;TODAY(),"⚠ TRỄ ÔN",IF($S455=TODAY(),"◆ ÔN HÔM NAY","✔ Đúng tiến độ")))))</f>
        <v>• Chưa tới</v>
      </c>
      <c r="U455" s="38" t="n">
        <f aca="false">IF($H455="","",$R455/5)</f>
        <v>0</v>
      </c>
    </row>
    <row r="456" customFormat="false" ht="15" hidden="false" customHeight="false" outlineLevel="0" collapsed="false">
      <c r="A456" s="31" t="s">
        <v>2849</v>
      </c>
      <c r="B456" s="31" t="n">
        <v>23</v>
      </c>
      <c r="C456" s="32" t="n">
        <f aca="false">SETTINGS!$C$3+$B456-1</f>
        <v>46322</v>
      </c>
      <c r="D456" s="39" t="s">
        <v>1947</v>
      </c>
      <c r="E456" s="34" t="s">
        <v>2772</v>
      </c>
      <c r="F456" s="34" t="s">
        <v>280</v>
      </c>
      <c r="G456" s="34" t="s">
        <v>2850</v>
      </c>
      <c r="H456" s="35" t="s">
        <v>2851</v>
      </c>
      <c r="I456" s="36" t="s">
        <v>2852</v>
      </c>
      <c r="J456" s="34" t="s">
        <v>2853</v>
      </c>
      <c r="K456" s="34" t="s">
        <v>2854</v>
      </c>
      <c r="L456" s="37"/>
      <c r="M456" s="37"/>
      <c r="N456" s="37"/>
      <c r="O456" s="37"/>
      <c r="P456" s="37"/>
      <c r="Q456" s="37"/>
      <c r="R456" s="31" t="n">
        <f aca="false">COUNT($M456:$Q456)</f>
        <v>0</v>
      </c>
      <c r="S456" s="32" t="str">
        <f aca="false">IF($L456="","",IF($R456&gt;=5,"",MAX($L456:$Q456)+CHOOSE($R456+1,SETTINGS!$C$9,SETTINGS!$C$10,SETTINGS!$C$11,SETTINGS!$C$12,SETTINGS!$C$13)))</f>
        <v/>
      </c>
      <c r="T456" s="34" t="str">
        <f aca="true">IF($H456="","(chưa có nội dung)",IF($L456="",IF($C456&lt;TODAY(),"⚠ TRỄ HỌC",IF($C456=TODAY(),"★ HỌC HÔM NAY","• Chưa tới")),IF($R456&gt;=5,"✔ MASTER",IF($S456&lt;TODAY(),"⚠ TRỄ ÔN",IF($S456=TODAY(),"◆ ÔN HÔM NAY","✔ Đúng tiến độ")))))</f>
        <v>• Chưa tới</v>
      </c>
      <c r="U456" s="38" t="n">
        <f aca="false">IF($H456="","",$R456/5)</f>
        <v>0</v>
      </c>
    </row>
    <row r="457" customFormat="false" ht="15" hidden="false" customHeight="false" outlineLevel="0" collapsed="false">
      <c r="A457" s="31" t="s">
        <v>2855</v>
      </c>
      <c r="B457" s="31" t="n">
        <v>23</v>
      </c>
      <c r="C457" s="32" t="n">
        <f aca="false">SETTINGS!$C$3+$B457-1</f>
        <v>46322</v>
      </c>
      <c r="D457" s="39" t="s">
        <v>1947</v>
      </c>
      <c r="E457" s="34" t="s">
        <v>2772</v>
      </c>
      <c r="F457" s="34" t="s">
        <v>280</v>
      </c>
      <c r="G457" s="34" t="s">
        <v>2856</v>
      </c>
      <c r="H457" s="35" t="s">
        <v>2857</v>
      </c>
      <c r="I457" s="36" t="s">
        <v>2858</v>
      </c>
      <c r="J457" s="34" t="s">
        <v>2859</v>
      </c>
      <c r="K457" s="34" t="s">
        <v>2860</v>
      </c>
      <c r="L457" s="37"/>
      <c r="M457" s="37"/>
      <c r="N457" s="37"/>
      <c r="O457" s="37"/>
      <c r="P457" s="37"/>
      <c r="Q457" s="37"/>
      <c r="R457" s="31" t="n">
        <f aca="false">COUNT($M457:$Q457)</f>
        <v>0</v>
      </c>
      <c r="S457" s="32" t="str">
        <f aca="false">IF($L457="","",IF($R457&gt;=5,"",MAX($L457:$Q457)+CHOOSE($R457+1,SETTINGS!$C$9,SETTINGS!$C$10,SETTINGS!$C$11,SETTINGS!$C$12,SETTINGS!$C$13)))</f>
        <v/>
      </c>
      <c r="T457" s="34" t="str">
        <f aca="true">IF($H457="","(chưa có nội dung)",IF($L457="",IF($C457&lt;TODAY(),"⚠ TRỄ HỌC",IF($C457=TODAY(),"★ HỌC HÔM NAY","• Chưa tới")),IF($R457&gt;=5,"✔ MASTER",IF($S457&lt;TODAY(),"⚠ TRỄ ÔN",IF($S457=TODAY(),"◆ ÔN HÔM NAY","✔ Đúng tiến độ")))))</f>
        <v>• Chưa tới</v>
      </c>
      <c r="U457" s="38" t="n">
        <f aca="false">IF($H457="","",$R457/5)</f>
        <v>0</v>
      </c>
    </row>
    <row r="458" customFormat="false" ht="15" hidden="false" customHeight="false" outlineLevel="0" collapsed="false">
      <c r="A458" s="31" t="s">
        <v>2861</v>
      </c>
      <c r="B458" s="31" t="n">
        <v>23</v>
      </c>
      <c r="C458" s="32" t="n">
        <f aca="false">SETTINGS!$C$3+$B458-1</f>
        <v>46322</v>
      </c>
      <c r="D458" s="39" t="s">
        <v>1947</v>
      </c>
      <c r="E458" s="34" t="s">
        <v>2772</v>
      </c>
      <c r="F458" s="34" t="s">
        <v>280</v>
      </c>
      <c r="G458" s="34" t="s">
        <v>2862</v>
      </c>
      <c r="H458" s="35" t="s">
        <v>2863</v>
      </c>
      <c r="I458" s="36" t="s">
        <v>2864</v>
      </c>
      <c r="J458" s="34" t="s">
        <v>2865</v>
      </c>
      <c r="K458" s="34" t="s">
        <v>2866</v>
      </c>
      <c r="L458" s="37"/>
      <c r="M458" s="37"/>
      <c r="N458" s="37"/>
      <c r="O458" s="37"/>
      <c r="P458" s="37"/>
      <c r="Q458" s="37"/>
      <c r="R458" s="31" t="n">
        <f aca="false">COUNT($M458:$Q458)</f>
        <v>0</v>
      </c>
      <c r="S458" s="32" t="str">
        <f aca="false">IF($L458="","",IF($R458&gt;=5,"",MAX($L458:$Q458)+CHOOSE($R458+1,SETTINGS!$C$9,SETTINGS!$C$10,SETTINGS!$C$11,SETTINGS!$C$12,SETTINGS!$C$13)))</f>
        <v/>
      </c>
      <c r="T458" s="34" t="str">
        <f aca="true">IF($H458="","(chưa có nội dung)",IF($L458="",IF($C458&lt;TODAY(),"⚠ TRỄ HỌC",IF($C458=TODAY(),"★ HỌC HÔM NAY","• Chưa tới")),IF($R458&gt;=5,"✔ MASTER",IF($S458&lt;TODAY(),"⚠ TRỄ ÔN",IF($S458=TODAY(),"◆ ÔN HÔM NAY","✔ Đúng tiến độ")))))</f>
        <v>• Chưa tới</v>
      </c>
      <c r="U458" s="38" t="n">
        <f aca="false">IF($H458="","",$R458/5)</f>
        <v>0</v>
      </c>
    </row>
    <row r="459" customFormat="false" ht="15" hidden="false" customHeight="false" outlineLevel="0" collapsed="false">
      <c r="A459" s="31" t="s">
        <v>2867</v>
      </c>
      <c r="B459" s="31" t="n">
        <v>23</v>
      </c>
      <c r="C459" s="32" t="n">
        <f aca="false">SETTINGS!$C$3+$B459-1</f>
        <v>46322</v>
      </c>
      <c r="D459" s="39" t="s">
        <v>1947</v>
      </c>
      <c r="E459" s="34" t="s">
        <v>2772</v>
      </c>
      <c r="F459" s="34" t="s">
        <v>280</v>
      </c>
      <c r="G459" s="34" t="s">
        <v>2838</v>
      </c>
      <c r="H459" s="35" t="s">
        <v>2868</v>
      </c>
      <c r="I459" s="36" t="s">
        <v>2869</v>
      </c>
      <c r="J459" s="34" t="s">
        <v>2870</v>
      </c>
      <c r="K459" s="34" t="s">
        <v>2871</v>
      </c>
      <c r="L459" s="37"/>
      <c r="M459" s="37"/>
      <c r="N459" s="37"/>
      <c r="O459" s="37"/>
      <c r="P459" s="37"/>
      <c r="Q459" s="37"/>
      <c r="R459" s="31" t="n">
        <f aca="false">COUNT($M459:$Q459)</f>
        <v>0</v>
      </c>
      <c r="S459" s="32" t="str">
        <f aca="false">IF($L459="","",IF($R459&gt;=5,"",MAX($L459:$Q459)+CHOOSE($R459+1,SETTINGS!$C$9,SETTINGS!$C$10,SETTINGS!$C$11,SETTINGS!$C$12,SETTINGS!$C$13)))</f>
        <v/>
      </c>
      <c r="T459" s="34" t="str">
        <f aca="true">IF($H459="","(chưa có nội dung)",IF($L459="",IF($C459&lt;TODAY(),"⚠ TRỄ HỌC",IF($C459=TODAY(),"★ HỌC HÔM NAY","• Chưa tới")),IF($R459&gt;=5,"✔ MASTER",IF($S459&lt;TODAY(),"⚠ TRỄ ÔN",IF($S459=TODAY(),"◆ ÔN HÔM NAY","✔ Đúng tiến độ")))))</f>
        <v>• Chưa tới</v>
      </c>
      <c r="U459" s="38" t="n">
        <f aca="false">IF($H459="","",$R459/5)</f>
        <v>0</v>
      </c>
    </row>
    <row r="460" customFormat="false" ht="15" hidden="false" customHeight="false" outlineLevel="0" collapsed="false">
      <c r="A460" s="31" t="s">
        <v>2872</v>
      </c>
      <c r="B460" s="31" t="n">
        <v>23</v>
      </c>
      <c r="C460" s="32" t="n">
        <f aca="false">SETTINGS!$C$3+$B460-1</f>
        <v>46322</v>
      </c>
      <c r="D460" s="39" t="s">
        <v>1947</v>
      </c>
      <c r="E460" s="34" t="s">
        <v>2772</v>
      </c>
      <c r="F460" s="34" t="s">
        <v>163</v>
      </c>
      <c r="G460" s="34" t="s">
        <v>2873</v>
      </c>
      <c r="H460" s="35" t="s">
        <v>2874</v>
      </c>
      <c r="I460" s="36" t="s">
        <v>2875</v>
      </c>
      <c r="J460" s="34" t="s">
        <v>2876</v>
      </c>
      <c r="K460" s="34" t="s">
        <v>2873</v>
      </c>
      <c r="L460" s="37"/>
      <c r="M460" s="37"/>
      <c r="N460" s="37"/>
      <c r="O460" s="37"/>
      <c r="P460" s="37"/>
      <c r="Q460" s="37"/>
      <c r="R460" s="31" t="n">
        <f aca="false">COUNT($M460:$Q460)</f>
        <v>0</v>
      </c>
      <c r="S460" s="32" t="str">
        <f aca="false">IF($L460="","",IF($R460&gt;=5,"",MAX($L460:$Q460)+CHOOSE($R460+1,SETTINGS!$C$9,SETTINGS!$C$10,SETTINGS!$C$11,SETTINGS!$C$12,SETTINGS!$C$13)))</f>
        <v/>
      </c>
      <c r="T460" s="34" t="str">
        <f aca="true">IF($H460="","(chưa có nội dung)",IF($L460="",IF($C460&lt;TODAY(),"⚠ TRỄ HỌC",IF($C460=TODAY(),"★ HỌC HÔM NAY","• Chưa tới")),IF($R460&gt;=5,"✔ MASTER",IF($S460&lt;TODAY(),"⚠ TRỄ ÔN",IF($S460=TODAY(),"◆ ÔN HÔM NAY","✔ Đúng tiến độ")))))</f>
        <v>• Chưa tới</v>
      </c>
      <c r="U460" s="38" t="n">
        <f aca="false">IF($H460="","",$R460/5)</f>
        <v>0</v>
      </c>
    </row>
    <row r="461" customFormat="false" ht="15" hidden="false" customHeight="false" outlineLevel="0" collapsed="false">
      <c r="A461" s="31" t="s">
        <v>2877</v>
      </c>
      <c r="B461" s="31" t="n">
        <v>23</v>
      </c>
      <c r="C461" s="32" t="n">
        <f aca="false">SETTINGS!$C$3+$B461-1</f>
        <v>46322</v>
      </c>
      <c r="D461" s="39" t="s">
        <v>1947</v>
      </c>
      <c r="E461" s="34" t="s">
        <v>2772</v>
      </c>
      <c r="F461" s="34" t="s">
        <v>280</v>
      </c>
      <c r="G461" s="34" t="s">
        <v>2878</v>
      </c>
      <c r="H461" s="35" t="s">
        <v>2879</v>
      </c>
      <c r="I461" s="36" t="s">
        <v>2880</v>
      </c>
      <c r="J461" s="34" t="s">
        <v>2881</v>
      </c>
      <c r="K461" s="34" t="s">
        <v>2882</v>
      </c>
      <c r="L461" s="37"/>
      <c r="M461" s="37"/>
      <c r="N461" s="37"/>
      <c r="O461" s="37"/>
      <c r="P461" s="37"/>
      <c r="Q461" s="37"/>
      <c r="R461" s="31" t="n">
        <f aca="false">COUNT($M461:$Q461)</f>
        <v>0</v>
      </c>
      <c r="S461" s="32" t="str">
        <f aca="false">IF($L461="","",IF($R461&gt;=5,"",MAX($L461:$Q461)+CHOOSE($R461+1,SETTINGS!$C$9,SETTINGS!$C$10,SETTINGS!$C$11,SETTINGS!$C$12,SETTINGS!$C$13)))</f>
        <v/>
      </c>
      <c r="T461" s="34" t="str">
        <f aca="true">IF($H461="","(chưa có nội dung)",IF($L461="",IF($C461&lt;TODAY(),"⚠ TRỄ HỌC",IF($C461=TODAY(),"★ HỌC HÔM NAY","• Chưa tới")),IF($R461&gt;=5,"✔ MASTER",IF($S461&lt;TODAY(),"⚠ TRỄ ÔN",IF($S461=TODAY(),"◆ ÔN HÔM NAY","✔ Đúng tiến độ")))))</f>
        <v>• Chưa tới</v>
      </c>
      <c r="U461" s="38" t="n">
        <f aca="false">IF($H461="","",$R461/5)</f>
        <v>0</v>
      </c>
    </row>
    <row r="462" customFormat="false" ht="15" hidden="false" customHeight="false" outlineLevel="0" collapsed="false">
      <c r="A462" s="31" t="s">
        <v>2883</v>
      </c>
      <c r="B462" s="31" t="n">
        <v>23</v>
      </c>
      <c r="C462" s="32" t="n">
        <f aca="false">SETTINGS!$C$3+$B462-1</f>
        <v>46322</v>
      </c>
      <c r="D462" s="39" t="s">
        <v>1947</v>
      </c>
      <c r="E462" s="34" t="s">
        <v>2772</v>
      </c>
      <c r="F462" s="34" t="s">
        <v>280</v>
      </c>
      <c r="G462" s="34" t="s">
        <v>2884</v>
      </c>
      <c r="H462" s="35" t="s">
        <v>2885</v>
      </c>
      <c r="I462" s="36" t="s">
        <v>2886</v>
      </c>
      <c r="J462" s="34" t="s">
        <v>2887</v>
      </c>
      <c r="K462" s="34" t="s">
        <v>2888</v>
      </c>
      <c r="L462" s="37"/>
      <c r="M462" s="37"/>
      <c r="N462" s="37"/>
      <c r="O462" s="37"/>
      <c r="P462" s="37"/>
      <c r="Q462" s="37"/>
      <c r="R462" s="31" t="n">
        <f aca="false">COUNT($M462:$Q462)</f>
        <v>0</v>
      </c>
      <c r="S462" s="32" t="str">
        <f aca="false">IF($L462="","",IF($R462&gt;=5,"",MAX($L462:$Q462)+CHOOSE($R462+1,SETTINGS!$C$9,SETTINGS!$C$10,SETTINGS!$C$11,SETTINGS!$C$12,SETTINGS!$C$13)))</f>
        <v/>
      </c>
      <c r="T462" s="34" t="str">
        <f aca="true">IF($H462="","(chưa có nội dung)",IF($L462="",IF($C462&lt;TODAY(),"⚠ TRỄ HỌC",IF($C462=TODAY(),"★ HỌC HÔM NAY","• Chưa tới")),IF($R462&gt;=5,"✔ MASTER",IF($S462&lt;TODAY(),"⚠ TRỄ ÔN",IF($S462=TODAY(),"◆ ÔN HÔM NAY","✔ Đúng tiến độ")))))</f>
        <v>• Chưa tới</v>
      </c>
      <c r="U462" s="38" t="n">
        <f aca="false">IF($H462="","",$R462/5)</f>
        <v>0</v>
      </c>
    </row>
    <row r="463" customFormat="false" ht="15" hidden="false" customHeight="false" outlineLevel="0" collapsed="false">
      <c r="A463" s="31" t="s">
        <v>2889</v>
      </c>
      <c r="B463" s="31" t="n">
        <v>24</v>
      </c>
      <c r="C463" s="32" t="n">
        <f aca="false">SETTINGS!$C$3+$B463-1</f>
        <v>46323</v>
      </c>
      <c r="D463" s="39" t="s">
        <v>1947</v>
      </c>
      <c r="E463" s="34" t="s">
        <v>2890</v>
      </c>
      <c r="F463" s="34" t="s">
        <v>280</v>
      </c>
      <c r="G463" s="34" t="s">
        <v>2891</v>
      </c>
      <c r="H463" s="35" t="s">
        <v>2892</v>
      </c>
      <c r="I463" s="36" t="s">
        <v>2893</v>
      </c>
      <c r="J463" s="34" t="s">
        <v>2894</v>
      </c>
      <c r="K463" s="34" t="s">
        <v>2895</v>
      </c>
      <c r="L463" s="37"/>
      <c r="M463" s="37"/>
      <c r="N463" s="37"/>
      <c r="O463" s="37"/>
      <c r="P463" s="37"/>
      <c r="Q463" s="37"/>
      <c r="R463" s="31" t="n">
        <f aca="false">COUNT($M463:$Q463)</f>
        <v>0</v>
      </c>
      <c r="S463" s="32" t="str">
        <f aca="false">IF($L463="","",IF($R463&gt;=5,"",MAX($L463:$Q463)+CHOOSE($R463+1,SETTINGS!$C$9,SETTINGS!$C$10,SETTINGS!$C$11,SETTINGS!$C$12,SETTINGS!$C$13)))</f>
        <v/>
      </c>
      <c r="T463" s="34" t="str">
        <f aca="true">IF($H463="","(chưa có nội dung)",IF($L463="",IF($C463&lt;TODAY(),"⚠ TRỄ HỌC",IF($C463=TODAY(),"★ HỌC HÔM NAY","• Chưa tới")),IF($R463&gt;=5,"✔ MASTER",IF($S463&lt;TODAY(),"⚠ TRỄ ÔN",IF($S463=TODAY(),"◆ ÔN HÔM NAY","✔ Đúng tiến độ")))))</f>
        <v>• Chưa tới</v>
      </c>
      <c r="U463" s="38" t="n">
        <f aca="false">IF($H463="","",$R463/5)</f>
        <v>0</v>
      </c>
    </row>
    <row r="464" customFormat="false" ht="15" hidden="false" customHeight="false" outlineLevel="0" collapsed="false">
      <c r="A464" s="31" t="s">
        <v>2896</v>
      </c>
      <c r="B464" s="31" t="n">
        <v>24</v>
      </c>
      <c r="C464" s="32" t="n">
        <f aca="false">SETTINGS!$C$3+$B464-1</f>
        <v>46323</v>
      </c>
      <c r="D464" s="39" t="s">
        <v>1947</v>
      </c>
      <c r="E464" s="34" t="s">
        <v>2890</v>
      </c>
      <c r="F464" s="34" t="s">
        <v>280</v>
      </c>
      <c r="G464" s="34" t="s">
        <v>2897</v>
      </c>
      <c r="H464" s="35" t="s">
        <v>2898</v>
      </c>
      <c r="I464" s="36" t="s">
        <v>2899</v>
      </c>
      <c r="J464" s="34" t="s">
        <v>2900</v>
      </c>
      <c r="K464" s="34" t="s">
        <v>2901</v>
      </c>
      <c r="L464" s="37"/>
      <c r="M464" s="37"/>
      <c r="N464" s="37"/>
      <c r="O464" s="37"/>
      <c r="P464" s="37"/>
      <c r="Q464" s="37"/>
      <c r="R464" s="31" t="n">
        <f aca="false">COUNT($M464:$Q464)</f>
        <v>0</v>
      </c>
      <c r="S464" s="32" t="str">
        <f aca="false">IF($L464="","",IF($R464&gt;=5,"",MAX($L464:$Q464)+CHOOSE($R464+1,SETTINGS!$C$9,SETTINGS!$C$10,SETTINGS!$C$11,SETTINGS!$C$12,SETTINGS!$C$13)))</f>
        <v/>
      </c>
      <c r="T464" s="34" t="str">
        <f aca="true">IF($H464="","(chưa có nội dung)",IF($L464="",IF($C464&lt;TODAY(),"⚠ TRỄ HỌC",IF($C464=TODAY(),"★ HỌC HÔM NAY","• Chưa tới")),IF($R464&gt;=5,"✔ MASTER",IF($S464&lt;TODAY(),"⚠ TRỄ ÔN",IF($S464=TODAY(),"◆ ÔN HÔM NAY","✔ Đúng tiến độ")))))</f>
        <v>• Chưa tới</v>
      </c>
      <c r="U464" s="38" t="n">
        <f aca="false">IF($H464="","",$R464/5)</f>
        <v>0</v>
      </c>
    </row>
    <row r="465" customFormat="false" ht="15" hidden="false" customHeight="false" outlineLevel="0" collapsed="false">
      <c r="A465" s="31" t="s">
        <v>2902</v>
      </c>
      <c r="B465" s="31" t="n">
        <v>24</v>
      </c>
      <c r="C465" s="32" t="n">
        <f aca="false">SETTINGS!$C$3+$B465-1</f>
        <v>46323</v>
      </c>
      <c r="D465" s="39" t="s">
        <v>1947</v>
      </c>
      <c r="E465" s="34" t="s">
        <v>2890</v>
      </c>
      <c r="F465" s="34" t="s">
        <v>497</v>
      </c>
      <c r="G465" s="34" t="s">
        <v>2903</v>
      </c>
      <c r="H465" s="35" t="s">
        <v>2904</v>
      </c>
      <c r="I465" s="36" t="s">
        <v>2905</v>
      </c>
      <c r="J465" s="34" t="s">
        <v>2906</v>
      </c>
      <c r="K465" s="34" t="s">
        <v>2907</v>
      </c>
      <c r="L465" s="37"/>
      <c r="M465" s="37"/>
      <c r="N465" s="37"/>
      <c r="O465" s="37"/>
      <c r="P465" s="37"/>
      <c r="Q465" s="37"/>
      <c r="R465" s="31" t="n">
        <f aca="false">COUNT($M465:$Q465)</f>
        <v>0</v>
      </c>
      <c r="S465" s="32" t="str">
        <f aca="false">IF($L465="","",IF($R465&gt;=5,"",MAX($L465:$Q465)+CHOOSE($R465+1,SETTINGS!$C$9,SETTINGS!$C$10,SETTINGS!$C$11,SETTINGS!$C$12,SETTINGS!$C$13)))</f>
        <v/>
      </c>
      <c r="T465" s="34" t="str">
        <f aca="true">IF($H465="","(chưa có nội dung)",IF($L465="",IF($C465&lt;TODAY(),"⚠ TRỄ HỌC",IF($C465=TODAY(),"★ HỌC HÔM NAY","• Chưa tới")),IF($R465&gt;=5,"✔ MASTER",IF($S465&lt;TODAY(),"⚠ TRỄ ÔN",IF($S465=TODAY(),"◆ ÔN HÔM NAY","✔ Đúng tiến độ")))))</f>
        <v>• Chưa tới</v>
      </c>
      <c r="U465" s="38" t="n">
        <f aca="false">IF($H465="","",$R465/5)</f>
        <v>0</v>
      </c>
    </row>
    <row r="466" customFormat="false" ht="15" hidden="false" customHeight="false" outlineLevel="0" collapsed="false">
      <c r="A466" s="31" t="s">
        <v>2908</v>
      </c>
      <c r="B466" s="31" t="n">
        <v>24</v>
      </c>
      <c r="C466" s="32" t="n">
        <f aca="false">SETTINGS!$C$3+$B466-1</f>
        <v>46323</v>
      </c>
      <c r="D466" s="39" t="s">
        <v>1947</v>
      </c>
      <c r="E466" s="34" t="s">
        <v>2890</v>
      </c>
      <c r="F466" s="34" t="s">
        <v>280</v>
      </c>
      <c r="G466" s="34" t="s">
        <v>2909</v>
      </c>
      <c r="H466" s="35" t="s">
        <v>2910</v>
      </c>
      <c r="I466" s="36" t="s">
        <v>2911</v>
      </c>
      <c r="J466" s="34" t="s">
        <v>2912</v>
      </c>
      <c r="K466" s="34" t="s">
        <v>2913</v>
      </c>
      <c r="L466" s="37"/>
      <c r="M466" s="37"/>
      <c r="N466" s="37"/>
      <c r="O466" s="37"/>
      <c r="P466" s="37"/>
      <c r="Q466" s="37"/>
      <c r="R466" s="31" t="n">
        <f aca="false">COUNT($M466:$Q466)</f>
        <v>0</v>
      </c>
      <c r="S466" s="32" t="str">
        <f aca="false">IF($L466="","",IF($R466&gt;=5,"",MAX($L466:$Q466)+CHOOSE($R466+1,SETTINGS!$C$9,SETTINGS!$C$10,SETTINGS!$C$11,SETTINGS!$C$12,SETTINGS!$C$13)))</f>
        <v/>
      </c>
      <c r="T466" s="34" t="str">
        <f aca="true">IF($H466="","(chưa có nội dung)",IF($L466="",IF($C466&lt;TODAY(),"⚠ TRỄ HỌC",IF($C466=TODAY(),"★ HỌC HÔM NAY","• Chưa tới")),IF($R466&gt;=5,"✔ MASTER",IF($S466&lt;TODAY(),"⚠ TRỄ ÔN",IF($S466=TODAY(),"◆ ÔN HÔM NAY","✔ Đúng tiến độ")))))</f>
        <v>• Chưa tới</v>
      </c>
      <c r="U466" s="38" t="n">
        <f aca="false">IF($H466="","",$R466/5)</f>
        <v>0</v>
      </c>
    </row>
    <row r="467" customFormat="false" ht="15" hidden="false" customHeight="false" outlineLevel="0" collapsed="false">
      <c r="A467" s="31" t="s">
        <v>2914</v>
      </c>
      <c r="B467" s="31" t="n">
        <v>24</v>
      </c>
      <c r="C467" s="32" t="n">
        <f aca="false">SETTINGS!$C$3+$B467-1</f>
        <v>46323</v>
      </c>
      <c r="D467" s="39" t="s">
        <v>1947</v>
      </c>
      <c r="E467" s="34" t="s">
        <v>2890</v>
      </c>
      <c r="F467" s="34" t="s">
        <v>280</v>
      </c>
      <c r="G467" s="34" t="s">
        <v>2915</v>
      </c>
      <c r="H467" s="35" t="s">
        <v>2916</v>
      </c>
      <c r="I467" s="36" t="s">
        <v>2917</v>
      </c>
      <c r="J467" s="34" t="s">
        <v>2918</v>
      </c>
      <c r="K467" s="34" t="s">
        <v>2919</v>
      </c>
      <c r="L467" s="37"/>
      <c r="M467" s="37"/>
      <c r="N467" s="37"/>
      <c r="O467" s="37"/>
      <c r="P467" s="37"/>
      <c r="Q467" s="37"/>
      <c r="R467" s="31" t="n">
        <f aca="false">COUNT($M467:$Q467)</f>
        <v>0</v>
      </c>
      <c r="S467" s="32" t="str">
        <f aca="false">IF($L467="","",IF($R467&gt;=5,"",MAX($L467:$Q467)+CHOOSE($R467+1,SETTINGS!$C$9,SETTINGS!$C$10,SETTINGS!$C$11,SETTINGS!$C$12,SETTINGS!$C$13)))</f>
        <v/>
      </c>
      <c r="T467" s="34" t="str">
        <f aca="true">IF($H467="","(chưa có nội dung)",IF($L467="",IF($C467&lt;TODAY(),"⚠ TRỄ HỌC",IF($C467=TODAY(),"★ HỌC HÔM NAY","• Chưa tới")),IF($R467&gt;=5,"✔ MASTER",IF($S467&lt;TODAY(),"⚠ TRỄ ÔN",IF($S467=TODAY(),"◆ ÔN HÔM NAY","✔ Đúng tiến độ")))))</f>
        <v>• Chưa tới</v>
      </c>
      <c r="U467" s="38" t="n">
        <f aca="false">IF($H467="","",$R467/5)</f>
        <v>0</v>
      </c>
    </row>
    <row r="468" customFormat="false" ht="15" hidden="false" customHeight="false" outlineLevel="0" collapsed="false">
      <c r="A468" s="31" t="s">
        <v>2920</v>
      </c>
      <c r="B468" s="31" t="n">
        <v>24</v>
      </c>
      <c r="C468" s="32" t="n">
        <f aca="false">SETTINGS!$C$3+$B468-1</f>
        <v>46323</v>
      </c>
      <c r="D468" s="39" t="s">
        <v>1947</v>
      </c>
      <c r="E468" s="34" t="s">
        <v>2890</v>
      </c>
      <c r="F468" s="34" t="s">
        <v>163</v>
      </c>
      <c r="G468" s="34" t="s">
        <v>2921</v>
      </c>
      <c r="H468" s="35" t="s">
        <v>2922</v>
      </c>
      <c r="I468" s="36" t="s">
        <v>2923</v>
      </c>
      <c r="J468" s="34" t="s">
        <v>2924</v>
      </c>
      <c r="K468" s="34" t="s">
        <v>2925</v>
      </c>
      <c r="L468" s="37"/>
      <c r="M468" s="37"/>
      <c r="N468" s="37"/>
      <c r="O468" s="37"/>
      <c r="P468" s="37"/>
      <c r="Q468" s="37"/>
      <c r="R468" s="31" t="n">
        <f aca="false">COUNT($M468:$Q468)</f>
        <v>0</v>
      </c>
      <c r="S468" s="32" t="str">
        <f aca="false">IF($L468="","",IF($R468&gt;=5,"",MAX($L468:$Q468)+CHOOSE($R468+1,SETTINGS!$C$9,SETTINGS!$C$10,SETTINGS!$C$11,SETTINGS!$C$12,SETTINGS!$C$13)))</f>
        <v/>
      </c>
      <c r="T468" s="34" t="str">
        <f aca="true">IF($H468="","(chưa có nội dung)",IF($L468="",IF($C468&lt;TODAY(),"⚠ TRỄ HỌC",IF($C468=TODAY(),"★ HỌC HÔM NAY","• Chưa tới")),IF($R468&gt;=5,"✔ MASTER",IF($S468&lt;TODAY(),"⚠ TRỄ ÔN",IF($S468=TODAY(),"◆ ÔN HÔM NAY","✔ Đúng tiến độ")))))</f>
        <v>• Chưa tới</v>
      </c>
      <c r="U468" s="38" t="n">
        <f aca="false">IF($H468="","",$R468/5)</f>
        <v>0</v>
      </c>
    </row>
    <row r="469" customFormat="false" ht="15" hidden="false" customHeight="false" outlineLevel="0" collapsed="false">
      <c r="A469" s="31" t="s">
        <v>2926</v>
      </c>
      <c r="B469" s="31" t="n">
        <v>24</v>
      </c>
      <c r="C469" s="32" t="n">
        <f aca="false">SETTINGS!$C$3+$B469-1</f>
        <v>46323</v>
      </c>
      <c r="D469" s="39" t="s">
        <v>1947</v>
      </c>
      <c r="E469" s="34" t="s">
        <v>2890</v>
      </c>
      <c r="F469" s="34" t="s">
        <v>280</v>
      </c>
      <c r="G469" s="34" t="s">
        <v>2927</v>
      </c>
      <c r="H469" s="35" t="s">
        <v>2928</v>
      </c>
      <c r="I469" s="36" t="s">
        <v>2929</v>
      </c>
      <c r="J469" s="34" t="s">
        <v>2930</v>
      </c>
      <c r="K469" s="34" t="s">
        <v>2931</v>
      </c>
      <c r="L469" s="37"/>
      <c r="M469" s="37"/>
      <c r="N469" s="37"/>
      <c r="O469" s="37"/>
      <c r="P469" s="37"/>
      <c r="Q469" s="37"/>
      <c r="R469" s="31" t="n">
        <f aca="false">COUNT($M469:$Q469)</f>
        <v>0</v>
      </c>
      <c r="S469" s="32" t="str">
        <f aca="false">IF($L469="","",IF($R469&gt;=5,"",MAX($L469:$Q469)+CHOOSE($R469+1,SETTINGS!$C$9,SETTINGS!$C$10,SETTINGS!$C$11,SETTINGS!$C$12,SETTINGS!$C$13)))</f>
        <v/>
      </c>
      <c r="T469" s="34" t="str">
        <f aca="true">IF($H469="","(chưa có nội dung)",IF($L469="",IF($C469&lt;TODAY(),"⚠ TRỄ HỌC",IF($C469=TODAY(),"★ HỌC HÔM NAY","• Chưa tới")),IF($R469&gt;=5,"✔ MASTER",IF($S469&lt;TODAY(),"⚠ TRỄ ÔN",IF($S469=TODAY(),"◆ ÔN HÔM NAY","✔ Đúng tiến độ")))))</f>
        <v>• Chưa tới</v>
      </c>
      <c r="U469" s="38" t="n">
        <f aca="false">IF($H469="","",$R469/5)</f>
        <v>0</v>
      </c>
    </row>
    <row r="470" customFormat="false" ht="15" hidden="false" customHeight="false" outlineLevel="0" collapsed="false">
      <c r="A470" s="31" t="s">
        <v>2932</v>
      </c>
      <c r="B470" s="31" t="n">
        <v>24</v>
      </c>
      <c r="C470" s="32" t="n">
        <f aca="false">SETTINGS!$C$3+$B470-1</f>
        <v>46323</v>
      </c>
      <c r="D470" s="39" t="s">
        <v>1947</v>
      </c>
      <c r="E470" s="34" t="s">
        <v>2890</v>
      </c>
      <c r="F470" s="34" t="s">
        <v>280</v>
      </c>
      <c r="G470" s="34" t="s">
        <v>2933</v>
      </c>
      <c r="H470" s="35" t="s">
        <v>2934</v>
      </c>
      <c r="I470" s="36" t="s">
        <v>2935</v>
      </c>
      <c r="J470" s="34" t="s">
        <v>2936</v>
      </c>
      <c r="K470" s="34" t="s">
        <v>2937</v>
      </c>
      <c r="L470" s="37"/>
      <c r="M470" s="37"/>
      <c r="N470" s="37"/>
      <c r="O470" s="37"/>
      <c r="P470" s="37"/>
      <c r="Q470" s="37"/>
      <c r="R470" s="31" t="n">
        <f aca="false">COUNT($M470:$Q470)</f>
        <v>0</v>
      </c>
      <c r="S470" s="32" t="str">
        <f aca="false">IF($L470="","",IF($R470&gt;=5,"",MAX($L470:$Q470)+CHOOSE($R470+1,SETTINGS!$C$9,SETTINGS!$C$10,SETTINGS!$C$11,SETTINGS!$C$12,SETTINGS!$C$13)))</f>
        <v/>
      </c>
      <c r="T470" s="34" t="str">
        <f aca="true">IF($H470="","(chưa có nội dung)",IF($L470="",IF($C470&lt;TODAY(),"⚠ TRỄ HỌC",IF($C470=TODAY(),"★ HỌC HÔM NAY","• Chưa tới")),IF($R470&gt;=5,"✔ MASTER",IF($S470&lt;TODAY(),"⚠ TRỄ ÔN",IF($S470=TODAY(),"◆ ÔN HÔM NAY","✔ Đúng tiến độ")))))</f>
        <v>• Chưa tới</v>
      </c>
      <c r="U470" s="38" t="n">
        <f aca="false">IF($H470="","",$R470/5)</f>
        <v>0</v>
      </c>
    </row>
    <row r="471" customFormat="false" ht="15" hidden="false" customHeight="false" outlineLevel="0" collapsed="false">
      <c r="A471" s="31" t="s">
        <v>2938</v>
      </c>
      <c r="B471" s="31" t="n">
        <v>24</v>
      </c>
      <c r="C471" s="32" t="n">
        <f aca="false">SETTINGS!$C$3+$B471-1</f>
        <v>46323</v>
      </c>
      <c r="D471" s="39" t="s">
        <v>1947</v>
      </c>
      <c r="E471" s="34" t="s">
        <v>2890</v>
      </c>
      <c r="F471" s="34" t="s">
        <v>280</v>
      </c>
      <c r="G471" s="34" t="s">
        <v>2939</v>
      </c>
      <c r="H471" s="35" t="s">
        <v>2940</v>
      </c>
      <c r="I471" s="36" t="s">
        <v>2941</v>
      </c>
      <c r="J471" s="34" t="s">
        <v>2942</v>
      </c>
      <c r="K471" s="34" t="s">
        <v>2943</v>
      </c>
      <c r="L471" s="37"/>
      <c r="M471" s="37"/>
      <c r="N471" s="37"/>
      <c r="O471" s="37"/>
      <c r="P471" s="37"/>
      <c r="Q471" s="37"/>
      <c r="R471" s="31" t="n">
        <f aca="false">COUNT($M471:$Q471)</f>
        <v>0</v>
      </c>
      <c r="S471" s="32" t="str">
        <f aca="false">IF($L471="","",IF($R471&gt;=5,"",MAX($L471:$Q471)+CHOOSE($R471+1,SETTINGS!$C$9,SETTINGS!$C$10,SETTINGS!$C$11,SETTINGS!$C$12,SETTINGS!$C$13)))</f>
        <v/>
      </c>
      <c r="T471" s="34" t="str">
        <f aca="true">IF($H471="","(chưa có nội dung)",IF($L471="",IF($C471&lt;TODAY(),"⚠ TRỄ HỌC",IF($C471=TODAY(),"★ HỌC HÔM NAY","• Chưa tới")),IF($R471&gt;=5,"✔ MASTER",IF($S471&lt;TODAY(),"⚠ TRỄ ÔN",IF($S471=TODAY(),"◆ ÔN HÔM NAY","✔ Đúng tiến độ")))))</f>
        <v>• Chưa tới</v>
      </c>
      <c r="U471" s="38" t="n">
        <f aca="false">IF($H471="","",$R471/5)</f>
        <v>0</v>
      </c>
    </row>
    <row r="472" customFormat="false" ht="15" hidden="false" customHeight="false" outlineLevel="0" collapsed="false">
      <c r="A472" s="31" t="s">
        <v>2944</v>
      </c>
      <c r="B472" s="31" t="n">
        <v>24</v>
      </c>
      <c r="C472" s="32" t="n">
        <f aca="false">SETTINGS!$C$3+$B472-1</f>
        <v>46323</v>
      </c>
      <c r="D472" s="39" t="s">
        <v>1947</v>
      </c>
      <c r="E472" s="34" t="s">
        <v>2890</v>
      </c>
      <c r="F472" s="34" t="s">
        <v>280</v>
      </c>
      <c r="G472" s="34" t="s">
        <v>2945</v>
      </c>
      <c r="H472" s="35" t="s">
        <v>2946</v>
      </c>
      <c r="I472" s="36" t="s">
        <v>2947</v>
      </c>
      <c r="J472" s="34" t="s">
        <v>2948</v>
      </c>
      <c r="K472" s="34" t="s">
        <v>2949</v>
      </c>
      <c r="L472" s="37"/>
      <c r="M472" s="37"/>
      <c r="N472" s="37"/>
      <c r="O472" s="37"/>
      <c r="P472" s="37"/>
      <c r="Q472" s="37"/>
      <c r="R472" s="31" t="n">
        <f aca="false">COUNT($M472:$Q472)</f>
        <v>0</v>
      </c>
      <c r="S472" s="32" t="str">
        <f aca="false">IF($L472="","",IF($R472&gt;=5,"",MAX($L472:$Q472)+CHOOSE($R472+1,SETTINGS!$C$9,SETTINGS!$C$10,SETTINGS!$C$11,SETTINGS!$C$12,SETTINGS!$C$13)))</f>
        <v/>
      </c>
      <c r="T472" s="34" t="str">
        <f aca="true">IF($H472="","(chưa có nội dung)",IF($L472="",IF($C472&lt;TODAY(),"⚠ TRỄ HỌC",IF($C472=TODAY(),"★ HỌC HÔM NAY","• Chưa tới")),IF($R472&gt;=5,"✔ MASTER",IF($S472&lt;TODAY(),"⚠ TRỄ ÔN",IF($S472=TODAY(),"◆ ÔN HÔM NAY","✔ Đúng tiến độ")))))</f>
        <v>• Chưa tới</v>
      </c>
      <c r="U472" s="38" t="n">
        <f aca="false">IF($H472="","",$R472/5)</f>
        <v>0</v>
      </c>
    </row>
    <row r="473" customFormat="false" ht="15" hidden="false" customHeight="false" outlineLevel="0" collapsed="false">
      <c r="A473" s="31" t="s">
        <v>2950</v>
      </c>
      <c r="B473" s="31" t="n">
        <v>24</v>
      </c>
      <c r="C473" s="32" t="n">
        <f aca="false">SETTINGS!$C$3+$B473-1</f>
        <v>46323</v>
      </c>
      <c r="D473" s="39" t="s">
        <v>1947</v>
      </c>
      <c r="E473" s="34" t="s">
        <v>2890</v>
      </c>
      <c r="F473" s="34" t="s">
        <v>183</v>
      </c>
      <c r="G473" s="34" t="s">
        <v>2951</v>
      </c>
      <c r="H473" s="35" t="s">
        <v>2952</v>
      </c>
      <c r="I473" s="36" t="s">
        <v>2953</v>
      </c>
      <c r="J473" s="34" t="s">
        <v>2954</v>
      </c>
      <c r="K473" s="34" t="s">
        <v>2955</v>
      </c>
      <c r="L473" s="37"/>
      <c r="M473" s="37"/>
      <c r="N473" s="37"/>
      <c r="O473" s="37"/>
      <c r="P473" s="37"/>
      <c r="Q473" s="37"/>
      <c r="R473" s="31" t="n">
        <f aca="false">COUNT($M473:$Q473)</f>
        <v>0</v>
      </c>
      <c r="S473" s="32" t="str">
        <f aca="false">IF($L473="","",IF($R473&gt;=5,"",MAX($L473:$Q473)+CHOOSE($R473+1,SETTINGS!$C$9,SETTINGS!$C$10,SETTINGS!$C$11,SETTINGS!$C$12,SETTINGS!$C$13)))</f>
        <v/>
      </c>
      <c r="T473" s="34" t="str">
        <f aca="true">IF($H473="","(chưa có nội dung)",IF($L473="",IF($C473&lt;TODAY(),"⚠ TRỄ HỌC",IF($C473=TODAY(),"★ HỌC HÔM NAY","• Chưa tới")),IF($R473&gt;=5,"✔ MASTER",IF($S473&lt;TODAY(),"⚠ TRỄ ÔN",IF($S473=TODAY(),"◆ ÔN HÔM NAY","✔ Đúng tiến độ")))))</f>
        <v>• Chưa tới</v>
      </c>
      <c r="U473" s="38" t="n">
        <f aca="false">IF($H473="","",$R473/5)</f>
        <v>0</v>
      </c>
    </row>
    <row r="474" customFormat="false" ht="15" hidden="false" customHeight="false" outlineLevel="0" collapsed="false">
      <c r="A474" s="31" t="s">
        <v>2956</v>
      </c>
      <c r="B474" s="31" t="n">
        <v>24</v>
      </c>
      <c r="C474" s="32" t="n">
        <f aca="false">SETTINGS!$C$3+$B474-1</f>
        <v>46323</v>
      </c>
      <c r="D474" s="39" t="s">
        <v>1947</v>
      </c>
      <c r="E474" s="34" t="s">
        <v>2890</v>
      </c>
      <c r="F474" s="34" t="s">
        <v>163</v>
      </c>
      <c r="G474" s="34" t="s">
        <v>2957</v>
      </c>
      <c r="H474" s="35" t="s">
        <v>2958</v>
      </c>
      <c r="I474" s="36" t="s">
        <v>2959</v>
      </c>
      <c r="J474" s="34" t="s">
        <v>2960</v>
      </c>
      <c r="K474" s="34" t="s">
        <v>2961</v>
      </c>
      <c r="L474" s="37"/>
      <c r="M474" s="37"/>
      <c r="N474" s="37"/>
      <c r="O474" s="37"/>
      <c r="P474" s="37"/>
      <c r="Q474" s="37"/>
      <c r="R474" s="31" t="n">
        <f aca="false">COUNT($M474:$Q474)</f>
        <v>0</v>
      </c>
      <c r="S474" s="32" t="str">
        <f aca="false">IF($L474="","",IF($R474&gt;=5,"",MAX($L474:$Q474)+CHOOSE($R474+1,SETTINGS!$C$9,SETTINGS!$C$10,SETTINGS!$C$11,SETTINGS!$C$12,SETTINGS!$C$13)))</f>
        <v/>
      </c>
      <c r="T474" s="34" t="str">
        <f aca="true">IF($H474="","(chưa có nội dung)",IF($L474="",IF($C474&lt;TODAY(),"⚠ TRỄ HỌC",IF($C474=TODAY(),"★ HỌC HÔM NAY","• Chưa tới")),IF($R474&gt;=5,"✔ MASTER",IF($S474&lt;TODAY(),"⚠ TRỄ ÔN",IF($S474=TODAY(),"◆ ÔN HÔM NAY","✔ Đúng tiến độ")))))</f>
        <v>• Chưa tới</v>
      </c>
      <c r="U474" s="38" t="n">
        <f aca="false">IF($H474="","",$R474/5)</f>
        <v>0</v>
      </c>
    </row>
    <row r="475" customFormat="false" ht="15" hidden="false" customHeight="false" outlineLevel="0" collapsed="false">
      <c r="A475" s="31" t="s">
        <v>2962</v>
      </c>
      <c r="B475" s="31" t="n">
        <v>24</v>
      </c>
      <c r="C475" s="32" t="n">
        <f aca="false">SETTINGS!$C$3+$B475-1</f>
        <v>46323</v>
      </c>
      <c r="D475" s="39" t="s">
        <v>1947</v>
      </c>
      <c r="E475" s="34" t="s">
        <v>2890</v>
      </c>
      <c r="F475" s="34" t="s">
        <v>280</v>
      </c>
      <c r="G475" s="34" t="s">
        <v>2963</v>
      </c>
      <c r="H475" s="35" t="s">
        <v>2964</v>
      </c>
      <c r="I475" s="36" t="s">
        <v>2965</v>
      </c>
      <c r="J475" s="34" t="s">
        <v>2966</v>
      </c>
      <c r="K475" s="34" t="s">
        <v>2967</v>
      </c>
      <c r="L475" s="37"/>
      <c r="M475" s="37"/>
      <c r="N475" s="37"/>
      <c r="O475" s="37"/>
      <c r="P475" s="37"/>
      <c r="Q475" s="37"/>
      <c r="R475" s="31" t="n">
        <f aca="false">COUNT($M475:$Q475)</f>
        <v>0</v>
      </c>
      <c r="S475" s="32" t="str">
        <f aca="false">IF($L475="","",IF($R475&gt;=5,"",MAX($L475:$Q475)+CHOOSE($R475+1,SETTINGS!$C$9,SETTINGS!$C$10,SETTINGS!$C$11,SETTINGS!$C$12,SETTINGS!$C$13)))</f>
        <v/>
      </c>
      <c r="T475" s="34" t="str">
        <f aca="true">IF($H475="","(chưa có nội dung)",IF($L475="",IF($C475&lt;TODAY(),"⚠ TRỄ HỌC",IF($C475=TODAY(),"★ HỌC HÔM NAY","• Chưa tới")),IF($R475&gt;=5,"✔ MASTER",IF($S475&lt;TODAY(),"⚠ TRỄ ÔN",IF($S475=TODAY(),"◆ ÔN HÔM NAY","✔ Đúng tiến độ")))))</f>
        <v>• Chưa tới</v>
      </c>
      <c r="U475" s="38" t="n">
        <f aca="false">IF($H475="","",$R475/5)</f>
        <v>0</v>
      </c>
    </row>
    <row r="476" customFormat="false" ht="15" hidden="false" customHeight="false" outlineLevel="0" collapsed="false">
      <c r="A476" s="31" t="s">
        <v>2968</v>
      </c>
      <c r="B476" s="31" t="n">
        <v>24</v>
      </c>
      <c r="C476" s="32" t="n">
        <f aca="false">SETTINGS!$C$3+$B476-1</f>
        <v>46323</v>
      </c>
      <c r="D476" s="39" t="s">
        <v>1947</v>
      </c>
      <c r="E476" s="34" t="s">
        <v>2890</v>
      </c>
      <c r="F476" s="34" t="s">
        <v>280</v>
      </c>
      <c r="G476" s="34" t="s">
        <v>2969</v>
      </c>
      <c r="H476" s="35" t="s">
        <v>2970</v>
      </c>
      <c r="I476" s="36" t="s">
        <v>2971</v>
      </c>
      <c r="J476" s="34" t="s">
        <v>2972</v>
      </c>
      <c r="K476" s="34" t="s">
        <v>2973</v>
      </c>
      <c r="L476" s="37"/>
      <c r="M476" s="37"/>
      <c r="N476" s="37"/>
      <c r="O476" s="37"/>
      <c r="P476" s="37"/>
      <c r="Q476" s="37"/>
      <c r="R476" s="31" t="n">
        <f aca="false">COUNT($M476:$Q476)</f>
        <v>0</v>
      </c>
      <c r="S476" s="32" t="str">
        <f aca="false">IF($L476="","",IF($R476&gt;=5,"",MAX($L476:$Q476)+CHOOSE($R476+1,SETTINGS!$C$9,SETTINGS!$C$10,SETTINGS!$C$11,SETTINGS!$C$12,SETTINGS!$C$13)))</f>
        <v/>
      </c>
      <c r="T476" s="34" t="str">
        <f aca="true">IF($H476="","(chưa có nội dung)",IF($L476="",IF($C476&lt;TODAY(),"⚠ TRỄ HỌC",IF($C476=TODAY(),"★ HỌC HÔM NAY","• Chưa tới")),IF($R476&gt;=5,"✔ MASTER",IF($S476&lt;TODAY(),"⚠ TRỄ ÔN",IF($S476=TODAY(),"◆ ÔN HÔM NAY","✔ Đúng tiến độ")))))</f>
        <v>• Chưa tới</v>
      </c>
      <c r="U476" s="38" t="n">
        <f aca="false">IF($H476="","",$R476/5)</f>
        <v>0</v>
      </c>
    </row>
    <row r="477" customFormat="false" ht="15" hidden="false" customHeight="false" outlineLevel="0" collapsed="false">
      <c r="A477" s="31" t="s">
        <v>2974</v>
      </c>
      <c r="B477" s="31" t="n">
        <v>24</v>
      </c>
      <c r="C477" s="32" t="n">
        <f aca="false">SETTINGS!$C$3+$B477-1</f>
        <v>46323</v>
      </c>
      <c r="D477" s="39" t="s">
        <v>1947</v>
      </c>
      <c r="E477" s="34" t="s">
        <v>2890</v>
      </c>
      <c r="F477" s="34" t="s">
        <v>280</v>
      </c>
      <c r="G477" s="34" t="s">
        <v>2363</v>
      </c>
      <c r="H477" s="35" t="s">
        <v>2975</v>
      </c>
      <c r="I477" s="36" t="s">
        <v>2976</v>
      </c>
      <c r="J477" s="34" t="s">
        <v>2977</v>
      </c>
      <c r="K477" s="34" t="s">
        <v>2978</v>
      </c>
      <c r="L477" s="37"/>
      <c r="M477" s="37"/>
      <c r="N477" s="37"/>
      <c r="O477" s="37"/>
      <c r="P477" s="37"/>
      <c r="Q477" s="37"/>
      <c r="R477" s="31" t="n">
        <f aca="false">COUNT($M477:$Q477)</f>
        <v>0</v>
      </c>
      <c r="S477" s="32" t="str">
        <f aca="false">IF($L477="","",IF($R477&gt;=5,"",MAX($L477:$Q477)+CHOOSE($R477+1,SETTINGS!$C$9,SETTINGS!$C$10,SETTINGS!$C$11,SETTINGS!$C$12,SETTINGS!$C$13)))</f>
        <v/>
      </c>
      <c r="T477" s="34" t="str">
        <f aca="true">IF($H477="","(chưa có nội dung)",IF($L477="",IF($C477&lt;TODAY(),"⚠ TRỄ HỌC",IF($C477=TODAY(),"★ HỌC HÔM NAY","• Chưa tới")),IF($R477&gt;=5,"✔ MASTER",IF($S477&lt;TODAY(),"⚠ TRỄ ÔN",IF($S477=TODAY(),"◆ ÔN HÔM NAY","✔ Đúng tiến độ")))))</f>
        <v>• Chưa tới</v>
      </c>
      <c r="U477" s="38" t="n">
        <f aca="false">IF($H477="","",$R477/5)</f>
        <v>0</v>
      </c>
    </row>
    <row r="478" customFormat="false" ht="15" hidden="false" customHeight="false" outlineLevel="0" collapsed="false">
      <c r="A478" s="31" t="s">
        <v>2979</v>
      </c>
      <c r="B478" s="31" t="n">
        <v>24</v>
      </c>
      <c r="C478" s="32" t="n">
        <f aca="false">SETTINGS!$C$3+$B478-1</f>
        <v>46323</v>
      </c>
      <c r="D478" s="39" t="s">
        <v>1947</v>
      </c>
      <c r="E478" s="34" t="s">
        <v>2890</v>
      </c>
      <c r="F478" s="34" t="s">
        <v>280</v>
      </c>
      <c r="G478" s="34" t="s">
        <v>2980</v>
      </c>
      <c r="H478" s="35" t="s">
        <v>2981</v>
      </c>
      <c r="I478" s="36" t="s">
        <v>2982</v>
      </c>
      <c r="J478" s="34" t="s">
        <v>2983</v>
      </c>
      <c r="K478" s="34" t="s">
        <v>2632</v>
      </c>
      <c r="L478" s="37"/>
      <c r="M478" s="37"/>
      <c r="N478" s="37"/>
      <c r="O478" s="37"/>
      <c r="P478" s="37"/>
      <c r="Q478" s="37"/>
      <c r="R478" s="31" t="n">
        <f aca="false">COUNT($M478:$Q478)</f>
        <v>0</v>
      </c>
      <c r="S478" s="32" t="str">
        <f aca="false">IF($L478="","",IF($R478&gt;=5,"",MAX($L478:$Q478)+CHOOSE($R478+1,SETTINGS!$C$9,SETTINGS!$C$10,SETTINGS!$C$11,SETTINGS!$C$12,SETTINGS!$C$13)))</f>
        <v/>
      </c>
      <c r="T478" s="34" t="str">
        <f aca="true">IF($H478="","(chưa có nội dung)",IF($L478="",IF($C478&lt;TODAY(),"⚠ TRỄ HỌC",IF($C478=TODAY(),"★ HỌC HÔM NAY","• Chưa tới")),IF($R478&gt;=5,"✔ MASTER",IF($S478&lt;TODAY(),"⚠ TRỄ ÔN",IF($S478=TODAY(),"◆ ÔN HÔM NAY","✔ Đúng tiến độ")))))</f>
        <v>• Chưa tới</v>
      </c>
      <c r="U478" s="38" t="n">
        <f aca="false">IF($H478="","",$R478/5)</f>
        <v>0</v>
      </c>
    </row>
    <row r="479" customFormat="false" ht="15" hidden="false" customHeight="false" outlineLevel="0" collapsed="false">
      <c r="A479" s="31" t="s">
        <v>2984</v>
      </c>
      <c r="B479" s="31" t="n">
        <v>24</v>
      </c>
      <c r="C479" s="32" t="n">
        <f aca="false">SETTINGS!$C$3+$B479-1</f>
        <v>46323</v>
      </c>
      <c r="D479" s="39" t="s">
        <v>1947</v>
      </c>
      <c r="E479" s="34" t="s">
        <v>2890</v>
      </c>
      <c r="F479" s="34" t="s">
        <v>280</v>
      </c>
      <c r="G479" s="34" t="s">
        <v>2985</v>
      </c>
      <c r="H479" s="35" t="s">
        <v>2986</v>
      </c>
      <c r="I479" s="36" t="s">
        <v>2987</v>
      </c>
      <c r="J479" s="34" t="s">
        <v>2988</v>
      </c>
      <c r="K479" s="34" t="s">
        <v>2989</v>
      </c>
      <c r="L479" s="37"/>
      <c r="M479" s="37"/>
      <c r="N479" s="37"/>
      <c r="O479" s="37"/>
      <c r="P479" s="37"/>
      <c r="Q479" s="37"/>
      <c r="R479" s="31" t="n">
        <f aca="false">COUNT($M479:$Q479)</f>
        <v>0</v>
      </c>
      <c r="S479" s="32" t="str">
        <f aca="false">IF($L479="","",IF($R479&gt;=5,"",MAX($L479:$Q479)+CHOOSE($R479+1,SETTINGS!$C$9,SETTINGS!$C$10,SETTINGS!$C$11,SETTINGS!$C$12,SETTINGS!$C$13)))</f>
        <v/>
      </c>
      <c r="T479" s="34" t="str">
        <f aca="true">IF($H479="","(chưa có nội dung)",IF($L479="",IF($C479&lt;TODAY(),"⚠ TRỄ HỌC",IF($C479=TODAY(),"★ HỌC HÔM NAY","• Chưa tới")),IF($R479&gt;=5,"✔ MASTER",IF($S479&lt;TODAY(),"⚠ TRỄ ÔN",IF($S479=TODAY(),"◆ ÔN HÔM NAY","✔ Đúng tiến độ")))))</f>
        <v>• Chưa tới</v>
      </c>
      <c r="U479" s="38" t="n">
        <f aca="false">IF($H479="","",$R479/5)</f>
        <v>0</v>
      </c>
    </row>
    <row r="480" customFormat="false" ht="15" hidden="false" customHeight="false" outlineLevel="0" collapsed="false">
      <c r="A480" s="31" t="s">
        <v>2990</v>
      </c>
      <c r="B480" s="31" t="n">
        <v>24</v>
      </c>
      <c r="C480" s="32" t="n">
        <f aca="false">SETTINGS!$C$3+$B480-1</f>
        <v>46323</v>
      </c>
      <c r="D480" s="39" t="s">
        <v>1947</v>
      </c>
      <c r="E480" s="34" t="s">
        <v>2890</v>
      </c>
      <c r="F480" s="34" t="s">
        <v>497</v>
      </c>
      <c r="G480" s="34" t="s">
        <v>2991</v>
      </c>
      <c r="H480" s="35" t="s">
        <v>2992</v>
      </c>
      <c r="I480" s="36" t="s">
        <v>2993</v>
      </c>
      <c r="J480" s="34" t="s">
        <v>2994</v>
      </c>
      <c r="K480" s="34" t="s">
        <v>2995</v>
      </c>
      <c r="L480" s="37"/>
      <c r="M480" s="37"/>
      <c r="N480" s="37"/>
      <c r="O480" s="37"/>
      <c r="P480" s="37"/>
      <c r="Q480" s="37"/>
      <c r="R480" s="31" t="n">
        <f aca="false">COUNT($M480:$Q480)</f>
        <v>0</v>
      </c>
      <c r="S480" s="32" t="str">
        <f aca="false">IF($L480="","",IF($R480&gt;=5,"",MAX($L480:$Q480)+CHOOSE($R480+1,SETTINGS!$C$9,SETTINGS!$C$10,SETTINGS!$C$11,SETTINGS!$C$12,SETTINGS!$C$13)))</f>
        <v/>
      </c>
      <c r="T480" s="34" t="str">
        <f aca="true">IF($H480="","(chưa có nội dung)",IF($L480="",IF($C480&lt;TODAY(),"⚠ TRỄ HỌC",IF($C480=TODAY(),"★ HỌC HÔM NAY","• Chưa tới")),IF($R480&gt;=5,"✔ MASTER",IF($S480&lt;TODAY(),"⚠ TRỄ ÔN",IF($S480=TODAY(),"◆ ÔN HÔM NAY","✔ Đúng tiến độ")))))</f>
        <v>• Chưa tới</v>
      </c>
      <c r="U480" s="38" t="n">
        <f aca="false">IF($H480="","",$R480/5)</f>
        <v>0</v>
      </c>
    </row>
    <row r="481" customFormat="false" ht="15" hidden="false" customHeight="false" outlineLevel="0" collapsed="false">
      <c r="A481" s="31" t="s">
        <v>2996</v>
      </c>
      <c r="B481" s="31" t="n">
        <v>24</v>
      </c>
      <c r="C481" s="32" t="n">
        <f aca="false">SETTINGS!$C$3+$B481-1</f>
        <v>46323</v>
      </c>
      <c r="D481" s="39" t="s">
        <v>1947</v>
      </c>
      <c r="E481" s="34" t="s">
        <v>2890</v>
      </c>
      <c r="F481" s="34" t="s">
        <v>280</v>
      </c>
      <c r="G481" s="34" t="s">
        <v>2997</v>
      </c>
      <c r="H481" s="35" t="s">
        <v>2998</v>
      </c>
      <c r="I481" s="36" t="s">
        <v>2999</v>
      </c>
      <c r="J481" s="34" t="s">
        <v>3000</v>
      </c>
      <c r="K481" s="34" t="s">
        <v>3001</v>
      </c>
      <c r="L481" s="37"/>
      <c r="M481" s="37"/>
      <c r="N481" s="37"/>
      <c r="O481" s="37"/>
      <c r="P481" s="37"/>
      <c r="Q481" s="37"/>
      <c r="R481" s="31" t="n">
        <f aca="false">COUNT($M481:$Q481)</f>
        <v>0</v>
      </c>
      <c r="S481" s="32" t="str">
        <f aca="false">IF($L481="","",IF($R481&gt;=5,"",MAX($L481:$Q481)+CHOOSE($R481+1,SETTINGS!$C$9,SETTINGS!$C$10,SETTINGS!$C$11,SETTINGS!$C$12,SETTINGS!$C$13)))</f>
        <v/>
      </c>
      <c r="T481" s="34" t="str">
        <f aca="true">IF($H481="","(chưa có nội dung)",IF($L481="",IF($C481&lt;TODAY(),"⚠ TRỄ HỌC",IF($C481=TODAY(),"★ HỌC HÔM NAY","• Chưa tới")),IF($R481&gt;=5,"✔ MASTER",IF($S481&lt;TODAY(),"⚠ TRỄ ÔN",IF($S481=TODAY(),"◆ ÔN HÔM NAY","✔ Đúng tiến độ")))))</f>
        <v>• Chưa tới</v>
      </c>
      <c r="U481" s="38" t="n">
        <f aca="false">IF($H481="","",$R481/5)</f>
        <v>0</v>
      </c>
    </row>
    <row r="482" customFormat="false" ht="15" hidden="false" customHeight="false" outlineLevel="0" collapsed="false">
      <c r="A482" s="31" t="s">
        <v>3002</v>
      </c>
      <c r="B482" s="31" t="n">
        <v>24</v>
      </c>
      <c r="C482" s="32" t="n">
        <f aca="false">SETTINGS!$C$3+$B482-1</f>
        <v>46323</v>
      </c>
      <c r="D482" s="39" t="s">
        <v>1947</v>
      </c>
      <c r="E482" s="34" t="s">
        <v>2890</v>
      </c>
      <c r="F482" s="34" t="s">
        <v>472</v>
      </c>
      <c r="G482" s="34" t="s">
        <v>3003</v>
      </c>
      <c r="H482" s="35" t="s">
        <v>3004</v>
      </c>
      <c r="I482" s="36" t="s">
        <v>3005</v>
      </c>
      <c r="J482" s="34" t="s">
        <v>3006</v>
      </c>
      <c r="K482" s="34" t="s">
        <v>3007</v>
      </c>
      <c r="L482" s="37"/>
      <c r="M482" s="37"/>
      <c r="N482" s="37"/>
      <c r="O482" s="37"/>
      <c r="P482" s="37"/>
      <c r="Q482" s="37"/>
      <c r="R482" s="31" t="n">
        <f aca="false">COUNT($M482:$Q482)</f>
        <v>0</v>
      </c>
      <c r="S482" s="32" t="str">
        <f aca="false">IF($L482="","",IF($R482&gt;=5,"",MAX($L482:$Q482)+CHOOSE($R482+1,SETTINGS!$C$9,SETTINGS!$C$10,SETTINGS!$C$11,SETTINGS!$C$12,SETTINGS!$C$13)))</f>
        <v/>
      </c>
      <c r="T482" s="34" t="str">
        <f aca="true">IF($H482="","(chưa có nội dung)",IF($L482="",IF($C482&lt;TODAY(),"⚠ TRỄ HỌC",IF($C482=TODAY(),"★ HỌC HÔM NAY","• Chưa tới")),IF($R482&gt;=5,"✔ MASTER",IF($S482&lt;TODAY(),"⚠ TRỄ ÔN",IF($S482=TODAY(),"◆ ÔN HÔM NAY","✔ Đúng tiến độ")))))</f>
        <v>• Chưa tới</v>
      </c>
      <c r="U482" s="38" t="n">
        <f aca="false">IF($H482="","",$R482/5)</f>
        <v>0</v>
      </c>
    </row>
    <row r="483" customFormat="false" ht="15" hidden="false" customHeight="false" outlineLevel="0" collapsed="false">
      <c r="A483" s="31" t="s">
        <v>3008</v>
      </c>
      <c r="B483" s="31" t="n">
        <v>25</v>
      </c>
      <c r="C483" s="32" t="n">
        <f aca="false">SETTINGS!$C$3+$B483-1</f>
        <v>46324</v>
      </c>
      <c r="D483" s="39" t="s">
        <v>1947</v>
      </c>
      <c r="E483" s="34" t="s">
        <v>3009</v>
      </c>
      <c r="F483" s="34" t="s">
        <v>280</v>
      </c>
      <c r="G483" s="34" t="s">
        <v>1769</v>
      </c>
      <c r="H483" s="35" t="s">
        <v>3010</v>
      </c>
      <c r="I483" s="36" t="s">
        <v>3011</v>
      </c>
      <c r="J483" s="34" t="s">
        <v>3012</v>
      </c>
      <c r="K483" s="34" t="s">
        <v>3013</v>
      </c>
      <c r="L483" s="37"/>
      <c r="M483" s="37"/>
      <c r="N483" s="37"/>
      <c r="O483" s="37"/>
      <c r="P483" s="37"/>
      <c r="Q483" s="37"/>
      <c r="R483" s="31" t="n">
        <f aca="false">COUNT($M483:$Q483)</f>
        <v>0</v>
      </c>
      <c r="S483" s="32" t="str">
        <f aca="false">IF($L483="","",IF($R483&gt;=5,"",MAX($L483:$Q483)+CHOOSE($R483+1,SETTINGS!$C$9,SETTINGS!$C$10,SETTINGS!$C$11,SETTINGS!$C$12,SETTINGS!$C$13)))</f>
        <v/>
      </c>
      <c r="T483" s="34" t="str">
        <f aca="true">IF($H483="","(chưa có nội dung)",IF($L483="",IF($C483&lt;TODAY(),"⚠ TRỄ HỌC",IF($C483=TODAY(),"★ HỌC HÔM NAY","• Chưa tới")),IF($R483&gt;=5,"✔ MASTER",IF($S483&lt;TODAY(),"⚠ TRỄ ÔN",IF($S483=TODAY(),"◆ ÔN HÔM NAY","✔ Đúng tiến độ")))))</f>
        <v>• Chưa tới</v>
      </c>
      <c r="U483" s="38" t="n">
        <f aca="false">IF($H483="","",$R483/5)</f>
        <v>0</v>
      </c>
    </row>
    <row r="484" customFormat="false" ht="15" hidden="false" customHeight="false" outlineLevel="0" collapsed="false">
      <c r="A484" s="31" t="s">
        <v>3014</v>
      </c>
      <c r="B484" s="31" t="n">
        <v>25</v>
      </c>
      <c r="C484" s="32" t="n">
        <f aca="false">SETTINGS!$C$3+$B484-1</f>
        <v>46324</v>
      </c>
      <c r="D484" s="39" t="s">
        <v>1947</v>
      </c>
      <c r="E484" s="34" t="s">
        <v>3009</v>
      </c>
      <c r="F484" s="34" t="s">
        <v>280</v>
      </c>
      <c r="G484" s="34" t="s">
        <v>536</v>
      </c>
      <c r="H484" s="35" t="s">
        <v>3015</v>
      </c>
      <c r="I484" s="36" t="s">
        <v>3016</v>
      </c>
      <c r="J484" s="34" t="s">
        <v>3017</v>
      </c>
      <c r="K484" s="34" t="s">
        <v>3018</v>
      </c>
      <c r="L484" s="37"/>
      <c r="M484" s="37"/>
      <c r="N484" s="37"/>
      <c r="O484" s="37"/>
      <c r="P484" s="37"/>
      <c r="Q484" s="37"/>
      <c r="R484" s="31" t="n">
        <f aca="false">COUNT($M484:$Q484)</f>
        <v>0</v>
      </c>
      <c r="S484" s="32" t="str">
        <f aca="false">IF($L484="","",IF($R484&gt;=5,"",MAX($L484:$Q484)+CHOOSE($R484+1,SETTINGS!$C$9,SETTINGS!$C$10,SETTINGS!$C$11,SETTINGS!$C$12,SETTINGS!$C$13)))</f>
        <v/>
      </c>
      <c r="T484" s="34" t="str">
        <f aca="true">IF($H484="","(chưa có nội dung)",IF($L484="",IF($C484&lt;TODAY(),"⚠ TRỄ HỌC",IF($C484=TODAY(),"★ HỌC HÔM NAY","• Chưa tới")),IF($R484&gt;=5,"✔ MASTER",IF($S484&lt;TODAY(),"⚠ TRỄ ÔN",IF($S484=TODAY(),"◆ ÔN HÔM NAY","✔ Đúng tiến độ")))))</f>
        <v>• Chưa tới</v>
      </c>
      <c r="U484" s="38" t="n">
        <f aca="false">IF($H484="","",$R484/5)</f>
        <v>0</v>
      </c>
    </row>
    <row r="485" customFormat="false" ht="15" hidden="false" customHeight="false" outlineLevel="0" collapsed="false">
      <c r="A485" s="31" t="s">
        <v>3019</v>
      </c>
      <c r="B485" s="31" t="n">
        <v>25</v>
      </c>
      <c r="C485" s="32" t="n">
        <f aca="false">SETTINGS!$C$3+$B485-1</f>
        <v>46324</v>
      </c>
      <c r="D485" s="39" t="s">
        <v>1947</v>
      </c>
      <c r="E485" s="34" t="s">
        <v>3009</v>
      </c>
      <c r="F485" s="34" t="s">
        <v>280</v>
      </c>
      <c r="G485" s="34" t="s">
        <v>485</v>
      </c>
      <c r="H485" s="35" t="s">
        <v>3020</v>
      </c>
      <c r="I485" s="36" t="s">
        <v>3021</v>
      </c>
      <c r="J485" s="34" t="s">
        <v>3022</v>
      </c>
      <c r="K485" s="34" t="s">
        <v>3023</v>
      </c>
      <c r="L485" s="37"/>
      <c r="M485" s="37"/>
      <c r="N485" s="37"/>
      <c r="O485" s="37"/>
      <c r="P485" s="37"/>
      <c r="Q485" s="37"/>
      <c r="R485" s="31" t="n">
        <f aca="false">COUNT($M485:$Q485)</f>
        <v>0</v>
      </c>
      <c r="S485" s="32" t="str">
        <f aca="false">IF($L485="","",IF($R485&gt;=5,"",MAX($L485:$Q485)+CHOOSE($R485+1,SETTINGS!$C$9,SETTINGS!$C$10,SETTINGS!$C$11,SETTINGS!$C$12,SETTINGS!$C$13)))</f>
        <v/>
      </c>
      <c r="T485" s="34" t="str">
        <f aca="true">IF($H485="","(chưa có nội dung)",IF($L485="",IF($C485&lt;TODAY(),"⚠ TRỄ HỌC",IF($C485=TODAY(),"★ HỌC HÔM NAY","• Chưa tới")),IF($R485&gt;=5,"✔ MASTER",IF($S485&lt;TODAY(),"⚠ TRỄ ÔN",IF($S485=TODAY(),"◆ ÔN HÔM NAY","✔ Đúng tiến độ")))))</f>
        <v>• Chưa tới</v>
      </c>
      <c r="U485" s="38" t="n">
        <f aca="false">IF($H485="","",$R485/5)</f>
        <v>0</v>
      </c>
    </row>
    <row r="486" customFormat="false" ht="15" hidden="false" customHeight="false" outlineLevel="0" collapsed="false">
      <c r="A486" s="31" t="s">
        <v>3024</v>
      </c>
      <c r="B486" s="31" t="n">
        <v>25</v>
      </c>
      <c r="C486" s="32" t="n">
        <f aca="false">SETTINGS!$C$3+$B486-1</f>
        <v>46324</v>
      </c>
      <c r="D486" s="39" t="s">
        <v>1947</v>
      </c>
      <c r="E486" s="34" t="s">
        <v>3009</v>
      </c>
      <c r="F486" s="34" t="s">
        <v>280</v>
      </c>
      <c r="G486" s="34" t="s">
        <v>3025</v>
      </c>
      <c r="H486" s="35" t="s">
        <v>3026</v>
      </c>
      <c r="I486" s="36" t="s">
        <v>3027</v>
      </c>
      <c r="J486" s="34" t="s">
        <v>3028</v>
      </c>
      <c r="K486" s="34" t="s">
        <v>3029</v>
      </c>
      <c r="L486" s="37"/>
      <c r="M486" s="37"/>
      <c r="N486" s="37"/>
      <c r="O486" s="37"/>
      <c r="P486" s="37"/>
      <c r="Q486" s="37"/>
      <c r="R486" s="31" t="n">
        <f aca="false">COUNT($M486:$Q486)</f>
        <v>0</v>
      </c>
      <c r="S486" s="32" t="str">
        <f aca="false">IF($L486="","",IF($R486&gt;=5,"",MAX($L486:$Q486)+CHOOSE($R486+1,SETTINGS!$C$9,SETTINGS!$C$10,SETTINGS!$C$11,SETTINGS!$C$12,SETTINGS!$C$13)))</f>
        <v/>
      </c>
      <c r="T486" s="34" t="str">
        <f aca="true">IF($H486="","(chưa có nội dung)",IF($L486="",IF($C486&lt;TODAY(),"⚠ TRỄ HỌC",IF($C486=TODAY(),"★ HỌC HÔM NAY","• Chưa tới")),IF($R486&gt;=5,"✔ MASTER",IF($S486&lt;TODAY(),"⚠ TRỄ ÔN",IF($S486=TODAY(),"◆ ÔN HÔM NAY","✔ Đúng tiến độ")))))</f>
        <v>• Chưa tới</v>
      </c>
      <c r="U486" s="38" t="n">
        <f aca="false">IF($H486="","",$R486/5)</f>
        <v>0</v>
      </c>
    </row>
    <row r="487" customFormat="false" ht="15" hidden="false" customHeight="false" outlineLevel="0" collapsed="false">
      <c r="A487" s="31" t="s">
        <v>3030</v>
      </c>
      <c r="B487" s="31" t="n">
        <v>25</v>
      </c>
      <c r="C487" s="32" t="n">
        <f aca="false">SETTINGS!$C$3+$B487-1</f>
        <v>46324</v>
      </c>
      <c r="D487" s="39" t="s">
        <v>1947</v>
      </c>
      <c r="E487" s="34" t="s">
        <v>3009</v>
      </c>
      <c r="F487" s="34" t="s">
        <v>280</v>
      </c>
      <c r="G487" s="34" t="s">
        <v>3031</v>
      </c>
      <c r="H487" s="35" t="s">
        <v>3032</v>
      </c>
      <c r="I487" s="36" t="s">
        <v>3033</v>
      </c>
      <c r="J487" s="34" t="s">
        <v>3034</v>
      </c>
      <c r="K487" s="34" t="s">
        <v>3035</v>
      </c>
      <c r="L487" s="37"/>
      <c r="M487" s="37"/>
      <c r="N487" s="37"/>
      <c r="O487" s="37"/>
      <c r="P487" s="37"/>
      <c r="Q487" s="37"/>
      <c r="R487" s="31" t="n">
        <f aca="false">COUNT($M487:$Q487)</f>
        <v>0</v>
      </c>
      <c r="S487" s="32" t="str">
        <f aca="false">IF($L487="","",IF($R487&gt;=5,"",MAX($L487:$Q487)+CHOOSE($R487+1,SETTINGS!$C$9,SETTINGS!$C$10,SETTINGS!$C$11,SETTINGS!$C$12,SETTINGS!$C$13)))</f>
        <v/>
      </c>
      <c r="T487" s="34" t="str">
        <f aca="true">IF($H487="","(chưa có nội dung)",IF($L487="",IF($C487&lt;TODAY(),"⚠ TRỄ HỌC",IF($C487=TODAY(),"★ HỌC HÔM NAY","• Chưa tới")),IF($R487&gt;=5,"✔ MASTER",IF($S487&lt;TODAY(),"⚠ TRỄ ÔN",IF($S487=TODAY(),"◆ ÔN HÔM NAY","✔ Đúng tiến độ")))))</f>
        <v>• Chưa tới</v>
      </c>
      <c r="U487" s="38" t="n">
        <f aca="false">IF($H487="","",$R487/5)</f>
        <v>0</v>
      </c>
    </row>
    <row r="488" customFormat="false" ht="15" hidden="false" customHeight="false" outlineLevel="0" collapsed="false">
      <c r="A488" s="31" t="s">
        <v>3036</v>
      </c>
      <c r="B488" s="31" t="n">
        <v>25</v>
      </c>
      <c r="C488" s="32" t="n">
        <f aca="false">SETTINGS!$C$3+$B488-1</f>
        <v>46324</v>
      </c>
      <c r="D488" s="39" t="s">
        <v>1947</v>
      </c>
      <c r="E488" s="34" t="s">
        <v>3009</v>
      </c>
      <c r="F488" s="34" t="s">
        <v>280</v>
      </c>
      <c r="G488" s="34" t="s">
        <v>3037</v>
      </c>
      <c r="H488" s="35" t="s">
        <v>3038</v>
      </c>
      <c r="I488" s="36" t="s">
        <v>3039</v>
      </c>
      <c r="J488" s="34" t="s">
        <v>3040</v>
      </c>
      <c r="K488" s="34" t="s">
        <v>3041</v>
      </c>
      <c r="L488" s="37"/>
      <c r="M488" s="37"/>
      <c r="N488" s="37"/>
      <c r="O488" s="37"/>
      <c r="P488" s="37"/>
      <c r="Q488" s="37"/>
      <c r="R488" s="31" t="n">
        <f aca="false">COUNT($M488:$Q488)</f>
        <v>0</v>
      </c>
      <c r="S488" s="32" t="str">
        <f aca="false">IF($L488="","",IF($R488&gt;=5,"",MAX($L488:$Q488)+CHOOSE($R488+1,SETTINGS!$C$9,SETTINGS!$C$10,SETTINGS!$C$11,SETTINGS!$C$12,SETTINGS!$C$13)))</f>
        <v/>
      </c>
      <c r="T488" s="34" t="str">
        <f aca="true">IF($H488="","(chưa có nội dung)",IF($L488="",IF($C488&lt;TODAY(),"⚠ TRỄ HỌC",IF($C488=TODAY(),"★ HỌC HÔM NAY","• Chưa tới")),IF($R488&gt;=5,"✔ MASTER",IF($S488&lt;TODAY(),"⚠ TRỄ ÔN",IF($S488=TODAY(),"◆ ÔN HÔM NAY","✔ Đúng tiến độ")))))</f>
        <v>• Chưa tới</v>
      </c>
      <c r="U488" s="38" t="n">
        <f aca="false">IF($H488="","",$R488/5)</f>
        <v>0</v>
      </c>
    </row>
    <row r="489" customFormat="false" ht="15" hidden="false" customHeight="false" outlineLevel="0" collapsed="false">
      <c r="A489" s="31" t="s">
        <v>3042</v>
      </c>
      <c r="B489" s="31" t="n">
        <v>25</v>
      </c>
      <c r="C489" s="32" t="n">
        <f aca="false">SETTINGS!$C$3+$B489-1</f>
        <v>46324</v>
      </c>
      <c r="D489" s="39" t="s">
        <v>1947</v>
      </c>
      <c r="E489" s="34" t="s">
        <v>3009</v>
      </c>
      <c r="F489" s="34" t="s">
        <v>280</v>
      </c>
      <c r="G489" s="34" t="s">
        <v>3043</v>
      </c>
      <c r="H489" s="35" t="s">
        <v>3044</v>
      </c>
      <c r="I489" s="36" t="s">
        <v>3045</v>
      </c>
      <c r="J489" s="34" t="s">
        <v>3046</v>
      </c>
      <c r="K489" s="34" t="s">
        <v>3047</v>
      </c>
      <c r="L489" s="37"/>
      <c r="M489" s="37"/>
      <c r="N489" s="37"/>
      <c r="O489" s="37"/>
      <c r="P489" s="37"/>
      <c r="Q489" s="37"/>
      <c r="R489" s="31" t="n">
        <f aca="false">COUNT($M489:$Q489)</f>
        <v>0</v>
      </c>
      <c r="S489" s="32" t="str">
        <f aca="false">IF($L489="","",IF($R489&gt;=5,"",MAX($L489:$Q489)+CHOOSE($R489+1,SETTINGS!$C$9,SETTINGS!$C$10,SETTINGS!$C$11,SETTINGS!$C$12,SETTINGS!$C$13)))</f>
        <v/>
      </c>
      <c r="T489" s="34" t="str">
        <f aca="true">IF($H489="","(chưa có nội dung)",IF($L489="",IF($C489&lt;TODAY(),"⚠ TRỄ HỌC",IF($C489=TODAY(),"★ HỌC HÔM NAY","• Chưa tới")),IF($R489&gt;=5,"✔ MASTER",IF($S489&lt;TODAY(),"⚠ TRỄ ÔN",IF($S489=TODAY(),"◆ ÔN HÔM NAY","✔ Đúng tiến độ")))))</f>
        <v>• Chưa tới</v>
      </c>
      <c r="U489" s="38" t="n">
        <f aca="false">IF($H489="","",$R489/5)</f>
        <v>0</v>
      </c>
    </row>
    <row r="490" customFormat="false" ht="15" hidden="false" customHeight="false" outlineLevel="0" collapsed="false">
      <c r="A490" s="31" t="s">
        <v>3048</v>
      </c>
      <c r="B490" s="31" t="n">
        <v>25</v>
      </c>
      <c r="C490" s="32" t="n">
        <f aca="false">SETTINGS!$C$3+$B490-1</f>
        <v>46324</v>
      </c>
      <c r="D490" s="39" t="s">
        <v>1947</v>
      </c>
      <c r="E490" s="34" t="s">
        <v>3009</v>
      </c>
      <c r="F490" s="34" t="s">
        <v>280</v>
      </c>
      <c r="G490" s="34" t="s">
        <v>1565</v>
      </c>
      <c r="H490" s="35" t="s">
        <v>3049</v>
      </c>
      <c r="I490" s="36" t="s">
        <v>3050</v>
      </c>
      <c r="J490" s="34" t="s">
        <v>3051</v>
      </c>
      <c r="K490" s="34" t="s">
        <v>3052</v>
      </c>
      <c r="L490" s="37"/>
      <c r="M490" s="37"/>
      <c r="N490" s="37"/>
      <c r="O490" s="37"/>
      <c r="P490" s="37"/>
      <c r="Q490" s="37"/>
      <c r="R490" s="31" t="n">
        <f aca="false">COUNT($M490:$Q490)</f>
        <v>0</v>
      </c>
      <c r="S490" s="32" t="str">
        <f aca="false">IF($L490="","",IF($R490&gt;=5,"",MAX($L490:$Q490)+CHOOSE($R490+1,SETTINGS!$C$9,SETTINGS!$C$10,SETTINGS!$C$11,SETTINGS!$C$12,SETTINGS!$C$13)))</f>
        <v/>
      </c>
      <c r="T490" s="34" t="str">
        <f aca="true">IF($H490="","(chưa có nội dung)",IF($L490="",IF($C490&lt;TODAY(),"⚠ TRỄ HỌC",IF($C490=TODAY(),"★ HỌC HÔM NAY","• Chưa tới")),IF($R490&gt;=5,"✔ MASTER",IF($S490&lt;TODAY(),"⚠ TRỄ ÔN",IF($S490=TODAY(),"◆ ÔN HÔM NAY","✔ Đúng tiến độ")))))</f>
        <v>• Chưa tới</v>
      </c>
      <c r="U490" s="38" t="n">
        <f aca="false">IF($H490="","",$R490/5)</f>
        <v>0</v>
      </c>
    </row>
    <row r="491" customFormat="false" ht="15" hidden="false" customHeight="false" outlineLevel="0" collapsed="false">
      <c r="A491" s="31" t="s">
        <v>3053</v>
      </c>
      <c r="B491" s="31" t="n">
        <v>25</v>
      </c>
      <c r="C491" s="32" t="n">
        <f aca="false">SETTINGS!$C$3+$B491-1</f>
        <v>46324</v>
      </c>
      <c r="D491" s="39" t="s">
        <v>1947</v>
      </c>
      <c r="E491" s="34" t="s">
        <v>3009</v>
      </c>
      <c r="F491" s="34" t="s">
        <v>280</v>
      </c>
      <c r="G491" s="34" t="s">
        <v>3054</v>
      </c>
      <c r="H491" s="35" t="s">
        <v>3055</v>
      </c>
      <c r="I491" s="36" t="s">
        <v>3056</v>
      </c>
      <c r="J491" s="34" t="s">
        <v>3057</v>
      </c>
      <c r="K491" s="34" t="s">
        <v>3058</v>
      </c>
      <c r="L491" s="37"/>
      <c r="M491" s="37"/>
      <c r="N491" s="37"/>
      <c r="O491" s="37"/>
      <c r="P491" s="37"/>
      <c r="Q491" s="37"/>
      <c r="R491" s="31" t="n">
        <f aca="false">COUNT($M491:$Q491)</f>
        <v>0</v>
      </c>
      <c r="S491" s="32" t="str">
        <f aca="false">IF($L491="","",IF($R491&gt;=5,"",MAX($L491:$Q491)+CHOOSE($R491+1,SETTINGS!$C$9,SETTINGS!$C$10,SETTINGS!$C$11,SETTINGS!$C$12,SETTINGS!$C$13)))</f>
        <v/>
      </c>
      <c r="T491" s="34" t="str">
        <f aca="true">IF($H491="","(chưa có nội dung)",IF($L491="",IF($C491&lt;TODAY(),"⚠ TRỄ HỌC",IF($C491=TODAY(),"★ HỌC HÔM NAY","• Chưa tới")),IF($R491&gt;=5,"✔ MASTER",IF($S491&lt;TODAY(),"⚠ TRỄ ÔN",IF($S491=TODAY(),"◆ ÔN HÔM NAY","✔ Đúng tiến độ")))))</f>
        <v>• Chưa tới</v>
      </c>
      <c r="U491" s="38" t="n">
        <f aca="false">IF($H491="","",$R491/5)</f>
        <v>0</v>
      </c>
    </row>
    <row r="492" customFormat="false" ht="15" hidden="false" customHeight="false" outlineLevel="0" collapsed="false">
      <c r="A492" s="31" t="s">
        <v>3059</v>
      </c>
      <c r="B492" s="31" t="n">
        <v>25</v>
      </c>
      <c r="C492" s="32" t="n">
        <f aca="false">SETTINGS!$C$3+$B492-1</f>
        <v>46324</v>
      </c>
      <c r="D492" s="39" t="s">
        <v>1947</v>
      </c>
      <c r="E492" s="34" t="s">
        <v>3009</v>
      </c>
      <c r="F492" s="34" t="s">
        <v>280</v>
      </c>
      <c r="G492" s="34" t="s">
        <v>1059</v>
      </c>
      <c r="H492" s="35" t="s">
        <v>3060</v>
      </c>
      <c r="I492" s="36" t="s">
        <v>3061</v>
      </c>
      <c r="J492" s="34" t="s">
        <v>3062</v>
      </c>
      <c r="K492" s="34" t="s">
        <v>3063</v>
      </c>
      <c r="L492" s="37"/>
      <c r="M492" s="37"/>
      <c r="N492" s="37"/>
      <c r="O492" s="37"/>
      <c r="P492" s="37"/>
      <c r="Q492" s="37"/>
      <c r="R492" s="31" t="n">
        <f aca="false">COUNT($M492:$Q492)</f>
        <v>0</v>
      </c>
      <c r="S492" s="32" t="str">
        <f aca="false">IF($L492="","",IF($R492&gt;=5,"",MAX($L492:$Q492)+CHOOSE($R492+1,SETTINGS!$C$9,SETTINGS!$C$10,SETTINGS!$C$11,SETTINGS!$C$12,SETTINGS!$C$13)))</f>
        <v/>
      </c>
      <c r="T492" s="34" t="str">
        <f aca="true">IF($H492="","(chưa có nội dung)",IF($L492="",IF($C492&lt;TODAY(),"⚠ TRỄ HỌC",IF($C492=TODAY(),"★ HỌC HÔM NAY","• Chưa tới")),IF($R492&gt;=5,"✔ MASTER",IF($S492&lt;TODAY(),"⚠ TRỄ ÔN",IF($S492=TODAY(),"◆ ÔN HÔM NAY","✔ Đúng tiến độ")))))</f>
        <v>• Chưa tới</v>
      </c>
      <c r="U492" s="38" t="n">
        <f aca="false">IF($H492="","",$R492/5)</f>
        <v>0</v>
      </c>
    </row>
    <row r="493" customFormat="false" ht="15" hidden="false" customHeight="false" outlineLevel="0" collapsed="false">
      <c r="A493" s="31" t="s">
        <v>3064</v>
      </c>
      <c r="B493" s="31" t="n">
        <v>25</v>
      </c>
      <c r="C493" s="32" t="n">
        <f aca="false">SETTINGS!$C$3+$B493-1</f>
        <v>46324</v>
      </c>
      <c r="D493" s="39" t="s">
        <v>1947</v>
      </c>
      <c r="E493" s="34" t="s">
        <v>3009</v>
      </c>
      <c r="F493" s="34" t="s">
        <v>280</v>
      </c>
      <c r="G493" s="34" t="s">
        <v>3065</v>
      </c>
      <c r="H493" s="35" t="s">
        <v>3066</v>
      </c>
      <c r="I493" s="36" t="s">
        <v>3067</v>
      </c>
      <c r="J493" s="34" t="s">
        <v>3068</v>
      </c>
      <c r="K493" s="34" t="s">
        <v>3069</v>
      </c>
      <c r="L493" s="37"/>
      <c r="M493" s="37"/>
      <c r="N493" s="37"/>
      <c r="O493" s="37"/>
      <c r="P493" s="37"/>
      <c r="Q493" s="37"/>
      <c r="R493" s="31" t="n">
        <f aca="false">COUNT($M493:$Q493)</f>
        <v>0</v>
      </c>
      <c r="S493" s="32" t="str">
        <f aca="false">IF($L493="","",IF($R493&gt;=5,"",MAX($L493:$Q493)+CHOOSE($R493+1,SETTINGS!$C$9,SETTINGS!$C$10,SETTINGS!$C$11,SETTINGS!$C$12,SETTINGS!$C$13)))</f>
        <v/>
      </c>
      <c r="T493" s="34" t="str">
        <f aca="true">IF($H493="","(chưa có nội dung)",IF($L493="",IF($C493&lt;TODAY(),"⚠ TRỄ HỌC",IF($C493=TODAY(),"★ HỌC HÔM NAY","• Chưa tới")),IF($R493&gt;=5,"✔ MASTER",IF($S493&lt;TODAY(),"⚠ TRỄ ÔN",IF($S493=TODAY(),"◆ ÔN HÔM NAY","✔ Đúng tiến độ")))))</f>
        <v>• Chưa tới</v>
      </c>
      <c r="U493" s="38" t="n">
        <f aca="false">IF($H493="","",$R493/5)</f>
        <v>0</v>
      </c>
    </row>
    <row r="494" customFormat="false" ht="15" hidden="false" customHeight="false" outlineLevel="0" collapsed="false">
      <c r="A494" s="31" t="s">
        <v>3070</v>
      </c>
      <c r="B494" s="31" t="n">
        <v>25</v>
      </c>
      <c r="C494" s="32" t="n">
        <f aca="false">SETTINGS!$C$3+$B494-1</f>
        <v>46324</v>
      </c>
      <c r="D494" s="39" t="s">
        <v>1947</v>
      </c>
      <c r="E494" s="34" t="s">
        <v>3009</v>
      </c>
      <c r="F494" s="34" t="s">
        <v>280</v>
      </c>
      <c r="G494" s="34" t="s">
        <v>1706</v>
      </c>
      <c r="H494" s="35" t="s">
        <v>3071</v>
      </c>
      <c r="I494" s="36" t="s">
        <v>3072</v>
      </c>
      <c r="J494" s="34" t="s">
        <v>3073</v>
      </c>
      <c r="K494" s="34" t="s">
        <v>3074</v>
      </c>
      <c r="L494" s="37"/>
      <c r="M494" s="37"/>
      <c r="N494" s="37"/>
      <c r="O494" s="37"/>
      <c r="P494" s="37"/>
      <c r="Q494" s="37"/>
      <c r="R494" s="31" t="n">
        <f aca="false">COUNT($M494:$Q494)</f>
        <v>0</v>
      </c>
      <c r="S494" s="32" t="str">
        <f aca="false">IF($L494="","",IF($R494&gt;=5,"",MAX($L494:$Q494)+CHOOSE($R494+1,SETTINGS!$C$9,SETTINGS!$C$10,SETTINGS!$C$11,SETTINGS!$C$12,SETTINGS!$C$13)))</f>
        <v/>
      </c>
      <c r="T494" s="34" t="str">
        <f aca="true">IF($H494="","(chưa có nội dung)",IF($L494="",IF($C494&lt;TODAY(),"⚠ TRỄ HỌC",IF($C494=TODAY(),"★ HỌC HÔM NAY","• Chưa tới")),IF($R494&gt;=5,"✔ MASTER",IF($S494&lt;TODAY(),"⚠ TRỄ ÔN",IF($S494=TODAY(),"◆ ÔN HÔM NAY","✔ Đúng tiến độ")))))</f>
        <v>• Chưa tới</v>
      </c>
      <c r="U494" s="38" t="n">
        <f aca="false">IF($H494="","",$R494/5)</f>
        <v>0</v>
      </c>
    </row>
    <row r="495" customFormat="false" ht="15" hidden="false" customHeight="false" outlineLevel="0" collapsed="false">
      <c r="A495" s="31" t="s">
        <v>3075</v>
      </c>
      <c r="B495" s="31" t="n">
        <v>25</v>
      </c>
      <c r="C495" s="32" t="n">
        <f aca="false">SETTINGS!$C$3+$B495-1</f>
        <v>46324</v>
      </c>
      <c r="D495" s="39" t="s">
        <v>1947</v>
      </c>
      <c r="E495" s="34" t="s">
        <v>3009</v>
      </c>
      <c r="F495" s="34" t="s">
        <v>280</v>
      </c>
      <c r="G495" s="34" t="s">
        <v>2386</v>
      </c>
      <c r="H495" s="35" t="s">
        <v>3076</v>
      </c>
      <c r="I495" s="36" t="s">
        <v>3077</v>
      </c>
      <c r="J495" s="34" t="s">
        <v>3078</v>
      </c>
      <c r="K495" s="34" t="s">
        <v>3079</v>
      </c>
      <c r="L495" s="37"/>
      <c r="M495" s="37"/>
      <c r="N495" s="37"/>
      <c r="O495" s="37"/>
      <c r="P495" s="37"/>
      <c r="Q495" s="37"/>
      <c r="R495" s="31" t="n">
        <f aca="false">COUNT($M495:$Q495)</f>
        <v>0</v>
      </c>
      <c r="S495" s="32" t="str">
        <f aca="false">IF($L495="","",IF($R495&gt;=5,"",MAX($L495:$Q495)+CHOOSE($R495+1,SETTINGS!$C$9,SETTINGS!$C$10,SETTINGS!$C$11,SETTINGS!$C$12,SETTINGS!$C$13)))</f>
        <v/>
      </c>
      <c r="T495" s="34" t="str">
        <f aca="true">IF($H495="","(chưa có nội dung)",IF($L495="",IF($C495&lt;TODAY(),"⚠ TRỄ HỌC",IF($C495=TODAY(),"★ HỌC HÔM NAY","• Chưa tới")),IF($R495&gt;=5,"✔ MASTER",IF($S495&lt;TODAY(),"⚠ TRỄ ÔN",IF($S495=TODAY(),"◆ ÔN HÔM NAY","✔ Đúng tiến độ")))))</f>
        <v>• Chưa tới</v>
      </c>
      <c r="U495" s="38" t="n">
        <f aca="false">IF($H495="","",$R495/5)</f>
        <v>0</v>
      </c>
    </row>
    <row r="496" customFormat="false" ht="15" hidden="false" customHeight="false" outlineLevel="0" collapsed="false">
      <c r="A496" s="31" t="s">
        <v>3080</v>
      </c>
      <c r="B496" s="31" t="n">
        <v>25</v>
      </c>
      <c r="C496" s="32" t="n">
        <f aca="false">SETTINGS!$C$3+$B496-1</f>
        <v>46324</v>
      </c>
      <c r="D496" s="39" t="s">
        <v>1947</v>
      </c>
      <c r="E496" s="34" t="s">
        <v>3009</v>
      </c>
      <c r="F496" s="34" t="s">
        <v>202</v>
      </c>
      <c r="G496" s="34" t="s">
        <v>3081</v>
      </c>
      <c r="H496" s="35" t="s">
        <v>3082</v>
      </c>
      <c r="I496" s="36" t="s">
        <v>3083</v>
      </c>
      <c r="J496" s="34" t="s">
        <v>3084</v>
      </c>
      <c r="K496" s="34" t="s">
        <v>3085</v>
      </c>
      <c r="L496" s="37"/>
      <c r="M496" s="37"/>
      <c r="N496" s="37"/>
      <c r="O496" s="37"/>
      <c r="P496" s="37"/>
      <c r="Q496" s="37"/>
      <c r="R496" s="31" t="n">
        <f aca="false">COUNT($M496:$Q496)</f>
        <v>0</v>
      </c>
      <c r="S496" s="32" t="str">
        <f aca="false">IF($L496="","",IF($R496&gt;=5,"",MAX($L496:$Q496)+CHOOSE($R496+1,SETTINGS!$C$9,SETTINGS!$C$10,SETTINGS!$C$11,SETTINGS!$C$12,SETTINGS!$C$13)))</f>
        <v/>
      </c>
      <c r="T496" s="34" t="str">
        <f aca="true">IF($H496="","(chưa có nội dung)",IF($L496="",IF($C496&lt;TODAY(),"⚠ TRỄ HỌC",IF($C496=TODAY(),"★ HỌC HÔM NAY","• Chưa tới")),IF($R496&gt;=5,"✔ MASTER",IF($S496&lt;TODAY(),"⚠ TRỄ ÔN",IF($S496=TODAY(),"◆ ÔN HÔM NAY","✔ Đúng tiến độ")))))</f>
        <v>• Chưa tới</v>
      </c>
      <c r="U496" s="38" t="n">
        <f aca="false">IF($H496="","",$R496/5)</f>
        <v>0</v>
      </c>
    </row>
    <row r="497" customFormat="false" ht="15" hidden="false" customHeight="false" outlineLevel="0" collapsed="false">
      <c r="A497" s="31" t="s">
        <v>3086</v>
      </c>
      <c r="B497" s="31" t="n">
        <v>25</v>
      </c>
      <c r="C497" s="32" t="n">
        <f aca="false">SETTINGS!$C$3+$B497-1</f>
        <v>46324</v>
      </c>
      <c r="D497" s="39" t="s">
        <v>1947</v>
      </c>
      <c r="E497" s="34" t="s">
        <v>3009</v>
      </c>
      <c r="F497" s="34" t="s">
        <v>183</v>
      </c>
      <c r="G497" s="34" t="s">
        <v>1452</v>
      </c>
      <c r="H497" s="35" t="s">
        <v>3087</v>
      </c>
      <c r="I497" s="36" t="s">
        <v>3088</v>
      </c>
      <c r="J497" s="34" t="s">
        <v>3089</v>
      </c>
      <c r="K497" s="34" t="s">
        <v>3090</v>
      </c>
      <c r="L497" s="37"/>
      <c r="M497" s="37"/>
      <c r="N497" s="37"/>
      <c r="O497" s="37"/>
      <c r="P497" s="37"/>
      <c r="Q497" s="37"/>
      <c r="R497" s="31" t="n">
        <f aca="false">COUNT($M497:$Q497)</f>
        <v>0</v>
      </c>
      <c r="S497" s="32" t="str">
        <f aca="false">IF($L497="","",IF($R497&gt;=5,"",MAX($L497:$Q497)+CHOOSE($R497+1,SETTINGS!$C$9,SETTINGS!$C$10,SETTINGS!$C$11,SETTINGS!$C$12,SETTINGS!$C$13)))</f>
        <v/>
      </c>
      <c r="T497" s="34" t="str">
        <f aca="true">IF($H497="","(chưa có nội dung)",IF($L497="",IF($C497&lt;TODAY(),"⚠ TRỄ HỌC",IF($C497=TODAY(),"★ HỌC HÔM NAY","• Chưa tới")),IF($R497&gt;=5,"✔ MASTER",IF($S497&lt;TODAY(),"⚠ TRỄ ÔN",IF($S497=TODAY(),"◆ ÔN HÔM NAY","✔ Đúng tiến độ")))))</f>
        <v>• Chưa tới</v>
      </c>
      <c r="U497" s="38" t="n">
        <f aca="false">IF($H497="","",$R497/5)</f>
        <v>0</v>
      </c>
    </row>
    <row r="498" customFormat="false" ht="15" hidden="false" customHeight="false" outlineLevel="0" collapsed="false">
      <c r="A498" s="31" t="s">
        <v>3091</v>
      </c>
      <c r="B498" s="31" t="n">
        <v>25</v>
      </c>
      <c r="C498" s="32" t="n">
        <f aca="false">SETTINGS!$C$3+$B498-1</f>
        <v>46324</v>
      </c>
      <c r="D498" s="39" t="s">
        <v>1947</v>
      </c>
      <c r="E498" s="34" t="s">
        <v>3009</v>
      </c>
      <c r="F498" s="34" t="s">
        <v>163</v>
      </c>
      <c r="G498" s="34" t="s">
        <v>3092</v>
      </c>
      <c r="H498" s="35" t="s">
        <v>3093</v>
      </c>
      <c r="I498" s="36" t="s">
        <v>3094</v>
      </c>
      <c r="J498" s="34" t="s">
        <v>3095</v>
      </c>
      <c r="K498" s="34" t="s">
        <v>3096</v>
      </c>
      <c r="L498" s="37"/>
      <c r="M498" s="37"/>
      <c r="N498" s="37"/>
      <c r="O498" s="37"/>
      <c r="P498" s="37"/>
      <c r="Q498" s="37"/>
      <c r="R498" s="31" t="n">
        <f aca="false">COUNT($M498:$Q498)</f>
        <v>0</v>
      </c>
      <c r="S498" s="32" t="str">
        <f aca="false">IF($L498="","",IF($R498&gt;=5,"",MAX($L498:$Q498)+CHOOSE($R498+1,SETTINGS!$C$9,SETTINGS!$C$10,SETTINGS!$C$11,SETTINGS!$C$12,SETTINGS!$C$13)))</f>
        <v/>
      </c>
      <c r="T498" s="34" t="str">
        <f aca="true">IF($H498="","(chưa có nội dung)",IF($L498="",IF($C498&lt;TODAY(),"⚠ TRỄ HỌC",IF($C498=TODAY(),"★ HỌC HÔM NAY","• Chưa tới")),IF($R498&gt;=5,"✔ MASTER",IF($S498&lt;TODAY(),"⚠ TRỄ ÔN",IF($S498=TODAY(),"◆ ÔN HÔM NAY","✔ Đúng tiến độ")))))</f>
        <v>• Chưa tới</v>
      </c>
      <c r="U498" s="38" t="n">
        <f aca="false">IF($H498="","",$R498/5)</f>
        <v>0</v>
      </c>
    </row>
    <row r="499" customFormat="false" ht="15" hidden="false" customHeight="false" outlineLevel="0" collapsed="false">
      <c r="A499" s="31" t="s">
        <v>3097</v>
      </c>
      <c r="B499" s="31" t="n">
        <v>25</v>
      </c>
      <c r="C499" s="32" t="n">
        <f aca="false">SETTINGS!$C$3+$B499-1</f>
        <v>46324</v>
      </c>
      <c r="D499" s="39" t="s">
        <v>1947</v>
      </c>
      <c r="E499" s="34" t="s">
        <v>3009</v>
      </c>
      <c r="F499" s="34" t="s">
        <v>280</v>
      </c>
      <c r="G499" s="34" t="s">
        <v>3098</v>
      </c>
      <c r="H499" s="35" t="s">
        <v>3099</v>
      </c>
      <c r="I499" s="36" t="s">
        <v>3100</v>
      </c>
      <c r="J499" s="34" t="s">
        <v>3101</v>
      </c>
      <c r="K499" s="34" t="s">
        <v>3102</v>
      </c>
      <c r="L499" s="37"/>
      <c r="M499" s="37"/>
      <c r="N499" s="37"/>
      <c r="O499" s="37"/>
      <c r="P499" s="37"/>
      <c r="Q499" s="37"/>
      <c r="R499" s="31" t="n">
        <f aca="false">COUNT($M499:$Q499)</f>
        <v>0</v>
      </c>
      <c r="S499" s="32" t="str">
        <f aca="false">IF($L499="","",IF($R499&gt;=5,"",MAX($L499:$Q499)+CHOOSE($R499+1,SETTINGS!$C$9,SETTINGS!$C$10,SETTINGS!$C$11,SETTINGS!$C$12,SETTINGS!$C$13)))</f>
        <v/>
      </c>
      <c r="T499" s="34" t="str">
        <f aca="true">IF($H499="","(chưa có nội dung)",IF($L499="",IF($C499&lt;TODAY(),"⚠ TRỄ HỌC",IF($C499=TODAY(),"★ HỌC HÔM NAY","• Chưa tới")),IF($R499&gt;=5,"✔ MASTER",IF($S499&lt;TODAY(),"⚠ TRỄ ÔN",IF($S499=TODAY(),"◆ ÔN HÔM NAY","✔ Đúng tiến độ")))))</f>
        <v>• Chưa tới</v>
      </c>
      <c r="U499" s="38" t="n">
        <f aca="false">IF($H499="","",$R499/5)</f>
        <v>0</v>
      </c>
    </row>
    <row r="500" customFormat="false" ht="15" hidden="false" customHeight="false" outlineLevel="0" collapsed="false">
      <c r="A500" s="31" t="s">
        <v>3103</v>
      </c>
      <c r="B500" s="31" t="n">
        <v>25</v>
      </c>
      <c r="C500" s="32" t="n">
        <f aca="false">SETTINGS!$C$3+$B500-1</f>
        <v>46324</v>
      </c>
      <c r="D500" s="39" t="s">
        <v>1947</v>
      </c>
      <c r="E500" s="34" t="s">
        <v>3009</v>
      </c>
      <c r="F500" s="34" t="s">
        <v>280</v>
      </c>
      <c r="G500" s="34" t="s">
        <v>1883</v>
      </c>
      <c r="H500" s="35" t="s">
        <v>3104</v>
      </c>
      <c r="I500" s="36" t="s">
        <v>3105</v>
      </c>
      <c r="J500" s="34" t="s">
        <v>3106</v>
      </c>
      <c r="K500" s="34" t="s">
        <v>3107</v>
      </c>
      <c r="L500" s="37"/>
      <c r="M500" s="37"/>
      <c r="N500" s="37"/>
      <c r="O500" s="37"/>
      <c r="P500" s="37"/>
      <c r="Q500" s="37"/>
      <c r="R500" s="31" t="n">
        <f aca="false">COUNT($M500:$Q500)</f>
        <v>0</v>
      </c>
      <c r="S500" s="32" t="str">
        <f aca="false">IF($L500="","",IF($R500&gt;=5,"",MAX($L500:$Q500)+CHOOSE($R500+1,SETTINGS!$C$9,SETTINGS!$C$10,SETTINGS!$C$11,SETTINGS!$C$12,SETTINGS!$C$13)))</f>
        <v/>
      </c>
      <c r="T500" s="34" t="str">
        <f aca="true">IF($H500="","(chưa có nội dung)",IF($L500="",IF($C500&lt;TODAY(),"⚠ TRỄ HỌC",IF($C500=TODAY(),"★ HỌC HÔM NAY","• Chưa tới")),IF($R500&gt;=5,"✔ MASTER",IF($S500&lt;TODAY(),"⚠ TRỄ ÔN",IF($S500=TODAY(),"◆ ÔN HÔM NAY","✔ Đúng tiến độ")))))</f>
        <v>• Chưa tới</v>
      </c>
      <c r="U500" s="38" t="n">
        <f aca="false">IF($H500="","",$R500/5)</f>
        <v>0</v>
      </c>
    </row>
    <row r="501" customFormat="false" ht="15" hidden="false" customHeight="false" outlineLevel="0" collapsed="false">
      <c r="A501" s="31" t="s">
        <v>3108</v>
      </c>
      <c r="B501" s="31" t="n">
        <v>25</v>
      </c>
      <c r="C501" s="32" t="n">
        <f aca="false">SETTINGS!$C$3+$B501-1</f>
        <v>46324</v>
      </c>
      <c r="D501" s="39" t="s">
        <v>1947</v>
      </c>
      <c r="E501" s="34" t="s">
        <v>3009</v>
      </c>
      <c r="F501" s="34" t="s">
        <v>280</v>
      </c>
      <c r="G501" s="34" t="s">
        <v>3109</v>
      </c>
      <c r="H501" s="35" t="s">
        <v>3110</v>
      </c>
      <c r="I501" s="36" t="s">
        <v>3111</v>
      </c>
      <c r="J501" s="34" t="s">
        <v>3112</v>
      </c>
      <c r="K501" s="34" t="s">
        <v>3113</v>
      </c>
      <c r="L501" s="37"/>
      <c r="M501" s="37"/>
      <c r="N501" s="37"/>
      <c r="O501" s="37"/>
      <c r="P501" s="37"/>
      <c r="Q501" s="37"/>
      <c r="R501" s="31" t="n">
        <f aca="false">COUNT($M501:$Q501)</f>
        <v>0</v>
      </c>
      <c r="S501" s="32" t="str">
        <f aca="false">IF($L501="","",IF($R501&gt;=5,"",MAX($L501:$Q501)+CHOOSE($R501+1,SETTINGS!$C$9,SETTINGS!$C$10,SETTINGS!$C$11,SETTINGS!$C$12,SETTINGS!$C$13)))</f>
        <v/>
      </c>
      <c r="T501" s="34" t="str">
        <f aca="true">IF($H501="","(chưa có nội dung)",IF($L501="",IF($C501&lt;TODAY(),"⚠ TRỄ HỌC",IF($C501=TODAY(),"★ HỌC HÔM NAY","• Chưa tới")),IF($R501&gt;=5,"✔ MASTER",IF($S501&lt;TODAY(),"⚠ TRỄ ÔN",IF($S501=TODAY(),"◆ ÔN HÔM NAY","✔ Đúng tiến độ")))))</f>
        <v>• Chưa tới</v>
      </c>
      <c r="U501" s="38" t="n">
        <f aca="false">IF($H501="","",$R501/5)</f>
        <v>0</v>
      </c>
    </row>
    <row r="502" customFormat="false" ht="15" hidden="false" customHeight="false" outlineLevel="0" collapsed="false">
      <c r="A502" s="31" t="s">
        <v>3114</v>
      </c>
      <c r="B502" s="31" t="n">
        <v>25</v>
      </c>
      <c r="C502" s="32" t="n">
        <f aca="false">SETTINGS!$C$3+$B502-1</f>
        <v>46324</v>
      </c>
      <c r="D502" s="39" t="s">
        <v>1947</v>
      </c>
      <c r="E502" s="34" t="s">
        <v>3009</v>
      </c>
      <c r="F502" s="34" t="s">
        <v>280</v>
      </c>
      <c r="G502" s="34" t="s">
        <v>3115</v>
      </c>
      <c r="H502" s="35" t="s">
        <v>3116</v>
      </c>
      <c r="I502" s="36" t="s">
        <v>3117</v>
      </c>
      <c r="J502" s="34" t="s">
        <v>3118</v>
      </c>
      <c r="K502" s="34" t="s">
        <v>3119</v>
      </c>
      <c r="L502" s="37"/>
      <c r="M502" s="37"/>
      <c r="N502" s="37"/>
      <c r="O502" s="37"/>
      <c r="P502" s="37"/>
      <c r="Q502" s="37"/>
      <c r="R502" s="31" t="n">
        <f aca="false">COUNT($M502:$Q502)</f>
        <v>0</v>
      </c>
      <c r="S502" s="32" t="str">
        <f aca="false">IF($L502="","",IF($R502&gt;=5,"",MAX($L502:$Q502)+CHOOSE($R502+1,SETTINGS!$C$9,SETTINGS!$C$10,SETTINGS!$C$11,SETTINGS!$C$12,SETTINGS!$C$13)))</f>
        <v/>
      </c>
      <c r="T502" s="34" t="str">
        <f aca="true">IF($H502="","(chưa có nội dung)",IF($L502="",IF($C502&lt;TODAY(),"⚠ TRỄ HỌC",IF($C502=TODAY(),"★ HỌC HÔM NAY","• Chưa tới")),IF($R502&gt;=5,"✔ MASTER",IF($S502&lt;TODAY(),"⚠ TRỄ ÔN",IF($S502=TODAY(),"◆ ÔN HÔM NAY","✔ Đúng tiến độ")))))</f>
        <v>• Chưa tới</v>
      </c>
      <c r="U502" s="38" t="n">
        <f aca="false">IF($H502="","",$R502/5)</f>
        <v>0</v>
      </c>
    </row>
    <row r="503" customFormat="false" ht="15" hidden="false" customHeight="false" outlineLevel="0" collapsed="false">
      <c r="A503" s="31" t="s">
        <v>3120</v>
      </c>
      <c r="B503" s="31" t="n">
        <v>26</v>
      </c>
      <c r="C503" s="32" t="n">
        <f aca="false">SETTINGS!$C$3+$B503-1</f>
        <v>46325</v>
      </c>
      <c r="D503" s="39" t="s">
        <v>1947</v>
      </c>
      <c r="E503" s="34" t="s">
        <v>3121</v>
      </c>
      <c r="F503" s="34" t="s">
        <v>163</v>
      </c>
      <c r="G503" s="34" t="s">
        <v>3122</v>
      </c>
      <c r="H503" s="35" t="s">
        <v>3123</v>
      </c>
      <c r="I503" s="36" t="s">
        <v>3124</v>
      </c>
      <c r="J503" s="34" t="s">
        <v>3125</v>
      </c>
      <c r="K503" s="34" t="s">
        <v>2752</v>
      </c>
      <c r="L503" s="37"/>
      <c r="M503" s="37"/>
      <c r="N503" s="37"/>
      <c r="O503" s="37"/>
      <c r="P503" s="37"/>
      <c r="Q503" s="37"/>
      <c r="R503" s="31" t="n">
        <f aca="false">COUNT($M503:$Q503)</f>
        <v>0</v>
      </c>
      <c r="S503" s="32" t="str">
        <f aca="false">IF($L503="","",IF($R503&gt;=5,"",MAX($L503:$Q503)+CHOOSE($R503+1,SETTINGS!$C$9,SETTINGS!$C$10,SETTINGS!$C$11,SETTINGS!$C$12,SETTINGS!$C$13)))</f>
        <v/>
      </c>
      <c r="T503" s="34" t="str">
        <f aca="true">IF($H503="","(chưa có nội dung)",IF($L503="",IF($C503&lt;TODAY(),"⚠ TRỄ HỌC",IF($C503=TODAY(),"★ HỌC HÔM NAY","• Chưa tới")),IF($R503&gt;=5,"✔ MASTER",IF($S503&lt;TODAY(),"⚠ TRỄ ÔN",IF($S503=TODAY(),"◆ ÔN HÔM NAY","✔ Đúng tiến độ")))))</f>
        <v>• Chưa tới</v>
      </c>
      <c r="U503" s="38" t="n">
        <f aca="false">IF($H503="","",$R503/5)</f>
        <v>0</v>
      </c>
    </row>
    <row r="504" customFormat="false" ht="15" hidden="false" customHeight="false" outlineLevel="0" collapsed="false">
      <c r="A504" s="31" t="s">
        <v>3126</v>
      </c>
      <c r="B504" s="31" t="n">
        <v>26</v>
      </c>
      <c r="C504" s="32" t="n">
        <f aca="false">SETTINGS!$C$3+$B504-1</f>
        <v>46325</v>
      </c>
      <c r="D504" s="39" t="s">
        <v>1947</v>
      </c>
      <c r="E504" s="34" t="s">
        <v>3121</v>
      </c>
      <c r="F504" s="34" t="s">
        <v>202</v>
      </c>
      <c r="G504" s="34" t="s">
        <v>3127</v>
      </c>
      <c r="H504" s="35" t="s">
        <v>3128</v>
      </c>
      <c r="I504" s="36" t="s">
        <v>3129</v>
      </c>
      <c r="J504" s="34" t="s">
        <v>3130</v>
      </c>
      <c r="K504" s="34" t="s">
        <v>3131</v>
      </c>
      <c r="L504" s="37"/>
      <c r="M504" s="37"/>
      <c r="N504" s="37"/>
      <c r="O504" s="37"/>
      <c r="P504" s="37"/>
      <c r="Q504" s="37"/>
      <c r="R504" s="31" t="n">
        <f aca="false">COUNT($M504:$Q504)</f>
        <v>0</v>
      </c>
      <c r="S504" s="32" t="str">
        <f aca="false">IF($L504="","",IF($R504&gt;=5,"",MAX($L504:$Q504)+CHOOSE($R504+1,SETTINGS!$C$9,SETTINGS!$C$10,SETTINGS!$C$11,SETTINGS!$C$12,SETTINGS!$C$13)))</f>
        <v/>
      </c>
      <c r="T504" s="34" t="str">
        <f aca="true">IF($H504="","(chưa có nội dung)",IF($L504="",IF($C504&lt;TODAY(),"⚠ TRỄ HỌC",IF($C504=TODAY(),"★ HỌC HÔM NAY","• Chưa tới")),IF($R504&gt;=5,"✔ MASTER",IF($S504&lt;TODAY(),"⚠ TRỄ ÔN",IF($S504=TODAY(),"◆ ÔN HÔM NAY","✔ Đúng tiến độ")))))</f>
        <v>• Chưa tới</v>
      </c>
      <c r="U504" s="38" t="n">
        <f aca="false">IF($H504="","",$R504/5)</f>
        <v>0</v>
      </c>
    </row>
    <row r="505" customFormat="false" ht="15" hidden="false" customHeight="false" outlineLevel="0" collapsed="false">
      <c r="A505" s="31" t="s">
        <v>3132</v>
      </c>
      <c r="B505" s="31" t="n">
        <v>26</v>
      </c>
      <c r="C505" s="32" t="n">
        <f aca="false">SETTINGS!$C$3+$B505-1</f>
        <v>46325</v>
      </c>
      <c r="D505" s="39" t="s">
        <v>1947</v>
      </c>
      <c r="E505" s="34" t="s">
        <v>3121</v>
      </c>
      <c r="F505" s="34" t="s">
        <v>202</v>
      </c>
      <c r="G505" s="34" t="s">
        <v>3133</v>
      </c>
      <c r="H505" s="35" t="s">
        <v>3134</v>
      </c>
      <c r="I505" s="36" t="s">
        <v>3135</v>
      </c>
      <c r="J505" s="34" t="s">
        <v>3136</v>
      </c>
      <c r="K505" s="34" t="s">
        <v>3137</v>
      </c>
      <c r="L505" s="37"/>
      <c r="M505" s="37"/>
      <c r="N505" s="37"/>
      <c r="O505" s="37"/>
      <c r="P505" s="37"/>
      <c r="Q505" s="37"/>
      <c r="R505" s="31" t="n">
        <f aca="false">COUNT($M505:$Q505)</f>
        <v>0</v>
      </c>
      <c r="S505" s="32" t="str">
        <f aca="false">IF($L505="","",IF($R505&gt;=5,"",MAX($L505:$Q505)+CHOOSE($R505+1,SETTINGS!$C$9,SETTINGS!$C$10,SETTINGS!$C$11,SETTINGS!$C$12,SETTINGS!$C$13)))</f>
        <v/>
      </c>
      <c r="T505" s="34" t="str">
        <f aca="true">IF($H505="","(chưa có nội dung)",IF($L505="",IF($C505&lt;TODAY(),"⚠ TRỄ HỌC",IF($C505=TODAY(),"★ HỌC HÔM NAY","• Chưa tới")),IF($R505&gt;=5,"✔ MASTER",IF($S505&lt;TODAY(),"⚠ TRỄ ÔN",IF($S505=TODAY(),"◆ ÔN HÔM NAY","✔ Đúng tiến độ")))))</f>
        <v>• Chưa tới</v>
      </c>
      <c r="U505" s="38" t="n">
        <f aca="false">IF($H505="","",$R505/5)</f>
        <v>0</v>
      </c>
    </row>
    <row r="506" customFormat="false" ht="15" hidden="false" customHeight="false" outlineLevel="0" collapsed="false">
      <c r="A506" s="31" t="s">
        <v>3138</v>
      </c>
      <c r="B506" s="31" t="n">
        <v>26</v>
      </c>
      <c r="C506" s="32" t="n">
        <f aca="false">SETTINGS!$C$3+$B506-1</f>
        <v>46325</v>
      </c>
      <c r="D506" s="39" t="s">
        <v>1947</v>
      </c>
      <c r="E506" s="34" t="s">
        <v>3121</v>
      </c>
      <c r="F506" s="34" t="s">
        <v>280</v>
      </c>
      <c r="G506" s="34" t="s">
        <v>3139</v>
      </c>
      <c r="H506" s="35" t="s">
        <v>3140</v>
      </c>
      <c r="I506" s="36" t="s">
        <v>3141</v>
      </c>
      <c r="J506" s="34" t="s">
        <v>3142</v>
      </c>
      <c r="K506" s="34" t="s">
        <v>3143</v>
      </c>
      <c r="L506" s="37"/>
      <c r="M506" s="37"/>
      <c r="N506" s="37"/>
      <c r="O506" s="37"/>
      <c r="P506" s="37"/>
      <c r="Q506" s="37"/>
      <c r="R506" s="31" t="n">
        <f aca="false">COUNT($M506:$Q506)</f>
        <v>0</v>
      </c>
      <c r="S506" s="32" t="str">
        <f aca="false">IF($L506="","",IF($R506&gt;=5,"",MAX($L506:$Q506)+CHOOSE($R506+1,SETTINGS!$C$9,SETTINGS!$C$10,SETTINGS!$C$11,SETTINGS!$C$12,SETTINGS!$C$13)))</f>
        <v/>
      </c>
      <c r="T506" s="34" t="str">
        <f aca="true">IF($H506="","(chưa có nội dung)",IF($L506="",IF($C506&lt;TODAY(),"⚠ TRỄ HỌC",IF($C506=TODAY(),"★ HỌC HÔM NAY","• Chưa tới")),IF($R506&gt;=5,"✔ MASTER",IF($S506&lt;TODAY(),"⚠ TRỄ ÔN",IF($S506=TODAY(),"◆ ÔN HÔM NAY","✔ Đúng tiến độ")))))</f>
        <v>• Chưa tới</v>
      </c>
      <c r="U506" s="38" t="n">
        <f aca="false">IF($H506="","",$R506/5)</f>
        <v>0</v>
      </c>
    </row>
    <row r="507" customFormat="false" ht="15" hidden="false" customHeight="false" outlineLevel="0" collapsed="false">
      <c r="A507" s="31" t="s">
        <v>3144</v>
      </c>
      <c r="B507" s="31" t="n">
        <v>26</v>
      </c>
      <c r="C507" s="32" t="n">
        <f aca="false">SETTINGS!$C$3+$B507-1</f>
        <v>46325</v>
      </c>
      <c r="D507" s="39" t="s">
        <v>1947</v>
      </c>
      <c r="E507" s="34" t="s">
        <v>3121</v>
      </c>
      <c r="F507" s="34" t="s">
        <v>497</v>
      </c>
      <c r="G507" s="34" t="s">
        <v>3145</v>
      </c>
      <c r="H507" s="35" t="s">
        <v>3146</v>
      </c>
      <c r="I507" s="36" t="s">
        <v>3147</v>
      </c>
      <c r="J507" s="34" t="s">
        <v>3148</v>
      </c>
      <c r="K507" s="34" t="s">
        <v>3149</v>
      </c>
      <c r="L507" s="37"/>
      <c r="M507" s="37"/>
      <c r="N507" s="37"/>
      <c r="O507" s="37"/>
      <c r="P507" s="37"/>
      <c r="Q507" s="37"/>
      <c r="R507" s="31" t="n">
        <f aca="false">COUNT($M507:$Q507)</f>
        <v>0</v>
      </c>
      <c r="S507" s="32" t="str">
        <f aca="false">IF($L507="","",IF($R507&gt;=5,"",MAX($L507:$Q507)+CHOOSE($R507+1,SETTINGS!$C$9,SETTINGS!$C$10,SETTINGS!$C$11,SETTINGS!$C$12,SETTINGS!$C$13)))</f>
        <v/>
      </c>
      <c r="T507" s="34" t="str">
        <f aca="true">IF($H507="","(chưa có nội dung)",IF($L507="",IF($C507&lt;TODAY(),"⚠ TRỄ HỌC",IF($C507=TODAY(),"★ HỌC HÔM NAY","• Chưa tới")),IF($R507&gt;=5,"✔ MASTER",IF($S507&lt;TODAY(),"⚠ TRỄ ÔN",IF($S507=TODAY(),"◆ ÔN HÔM NAY","✔ Đúng tiến độ")))))</f>
        <v>• Chưa tới</v>
      </c>
      <c r="U507" s="38" t="n">
        <f aca="false">IF($H507="","",$R507/5)</f>
        <v>0</v>
      </c>
    </row>
    <row r="508" customFormat="false" ht="15" hidden="false" customHeight="false" outlineLevel="0" collapsed="false">
      <c r="A508" s="31" t="s">
        <v>3150</v>
      </c>
      <c r="B508" s="31" t="n">
        <v>26</v>
      </c>
      <c r="C508" s="32" t="n">
        <f aca="false">SETTINGS!$C$3+$B508-1</f>
        <v>46325</v>
      </c>
      <c r="D508" s="39" t="s">
        <v>1947</v>
      </c>
      <c r="E508" s="34" t="s">
        <v>3121</v>
      </c>
      <c r="F508" s="34" t="s">
        <v>176</v>
      </c>
      <c r="G508" s="34" t="s">
        <v>3151</v>
      </c>
      <c r="H508" s="35" t="s">
        <v>3152</v>
      </c>
      <c r="I508" s="36" t="s">
        <v>3153</v>
      </c>
      <c r="J508" s="34" t="s">
        <v>3154</v>
      </c>
      <c r="K508" s="34" t="s">
        <v>3155</v>
      </c>
      <c r="L508" s="37"/>
      <c r="M508" s="37"/>
      <c r="N508" s="37"/>
      <c r="O508" s="37"/>
      <c r="P508" s="37"/>
      <c r="Q508" s="37"/>
      <c r="R508" s="31" t="n">
        <f aca="false">COUNT($M508:$Q508)</f>
        <v>0</v>
      </c>
      <c r="S508" s="32" t="str">
        <f aca="false">IF($L508="","",IF($R508&gt;=5,"",MAX($L508:$Q508)+CHOOSE($R508+1,SETTINGS!$C$9,SETTINGS!$C$10,SETTINGS!$C$11,SETTINGS!$C$12,SETTINGS!$C$13)))</f>
        <v/>
      </c>
      <c r="T508" s="34" t="str">
        <f aca="true">IF($H508="","(chưa có nội dung)",IF($L508="",IF($C508&lt;TODAY(),"⚠ TRỄ HỌC",IF($C508=TODAY(),"★ HỌC HÔM NAY","• Chưa tới")),IF($R508&gt;=5,"✔ MASTER",IF($S508&lt;TODAY(),"⚠ TRỄ ÔN",IF($S508=TODAY(),"◆ ÔN HÔM NAY","✔ Đúng tiến độ")))))</f>
        <v>• Chưa tới</v>
      </c>
      <c r="U508" s="38" t="n">
        <f aca="false">IF($H508="","",$R508/5)</f>
        <v>0</v>
      </c>
    </row>
    <row r="509" customFormat="false" ht="15" hidden="false" customHeight="false" outlineLevel="0" collapsed="false">
      <c r="A509" s="31" t="s">
        <v>3156</v>
      </c>
      <c r="B509" s="31" t="n">
        <v>26</v>
      </c>
      <c r="C509" s="32" t="n">
        <f aca="false">SETTINGS!$C$3+$B509-1</f>
        <v>46325</v>
      </c>
      <c r="D509" s="39" t="s">
        <v>1947</v>
      </c>
      <c r="E509" s="34" t="s">
        <v>3121</v>
      </c>
      <c r="F509" s="34" t="s">
        <v>202</v>
      </c>
      <c r="G509" s="34" t="s">
        <v>3157</v>
      </c>
      <c r="H509" s="35" t="s">
        <v>3158</v>
      </c>
      <c r="I509" s="36" t="s">
        <v>3159</v>
      </c>
      <c r="J509" s="34" t="s">
        <v>3160</v>
      </c>
      <c r="K509" s="34" t="s">
        <v>3161</v>
      </c>
      <c r="L509" s="37"/>
      <c r="M509" s="37"/>
      <c r="N509" s="37"/>
      <c r="O509" s="37"/>
      <c r="P509" s="37"/>
      <c r="Q509" s="37"/>
      <c r="R509" s="31" t="n">
        <f aca="false">COUNT($M509:$Q509)</f>
        <v>0</v>
      </c>
      <c r="S509" s="32" t="str">
        <f aca="false">IF($L509="","",IF($R509&gt;=5,"",MAX($L509:$Q509)+CHOOSE($R509+1,SETTINGS!$C$9,SETTINGS!$C$10,SETTINGS!$C$11,SETTINGS!$C$12,SETTINGS!$C$13)))</f>
        <v/>
      </c>
      <c r="T509" s="34" t="str">
        <f aca="true">IF($H509="","(chưa có nội dung)",IF($L509="",IF($C509&lt;TODAY(),"⚠ TRỄ HỌC",IF($C509=TODAY(),"★ HỌC HÔM NAY","• Chưa tới")),IF($R509&gt;=5,"✔ MASTER",IF($S509&lt;TODAY(),"⚠ TRỄ ÔN",IF($S509=TODAY(),"◆ ÔN HÔM NAY","✔ Đúng tiến độ")))))</f>
        <v>• Chưa tới</v>
      </c>
      <c r="U509" s="38" t="n">
        <f aca="false">IF($H509="","",$R509/5)</f>
        <v>0</v>
      </c>
    </row>
    <row r="510" customFormat="false" ht="15" hidden="false" customHeight="false" outlineLevel="0" collapsed="false">
      <c r="A510" s="31" t="s">
        <v>3162</v>
      </c>
      <c r="B510" s="31" t="n">
        <v>26</v>
      </c>
      <c r="C510" s="32" t="n">
        <f aca="false">SETTINGS!$C$3+$B510-1</f>
        <v>46325</v>
      </c>
      <c r="D510" s="39" t="s">
        <v>1947</v>
      </c>
      <c r="E510" s="34" t="s">
        <v>3121</v>
      </c>
      <c r="F510" s="34" t="s">
        <v>163</v>
      </c>
      <c r="G510" s="34" t="s">
        <v>3163</v>
      </c>
      <c r="H510" s="35" t="s">
        <v>3164</v>
      </c>
      <c r="I510" s="36" t="s">
        <v>3165</v>
      </c>
      <c r="J510" s="34" t="s">
        <v>3166</v>
      </c>
      <c r="K510" s="34" t="s">
        <v>3167</v>
      </c>
      <c r="L510" s="37"/>
      <c r="M510" s="37"/>
      <c r="N510" s="37"/>
      <c r="O510" s="37"/>
      <c r="P510" s="37"/>
      <c r="Q510" s="37"/>
      <c r="R510" s="31" t="n">
        <f aca="false">COUNT($M510:$Q510)</f>
        <v>0</v>
      </c>
      <c r="S510" s="32" t="str">
        <f aca="false">IF($L510="","",IF($R510&gt;=5,"",MAX($L510:$Q510)+CHOOSE($R510+1,SETTINGS!$C$9,SETTINGS!$C$10,SETTINGS!$C$11,SETTINGS!$C$12,SETTINGS!$C$13)))</f>
        <v/>
      </c>
      <c r="T510" s="34" t="str">
        <f aca="true">IF($H510="","(chưa có nội dung)",IF($L510="",IF($C510&lt;TODAY(),"⚠ TRỄ HỌC",IF($C510=TODAY(),"★ HỌC HÔM NAY","• Chưa tới")),IF($R510&gt;=5,"✔ MASTER",IF($S510&lt;TODAY(),"⚠ TRỄ ÔN",IF($S510=TODAY(),"◆ ÔN HÔM NAY","✔ Đúng tiến độ")))))</f>
        <v>• Chưa tới</v>
      </c>
      <c r="U510" s="38" t="n">
        <f aca="false">IF($H510="","",$R510/5)</f>
        <v>0</v>
      </c>
    </row>
    <row r="511" customFormat="false" ht="15" hidden="false" customHeight="false" outlineLevel="0" collapsed="false">
      <c r="A511" s="31" t="s">
        <v>3168</v>
      </c>
      <c r="B511" s="31" t="n">
        <v>26</v>
      </c>
      <c r="C511" s="32" t="n">
        <f aca="false">SETTINGS!$C$3+$B511-1</f>
        <v>46325</v>
      </c>
      <c r="D511" s="39" t="s">
        <v>1947</v>
      </c>
      <c r="E511" s="34" t="s">
        <v>3121</v>
      </c>
      <c r="F511" s="34" t="s">
        <v>202</v>
      </c>
      <c r="G511" s="34" t="s">
        <v>3169</v>
      </c>
      <c r="H511" s="35" t="s">
        <v>3170</v>
      </c>
      <c r="I511" s="36" t="s">
        <v>3171</v>
      </c>
      <c r="J511" s="34" t="s">
        <v>3172</v>
      </c>
      <c r="K511" s="34" t="s">
        <v>3173</v>
      </c>
      <c r="L511" s="37"/>
      <c r="M511" s="37"/>
      <c r="N511" s="37"/>
      <c r="O511" s="37"/>
      <c r="P511" s="37"/>
      <c r="Q511" s="37"/>
      <c r="R511" s="31" t="n">
        <f aca="false">COUNT($M511:$Q511)</f>
        <v>0</v>
      </c>
      <c r="S511" s="32" t="str">
        <f aca="false">IF($L511="","",IF($R511&gt;=5,"",MAX($L511:$Q511)+CHOOSE($R511+1,SETTINGS!$C$9,SETTINGS!$C$10,SETTINGS!$C$11,SETTINGS!$C$12,SETTINGS!$C$13)))</f>
        <v/>
      </c>
      <c r="T511" s="34" t="str">
        <f aca="true">IF($H511="","(chưa có nội dung)",IF($L511="",IF($C511&lt;TODAY(),"⚠ TRỄ HỌC",IF($C511=TODAY(),"★ HỌC HÔM NAY","• Chưa tới")),IF($R511&gt;=5,"✔ MASTER",IF($S511&lt;TODAY(),"⚠ TRỄ ÔN",IF($S511=TODAY(),"◆ ÔN HÔM NAY","✔ Đúng tiến độ")))))</f>
        <v>• Chưa tới</v>
      </c>
      <c r="U511" s="38" t="n">
        <f aca="false">IF($H511="","",$R511/5)</f>
        <v>0</v>
      </c>
    </row>
    <row r="512" customFormat="false" ht="15" hidden="false" customHeight="false" outlineLevel="0" collapsed="false">
      <c r="A512" s="31" t="s">
        <v>3174</v>
      </c>
      <c r="B512" s="31" t="n">
        <v>26</v>
      </c>
      <c r="C512" s="32" t="n">
        <f aca="false">SETTINGS!$C$3+$B512-1</f>
        <v>46325</v>
      </c>
      <c r="D512" s="39" t="s">
        <v>1947</v>
      </c>
      <c r="E512" s="34" t="s">
        <v>3121</v>
      </c>
      <c r="F512" s="34" t="s">
        <v>280</v>
      </c>
      <c r="G512" s="34" t="s">
        <v>3175</v>
      </c>
      <c r="H512" s="35" t="s">
        <v>3176</v>
      </c>
      <c r="I512" s="36" t="s">
        <v>3177</v>
      </c>
      <c r="J512" s="34" t="s">
        <v>3178</v>
      </c>
      <c r="K512" s="34" t="s">
        <v>3179</v>
      </c>
      <c r="L512" s="37"/>
      <c r="M512" s="37"/>
      <c r="N512" s="37"/>
      <c r="O512" s="37"/>
      <c r="P512" s="37"/>
      <c r="Q512" s="37"/>
      <c r="R512" s="31" t="n">
        <f aca="false">COUNT($M512:$Q512)</f>
        <v>0</v>
      </c>
      <c r="S512" s="32" t="str">
        <f aca="false">IF($L512="","",IF($R512&gt;=5,"",MAX($L512:$Q512)+CHOOSE($R512+1,SETTINGS!$C$9,SETTINGS!$C$10,SETTINGS!$C$11,SETTINGS!$C$12,SETTINGS!$C$13)))</f>
        <v/>
      </c>
      <c r="T512" s="34" t="str">
        <f aca="true">IF($H512="","(chưa có nội dung)",IF($L512="",IF($C512&lt;TODAY(),"⚠ TRỄ HỌC",IF($C512=TODAY(),"★ HỌC HÔM NAY","• Chưa tới")),IF($R512&gt;=5,"✔ MASTER",IF($S512&lt;TODAY(),"⚠ TRỄ ÔN",IF($S512=TODAY(),"◆ ÔN HÔM NAY","✔ Đúng tiến độ")))))</f>
        <v>• Chưa tới</v>
      </c>
      <c r="U512" s="38" t="n">
        <f aca="false">IF($H512="","",$R512/5)</f>
        <v>0</v>
      </c>
    </row>
    <row r="513" customFormat="false" ht="15" hidden="false" customHeight="false" outlineLevel="0" collapsed="false">
      <c r="A513" s="31" t="s">
        <v>3180</v>
      </c>
      <c r="B513" s="31" t="n">
        <v>26</v>
      </c>
      <c r="C513" s="32" t="n">
        <f aca="false">SETTINGS!$C$3+$B513-1</f>
        <v>46325</v>
      </c>
      <c r="D513" s="39" t="s">
        <v>1947</v>
      </c>
      <c r="E513" s="34" t="s">
        <v>3121</v>
      </c>
      <c r="F513" s="34" t="s">
        <v>163</v>
      </c>
      <c r="G513" s="34" t="s">
        <v>3181</v>
      </c>
      <c r="H513" s="35" t="s">
        <v>3182</v>
      </c>
      <c r="I513" s="36" t="s">
        <v>3183</v>
      </c>
      <c r="J513" s="34" t="s">
        <v>3184</v>
      </c>
      <c r="K513" s="34" t="s">
        <v>3185</v>
      </c>
      <c r="L513" s="37"/>
      <c r="M513" s="37"/>
      <c r="N513" s="37"/>
      <c r="O513" s="37"/>
      <c r="P513" s="37"/>
      <c r="Q513" s="37"/>
      <c r="R513" s="31" t="n">
        <f aca="false">COUNT($M513:$Q513)</f>
        <v>0</v>
      </c>
      <c r="S513" s="32" t="str">
        <f aca="false">IF($L513="","",IF($R513&gt;=5,"",MAX($L513:$Q513)+CHOOSE($R513+1,SETTINGS!$C$9,SETTINGS!$C$10,SETTINGS!$C$11,SETTINGS!$C$12,SETTINGS!$C$13)))</f>
        <v/>
      </c>
      <c r="T513" s="34" t="str">
        <f aca="true">IF($H513="","(chưa có nội dung)",IF($L513="",IF($C513&lt;TODAY(),"⚠ TRỄ HỌC",IF($C513=TODAY(),"★ HỌC HÔM NAY","• Chưa tới")),IF($R513&gt;=5,"✔ MASTER",IF($S513&lt;TODAY(),"⚠ TRỄ ÔN",IF($S513=TODAY(),"◆ ÔN HÔM NAY","✔ Đúng tiến độ")))))</f>
        <v>• Chưa tới</v>
      </c>
      <c r="U513" s="38" t="n">
        <f aca="false">IF($H513="","",$R513/5)</f>
        <v>0</v>
      </c>
    </row>
    <row r="514" customFormat="false" ht="15" hidden="false" customHeight="false" outlineLevel="0" collapsed="false">
      <c r="A514" s="31" t="s">
        <v>3186</v>
      </c>
      <c r="B514" s="31" t="n">
        <v>26</v>
      </c>
      <c r="C514" s="32" t="n">
        <f aca="false">SETTINGS!$C$3+$B514-1</f>
        <v>46325</v>
      </c>
      <c r="D514" s="39" t="s">
        <v>1947</v>
      </c>
      <c r="E514" s="34" t="s">
        <v>3121</v>
      </c>
      <c r="F514" s="34" t="s">
        <v>176</v>
      </c>
      <c r="G514" s="34" t="s">
        <v>3187</v>
      </c>
      <c r="H514" s="35" t="s">
        <v>3188</v>
      </c>
      <c r="I514" s="36" t="s">
        <v>3189</v>
      </c>
      <c r="J514" s="34" t="s">
        <v>3190</v>
      </c>
      <c r="K514" s="34" t="s">
        <v>3191</v>
      </c>
      <c r="L514" s="37"/>
      <c r="M514" s="37"/>
      <c r="N514" s="37"/>
      <c r="O514" s="37"/>
      <c r="P514" s="37"/>
      <c r="Q514" s="37"/>
      <c r="R514" s="31" t="n">
        <f aca="false">COUNT($M514:$Q514)</f>
        <v>0</v>
      </c>
      <c r="S514" s="32" t="str">
        <f aca="false">IF($L514="","",IF($R514&gt;=5,"",MAX($L514:$Q514)+CHOOSE($R514+1,SETTINGS!$C$9,SETTINGS!$C$10,SETTINGS!$C$11,SETTINGS!$C$12,SETTINGS!$C$13)))</f>
        <v/>
      </c>
      <c r="T514" s="34" t="str">
        <f aca="true">IF($H514="","(chưa có nội dung)",IF($L514="",IF($C514&lt;TODAY(),"⚠ TRỄ HỌC",IF($C514=TODAY(),"★ HỌC HÔM NAY","• Chưa tới")),IF($R514&gt;=5,"✔ MASTER",IF($S514&lt;TODAY(),"⚠ TRỄ ÔN",IF($S514=TODAY(),"◆ ÔN HÔM NAY","✔ Đúng tiến độ")))))</f>
        <v>• Chưa tới</v>
      </c>
      <c r="U514" s="38" t="n">
        <f aca="false">IF($H514="","",$R514/5)</f>
        <v>0</v>
      </c>
    </row>
    <row r="515" customFormat="false" ht="15" hidden="false" customHeight="false" outlineLevel="0" collapsed="false">
      <c r="A515" s="31" t="s">
        <v>3192</v>
      </c>
      <c r="B515" s="31" t="n">
        <v>26</v>
      </c>
      <c r="C515" s="32" t="n">
        <f aca="false">SETTINGS!$C$3+$B515-1</f>
        <v>46325</v>
      </c>
      <c r="D515" s="39" t="s">
        <v>1947</v>
      </c>
      <c r="E515" s="34" t="s">
        <v>3121</v>
      </c>
      <c r="F515" s="34" t="s">
        <v>280</v>
      </c>
      <c r="G515" s="34" t="s">
        <v>3193</v>
      </c>
      <c r="H515" s="35" t="s">
        <v>3194</v>
      </c>
      <c r="I515" s="36" t="s">
        <v>3195</v>
      </c>
      <c r="J515" s="34" t="s">
        <v>3196</v>
      </c>
      <c r="K515" s="34" t="s">
        <v>3197</v>
      </c>
      <c r="L515" s="37"/>
      <c r="M515" s="37"/>
      <c r="N515" s="37"/>
      <c r="O515" s="37"/>
      <c r="P515" s="37"/>
      <c r="Q515" s="37"/>
      <c r="R515" s="31" t="n">
        <f aca="false">COUNT($M515:$Q515)</f>
        <v>0</v>
      </c>
      <c r="S515" s="32" t="str">
        <f aca="false">IF($L515="","",IF($R515&gt;=5,"",MAX($L515:$Q515)+CHOOSE($R515+1,SETTINGS!$C$9,SETTINGS!$C$10,SETTINGS!$C$11,SETTINGS!$C$12,SETTINGS!$C$13)))</f>
        <v/>
      </c>
      <c r="T515" s="34" t="str">
        <f aca="true">IF($H515="","(chưa có nội dung)",IF($L515="",IF($C515&lt;TODAY(),"⚠ TRỄ HỌC",IF($C515=TODAY(),"★ HỌC HÔM NAY","• Chưa tới")),IF($R515&gt;=5,"✔ MASTER",IF($S515&lt;TODAY(),"⚠ TRỄ ÔN",IF($S515=TODAY(),"◆ ÔN HÔM NAY","✔ Đúng tiến độ")))))</f>
        <v>• Chưa tới</v>
      </c>
      <c r="U515" s="38" t="n">
        <f aca="false">IF($H515="","",$R515/5)</f>
        <v>0</v>
      </c>
    </row>
    <row r="516" customFormat="false" ht="15" hidden="false" customHeight="false" outlineLevel="0" collapsed="false">
      <c r="A516" s="31" t="s">
        <v>3198</v>
      </c>
      <c r="B516" s="31" t="n">
        <v>26</v>
      </c>
      <c r="C516" s="32" t="n">
        <f aca="false">SETTINGS!$C$3+$B516-1</f>
        <v>46325</v>
      </c>
      <c r="D516" s="39" t="s">
        <v>1947</v>
      </c>
      <c r="E516" s="34" t="s">
        <v>3121</v>
      </c>
      <c r="F516" s="34" t="s">
        <v>163</v>
      </c>
      <c r="G516" s="34" t="s">
        <v>3199</v>
      </c>
      <c r="H516" s="35" t="s">
        <v>3200</v>
      </c>
      <c r="I516" s="36" t="s">
        <v>3201</v>
      </c>
      <c r="J516" s="34" t="s">
        <v>3202</v>
      </c>
      <c r="K516" s="34" t="s">
        <v>3203</v>
      </c>
      <c r="L516" s="37"/>
      <c r="M516" s="37"/>
      <c r="N516" s="37"/>
      <c r="O516" s="37"/>
      <c r="P516" s="37"/>
      <c r="Q516" s="37"/>
      <c r="R516" s="31" t="n">
        <f aca="false">COUNT($M516:$Q516)</f>
        <v>0</v>
      </c>
      <c r="S516" s="32" t="str">
        <f aca="false">IF($L516="","",IF($R516&gt;=5,"",MAX($L516:$Q516)+CHOOSE($R516+1,SETTINGS!$C$9,SETTINGS!$C$10,SETTINGS!$C$11,SETTINGS!$C$12,SETTINGS!$C$13)))</f>
        <v/>
      </c>
      <c r="T516" s="34" t="str">
        <f aca="true">IF($H516="","(chưa có nội dung)",IF($L516="",IF($C516&lt;TODAY(),"⚠ TRỄ HỌC",IF($C516=TODAY(),"★ HỌC HÔM NAY","• Chưa tới")),IF($R516&gt;=5,"✔ MASTER",IF($S516&lt;TODAY(),"⚠ TRỄ ÔN",IF($S516=TODAY(),"◆ ÔN HÔM NAY","✔ Đúng tiến độ")))))</f>
        <v>• Chưa tới</v>
      </c>
      <c r="U516" s="38" t="n">
        <f aca="false">IF($H516="","",$R516/5)</f>
        <v>0</v>
      </c>
    </row>
    <row r="517" customFormat="false" ht="15" hidden="false" customHeight="false" outlineLevel="0" collapsed="false">
      <c r="A517" s="31" t="s">
        <v>3204</v>
      </c>
      <c r="B517" s="31" t="n">
        <v>26</v>
      </c>
      <c r="C517" s="32" t="n">
        <f aca="false">SETTINGS!$C$3+$B517-1</f>
        <v>46325</v>
      </c>
      <c r="D517" s="39" t="s">
        <v>1947</v>
      </c>
      <c r="E517" s="34" t="s">
        <v>3121</v>
      </c>
      <c r="F517" s="34" t="s">
        <v>280</v>
      </c>
      <c r="G517" s="34" t="s">
        <v>3205</v>
      </c>
      <c r="H517" s="35" t="s">
        <v>3206</v>
      </c>
      <c r="I517" s="36" t="s">
        <v>3207</v>
      </c>
      <c r="J517" s="34" t="s">
        <v>3208</v>
      </c>
      <c r="K517" s="34" t="s">
        <v>3209</v>
      </c>
      <c r="L517" s="37"/>
      <c r="M517" s="37"/>
      <c r="N517" s="37"/>
      <c r="O517" s="37"/>
      <c r="P517" s="37"/>
      <c r="Q517" s="37"/>
      <c r="R517" s="31" t="n">
        <f aca="false">COUNT($M517:$Q517)</f>
        <v>0</v>
      </c>
      <c r="S517" s="32" t="str">
        <f aca="false">IF($L517="","",IF($R517&gt;=5,"",MAX($L517:$Q517)+CHOOSE($R517+1,SETTINGS!$C$9,SETTINGS!$C$10,SETTINGS!$C$11,SETTINGS!$C$12,SETTINGS!$C$13)))</f>
        <v/>
      </c>
      <c r="T517" s="34" t="str">
        <f aca="true">IF($H517="","(chưa có nội dung)",IF($L517="",IF($C517&lt;TODAY(),"⚠ TRỄ HỌC",IF($C517=TODAY(),"★ HỌC HÔM NAY","• Chưa tới")),IF($R517&gt;=5,"✔ MASTER",IF($S517&lt;TODAY(),"⚠ TRỄ ÔN",IF($S517=TODAY(),"◆ ÔN HÔM NAY","✔ Đúng tiến độ")))))</f>
        <v>• Chưa tới</v>
      </c>
      <c r="U517" s="38" t="n">
        <f aca="false">IF($H517="","",$R517/5)</f>
        <v>0</v>
      </c>
    </row>
    <row r="518" customFormat="false" ht="15" hidden="false" customHeight="false" outlineLevel="0" collapsed="false">
      <c r="A518" s="31" t="s">
        <v>3210</v>
      </c>
      <c r="B518" s="31" t="n">
        <v>26</v>
      </c>
      <c r="C518" s="32" t="n">
        <f aca="false">SETTINGS!$C$3+$B518-1</f>
        <v>46325</v>
      </c>
      <c r="D518" s="39" t="s">
        <v>1947</v>
      </c>
      <c r="E518" s="34" t="s">
        <v>3121</v>
      </c>
      <c r="F518" s="34" t="s">
        <v>280</v>
      </c>
      <c r="G518" s="34" t="s">
        <v>1796</v>
      </c>
      <c r="H518" s="35" t="s">
        <v>3211</v>
      </c>
      <c r="I518" s="36" t="s">
        <v>3212</v>
      </c>
      <c r="J518" s="34" t="s">
        <v>3213</v>
      </c>
      <c r="K518" s="34" t="s">
        <v>3214</v>
      </c>
      <c r="L518" s="37"/>
      <c r="M518" s="37"/>
      <c r="N518" s="37"/>
      <c r="O518" s="37"/>
      <c r="P518" s="37"/>
      <c r="Q518" s="37"/>
      <c r="R518" s="31" t="n">
        <f aca="false">COUNT($M518:$Q518)</f>
        <v>0</v>
      </c>
      <c r="S518" s="32" t="str">
        <f aca="false">IF($L518="","",IF($R518&gt;=5,"",MAX($L518:$Q518)+CHOOSE($R518+1,SETTINGS!$C$9,SETTINGS!$C$10,SETTINGS!$C$11,SETTINGS!$C$12,SETTINGS!$C$13)))</f>
        <v/>
      </c>
      <c r="T518" s="34" t="str">
        <f aca="true">IF($H518="","(chưa có nội dung)",IF($L518="",IF($C518&lt;TODAY(),"⚠ TRỄ HỌC",IF($C518=TODAY(),"★ HỌC HÔM NAY","• Chưa tới")),IF($R518&gt;=5,"✔ MASTER",IF($S518&lt;TODAY(),"⚠ TRỄ ÔN",IF($S518=TODAY(),"◆ ÔN HÔM NAY","✔ Đúng tiến độ")))))</f>
        <v>• Chưa tới</v>
      </c>
      <c r="U518" s="38" t="n">
        <f aca="false">IF($H518="","",$R518/5)</f>
        <v>0</v>
      </c>
    </row>
    <row r="519" customFormat="false" ht="15" hidden="false" customHeight="false" outlineLevel="0" collapsed="false">
      <c r="A519" s="31" t="s">
        <v>3215</v>
      </c>
      <c r="B519" s="31" t="n">
        <v>26</v>
      </c>
      <c r="C519" s="32" t="n">
        <f aca="false">SETTINGS!$C$3+$B519-1</f>
        <v>46325</v>
      </c>
      <c r="D519" s="39" t="s">
        <v>1947</v>
      </c>
      <c r="E519" s="34" t="s">
        <v>3121</v>
      </c>
      <c r="F519" s="34" t="s">
        <v>183</v>
      </c>
      <c r="G519" s="34" t="s">
        <v>2081</v>
      </c>
      <c r="H519" s="35" t="s">
        <v>3216</v>
      </c>
      <c r="I519" s="36" t="s">
        <v>3217</v>
      </c>
      <c r="J519" s="34" t="s">
        <v>2014</v>
      </c>
      <c r="K519" s="34" t="s">
        <v>2015</v>
      </c>
      <c r="L519" s="37"/>
      <c r="M519" s="37"/>
      <c r="N519" s="37"/>
      <c r="O519" s="37"/>
      <c r="P519" s="37"/>
      <c r="Q519" s="37"/>
      <c r="R519" s="31" t="n">
        <f aca="false">COUNT($M519:$Q519)</f>
        <v>0</v>
      </c>
      <c r="S519" s="32" t="str">
        <f aca="false">IF($L519="","",IF($R519&gt;=5,"",MAX($L519:$Q519)+CHOOSE($R519+1,SETTINGS!$C$9,SETTINGS!$C$10,SETTINGS!$C$11,SETTINGS!$C$12,SETTINGS!$C$13)))</f>
        <v/>
      </c>
      <c r="T519" s="34" t="str">
        <f aca="true">IF($H519="","(chưa có nội dung)",IF($L519="",IF($C519&lt;TODAY(),"⚠ TRỄ HỌC",IF($C519=TODAY(),"★ HỌC HÔM NAY","• Chưa tới")),IF($R519&gt;=5,"✔ MASTER",IF($S519&lt;TODAY(),"⚠ TRỄ ÔN",IF($S519=TODAY(),"◆ ÔN HÔM NAY","✔ Đúng tiến độ")))))</f>
        <v>• Chưa tới</v>
      </c>
      <c r="U519" s="38" t="n">
        <f aca="false">IF($H519="","",$R519/5)</f>
        <v>0</v>
      </c>
    </row>
    <row r="520" customFormat="false" ht="15" hidden="false" customHeight="false" outlineLevel="0" collapsed="false">
      <c r="A520" s="31" t="s">
        <v>3218</v>
      </c>
      <c r="B520" s="31" t="n">
        <v>26</v>
      </c>
      <c r="C520" s="32" t="n">
        <f aca="false">SETTINGS!$C$3+$B520-1</f>
        <v>46325</v>
      </c>
      <c r="D520" s="39" t="s">
        <v>1947</v>
      </c>
      <c r="E520" s="34" t="s">
        <v>3121</v>
      </c>
      <c r="F520" s="34" t="s">
        <v>280</v>
      </c>
      <c r="G520" s="34" t="s">
        <v>3219</v>
      </c>
      <c r="H520" s="35" t="s">
        <v>3220</v>
      </c>
      <c r="I520" s="36" t="s">
        <v>3221</v>
      </c>
      <c r="J520" s="34" t="s">
        <v>3222</v>
      </c>
      <c r="K520" s="34" t="s">
        <v>3223</v>
      </c>
      <c r="L520" s="37"/>
      <c r="M520" s="37"/>
      <c r="N520" s="37"/>
      <c r="O520" s="37"/>
      <c r="P520" s="37"/>
      <c r="Q520" s="37"/>
      <c r="R520" s="31" t="n">
        <f aca="false">COUNT($M520:$Q520)</f>
        <v>0</v>
      </c>
      <c r="S520" s="32" t="str">
        <f aca="false">IF($L520="","",IF($R520&gt;=5,"",MAX($L520:$Q520)+CHOOSE($R520+1,SETTINGS!$C$9,SETTINGS!$C$10,SETTINGS!$C$11,SETTINGS!$C$12,SETTINGS!$C$13)))</f>
        <v/>
      </c>
      <c r="T520" s="34" t="str">
        <f aca="true">IF($H520="","(chưa có nội dung)",IF($L520="",IF($C520&lt;TODAY(),"⚠ TRỄ HỌC",IF($C520=TODAY(),"★ HỌC HÔM NAY","• Chưa tới")),IF($R520&gt;=5,"✔ MASTER",IF($S520&lt;TODAY(),"⚠ TRỄ ÔN",IF($S520=TODAY(),"◆ ÔN HÔM NAY","✔ Đúng tiến độ")))))</f>
        <v>• Chưa tới</v>
      </c>
      <c r="U520" s="38" t="n">
        <f aca="false">IF($H520="","",$R520/5)</f>
        <v>0</v>
      </c>
    </row>
    <row r="521" customFormat="false" ht="15" hidden="false" customHeight="false" outlineLevel="0" collapsed="false">
      <c r="A521" s="31" t="s">
        <v>3224</v>
      </c>
      <c r="B521" s="31" t="n">
        <v>26</v>
      </c>
      <c r="C521" s="32" t="n">
        <f aca="false">SETTINGS!$C$3+$B521-1</f>
        <v>46325</v>
      </c>
      <c r="D521" s="39" t="s">
        <v>1947</v>
      </c>
      <c r="E521" s="34" t="s">
        <v>3121</v>
      </c>
      <c r="F521" s="34" t="s">
        <v>163</v>
      </c>
      <c r="G521" s="34" t="s">
        <v>3225</v>
      </c>
      <c r="H521" s="35" t="s">
        <v>3226</v>
      </c>
      <c r="I521" s="36" t="s">
        <v>3227</v>
      </c>
      <c r="J521" s="34" t="s">
        <v>3228</v>
      </c>
      <c r="K521" s="34" t="s">
        <v>3229</v>
      </c>
      <c r="L521" s="37"/>
      <c r="M521" s="37"/>
      <c r="N521" s="37"/>
      <c r="O521" s="37"/>
      <c r="P521" s="37"/>
      <c r="Q521" s="37"/>
      <c r="R521" s="31" t="n">
        <f aca="false">COUNT($M521:$Q521)</f>
        <v>0</v>
      </c>
      <c r="S521" s="32" t="str">
        <f aca="false">IF($L521="","",IF($R521&gt;=5,"",MAX($L521:$Q521)+CHOOSE($R521+1,SETTINGS!$C$9,SETTINGS!$C$10,SETTINGS!$C$11,SETTINGS!$C$12,SETTINGS!$C$13)))</f>
        <v/>
      </c>
      <c r="T521" s="34" t="str">
        <f aca="true">IF($H521="","(chưa có nội dung)",IF($L521="",IF($C521&lt;TODAY(),"⚠ TRỄ HỌC",IF($C521=TODAY(),"★ HỌC HÔM NAY","• Chưa tới")),IF($R521&gt;=5,"✔ MASTER",IF($S521&lt;TODAY(),"⚠ TRỄ ÔN",IF($S521=TODAY(),"◆ ÔN HÔM NAY","✔ Đúng tiến độ")))))</f>
        <v>• Chưa tới</v>
      </c>
      <c r="U521" s="38" t="n">
        <f aca="false">IF($H521="","",$R521/5)</f>
        <v>0</v>
      </c>
    </row>
    <row r="522" customFormat="false" ht="15" hidden="false" customHeight="false" outlineLevel="0" collapsed="false">
      <c r="A522" s="31" t="s">
        <v>3230</v>
      </c>
      <c r="B522" s="31" t="n">
        <v>26</v>
      </c>
      <c r="C522" s="32" t="n">
        <f aca="false">SETTINGS!$C$3+$B522-1</f>
        <v>46325</v>
      </c>
      <c r="D522" s="39" t="s">
        <v>1947</v>
      </c>
      <c r="E522" s="34" t="s">
        <v>3121</v>
      </c>
      <c r="F522" s="34" t="s">
        <v>472</v>
      </c>
      <c r="G522" s="34" t="s">
        <v>3231</v>
      </c>
      <c r="H522" s="35" t="s">
        <v>3232</v>
      </c>
      <c r="I522" s="36" t="s">
        <v>3233</v>
      </c>
      <c r="J522" s="34" t="s">
        <v>3234</v>
      </c>
      <c r="K522" s="34" t="s">
        <v>3235</v>
      </c>
      <c r="L522" s="37"/>
      <c r="M522" s="37"/>
      <c r="N522" s="37"/>
      <c r="O522" s="37"/>
      <c r="P522" s="37"/>
      <c r="Q522" s="37"/>
      <c r="R522" s="31" t="n">
        <f aca="false">COUNT($M522:$Q522)</f>
        <v>0</v>
      </c>
      <c r="S522" s="32" t="str">
        <f aca="false">IF($L522="","",IF($R522&gt;=5,"",MAX($L522:$Q522)+CHOOSE($R522+1,SETTINGS!$C$9,SETTINGS!$C$10,SETTINGS!$C$11,SETTINGS!$C$12,SETTINGS!$C$13)))</f>
        <v/>
      </c>
      <c r="T522" s="34" t="str">
        <f aca="true">IF($H522="","(chưa có nội dung)",IF($L522="",IF($C522&lt;TODAY(),"⚠ TRỄ HỌC",IF($C522=TODAY(),"★ HỌC HÔM NAY","• Chưa tới")),IF($R522&gt;=5,"✔ MASTER",IF($S522&lt;TODAY(),"⚠ TRỄ ÔN",IF($S522=TODAY(),"◆ ÔN HÔM NAY","✔ Đúng tiến độ")))))</f>
        <v>• Chưa tới</v>
      </c>
      <c r="U522" s="38" t="n">
        <f aca="false">IF($H522="","",$R522/5)</f>
        <v>0</v>
      </c>
    </row>
    <row r="523" customFormat="false" ht="15" hidden="false" customHeight="false" outlineLevel="0" collapsed="false">
      <c r="A523" s="31" t="s">
        <v>3236</v>
      </c>
      <c r="B523" s="31" t="n">
        <v>27</v>
      </c>
      <c r="C523" s="32" t="n">
        <f aca="false">SETTINGS!$C$3+$B523-1</f>
        <v>46326</v>
      </c>
      <c r="D523" s="39" t="s">
        <v>1947</v>
      </c>
      <c r="E523" s="34" t="s">
        <v>3237</v>
      </c>
      <c r="F523" s="34" t="s">
        <v>183</v>
      </c>
      <c r="G523" s="34" t="s">
        <v>3238</v>
      </c>
      <c r="H523" s="35" t="s">
        <v>3239</v>
      </c>
      <c r="I523" s="36" t="s">
        <v>3240</v>
      </c>
      <c r="J523" s="34" t="s">
        <v>3241</v>
      </c>
      <c r="K523" s="34" t="s">
        <v>3242</v>
      </c>
      <c r="L523" s="37"/>
      <c r="M523" s="37"/>
      <c r="N523" s="37"/>
      <c r="O523" s="37"/>
      <c r="P523" s="37"/>
      <c r="Q523" s="37"/>
      <c r="R523" s="31" t="n">
        <f aca="false">COUNT($M523:$Q523)</f>
        <v>0</v>
      </c>
      <c r="S523" s="32" t="str">
        <f aca="false">IF($L523="","",IF($R523&gt;=5,"",MAX($L523:$Q523)+CHOOSE($R523+1,SETTINGS!$C$9,SETTINGS!$C$10,SETTINGS!$C$11,SETTINGS!$C$12,SETTINGS!$C$13)))</f>
        <v/>
      </c>
      <c r="T523" s="34" t="str">
        <f aca="true">IF($H523="","(chưa có nội dung)",IF($L523="",IF($C523&lt;TODAY(),"⚠ TRỄ HỌC",IF($C523=TODAY(),"★ HỌC HÔM NAY","• Chưa tới")),IF($R523&gt;=5,"✔ MASTER",IF($S523&lt;TODAY(),"⚠ TRỄ ÔN",IF($S523=TODAY(),"◆ ÔN HÔM NAY","✔ Đúng tiến độ")))))</f>
        <v>• Chưa tới</v>
      </c>
      <c r="U523" s="38" t="n">
        <f aca="false">IF($H523="","",$R523/5)</f>
        <v>0</v>
      </c>
    </row>
    <row r="524" customFormat="false" ht="15" hidden="false" customHeight="false" outlineLevel="0" collapsed="false">
      <c r="A524" s="31" t="s">
        <v>3243</v>
      </c>
      <c r="B524" s="31" t="n">
        <v>27</v>
      </c>
      <c r="C524" s="32" t="n">
        <f aca="false">SETTINGS!$C$3+$B524-1</f>
        <v>46326</v>
      </c>
      <c r="D524" s="39" t="s">
        <v>1947</v>
      </c>
      <c r="E524" s="34" t="s">
        <v>3237</v>
      </c>
      <c r="F524" s="34" t="s">
        <v>280</v>
      </c>
      <c r="G524" s="34" t="s">
        <v>1104</v>
      </c>
      <c r="H524" s="35" t="s">
        <v>3244</v>
      </c>
      <c r="I524" s="36" t="s">
        <v>3245</v>
      </c>
      <c r="J524" s="34" t="s">
        <v>3246</v>
      </c>
      <c r="K524" s="34" t="s">
        <v>3247</v>
      </c>
      <c r="L524" s="37"/>
      <c r="M524" s="37"/>
      <c r="N524" s="37"/>
      <c r="O524" s="37"/>
      <c r="P524" s="37"/>
      <c r="Q524" s="37"/>
      <c r="R524" s="31" t="n">
        <f aca="false">COUNT($M524:$Q524)</f>
        <v>0</v>
      </c>
      <c r="S524" s="32" t="str">
        <f aca="false">IF($L524="","",IF($R524&gt;=5,"",MAX($L524:$Q524)+CHOOSE($R524+1,SETTINGS!$C$9,SETTINGS!$C$10,SETTINGS!$C$11,SETTINGS!$C$12,SETTINGS!$C$13)))</f>
        <v/>
      </c>
      <c r="T524" s="34" t="str">
        <f aca="true">IF($H524="","(chưa có nội dung)",IF($L524="",IF($C524&lt;TODAY(),"⚠ TRỄ HỌC",IF($C524=TODAY(),"★ HỌC HÔM NAY","• Chưa tới")),IF($R524&gt;=5,"✔ MASTER",IF($S524&lt;TODAY(),"⚠ TRỄ ÔN",IF($S524=TODAY(),"◆ ÔN HÔM NAY","✔ Đúng tiến độ")))))</f>
        <v>• Chưa tới</v>
      </c>
      <c r="U524" s="38" t="n">
        <f aca="false">IF($H524="","",$R524/5)</f>
        <v>0</v>
      </c>
    </row>
    <row r="525" customFormat="false" ht="15" hidden="false" customHeight="false" outlineLevel="0" collapsed="false">
      <c r="A525" s="31" t="s">
        <v>3248</v>
      </c>
      <c r="B525" s="31" t="n">
        <v>27</v>
      </c>
      <c r="C525" s="32" t="n">
        <f aca="false">SETTINGS!$C$3+$B525-1</f>
        <v>46326</v>
      </c>
      <c r="D525" s="39" t="s">
        <v>1947</v>
      </c>
      <c r="E525" s="34" t="s">
        <v>3237</v>
      </c>
      <c r="F525" s="34" t="s">
        <v>280</v>
      </c>
      <c r="G525" s="34" t="s">
        <v>3249</v>
      </c>
      <c r="H525" s="35" t="s">
        <v>3250</v>
      </c>
      <c r="I525" s="36" t="s">
        <v>3251</v>
      </c>
      <c r="J525" s="34" t="s">
        <v>3252</v>
      </c>
      <c r="K525" s="34" t="s">
        <v>3253</v>
      </c>
      <c r="L525" s="37"/>
      <c r="M525" s="37"/>
      <c r="N525" s="37"/>
      <c r="O525" s="37"/>
      <c r="P525" s="37"/>
      <c r="Q525" s="37"/>
      <c r="R525" s="31" t="n">
        <f aca="false">COUNT($M525:$Q525)</f>
        <v>0</v>
      </c>
      <c r="S525" s="32" t="str">
        <f aca="false">IF($L525="","",IF($R525&gt;=5,"",MAX($L525:$Q525)+CHOOSE($R525+1,SETTINGS!$C$9,SETTINGS!$C$10,SETTINGS!$C$11,SETTINGS!$C$12,SETTINGS!$C$13)))</f>
        <v/>
      </c>
      <c r="T525" s="34" t="str">
        <f aca="true">IF($H525="","(chưa có nội dung)",IF($L525="",IF($C525&lt;TODAY(),"⚠ TRỄ HỌC",IF($C525=TODAY(),"★ HỌC HÔM NAY","• Chưa tới")),IF($R525&gt;=5,"✔ MASTER",IF($S525&lt;TODAY(),"⚠ TRỄ ÔN",IF($S525=TODAY(),"◆ ÔN HÔM NAY","✔ Đúng tiến độ")))))</f>
        <v>• Chưa tới</v>
      </c>
      <c r="U525" s="38" t="n">
        <f aca="false">IF($H525="","",$R525/5)</f>
        <v>0</v>
      </c>
    </row>
    <row r="526" customFormat="false" ht="15" hidden="false" customHeight="false" outlineLevel="0" collapsed="false">
      <c r="A526" s="31" t="s">
        <v>3254</v>
      </c>
      <c r="B526" s="31" t="n">
        <v>27</v>
      </c>
      <c r="C526" s="32" t="n">
        <f aca="false">SETTINGS!$C$3+$B526-1</f>
        <v>46326</v>
      </c>
      <c r="D526" s="39" t="s">
        <v>1947</v>
      </c>
      <c r="E526" s="34" t="s">
        <v>3237</v>
      </c>
      <c r="F526" s="34" t="s">
        <v>280</v>
      </c>
      <c r="G526" s="34" t="s">
        <v>3255</v>
      </c>
      <c r="H526" s="35" t="s">
        <v>3256</v>
      </c>
      <c r="I526" s="36" t="s">
        <v>3257</v>
      </c>
      <c r="J526" s="34" t="s">
        <v>3258</v>
      </c>
      <c r="K526" s="34" t="s">
        <v>3259</v>
      </c>
      <c r="L526" s="37"/>
      <c r="M526" s="37"/>
      <c r="N526" s="37"/>
      <c r="O526" s="37"/>
      <c r="P526" s="37"/>
      <c r="Q526" s="37"/>
      <c r="R526" s="31" t="n">
        <f aca="false">COUNT($M526:$Q526)</f>
        <v>0</v>
      </c>
      <c r="S526" s="32" t="str">
        <f aca="false">IF($L526="","",IF($R526&gt;=5,"",MAX($L526:$Q526)+CHOOSE($R526+1,SETTINGS!$C$9,SETTINGS!$C$10,SETTINGS!$C$11,SETTINGS!$C$12,SETTINGS!$C$13)))</f>
        <v/>
      </c>
      <c r="T526" s="34" t="str">
        <f aca="true">IF($H526="","(chưa có nội dung)",IF($L526="",IF($C526&lt;TODAY(),"⚠ TRỄ HỌC",IF($C526=TODAY(),"★ HỌC HÔM NAY","• Chưa tới")),IF($R526&gt;=5,"✔ MASTER",IF($S526&lt;TODAY(),"⚠ TRỄ ÔN",IF($S526=TODAY(),"◆ ÔN HÔM NAY","✔ Đúng tiến độ")))))</f>
        <v>• Chưa tới</v>
      </c>
      <c r="U526" s="38" t="n">
        <f aca="false">IF($H526="","",$R526/5)</f>
        <v>0</v>
      </c>
    </row>
    <row r="527" customFormat="false" ht="15" hidden="false" customHeight="false" outlineLevel="0" collapsed="false">
      <c r="A527" s="31" t="s">
        <v>3260</v>
      </c>
      <c r="B527" s="31" t="n">
        <v>27</v>
      </c>
      <c r="C527" s="32" t="n">
        <f aca="false">SETTINGS!$C$3+$B527-1</f>
        <v>46326</v>
      </c>
      <c r="D527" s="39" t="s">
        <v>1947</v>
      </c>
      <c r="E527" s="34" t="s">
        <v>3237</v>
      </c>
      <c r="F527" s="34" t="s">
        <v>497</v>
      </c>
      <c r="G527" s="34" t="s">
        <v>699</v>
      </c>
      <c r="H527" s="35" t="s">
        <v>3261</v>
      </c>
      <c r="I527" s="36" t="s">
        <v>3262</v>
      </c>
      <c r="J527" s="34" t="s">
        <v>3263</v>
      </c>
      <c r="K527" s="34" t="s">
        <v>3264</v>
      </c>
      <c r="L527" s="37"/>
      <c r="M527" s="37"/>
      <c r="N527" s="37"/>
      <c r="O527" s="37"/>
      <c r="P527" s="37"/>
      <c r="Q527" s="37"/>
      <c r="R527" s="31" t="n">
        <f aca="false">COUNT($M527:$Q527)</f>
        <v>0</v>
      </c>
      <c r="S527" s="32" t="str">
        <f aca="false">IF($L527="","",IF($R527&gt;=5,"",MAX($L527:$Q527)+CHOOSE($R527+1,SETTINGS!$C$9,SETTINGS!$C$10,SETTINGS!$C$11,SETTINGS!$C$12,SETTINGS!$C$13)))</f>
        <v/>
      </c>
      <c r="T527" s="34" t="str">
        <f aca="true">IF($H527="","(chưa có nội dung)",IF($L527="",IF($C527&lt;TODAY(),"⚠ TRỄ HỌC",IF($C527=TODAY(),"★ HỌC HÔM NAY","• Chưa tới")),IF($R527&gt;=5,"✔ MASTER",IF($S527&lt;TODAY(),"⚠ TRỄ ÔN",IF($S527=TODAY(),"◆ ÔN HÔM NAY","✔ Đúng tiến độ")))))</f>
        <v>• Chưa tới</v>
      </c>
      <c r="U527" s="38" t="n">
        <f aca="false">IF($H527="","",$R527/5)</f>
        <v>0</v>
      </c>
    </row>
    <row r="528" customFormat="false" ht="15" hidden="false" customHeight="false" outlineLevel="0" collapsed="false">
      <c r="A528" s="31" t="s">
        <v>3265</v>
      </c>
      <c r="B528" s="31" t="n">
        <v>27</v>
      </c>
      <c r="C528" s="32" t="n">
        <f aca="false">SETTINGS!$C$3+$B528-1</f>
        <v>46326</v>
      </c>
      <c r="D528" s="39" t="s">
        <v>1947</v>
      </c>
      <c r="E528" s="34" t="s">
        <v>3237</v>
      </c>
      <c r="F528" s="34" t="s">
        <v>163</v>
      </c>
      <c r="G528" s="34" t="s">
        <v>3266</v>
      </c>
      <c r="H528" s="35" t="s">
        <v>3267</v>
      </c>
      <c r="I528" s="36" t="s">
        <v>3268</v>
      </c>
      <c r="J528" s="34" t="s">
        <v>3269</v>
      </c>
      <c r="K528" s="34" t="s">
        <v>3270</v>
      </c>
      <c r="L528" s="37"/>
      <c r="M528" s="37"/>
      <c r="N528" s="37"/>
      <c r="O528" s="37"/>
      <c r="P528" s="37"/>
      <c r="Q528" s="37"/>
      <c r="R528" s="31" t="n">
        <f aca="false">COUNT($M528:$Q528)</f>
        <v>0</v>
      </c>
      <c r="S528" s="32" t="str">
        <f aca="false">IF($L528="","",IF($R528&gt;=5,"",MAX($L528:$Q528)+CHOOSE($R528+1,SETTINGS!$C$9,SETTINGS!$C$10,SETTINGS!$C$11,SETTINGS!$C$12,SETTINGS!$C$13)))</f>
        <v/>
      </c>
      <c r="T528" s="34" t="str">
        <f aca="true">IF($H528="","(chưa có nội dung)",IF($L528="",IF($C528&lt;TODAY(),"⚠ TRỄ HỌC",IF($C528=TODAY(),"★ HỌC HÔM NAY","• Chưa tới")),IF($R528&gt;=5,"✔ MASTER",IF($S528&lt;TODAY(),"⚠ TRỄ ÔN",IF($S528=TODAY(),"◆ ÔN HÔM NAY","✔ Đúng tiến độ")))))</f>
        <v>• Chưa tới</v>
      </c>
      <c r="U528" s="38" t="n">
        <f aca="false">IF($H528="","",$R528/5)</f>
        <v>0</v>
      </c>
    </row>
    <row r="529" customFormat="false" ht="15" hidden="false" customHeight="false" outlineLevel="0" collapsed="false">
      <c r="A529" s="31" t="s">
        <v>3271</v>
      </c>
      <c r="B529" s="31" t="n">
        <v>27</v>
      </c>
      <c r="C529" s="32" t="n">
        <f aca="false">SETTINGS!$C$3+$B529-1</f>
        <v>46326</v>
      </c>
      <c r="D529" s="39" t="s">
        <v>1947</v>
      </c>
      <c r="E529" s="34" t="s">
        <v>3237</v>
      </c>
      <c r="F529" s="34" t="s">
        <v>280</v>
      </c>
      <c r="G529" s="34" t="s">
        <v>466</v>
      </c>
      <c r="H529" s="35" t="s">
        <v>3272</v>
      </c>
      <c r="I529" s="36" t="s">
        <v>3273</v>
      </c>
      <c r="J529" s="34" t="s">
        <v>3274</v>
      </c>
      <c r="K529" s="34" t="s">
        <v>3275</v>
      </c>
      <c r="L529" s="37"/>
      <c r="M529" s="37"/>
      <c r="N529" s="37"/>
      <c r="O529" s="37"/>
      <c r="P529" s="37"/>
      <c r="Q529" s="37"/>
      <c r="R529" s="31" t="n">
        <f aca="false">COUNT($M529:$Q529)</f>
        <v>0</v>
      </c>
      <c r="S529" s="32" t="str">
        <f aca="false">IF($L529="","",IF($R529&gt;=5,"",MAX($L529:$Q529)+CHOOSE($R529+1,SETTINGS!$C$9,SETTINGS!$C$10,SETTINGS!$C$11,SETTINGS!$C$12,SETTINGS!$C$13)))</f>
        <v/>
      </c>
      <c r="T529" s="34" t="str">
        <f aca="true">IF($H529="","(chưa có nội dung)",IF($L529="",IF($C529&lt;TODAY(),"⚠ TRỄ HỌC",IF($C529=TODAY(),"★ HỌC HÔM NAY","• Chưa tới")),IF($R529&gt;=5,"✔ MASTER",IF($S529&lt;TODAY(),"⚠ TRỄ ÔN",IF($S529=TODAY(),"◆ ÔN HÔM NAY","✔ Đúng tiến độ")))))</f>
        <v>• Chưa tới</v>
      </c>
      <c r="U529" s="38" t="n">
        <f aca="false">IF($H529="","",$R529/5)</f>
        <v>0</v>
      </c>
    </row>
    <row r="530" customFormat="false" ht="15" hidden="false" customHeight="false" outlineLevel="0" collapsed="false">
      <c r="A530" s="31" t="s">
        <v>3276</v>
      </c>
      <c r="B530" s="31" t="n">
        <v>27</v>
      </c>
      <c r="C530" s="32" t="n">
        <f aca="false">SETTINGS!$C$3+$B530-1</f>
        <v>46326</v>
      </c>
      <c r="D530" s="39" t="s">
        <v>1947</v>
      </c>
      <c r="E530" s="34" t="s">
        <v>3237</v>
      </c>
      <c r="F530" s="34" t="s">
        <v>280</v>
      </c>
      <c r="G530" s="34" t="s">
        <v>3031</v>
      </c>
      <c r="H530" s="35" t="s">
        <v>3277</v>
      </c>
      <c r="I530" s="36" t="s">
        <v>3278</v>
      </c>
      <c r="J530" s="34" t="s">
        <v>3279</v>
      </c>
      <c r="K530" s="34" t="s">
        <v>3280</v>
      </c>
      <c r="L530" s="37"/>
      <c r="M530" s="37"/>
      <c r="N530" s="37"/>
      <c r="O530" s="37"/>
      <c r="P530" s="37"/>
      <c r="Q530" s="37"/>
      <c r="R530" s="31" t="n">
        <f aca="false">COUNT($M530:$Q530)</f>
        <v>0</v>
      </c>
      <c r="S530" s="32" t="str">
        <f aca="false">IF($L530="","",IF($R530&gt;=5,"",MAX($L530:$Q530)+CHOOSE($R530+1,SETTINGS!$C$9,SETTINGS!$C$10,SETTINGS!$C$11,SETTINGS!$C$12,SETTINGS!$C$13)))</f>
        <v/>
      </c>
      <c r="T530" s="34" t="str">
        <f aca="true">IF($H530="","(chưa có nội dung)",IF($L530="",IF($C530&lt;TODAY(),"⚠ TRỄ HỌC",IF($C530=TODAY(),"★ HỌC HÔM NAY","• Chưa tới")),IF($R530&gt;=5,"✔ MASTER",IF($S530&lt;TODAY(),"⚠ TRỄ ÔN",IF($S530=TODAY(),"◆ ÔN HÔM NAY","✔ Đúng tiến độ")))))</f>
        <v>• Chưa tới</v>
      </c>
      <c r="U530" s="38" t="n">
        <f aca="false">IF($H530="","",$R530/5)</f>
        <v>0</v>
      </c>
    </row>
    <row r="531" customFormat="false" ht="15" hidden="false" customHeight="false" outlineLevel="0" collapsed="false">
      <c r="A531" s="31" t="s">
        <v>3281</v>
      </c>
      <c r="B531" s="31" t="n">
        <v>27</v>
      </c>
      <c r="C531" s="32" t="n">
        <f aca="false">SETTINGS!$C$3+$B531-1</f>
        <v>46326</v>
      </c>
      <c r="D531" s="39" t="s">
        <v>1947</v>
      </c>
      <c r="E531" s="34" t="s">
        <v>3237</v>
      </c>
      <c r="F531" s="34" t="s">
        <v>280</v>
      </c>
      <c r="G531" s="34" t="s">
        <v>2469</v>
      </c>
      <c r="H531" s="35" t="s">
        <v>3282</v>
      </c>
      <c r="I531" s="36" t="s">
        <v>3283</v>
      </c>
      <c r="J531" s="34" t="s">
        <v>3284</v>
      </c>
      <c r="K531" s="34" t="s">
        <v>3285</v>
      </c>
      <c r="L531" s="37"/>
      <c r="M531" s="37"/>
      <c r="N531" s="37"/>
      <c r="O531" s="37"/>
      <c r="P531" s="37"/>
      <c r="Q531" s="37"/>
      <c r="R531" s="31" t="n">
        <f aca="false">COUNT($M531:$Q531)</f>
        <v>0</v>
      </c>
      <c r="S531" s="32" t="str">
        <f aca="false">IF($L531="","",IF($R531&gt;=5,"",MAX($L531:$Q531)+CHOOSE($R531+1,SETTINGS!$C$9,SETTINGS!$C$10,SETTINGS!$C$11,SETTINGS!$C$12,SETTINGS!$C$13)))</f>
        <v/>
      </c>
      <c r="T531" s="34" t="str">
        <f aca="true">IF($H531="","(chưa có nội dung)",IF($L531="",IF($C531&lt;TODAY(),"⚠ TRỄ HỌC",IF($C531=TODAY(),"★ HỌC HÔM NAY","• Chưa tới")),IF($R531&gt;=5,"✔ MASTER",IF($S531&lt;TODAY(),"⚠ TRỄ ÔN",IF($S531=TODAY(),"◆ ÔN HÔM NAY","✔ Đúng tiến độ")))))</f>
        <v>• Chưa tới</v>
      </c>
      <c r="U531" s="38" t="n">
        <f aca="false">IF($H531="","",$R531/5)</f>
        <v>0</v>
      </c>
    </row>
    <row r="532" customFormat="false" ht="15" hidden="false" customHeight="false" outlineLevel="0" collapsed="false">
      <c r="A532" s="31" t="s">
        <v>3286</v>
      </c>
      <c r="B532" s="31" t="n">
        <v>27</v>
      </c>
      <c r="C532" s="32" t="n">
        <f aca="false">SETTINGS!$C$3+$B532-1</f>
        <v>46326</v>
      </c>
      <c r="D532" s="39" t="s">
        <v>1947</v>
      </c>
      <c r="E532" s="34" t="s">
        <v>3237</v>
      </c>
      <c r="F532" s="34" t="s">
        <v>202</v>
      </c>
      <c r="G532" s="34" t="s">
        <v>3287</v>
      </c>
      <c r="H532" s="35" t="s">
        <v>3288</v>
      </c>
      <c r="I532" s="36" t="s">
        <v>3289</v>
      </c>
      <c r="J532" s="34" t="s">
        <v>3290</v>
      </c>
      <c r="K532" s="34" t="s">
        <v>3291</v>
      </c>
      <c r="L532" s="37"/>
      <c r="M532" s="37"/>
      <c r="N532" s="37"/>
      <c r="O532" s="37"/>
      <c r="P532" s="37"/>
      <c r="Q532" s="37"/>
      <c r="R532" s="31" t="n">
        <f aca="false">COUNT($M532:$Q532)</f>
        <v>0</v>
      </c>
      <c r="S532" s="32" t="str">
        <f aca="false">IF($L532="","",IF($R532&gt;=5,"",MAX($L532:$Q532)+CHOOSE($R532+1,SETTINGS!$C$9,SETTINGS!$C$10,SETTINGS!$C$11,SETTINGS!$C$12,SETTINGS!$C$13)))</f>
        <v/>
      </c>
      <c r="T532" s="34" t="str">
        <f aca="true">IF($H532="","(chưa có nội dung)",IF($L532="",IF($C532&lt;TODAY(),"⚠ TRỄ HỌC",IF($C532=TODAY(),"★ HỌC HÔM NAY","• Chưa tới")),IF($R532&gt;=5,"✔ MASTER",IF($S532&lt;TODAY(),"⚠ TRỄ ÔN",IF($S532=TODAY(),"◆ ÔN HÔM NAY","✔ Đúng tiến độ")))))</f>
        <v>• Chưa tới</v>
      </c>
      <c r="U532" s="38" t="n">
        <f aca="false">IF($H532="","",$R532/5)</f>
        <v>0</v>
      </c>
    </row>
    <row r="533" customFormat="false" ht="15" hidden="false" customHeight="false" outlineLevel="0" collapsed="false">
      <c r="A533" s="31" t="s">
        <v>3292</v>
      </c>
      <c r="B533" s="31" t="n">
        <v>27</v>
      </c>
      <c r="C533" s="32" t="n">
        <f aca="false">SETTINGS!$C$3+$B533-1</f>
        <v>46326</v>
      </c>
      <c r="D533" s="39" t="s">
        <v>1947</v>
      </c>
      <c r="E533" s="34" t="s">
        <v>3237</v>
      </c>
      <c r="F533" s="34" t="s">
        <v>280</v>
      </c>
      <c r="G533" s="34" t="s">
        <v>2166</v>
      </c>
      <c r="H533" s="35" t="s">
        <v>3293</v>
      </c>
      <c r="I533" s="36" t="s">
        <v>3294</v>
      </c>
      <c r="J533" s="34" t="s">
        <v>3295</v>
      </c>
      <c r="K533" s="34" t="s">
        <v>3296</v>
      </c>
      <c r="L533" s="37"/>
      <c r="M533" s="37"/>
      <c r="N533" s="37"/>
      <c r="O533" s="37"/>
      <c r="P533" s="37"/>
      <c r="Q533" s="37"/>
      <c r="R533" s="31" t="n">
        <f aca="false">COUNT($M533:$Q533)</f>
        <v>0</v>
      </c>
      <c r="S533" s="32" t="str">
        <f aca="false">IF($L533="","",IF($R533&gt;=5,"",MAX($L533:$Q533)+CHOOSE($R533+1,SETTINGS!$C$9,SETTINGS!$C$10,SETTINGS!$C$11,SETTINGS!$C$12,SETTINGS!$C$13)))</f>
        <v/>
      </c>
      <c r="T533" s="34" t="str">
        <f aca="true">IF($H533="","(chưa có nội dung)",IF($L533="",IF($C533&lt;TODAY(),"⚠ TRỄ HỌC",IF($C533=TODAY(),"★ HỌC HÔM NAY","• Chưa tới")),IF($R533&gt;=5,"✔ MASTER",IF($S533&lt;TODAY(),"⚠ TRỄ ÔN",IF($S533=TODAY(),"◆ ÔN HÔM NAY","✔ Đúng tiến độ")))))</f>
        <v>• Chưa tới</v>
      </c>
      <c r="U533" s="38" t="n">
        <f aca="false">IF($H533="","",$R533/5)</f>
        <v>0</v>
      </c>
    </row>
    <row r="534" customFormat="false" ht="15" hidden="false" customHeight="false" outlineLevel="0" collapsed="false">
      <c r="A534" s="31" t="s">
        <v>3297</v>
      </c>
      <c r="B534" s="31" t="n">
        <v>27</v>
      </c>
      <c r="C534" s="32" t="n">
        <f aca="false">SETTINGS!$C$3+$B534-1</f>
        <v>46326</v>
      </c>
      <c r="D534" s="39" t="s">
        <v>1947</v>
      </c>
      <c r="E534" s="34" t="s">
        <v>3237</v>
      </c>
      <c r="F534" s="34" t="s">
        <v>497</v>
      </c>
      <c r="G534" s="34" t="s">
        <v>3298</v>
      </c>
      <c r="H534" s="35" t="s">
        <v>3299</v>
      </c>
      <c r="I534" s="36" t="s">
        <v>3300</v>
      </c>
      <c r="J534" s="34" t="s">
        <v>3301</v>
      </c>
      <c r="K534" s="34" t="s">
        <v>3302</v>
      </c>
      <c r="L534" s="37"/>
      <c r="M534" s="37"/>
      <c r="N534" s="37"/>
      <c r="O534" s="37"/>
      <c r="P534" s="37"/>
      <c r="Q534" s="37"/>
      <c r="R534" s="31" t="n">
        <f aca="false">COUNT($M534:$Q534)</f>
        <v>0</v>
      </c>
      <c r="S534" s="32" t="str">
        <f aca="false">IF($L534="","",IF($R534&gt;=5,"",MAX($L534:$Q534)+CHOOSE($R534+1,SETTINGS!$C$9,SETTINGS!$C$10,SETTINGS!$C$11,SETTINGS!$C$12,SETTINGS!$C$13)))</f>
        <v/>
      </c>
      <c r="T534" s="34" t="str">
        <f aca="true">IF($H534="","(chưa có nội dung)",IF($L534="",IF($C534&lt;TODAY(),"⚠ TRỄ HỌC",IF($C534=TODAY(),"★ HỌC HÔM NAY","• Chưa tới")),IF($R534&gt;=5,"✔ MASTER",IF($S534&lt;TODAY(),"⚠ TRỄ ÔN",IF($S534=TODAY(),"◆ ÔN HÔM NAY","✔ Đúng tiến độ")))))</f>
        <v>• Chưa tới</v>
      </c>
      <c r="U534" s="38" t="n">
        <f aca="false">IF($H534="","",$R534/5)</f>
        <v>0</v>
      </c>
    </row>
    <row r="535" customFormat="false" ht="15" hidden="false" customHeight="false" outlineLevel="0" collapsed="false">
      <c r="A535" s="31" t="s">
        <v>3303</v>
      </c>
      <c r="B535" s="31" t="n">
        <v>27</v>
      </c>
      <c r="C535" s="32" t="n">
        <f aca="false">SETTINGS!$C$3+$B535-1</f>
        <v>46326</v>
      </c>
      <c r="D535" s="39" t="s">
        <v>1947</v>
      </c>
      <c r="E535" s="34" t="s">
        <v>3237</v>
      </c>
      <c r="F535" s="34" t="s">
        <v>202</v>
      </c>
      <c r="G535" s="34" t="s">
        <v>3304</v>
      </c>
      <c r="H535" s="35" t="s">
        <v>3305</v>
      </c>
      <c r="I535" s="36" t="s">
        <v>3306</v>
      </c>
      <c r="J535" s="34" t="s">
        <v>3307</v>
      </c>
      <c r="K535" s="34" t="s">
        <v>3308</v>
      </c>
      <c r="L535" s="37"/>
      <c r="M535" s="37"/>
      <c r="N535" s="37"/>
      <c r="O535" s="37"/>
      <c r="P535" s="37"/>
      <c r="Q535" s="37"/>
      <c r="R535" s="31" t="n">
        <f aca="false">COUNT($M535:$Q535)</f>
        <v>0</v>
      </c>
      <c r="S535" s="32" t="str">
        <f aca="false">IF($L535="","",IF($R535&gt;=5,"",MAX($L535:$Q535)+CHOOSE($R535+1,SETTINGS!$C$9,SETTINGS!$C$10,SETTINGS!$C$11,SETTINGS!$C$12,SETTINGS!$C$13)))</f>
        <v/>
      </c>
      <c r="T535" s="34" t="str">
        <f aca="true">IF($H535="","(chưa có nội dung)",IF($L535="",IF($C535&lt;TODAY(),"⚠ TRỄ HỌC",IF($C535=TODAY(),"★ HỌC HÔM NAY","• Chưa tới")),IF($R535&gt;=5,"✔ MASTER",IF($S535&lt;TODAY(),"⚠ TRỄ ÔN",IF($S535=TODAY(),"◆ ÔN HÔM NAY","✔ Đúng tiến độ")))))</f>
        <v>• Chưa tới</v>
      </c>
      <c r="U535" s="38" t="n">
        <f aca="false">IF($H535="","",$R535/5)</f>
        <v>0</v>
      </c>
    </row>
    <row r="536" customFormat="false" ht="15" hidden="false" customHeight="false" outlineLevel="0" collapsed="false">
      <c r="A536" s="31" t="s">
        <v>3309</v>
      </c>
      <c r="B536" s="31" t="n">
        <v>27</v>
      </c>
      <c r="C536" s="32" t="n">
        <f aca="false">SETTINGS!$C$3+$B536-1</f>
        <v>46326</v>
      </c>
      <c r="D536" s="39" t="s">
        <v>1947</v>
      </c>
      <c r="E536" s="34" t="s">
        <v>3237</v>
      </c>
      <c r="F536" s="34" t="s">
        <v>280</v>
      </c>
      <c r="G536" s="34" t="s">
        <v>1688</v>
      </c>
      <c r="H536" s="35" t="s">
        <v>3310</v>
      </c>
      <c r="I536" s="36" t="s">
        <v>3311</v>
      </c>
      <c r="J536" s="34" t="s">
        <v>3312</v>
      </c>
      <c r="K536" s="34" t="s">
        <v>3313</v>
      </c>
      <c r="L536" s="37"/>
      <c r="M536" s="37"/>
      <c r="N536" s="37"/>
      <c r="O536" s="37"/>
      <c r="P536" s="37"/>
      <c r="Q536" s="37"/>
      <c r="R536" s="31" t="n">
        <f aca="false">COUNT($M536:$Q536)</f>
        <v>0</v>
      </c>
      <c r="S536" s="32" t="str">
        <f aca="false">IF($L536="","",IF($R536&gt;=5,"",MAX($L536:$Q536)+CHOOSE($R536+1,SETTINGS!$C$9,SETTINGS!$C$10,SETTINGS!$C$11,SETTINGS!$C$12,SETTINGS!$C$13)))</f>
        <v/>
      </c>
      <c r="T536" s="34" t="str">
        <f aca="true">IF($H536="","(chưa có nội dung)",IF($L536="",IF($C536&lt;TODAY(),"⚠ TRỄ HỌC",IF($C536=TODAY(),"★ HỌC HÔM NAY","• Chưa tới")),IF($R536&gt;=5,"✔ MASTER",IF($S536&lt;TODAY(),"⚠ TRỄ ÔN",IF($S536=TODAY(),"◆ ÔN HÔM NAY","✔ Đúng tiến độ")))))</f>
        <v>• Chưa tới</v>
      </c>
      <c r="U536" s="38" t="n">
        <f aca="false">IF($H536="","",$R536/5)</f>
        <v>0</v>
      </c>
    </row>
    <row r="537" customFormat="false" ht="15" hidden="false" customHeight="false" outlineLevel="0" collapsed="false">
      <c r="A537" s="31" t="s">
        <v>3314</v>
      </c>
      <c r="B537" s="31" t="n">
        <v>27</v>
      </c>
      <c r="C537" s="32" t="n">
        <f aca="false">SETTINGS!$C$3+$B537-1</f>
        <v>46326</v>
      </c>
      <c r="D537" s="39" t="s">
        <v>1947</v>
      </c>
      <c r="E537" s="34" t="s">
        <v>3237</v>
      </c>
      <c r="F537" s="34" t="s">
        <v>280</v>
      </c>
      <c r="G537" s="34" t="s">
        <v>3315</v>
      </c>
      <c r="H537" s="35" t="s">
        <v>3316</v>
      </c>
      <c r="I537" s="36" t="s">
        <v>3317</v>
      </c>
      <c r="J537" s="34" t="s">
        <v>3318</v>
      </c>
      <c r="K537" s="34" t="s">
        <v>3319</v>
      </c>
      <c r="L537" s="37"/>
      <c r="M537" s="37"/>
      <c r="N537" s="37"/>
      <c r="O537" s="37"/>
      <c r="P537" s="37"/>
      <c r="Q537" s="37"/>
      <c r="R537" s="31" t="n">
        <f aca="false">COUNT($M537:$Q537)</f>
        <v>0</v>
      </c>
      <c r="S537" s="32" t="str">
        <f aca="false">IF($L537="","",IF($R537&gt;=5,"",MAX($L537:$Q537)+CHOOSE($R537+1,SETTINGS!$C$9,SETTINGS!$C$10,SETTINGS!$C$11,SETTINGS!$C$12,SETTINGS!$C$13)))</f>
        <v/>
      </c>
      <c r="T537" s="34" t="str">
        <f aca="true">IF($H537="","(chưa có nội dung)",IF($L537="",IF($C537&lt;TODAY(),"⚠ TRỄ HỌC",IF($C537=TODAY(),"★ HỌC HÔM NAY","• Chưa tới")),IF($R537&gt;=5,"✔ MASTER",IF($S537&lt;TODAY(),"⚠ TRỄ ÔN",IF($S537=TODAY(),"◆ ÔN HÔM NAY","✔ Đúng tiến độ")))))</f>
        <v>• Chưa tới</v>
      </c>
      <c r="U537" s="38" t="n">
        <f aca="false">IF($H537="","",$R537/5)</f>
        <v>0</v>
      </c>
    </row>
    <row r="538" customFormat="false" ht="26.85" hidden="false" customHeight="false" outlineLevel="0" collapsed="false">
      <c r="A538" s="31" t="s">
        <v>3320</v>
      </c>
      <c r="B538" s="31" t="n">
        <v>27</v>
      </c>
      <c r="C538" s="32" t="n">
        <f aca="false">SETTINGS!$C$3+$B538-1</f>
        <v>46326</v>
      </c>
      <c r="D538" s="39" t="s">
        <v>1947</v>
      </c>
      <c r="E538" s="34" t="s">
        <v>3237</v>
      </c>
      <c r="F538" s="34" t="s">
        <v>202</v>
      </c>
      <c r="G538" s="34" t="s">
        <v>3321</v>
      </c>
      <c r="H538" s="35" t="s">
        <v>3322</v>
      </c>
      <c r="I538" s="36" t="s">
        <v>3323</v>
      </c>
      <c r="J538" s="34" t="s">
        <v>3324</v>
      </c>
      <c r="K538" s="34" t="s">
        <v>3325</v>
      </c>
      <c r="L538" s="37"/>
      <c r="M538" s="37"/>
      <c r="N538" s="37"/>
      <c r="O538" s="37"/>
      <c r="P538" s="37"/>
      <c r="Q538" s="37"/>
      <c r="R538" s="31" t="n">
        <f aca="false">COUNT($M538:$Q538)</f>
        <v>0</v>
      </c>
      <c r="S538" s="32" t="str">
        <f aca="false">IF($L538="","",IF($R538&gt;=5,"",MAX($L538:$Q538)+CHOOSE($R538+1,SETTINGS!$C$9,SETTINGS!$C$10,SETTINGS!$C$11,SETTINGS!$C$12,SETTINGS!$C$13)))</f>
        <v/>
      </c>
      <c r="T538" s="34" t="str">
        <f aca="true">IF($H538="","(chưa có nội dung)",IF($L538="",IF($C538&lt;TODAY(),"⚠ TRỄ HỌC",IF($C538=TODAY(),"★ HỌC HÔM NAY","• Chưa tới")),IF($R538&gt;=5,"✔ MASTER",IF($S538&lt;TODAY(),"⚠ TRỄ ÔN",IF($S538=TODAY(),"◆ ÔN HÔM NAY","✔ Đúng tiến độ")))))</f>
        <v>• Chưa tới</v>
      </c>
      <c r="U538" s="38" t="n">
        <f aca="false">IF($H538="","",$R538/5)</f>
        <v>0</v>
      </c>
    </row>
    <row r="539" customFormat="false" ht="15" hidden="false" customHeight="false" outlineLevel="0" collapsed="false">
      <c r="A539" s="31" t="s">
        <v>3326</v>
      </c>
      <c r="B539" s="31" t="n">
        <v>27</v>
      </c>
      <c r="C539" s="32" t="n">
        <f aca="false">SETTINGS!$C$3+$B539-1</f>
        <v>46326</v>
      </c>
      <c r="D539" s="39" t="s">
        <v>1947</v>
      </c>
      <c r="E539" s="34" t="s">
        <v>3237</v>
      </c>
      <c r="F539" s="34" t="s">
        <v>472</v>
      </c>
      <c r="G539" s="34" t="s">
        <v>3327</v>
      </c>
      <c r="H539" s="35" t="s">
        <v>3328</v>
      </c>
      <c r="I539" s="36" t="s">
        <v>3329</v>
      </c>
      <c r="J539" s="34" t="s">
        <v>3330</v>
      </c>
      <c r="K539" s="34" t="s">
        <v>3331</v>
      </c>
      <c r="L539" s="37"/>
      <c r="M539" s="37"/>
      <c r="N539" s="37"/>
      <c r="O539" s="37"/>
      <c r="P539" s="37"/>
      <c r="Q539" s="37"/>
      <c r="R539" s="31" t="n">
        <f aca="false">COUNT($M539:$Q539)</f>
        <v>0</v>
      </c>
      <c r="S539" s="32" t="str">
        <f aca="false">IF($L539="","",IF($R539&gt;=5,"",MAX($L539:$Q539)+CHOOSE($R539+1,SETTINGS!$C$9,SETTINGS!$C$10,SETTINGS!$C$11,SETTINGS!$C$12,SETTINGS!$C$13)))</f>
        <v/>
      </c>
      <c r="T539" s="34" t="str">
        <f aca="true">IF($H539="","(chưa có nội dung)",IF($L539="",IF($C539&lt;TODAY(),"⚠ TRỄ HỌC",IF($C539=TODAY(),"★ HỌC HÔM NAY","• Chưa tới")),IF($R539&gt;=5,"✔ MASTER",IF($S539&lt;TODAY(),"⚠ TRỄ ÔN",IF($S539=TODAY(),"◆ ÔN HÔM NAY","✔ Đúng tiến độ")))))</f>
        <v>• Chưa tới</v>
      </c>
      <c r="U539" s="38" t="n">
        <f aca="false">IF($H539="","",$R539/5)</f>
        <v>0</v>
      </c>
    </row>
    <row r="540" customFormat="false" ht="15" hidden="false" customHeight="false" outlineLevel="0" collapsed="false">
      <c r="A540" s="31" t="s">
        <v>3332</v>
      </c>
      <c r="B540" s="31" t="n">
        <v>27</v>
      </c>
      <c r="C540" s="32" t="n">
        <f aca="false">SETTINGS!$C$3+$B540-1</f>
        <v>46326</v>
      </c>
      <c r="D540" s="39" t="s">
        <v>1947</v>
      </c>
      <c r="E540" s="34" t="s">
        <v>3237</v>
      </c>
      <c r="F540" s="34" t="s">
        <v>156</v>
      </c>
      <c r="G540" s="34" t="s">
        <v>209</v>
      </c>
      <c r="H540" s="35" t="s">
        <v>3333</v>
      </c>
      <c r="I540" s="36" t="s">
        <v>3334</v>
      </c>
      <c r="J540" s="34" t="s">
        <v>3335</v>
      </c>
      <c r="K540" s="34" t="s">
        <v>3336</v>
      </c>
      <c r="L540" s="37"/>
      <c r="M540" s="37"/>
      <c r="N540" s="37"/>
      <c r="O540" s="37"/>
      <c r="P540" s="37"/>
      <c r="Q540" s="37"/>
      <c r="R540" s="31" t="n">
        <f aca="false">COUNT($M540:$Q540)</f>
        <v>0</v>
      </c>
      <c r="S540" s="32" t="str">
        <f aca="false">IF($L540="","",IF($R540&gt;=5,"",MAX($L540:$Q540)+CHOOSE($R540+1,SETTINGS!$C$9,SETTINGS!$C$10,SETTINGS!$C$11,SETTINGS!$C$12,SETTINGS!$C$13)))</f>
        <v/>
      </c>
      <c r="T540" s="34" t="str">
        <f aca="true">IF($H540="","(chưa có nội dung)",IF($L540="",IF($C540&lt;TODAY(),"⚠ TRỄ HỌC",IF($C540=TODAY(),"★ HỌC HÔM NAY","• Chưa tới")),IF($R540&gt;=5,"✔ MASTER",IF($S540&lt;TODAY(),"⚠ TRỄ ÔN",IF($S540=TODAY(),"◆ ÔN HÔM NAY","✔ Đúng tiến độ")))))</f>
        <v>• Chưa tới</v>
      </c>
      <c r="U540" s="38" t="n">
        <f aca="false">IF($H540="","",$R540/5)</f>
        <v>0</v>
      </c>
    </row>
    <row r="541" customFormat="false" ht="15" hidden="false" customHeight="false" outlineLevel="0" collapsed="false">
      <c r="A541" s="31" t="s">
        <v>3337</v>
      </c>
      <c r="B541" s="31" t="n">
        <v>27</v>
      </c>
      <c r="C541" s="32" t="n">
        <f aca="false">SETTINGS!$C$3+$B541-1</f>
        <v>46326</v>
      </c>
      <c r="D541" s="39" t="s">
        <v>1947</v>
      </c>
      <c r="E541" s="34" t="s">
        <v>3237</v>
      </c>
      <c r="F541" s="34" t="s">
        <v>280</v>
      </c>
      <c r="G541" s="34" t="s">
        <v>3338</v>
      </c>
      <c r="H541" s="35" t="s">
        <v>3339</v>
      </c>
      <c r="I541" s="36" t="s">
        <v>3340</v>
      </c>
      <c r="J541" s="34" t="s">
        <v>3341</v>
      </c>
      <c r="K541" s="34" t="s">
        <v>3342</v>
      </c>
      <c r="L541" s="37"/>
      <c r="M541" s="37"/>
      <c r="N541" s="37"/>
      <c r="O541" s="37"/>
      <c r="P541" s="37"/>
      <c r="Q541" s="37"/>
      <c r="R541" s="31" t="n">
        <f aca="false">COUNT($M541:$Q541)</f>
        <v>0</v>
      </c>
      <c r="S541" s="32" t="str">
        <f aca="false">IF($L541="","",IF($R541&gt;=5,"",MAX($L541:$Q541)+CHOOSE($R541+1,SETTINGS!$C$9,SETTINGS!$C$10,SETTINGS!$C$11,SETTINGS!$C$12,SETTINGS!$C$13)))</f>
        <v/>
      </c>
      <c r="T541" s="34" t="str">
        <f aca="true">IF($H541="","(chưa có nội dung)",IF($L541="",IF($C541&lt;TODAY(),"⚠ TRỄ HỌC",IF($C541=TODAY(),"★ HỌC HÔM NAY","• Chưa tới")),IF($R541&gt;=5,"✔ MASTER",IF($S541&lt;TODAY(),"⚠ TRỄ ÔN",IF($S541=TODAY(),"◆ ÔN HÔM NAY","✔ Đúng tiến độ")))))</f>
        <v>• Chưa tới</v>
      </c>
      <c r="U541" s="38" t="n">
        <f aca="false">IF($H541="","",$R541/5)</f>
        <v>0</v>
      </c>
    </row>
    <row r="542" customFormat="false" ht="15" hidden="false" customHeight="false" outlineLevel="0" collapsed="false">
      <c r="A542" s="31" t="s">
        <v>3343</v>
      </c>
      <c r="B542" s="31" t="n">
        <v>27</v>
      </c>
      <c r="C542" s="32" t="n">
        <f aca="false">SETTINGS!$C$3+$B542-1</f>
        <v>46326</v>
      </c>
      <c r="D542" s="39" t="s">
        <v>1947</v>
      </c>
      <c r="E542" s="34" t="s">
        <v>3237</v>
      </c>
      <c r="F542" s="34" t="s">
        <v>183</v>
      </c>
      <c r="G542" s="34" t="s">
        <v>687</v>
      </c>
      <c r="H542" s="35" t="s">
        <v>3344</v>
      </c>
      <c r="I542" s="36" t="s">
        <v>3345</v>
      </c>
      <c r="J542" s="34" t="s">
        <v>3346</v>
      </c>
      <c r="K542" s="34" t="s">
        <v>3347</v>
      </c>
      <c r="L542" s="37"/>
      <c r="M542" s="37"/>
      <c r="N542" s="37"/>
      <c r="O542" s="37"/>
      <c r="P542" s="37"/>
      <c r="Q542" s="37"/>
      <c r="R542" s="31" t="n">
        <f aca="false">COUNT($M542:$Q542)</f>
        <v>0</v>
      </c>
      <c r="S542" s="32" t="str">
        <f aca="false">IF($L542="","",IF($R542&gt;=5,"",MAX($L542:$Q542)+CHOOSE($R542+1,SETTINGS!$C$9,SETTINGS!$C$10,SETTINGS!$C$11,SETTINGS!$C$12,SETTINGS!$C$13)))</f>
        <v/>
      </c>
      <c r="T542" s="34" t="str">
        <f aca="true">IF($H542="","(chưa có nội dung)",IF($L542="",IF($C542&lt;TODAY(),"⚠ TRỄ HỌC",IF($C542=TODAY(),"★ HỌC HÔM NAY","• Chưa tới")),IF($R542&gt;=5,"✔ MASTER",IF($S542&lt;TODAY(),"⚠ TRỄ ÔN",IF($S542=TODAY(),"◆ ÔN HÔM NAY","✔ Đúng tiến độ")))))</f>
        <v>• Chưa tới</v>
      </c>
      <c r="U542" s="38" t="n">
        <f aca="false">IF($H542="","",$R542/5)</f>
        <v>0</v>
      </c>
    </row>
    <row r="543" customFormat="false" ht="15" hidden="false" customHeight="false" outlineLevel="0" collapsed="false">
      <c r="A543" s="31" t="s">
        <v>3348</v>
      </c>
      <c r="B543" s="31" t="n">
        <v>28</v>
      </c>
      <c r="C543" s="32" t="n">
        <f aca="false">SETTINGS!$C$3+$B543-1</f>
        <v>46327</v>
      </c>
      <c r="D543" s="39" t="s">
        <v>1947</v>
      </c>
      <c r="E543" s="34" t="s">
        <v>3349</v>
      </c>
      <c r="F543" s="34" t="s">
        <v>280</v>
      </c>
      <c r="G543" s="34" t="s">
        <v>1883</v>
      </c>
      <c r="H543" s="35" t="s">
        <v>3350</v>
      </c>
      <c r="I543" s="36" t="s">
        <v>3351</v>
      </c>
      <c r="J543" s="34" t="s">
        <v>3352</v>
      </c>
      <c r="K543" s="34" t="s">
        <v>3353</v>
      </c>
      <c r="L543" s="37"/>
      <c r="M543" s="37"/>
      <c r="N543" s="37"/>
      <c r="O543" s="37"/>
      <c r="P543" s="37"/>
      <c r="Q543" s="37"/>
      <c r="R543" s="31" t="n">
        <f aca="false">COUNT($M543:$Q543)</f>
        <v>0</v>
      </c>
      <c r="S543" s="32" t="str">
        <f aca="false">IF($L543="","",IF($R543&gt;=5,"",MAX($L543:$Q543)+CHOOSE($R543+1,SETTINGS!$C$9,SETTINGS!$C$10,SETTINGS!$C$11,SETTINGS!$C$12,SETTINGS!$C$13)))</f>
        <v/>
      </c>
      <c r="T543" s="34" t="str">
        <f aca="true">IF($H543="","(chưa có nội dung)",IF($L543="",IF($C543&lt;TODAY(),"⚠ TRỄ HỌC",IF($C543=TODAY(),"★ HỌC HÔM NAY","• Chưa tới")),IF($R543&gt;=5,"✔ MASTER",IF($S543&lt;TODAY(),"⚠ TRỄ ÔN",IF($S543=TODAY(),"◆ ÔN HÔM NAY","✔ Đúng tiến độ")))))</f>
        <v>• Chưa tới</v>
      </c>
      <c r="U543" s="38" t="n">
        <f aca="false">IF($H543="","",$R543/5)</f>
        <v>0</v>
      </c>
    </row>
    <row r="544" customFormat="false" ht="15" hidden="false" customHeight="false" outlineLevel="0" collapsed="false">
      <c r="A544" s="31" t="s">
        <v>3354</v>
      </c>
      <c r="B544" s="31" t="n">
        <v>28</v>
      </c>
      <c r="C544" s="32" t="n">
        <f aca="false">SETTINGS!$C$3+$B544-1</f>
        <v>46327</v>
      </c>
      <c r="D544" s="39" t="s">
        <v>1947</v>
      </c>
      <c r="E544" s="34" t="s">
        <v>3349</v>
      </c>
      <c r="F544" s="34" t="s">
        <v>280</v>
      </c>
      <c r="G544" s="34" t="s">
        <v>3355</v>
      </c>
      <c r="H544" s="35" t="s">
        <v>3356</v>
      </c>
      <c r="I544" s="36" t="s">
        <v>3357</v>
      </c>
      <c r="J544" s="34" t="s">
        <v>3358</v>
      </c>
      <c r="K544" s="34" t="s">
        <v>3359</v>
      </c>
      <c r="L544" s="37"/>
      <c r="M544" s="37"/>
      <c r="N544" s="37"/>
      <c r="O544" s="37"/>
      <c r="P544" s="37"/>
      <c r="Q544" s="37"/>
      <c r="R544" s="31" t="n">
        <f aca="false">COUNT($M544:$Q544)</f>
        <v>0</v>
      </c>
      <c r="S544" s="32" t="str">
        <f aca="false">IF($L544="","",IF($R544&gt;=5,"",MAX($L544:$Q544)+CHOOSE($R544+1,SETTINGS!$C$9,SETTINGS!$C$10,SETTINGS!$C$11,SETTINGS!$C$12,SETTINGS!$C$13)))</f>
        <v/>
      </c>
      <c r="T544" s="34" t="str">
        <f aca="true">IF($H544="","(chưa có nội dung)",IF($L544="",IF($C544&lt;TODAY(),"⚠ TRỄ HỌC",IF($C544=TODAY(),"★ HỌC HÔM NAY","• Chưa tới")),IF($R544&gt;=5,"✔ MASTER",IF($S544&lt;TODAY(),"⚠ TRỄ ÔN",IF($S544=TODAY(),"◆ ÔN HÔM NAY","✔ Đúng tiến độ")))))</f>
        <v>• Chưa tới</v>
      </c>
      <c r="U544" s="38" t="n">
        <f aca="false">IF($H544="","",$R544/5)</f>
        <v>0</v>
      </c>
    </row>
    <row r="545" customFormat="false" ht="15" hidden="false" customHeight="false" outlineLevel="0" collapsed="false">
      <c r="A545" s="31" t="s">
        <v>3360</v>
      </c>
      <c r="B545" s="31" t="n">
        <v>28</v>
      </c>
      <c r="C545" s="32" t="n">
        <f aca="false">SETTINGS!$C$3+$B545-1</f>
        <v>46327</v>
      </c>
      <c r="D545" s="39" t="s">
        <v>1947</v>
      </c>
      <c r="E545" s="34" t="s">
        <v>3349</v>
      </c>
      <c r="F545" s="34" t="s">
        <v>280</v>
      </c>
      <c r="G545" s="34" t="s">
        <v>3361</v>
      </c>
      <c r="H545" s="35" t="s">
        <v>3362</v>
      </c>
      <c r="I545" s="36" t="s">
        <v>3363</v>
      </c>
      <c r="J545" s="34" t="s">
        <v>3364</v>
      </c>
      <c r="K545" s="34" t="s">
        <v>3365</v>
      </c>
      <c r="L545" s="37"/>
      <c r="M545" s="37"/>
      <c r="N545" s="37"/>
      <c r="O545" s="37"/>
      <c r="P545" s="37"/>
      <c r="Q545" s="37"/>
      <c r="R545" s="31" t="n">
        <f aca="false">COUNT($M545:$Q545)</f>
        <v>0</v>
      </c>
      <c r="S545" s="32" t="str">
        <f aca="false">IF($L545="","",IF($R545&gt;=5,"",MAX($L545:$Q545)+CHOOSE($R545+1,SETTINGS!$C$9,SETTINGS!$C$10,SETTINGS!$C$11,SETTINGS!$C$12,SETTINGS!$C$13)))</f>
        <v/>
      </c>
      <c r="T545" s="34" t="str">
        <f aca="true">IF($H545="","(chưa có nội dung)",IF($L545="",IF($C545&lt;TODAY(),"⚠ TRỄ HỌC",IF($C545=TODAY(),"★ HỌC HÔM NAY","• Chưa tới")),IF($R545&gt;=5,"✔ MASTER",IF($S545&lt;TODAY(),"⚠ TRỄ ÔN",IF($S545=TODAY(),"◆ ÔN HÔM NAY","✔ Đúng tiến độ")))))</f>
        <v>• Chưa tới</v>
      </c>
      <c r="U545" s="38" t="n">
        <f aca="false">IF($H545="","",$R545/5)</f>
        <v>0</v>
      </c>
    </row>
    <row r="546" customFormat="false" ht="15" hidden="false" customHeight="false" outlineLevel="0" collapsed="false">
      <c r="A546" s="31" t="s">
        <v>3366</v>
      </c>
      <c r="B546" s="31" t="n">
        <v>28</v>
      </c>
      <c r="C546" s="32" t="n">
        <f aca="false">SETTINGS!$C$3+$B546-1</f>
        <v>46327</v>
      </c>
      <c r="D546" s="39" t="s">
        <v>1947</v>
      </c>
      <c r="E546" s="34" t="s">
        <v>3349</v>
      </c>
      <c r="F546" s="34" t="s">
        <v>280</v>
      </c>
      <c r="G546" s="34" t="s">
        <v>3367</v>
      </c>
      <c r="H546" s="35" t="s">
        <v>3368</v>
      </c>
      <c r="I546" s="36" t="s">
        <v>3369</v>
      </c>
      <c r="J546" s="34" t="s">
        <v>3370</v>
      </c>
      <c r="K546" s="34" t="s">
        <v>3371</v>
      </c>
      <c r="L546" s="37"/>
      <c r="M546" s="37"/>
      <c r="N546" s="37"/>
      <c r="O546" s="37"/>
      <c r="P546" s="37"/>
      <c r="Q546" s="37"/>
      <c r="R546" s="31" t="n">
        <f aca="false">COUNT($M546:$Q546)</f>
        <v>0</v>
      </c>
      <c r="S546" s="32" t="str">
        <f aca="false">IF($L546="","",IF($R546&gt;=5,"",MAX($L546:$Q546)+CHOOSE($R546+1,SETTINGS!$C$9,SETTINGS!$C$10,SETTINGS!$C$11,SETTINGS!$C$12,SETTINGS!$C$13)))</f>
        <v/>
      </c>
      <c r="T546" s="34" t="str">
        <f aca="true">IF($H546="","(chưa có nội dung)",IF($L546="",IF($C546&lt;TODAY(),"⚠ TRỄ HỌC",IF($C546=TODAY(),"★ HỌC HÔM NAY","• Chưa tới")),IF($R546&gt;=5,"✔ MASTER",IF($S546&lt;TODAY(),"⚠ TRỄ ÔN",IF($S546=TODAY(),"◆ ÔN HÔM NAY","✔ Đúng tiến độ")))))</f>
        <v>• Chưa tới</v>
      </c>
      <c r="U546" s="38" t="n">
        <f aca="false">IF($H546="","",$R546/5)</f>
        <v>0</v>
      </c>
    </row>
    <row r="547" customFormat="false" ht="15" hidden="false" customHeight="false" outlineLevel="0" collapsed="false">
      <c r="A547" s="31" t="s">
        <v>3372</v>
      </c>
      <c r="B547" s="31" t="n">
        <v>28</v>
      </c>
      <c r="C547" s="32" t="n">
        <f aca="false">SETTINGS!$C$3+$B547-1</f>
        <v>46327</v>
      </c>
      <c r="D547" s="39" t="s">
        <v>1947</v>
      </c>
      <c r="E547" s="34" t="s">
        <v>3349</v>
      </c>
      <c r="F547" s="34" t="s">
        <v>280</v>
      </c>
      <c r="G547" s="34" t="s">
        <v>3373</v>
      </c>
      <c r="H547" s="35" t="s">
        <v>3374</v>
      </c>
      <c r="I547" s="36" t="s">
        <v>3375</v>
      </c>
      <c r="J547" s="34" t="s">
        <v>3376</v>
      </c>
      <c r="K547" s="34" t="s">
        <v>3377</v>
      </c>
      <c r="L547" s="37"/>
      <c r="M547" s="37"/>
      <c r="N547" s="37"/>
      <c r="O547" s="37"/>
      <c r="P547" s="37"/>
      <c r="Q547" s="37"/>
      <c r="R547" s="31" t="n">
        <f aca="false">COUNT($M547:$Q547)</f>
        <v>0</v>
      </c>
      <c r="S547" s="32" t="str">
        <f aca="false">IF($L547="","",IF($R547&gt;=5,"",MAX($L547:$Q547)+CHOOSE($R547+1,SETTINGS!$C$9,SETTINGS!$C$10,SETTINGS!$C$11,SETTINGS!$C$12,SETTINGS!$C$13)))</f>
        <v/>
      </c>
      <c r="T547" s="34" t="str">
        <f aca="true">IF($H547="","(chưa có nội dung)",IF($L547="",IF($C547&lt;TODAY(),"⚠ TRỄ HỌC",IF($C547=TODAY(),"★ HỌC HÔM NAY","• Chưa tới")),IF($R547&gt;=5,"✔ MASTER",IF($S547&lt;TODAY(),"⚠ TRỄ ÔN",IF($S547=TODAY(),"◆ ÔN HÔM NAY","✔ Đúng tiến độ")))))</f>
        <v>• Chưa tới</v>
      </c>
      <c r="U547" s="38" t="n">
        <f aca="false">IF($H547="","",$R547/5)</f>
        <v>0</v>
      </c>
    </row>
    <row r="548" customFormat="false" ht="15" hidden="false" customHeight="false" outlineLevel="0" collapsed="false">
      <c r="A548" s="31" t="s">
        <v>3378</v>
      </c>
      <c r="B548" s="31" t="n">
        <v>28</v>
      </c>
      <c r="C548" s="32" t="n">
        <f aca="false">SETTINGS!$C$3+$B548-1</f>
        <v>46327</v>
      </c>
      <c r="D548" s="39" t="s">
        <v>1947</v>
      </c>
      <c r="E548" s="34" t="s">
        <v>3349</v>
      </c>
      <c r="F548" s="34" t="s">
        <v>280</v>
      </c>
      <c r="G548" s="34" t="s">
        <v>1883</v>
      </c>
      <c r="H548" s="35" t="s">
        <v>3379</v>
      </c>
      <c r="I548" s="36" t="s">
        <v>3380</v>
      </c>
      <c r="J548" s="34" t="s">
        <v>3381</v>
      </c>
      <c r="K548" s="34" t="s">
        <v>3382</v>
      </c>
      <c r="L548" s="37"/>
      <c r="M548" s="37"/>
      <c r="N548" s="37"/>
      <c r="O548" s="37"/>
      <c r="P548" s="37"/>
      <c r="Q548" s="37"/>
      <c r="R548" s="31" t="n">
        <f aca="false">COUNT($M548:$Q548)</f>
        <v>0</v>
      </c>
      <c r="S548" s="32" t="str">
        <f aca="false">IF($L548="","",IF($R548&gt;=5,"",MAX($L548:$Q548)+CHOOSE($R548+1,SETTINGS!$C$9,SETTINGS!$C$10,SETTINGS!$C$11,SETTINGS!$C$12,SETTINGS!$C$13)))</f>
        <v/>
      </c>
      <c r="T548" s="34" t="str">
        <f aca="true">IF($H548="","(chưa có nội dung)",IF($L548="",IF($C548&lt;TODAY(),"⚠ TRỄ HỌC",IF($C548=TODAY(),"★ HỌC HÔM NAY","• Chưa tới")),IF($R548&gt;=5,"✔ MASTER",IF($S548&lt;TODAY(),"⚠ TRỄ ÔN",IF($S548=TODAY(),"◆ ÔN HÔM NAY","✔ Đúng tiến độ")))))</f>
        <v>• Chưa tới</v>
      </c>
      <c r="U548" s="38" t="n">
        <f aca="false">IF($H548="","",$R548/5)</f>
        <v>0</v>
      </c>
    </row>
    <row r="549" customFormat="false" ht="15" hidden="false" customHeight="false" outlineLevel="0" collapsed="false">
      <c r="A549" s="31" t="s">
        <v>3383</v>
      </c>
      <c r="B549" s="31" t="n">
        <v>28</v>
      </c>
      <c r="C549" s="32" t="n">
        <f aca="false">SETTINGS!$C$3+$B549-1</f>
        <v>46327</v>
      </c>
      <c r="D549" s="39" t="s">
        <v>1947</v>
      </c>
      <c r="E549" s="34" t="s">
        <v>3349</v>
      </c>
      <c r="F549" s="34" t="s">
        <v>280</v>
      </c>
      <c r="G549" s="34" t="s">
        <v>3384</v>
      </c>
      <c r="H549" s="35" t="s">
        <v>3385</v>
      </c>
      <c r="I549" s="36" t="s">
        <v>3386</v>
      </c>
      <c r="J549" s="34" t="s">
        <v>3387</v>
      </c>
      <c r="K549" s="34" t="s">
        <v>3388</v>
      </c>
      <c r="L549" s="37"/>
      <c r="M549" s="37"/>
      <c r="N549" s="37"/>
      <c r="O549" s="37"/>
      <c r="P549" s="37"/>
      <c r="Q549" s="37"/>
      <c r="R549" s="31" t="n">
        <f aca="false">COUNT($M549:$Q549)</f>
        <v>0</v>
      </c>
      <c r="S549" s="32" t="str">
        <f aca="false">IF($L549="","",IF($R549&gt;=5,"",MAX($L549:$Q549)+CHOOSE($R549+1,SETTINGS!$C$9,SETTINGS!$C$10,SETTINGS!$C$11,SETTINGS!$C$12,SETTINGS!$C$13)))</f>
        <v/>
      </c>
      <c r="T549" s="34" t="str">
        <f aca="true">IF($H549="","(chưa có nội dung)",IF($L549="",IF($C549&lt;TODAY(),"⚠ TRỄ HỌC",IF($C549=TODAY(),"★ HỌC HÔM NAY","• Chưa tới")),IF($R549&gt;=5,"✔ MASTER",IF($S549&lt;TODAY(),"⚠ TRỄ ÔN",IF($S549=TODAY(),"◆ ÔN HÔM NAY","✔ Đúng tiến độ")))))</f>
        <v>• Chưa tới</v>
      </c>
      <c r="U549" s="38" t="n">
        <f aca="false">IF($H549="","",$R549/5)</f>
        <v>0</v>
      </c>
    </row>
    <row r="550" customFormat="false" ht="15" hidden="false" customHeight="false" outlineLevel="0" collapsed="false">
      <c r="A550" s="31" t="s">
        <v>3389</v>
      </c>
      <c r="B550" s="31" t="n">
        <v>28</v>
      </c>
      <c r="C550" s="32" t="n">
        <f aca="false">SETTINGS!$C$3+$B550-1</f>
        <v>46327</v>
      </c>
      <c r="D550" s="39" t="s">
        <v>1947</v>
      </c>
      <c r="E550" s="34" t="s">
        <v>3349</v>
      </c>
      <c r="F550" s="34" t="s">
        <v>280</v>
      </c>
      <c r="G550" s="34" t="s">
        <v>3390</v>
      </c>
      <c r="H550" s="35" t="s">
        <v>3391</v>
      </c>
      <c r="I550" s="36" t="s">
        <v>3392</v>
      </c>
      <c r="J550" s="34" t="s">
        <v>3393</v>
      </c>
      <c r="K550" s="34" t="s">
        <v>3394</v>
      </c>
      <c r="L550" s="37"/>
      <c r="M550" s="37"/>
      <c r="N550" s="37"/>
      <c r="O550" s="37"/>
      <c r="P550" s="37"/>
      <c r="Q550" s="37"/>
      <c r="R550" s="31" t="n">
        <f aca="false">COUNT($M550:$Q550)</f>
        <v>0</v>
      </c>
      <c r="S550" s="32" t="str">
        <f aca="false">IF($L550="","",IF($R550&gt;=5,"",MAX($L550:$Q550)+CHOOSE($R550+1,SETTINGS!$C$9,SETTINGS!$C$10,SETTINGS!$C$11,SETTINGS!$C$12,SETTINGS!$C$13)))</f>
        <v/>
      </c>
      <c r="T550" s="34" t="str">
        <f aca="true">IF($H550="","(chưa có nội dung)",IF($L550="",IF($C550&lt;TODAY(),"⚠ TRỄ HỌC",IF($C550=TODAY(),"★ HỌC HÔM NAY","• Chưa tới")),IF($R550&gt;=5,"✔ MASTER",IF($S550&lt;TODAY(),"⚠ TRỄ ÔN",IF($S550=TODAY(),"◆ ÔN HÔM NAY","✔ Đúng tiến độ")))))</f>
        <v>• Chưa tới</v>
      </c>
      <c r="U550" s="38" t="n">
        <f aca="false">IF($H550="","",$R550/5)</f>
        <v>0</v>
      </c>
    </row>
    <row r="551" customFormat="false" ht="15" hidden="false" customHeight="false" outlineLevel="0" collapsed="false">
      <c r="A551" s="31" t="s">
        <v>3395</v>
      </c>
      <c r="B551" s="31" t="n">
        <v>28</v>
      </c>
      <c r="C551" s="32" t="n">
        <f aca="false">SETTINGS!$C$3+$B551-1</f>
        <v>46327</v>
      </c>
      <c r="D551" s="39" t="s">
        <v>1947</v>
      </c>
      <c r="E551" s="34" t="s">
        <v>3349</v>
      </c>
      <c r="F551" s="34" t="s">
        <v>202</v>
      </c>
      <c r="G551" s="34" t="s">
        <v>3396</v>
      </c>
      <c r="H551" s="35" t="s">
        <v>3397</v>
      </c>
      <c r="I551" s="36" t="s">
        <v>3398</v>
      </c>
      <c r="J551" s="34" t="s">
        <v>3399</v>
      </c>
      <c r="K551" s="34" t="s">
        <v>3400</v>
      </c>
      <c r="L551" s="37"/>
      <c r="M551" s="37"/>
      <c r="N551" s="37"/>
      <c r="O551" s="37"/>
      <c r="P551" s="37"/>
      <c r="Q551" s="37"/>
      <c r="R551" s="31" t="n">
        <f aca="false">COUNT($M551:$Q551)</f>
        <v>0</v>
      </c>
      <c r="S551" s="32" t="str">
        <f aca="false">IF($L551="","",IF($R551&gt;=5,"",MAX($L551:$Q551)+CHOOSE($R551+1,SETTINGS!$C$9,SETTINGS!$C$10,SETTINGS!$C$11,SETTINGS!$C$12,SETTINGS!$C$13)))</f>
        <v/>
      </c>
      <c r="T551" s="34" t="str">
        <f aca="true">IF($H551="","(chưa có nội dung)",IF($L551="",IF($C551&lt;TODAY(),"⚠ TRỄ HỌC",IF($C551=TODAY(),"★ HỌC HÔM NAY","• Chưa tới")),IF($R551&gt;=5,"✔ MASTER",IF($S551&lt;TODAY(),"⚠ TRỄ ÔN",IF($S551=TODAY(),"◆ ÔN HÔM NAY","✔ Đúng tiến độ")))))</f>
        <v>• Chưa tới</v>
      </c>
      <c r="U551" s="38" t="n">
        <f aca="false">IF($H551="","",$R551/5)</f>
        <v>0</v>
      </c>
    </row>
    <row r="552" customFormat="false" ht="15" hidden="false" customHeight="false" outlineLevel="0" collapsed="false">
      <c r="A552" s="31" t="s">
        <v>3401</v>
      </c>
      <c r="B552" s="31" t="n">
        <v>28</v>
      </c>
      <c r="C552" s="32" t="n">
        <f aca="false">SETTINGS!$C$3+$B552-1</f>
        <v>46327</v>
      </c>
      <c r="D552" s="39" t="s">
        <v>1947</v>
      </c>
      <c r="E552" s="34" t="s">
        <v>3349</v>
      </c>
      <c r="F552" s="34" t="s">
        <v>163</v>
      </c>
      <c r="G552" s="34" t="s">
        <v>3402</v>
      </c>
      <c r="H552" s="35" t="s">
        <v>3403</v>
      </c>
      <c r="I552" s="36" t="s">
        <v>3404</v>
      </c>
      <c r="J552" s="34" t="s">
        <v>3405</v>
      </c>
      <c r="K552" s="34" t="s">
        <v>2615</v>
      </c>
      <c r="L552" s="37"/>
      <c r="M552" s="37"/>
      <c r="N552" s="37"/>
      <c r="O552" s="37"/>
      <c r="P552" s="37"/>
      <c r="Q552" s="37"/>
      <c r="R552" s="31" t="n">
        <f aca="false">COUNT($M552:$Q552)</f>
        <v>0</v>
      </c>
      <c r="S552" s="32" t="str">
        <f aca="false">IF($L552="","",IF($R552&gt;=5,"",MAX($L552:$Q552)+CHOOSE($R552+1,SETTINGS!$C$9,SETTINGS!$C$10,SETTINGS!$C$11,SETTINGS!$C$12,SETTINGS!$C$13)))</f>
        <v/>
      </c>
      <c r="T552" s="34" t="str">
        <f aca="true">IF($H552="","(chưa có nội dung)",IF($L552="",IF($C552&lt;TODAY(),"⚠ TRỄ HỌC",IF($C552=TODAY(),"★ HỌC HÔM NAY","• Chưa tới")),IF($R552&gt;=5,"✔ MASTER",IF($S552&lt;TODAY(),"⚠ TRỄ ÔN",IF($S552=TODAY(),"◆ ÔN HÔM NAY","✔ Đúng tiến độ")))))</f>
        <v>• Chưa tới</v>
      </c>
      <c r="U552" s="38" t="n">
        <f aca="false">IF($H552="","",$R552/5)</f>
        <v>0</v>
      </c>
    </row>
    <row r="553" customFormat="false" ht="15" hidden="false" customHeight="false" outlineLevel="0" collapsed="false">
      <c r="A553" s="31" t="s">
        <v>3406</v>
      </c>
      <c r="B553" s="31" t="n">
        <v>28</v>
      </c>
      <c r="C553" s="32" t="n">
        <f aca="false">SETTINGS!$C$3+$B553-1</f>
        <v>46327</v>
      </c>
      <c r="D553" s="39" t="s">
        <v>1947</v>
      </c>
      <c r="E553" s="34" t="s">
        <v>3349</v>
      </c>
      <c r="F553" s="34" t="s">
        <v>280</v>
      </c>
      <c r="G553" s="34" t="s">
        <v>1080</v>
      </c>
      <c r="H553" s="35" t="s">
        <v>3407</v>
      </c>
      <c r="I553" s="36" t="s">
        <v>3408</v>
      </c>
      <c r="J553" s="34" t="s">
        <v>3409</v>
      </c>
      <c r="K553" s="34" t="s">
        <v>3410</v>
      </c>
      <c r="L553" s="37"/>
      <c r="M553" s="37"/>
      <c r="N553" s="37"/>
      <c r="O553" s="37"/>
      <c r="P553" s="37"/>
      <c r="Q553" s="37"/>
      <c r="R553" s="31" t="n">
        <f aca="false">COUNT($M553:$Q553)</f>
        <v>0</v>
      </c>
      <c r="S553" s="32" t="str">
        <f aca="false">IF($L553="","",IF($R553&gt;=5,"",MAX($L553:$Q553)+CHOOSE($R553+1,SETTINGS!$C$9,SETTINGS!$C$10,SETTINGS!$C$11,SETTINGS!$C$12,SETTINGS!$C$13)))</f>
        <v/>
      </c>
      <c r="T553" s="34" t="str">
        <f aca="true">IF($H553="","(chưa có nội dung)",IF($L553="",IF($C553&lt;TODAY(),"⚠ TRỄ HỌC",IF($C553=TODAY(),"★ HỌC HÔM NAY","• Chưa tới")),IF($R553&gt;=5,"✔ MASTER",IF($S553&lt;TODAY(),"⚠ TRỄ ÔN",IF($S553=TODAY(),"◆ ÔN HÔM NAY","✔ Đúng tiến độ")))))</f>
        <v>• Chưa tới</v>
      </c>
      <c r="U553" s="38" t="n">
        <f aca="false">IF($H553="","",$R553/5)</f>
        <v>0</v>
      </c>
    </row>
    <row r="554" customFormat="false" ht="15" hidden="false" customHeight="false" outlineLevel="0" collapsed="false">
      <c r="A554" s="31" t="s">
        <v>3411</v>
      </c>
      <c r="B554" s="31" t="n">
        <v>28</v>
      </c>
      <c r="C554" s="32" t="n">
        <f aca="false">SETTINGS!$C$3+$B554-1</f>
        <v>46327</v>
      </c>
      <c r="D554" s="39" t="s">
        <v>1947</v>
      </c>
      <c r="E554" s="34" t="s">
        <v>3349</v>
      </c>
      <c r="F554" s="34" t="s">
        <v>280</v>
      </c>
      <c r="G554" s="34" t="s">
        <v>3412</v>
      </c>
      <c r="H554" s="35" t="s">
        <v>3413</v>
      </c>
      <c r="I554" s="36" t="s">
        <v>3414</v>
      </c>
      <c r="J554" s="34" t="s">
        <v>3415</v>
      </c>
      <c r="K554" s="34" t="s">
        <v>3416</v>
      </c>
      <c r="L554" s="37"/>
      <c r="M554" s="37"/>
      <c r="N554" s="37"/>
      <c r="O554" s="37"/>
      <c r="P554" s="37"/>
      <c r="Q554" s="37"/>
      <c r="R554" s="31" t="n">
        <f aca="false">COUNT($M554:$Q554)</f>
        <v>0</v>
      </c>
      <c r="S554" s="32" t="str">
        <f aca="false">IF($L554="","",IF($R554&gt;=5,"",MAX($L554:$Q554)+CHOOSE($R554+1,SETTINGS!$C$9,SETTINGS!$C$10,SETTINGS!$C$11,SETTINGS!$C$12,SETTINGS!$C$13)))</f>
        <v/>
      </c>
      <c r="T554" s="34" t="str">
        <f aca="true">IF($H554="","(chưa có nội dung)",IF($L554="",IF($C554&lt;TODAY(),"⚠ TRỄ HỌC",IF($C554=TODAY(),"★ HỌC HÔM NAY","• Chưa tới")),IF($R554&gt;=5,"✔ MASTER",IF($S554&lt;TODAY(),"⚠ TRỄ ÔN",IF($S554=TODAY(),"◆ ÔN HÔM NAY","✔ Đúng tiến độ")))))</f>
        <v>• Chưa tới</v>
      </c>
      <c r="U554" s="38" t="n">
        <f aca="false">IF($H554="","",$R554/5)</f>
        <v>0</v>
      </c>
    </row>
    <row r="555" customFormat="false" ht="15" hidden="false" customHeight="false" outlineLevel="0" collapsed="false">
      <c r="A555" s="31" t="s">
        <v>3417</v>
      </c>
      <c r="B555" s="31" t="n">
        <v>28</v>
      </c>
      <c r="C555" s="32" t="n">
        <f aca="false">SETTINGS!$C$3+$B555-1</f>
        <v>46327</v>
      </c>
      <c r="D555" s="39" t="s">
        <v>1947</v>
      </c>
      <c r="E555" s="34" t="s">
        <v>3349</v>
      </c>
      <c r="F555" s="34" t="s">
        <v>280</v>
      </c>
      <c r="G555" s="34" t="s">
        <v>388</v>
      </c>
      <c r="H555" s="35" t="s">
        <v>3418</v>
      </c>
      <c r="I555" s="36" t="s">
        <v>3419</v>
      </c>
      <c r="J555" s="34" t="s">
        <v>3420</v>
      </c>
      <c r="K555" s="34" t="s">
        <v>3421</v>
      </c>
      <c r="L555" s="37"/>
      <c r="M555" s="37"/>
      <c r="N555" s="37"/>
      <c r="O555" s="37"/>
      <c r="P555" s="37"/>
      <c r="Q555" s="37"/>
      <c r="R555" s="31" t="n">
        <f aca="false">COUNT($M555:$Q555)</f>
        <v>0</v>
      </c>
      <c r="S555" s="32" t="str">
        <f aca="false">IF($L555="","",IF($R555&gt;=5,"",MAX($L555:$Q555)+CHOOSE($R555+1,SETTINGS!$C$9,SETTINGS!$C$10,SETTINGS!$C$11,SETTINGS!$C$12,SETTINGS!$C$13)))</f>
        <v/>
      </c>
      <c r="T555" s="34" t="str">
        <f aca="true">IF($H555="","(chưa có nội dung)",IF($L555="",IF($C555&lt;TODAY(),"⚠ TRỄ HỌC",IF($C555=TODAY(),"★ HỌC HÔM NAY","• Chưa tới")),IF($R555&gt;=5,"✔ MASTER",IF($S555&lt;TODAY(),"⚠ TRỄ ÔN",IF($S555=TODAY(),"◆ ÔN HÔM NAY","✔ Đúng tiến độ")))))</f>
        <v>• Chưa tới</v>
      </c>
      <c r="U555" s="38" t="n">
        <f aca="false">IF($H555="","",$R555/5)</f>
        <v>0</v>
      </c>
    </row>
    <row r="556" customFormat="false" ht="15" hidden="false" customHeight="false" outlineLevel="0" collapsed="false">
      <c r="A556" s="31" t="s">
        <v>3422</v>
      </c>
      <c r="B556" s="31" t="n">
        <v>28</v>
      </c>
      <c r="C556" s="32" t="n">
        <f aca="false">SETTINGS!$C$3+$B556-1</f>
        <v>46327</v>
      </c>
      <c r="D556" s="39" t="s">
        <v>1947</v>
      </c>
      <c r="E556" s="34" t="s">
        <v>3349</v>
      </c>
      <c r="F556" s="34" t="s">
        <v>280</v>
      </c>
      <c r="G556" s="34" t="s">
        <v>3423</v>
      </c>
      <c r="H556" s="35" t="s">
        <v>3424</v>
      </c>
      <c r="I556" s="36" t="s">
        <v>3425</v>
      </c>
      <c r="J556" s="34" t="s">
        <v>3426</v>
      </c>
      <c r="K556" s="34" t="s">
        <v>3427</v>
      </c>
      <c r="L556" s="37"/>
      <c r="M556" s="37"/>
      <c r="N556" s="37"/>
      <c r="O556" s="37"/>
      <c r="P556" s="37"/>
      <c r="Q556" s="37"/>
      <c r="R556" s="31" t="n">
        <f aca="false">COUNT($M556:$Q556)</f>
        <v>0</v>
      </c>
      <c r="S556" s="32" t="str">
        <f aca="false">IF($L556="","",IF($R556&gt;=5,"",MAX($L556:$Q556)+CHOOSE($R556+1,SETTINGS!$C$9,SETTINGS!$C$10,SETTINGS!$C$11,SETTINGS!$C$12,SETTINGS!$C$13)))</f>
        <v/>
      </c>
      <c r="T556" s="34" t="str">
        <f aca="true">IF($H556="","(chưa có nội dung)",IF($L556="",IF($C556&lt;TODAY(),"⚠ TRỄ HỌC",IF($C556=TODAY(),"★ HỌC HÔM NAY","• Chưa tới")),IF($R556&gt;=5,"✔ MASTER",IF($S556&lt;TODAY(),"⚠ TRỄ ÔN",IF($S556=TODAY(),"◆ ÔN HÔM NAY","✔ Đúng tiến độ")))))</f>
        <v>• Chưa tới</v>
      </c>
      <c r="U556" s="38" t="n">
        <f aca="false">IF($H556="","",$R556/5)</f>
        <v>0</v>
      </c>
    </row>
    <row r="557" customFormat="false" ht="15" hidden="false" customHeight="false" outlineLevel="0" collapsed="false">
      <c r="A557" s="31" t="s">
        <v>3428</v>
      </c>
      <c r="B557" s="31" t="n">
        <v>28</v>
      </c>
      <c r="C557" s="32" t="n">
        <f aca="false">SETTINGS!$C$3+$B557-1</f>
        <v>46327</v>
      </c>
      <c r="D557" s="39" t="s">
        <v>1947</v>
      </c>
      <c r="E557" s="34" t="s">
        <v>3349</v>
      </c>
      <c r="F557" s="34" t="s">
        <v>280</v>
      </c>
      <c r="G557" s="34" t="s">
        <v>3429</v>
      </c>
      <c r="H557" s="35" t="s">
        <v>3430</v>
      </c>
      <c r="I557" s="36" t="s">
        <v>3431</v>
      </c>
      <c r="J557" s="34" t="s">
        <v>3432</v>
      </c>
      <c r="K557" s="34" t="s">
        <v>3433</v>
      </c>
      <c r="L557" s="37"/>
      <c r="M557" s="37"/>
      <c r="N557" s="37"/>
      <c r="O557" s="37"/>
      <c r="P557" s="37"/>
      <c r="Q557" s="37"/>
      <c r="R557" s="31" t="n">
        <f aca="false">COUNT($M557:$Q557)</f>
        <v>0</v>
      </c>
      <c r="S557" s="32" t="str">
        <f aca="false">IF($L557="","",IF($R557&gt;=5,"",MAX($L557:$Q557)+CHOOSE($R557+1,SETTINGS!$C$9,SETTINGS!$C$10,SETTINGS!$C$11,SETTINGS!$C$12,SETTINGS!$C$13)))</f>
        <v/>
      </c>
      <c r="T557" s="34" t="str">
        <f aca="true">IF($H557="","(chưa có nội dung)",IF($L557="",IF($C557&lt;TODAY(),"⚠ TRỄ HỌC",IF($C557=TODAY(),"★ HỌC HÔM NAY","• Chưa tới")),IF($R557&gt;=5,"✔ MASTER",IF($S557&lt;TODAY(),"⚠ TRỄ ÔN",IF($S557=TODAY(),"◆ ÔN HÔM NAY","✔ Đúng tiến độ")))))</f>
        <v>• Chưa tới</v>
      </c>
      <c r="U557" s="38" t="n">
        <f aca="false">IF($H557="","",$R557/5)</f>
        <v>0</v>
      </c>
    </row>
    <row r="558" customFormat="false" ht="15" hidden="false" customHeight="false" outlineLevel="0" collapsed="false">
      <c r="A558" s="31" t="s">
        <v>3434</v>
      </c>
      <c r="B558" s="31" t="n">
        <v>28</v>
      </c>
      <c r="C558" s="32" t="n">
        <f aca="false">SETTINGS!$C$3+$B558-1</f>
        <v>46327</v>
      </c>
      <c r="D558" s="39" t="s">
        <v>1947</v>
      </c>
      <c r="E558" s="34" t="s">
        <v>3349</v>
      </c>
      <c r="F558" s="34" t="s">
        <v>280</v>
      </c>
      <c r="G558" s="34" t="s">
        <v>3435</v>
      </c>
      <c r="H558" s="35" t="s">
        <v>3436</v>
      </c>
      <c r="I558" s="36" t="s">
        <v>3437</v>
      </c>
      <c r="J558" s="34" t="s">
        <v>3438</v>
      </c>
      <c r="K558" s="34" t="s">
        <v>3439</v>
      </c>
      <c r="L558" s="37"/>
      <c r="M558" s="37"/>
      <c r="N558" s="37"/>
      <c r="O558" s="37"/>
      <c r="P558" s="37"/>
      <c r="Q558" s="37"/>
      <c r="R558" s="31" t="n">
        <f aca="false">COUNT($M558:$Q558)</f>
        <v>0</v>
      </c>
      <c r="S558" s="32" t="str">
        <f aca="false">IF($L558="","",IF($R558&gt;=5,"",MAX($L558:$Q558)+CHOOSE($R558+1,SETTINGS!$C$9,SETTINGS!$C$10,SETTINGS!$C$11,SETTINGS!$C$12,SETTINGS!$C$13)))</f>
        <v/>
      </c>
      <c r="T558" s="34" t="str">
        <f aca="true">IF($H558="","(chưa có nội dung)",IF($L558="",IF($C558&lt;TODAY(),"⚠ TRỄ HỌC",IF($C558=TODAY(),"★ HỌC HÔM NAY","• Chưa tới")),IF($R558&gt;=5,"✔ MASTER",IF($S558&lt;TODAY(),"⚠ TRỄ ÔN",IF($S558=TODAY(),"◆ ÔN HÔM NAY","✔ Đúng tiến độ")))))</f>
        <v>• Chưa tới</v>
      </c>
      <c r="U558" s="38" t="n">
        <f aca="false">IF($H558="","",$R558/5)</f>
        <v>0</v>
      </c>
    </row>
    <row r="559" customFormat="false" ht="15" hidden="false" customHeight="false" outlineLevel="0" collapsed="false">
      <c r="A559" s="31" t="s">
        <v>3440</v>
      </c>
      <c r="B559" s="31" t="n">
        <v>28</v>
      </c>
      <c r="C559" s="32" t="n">
        <f aca="false">SETTINGS!$C$3+$B559-1</f>
        <v>46327</v>
      </c>
      <c r="D559" s="39" t="s">
        <v>1947</v>
      </c>
      <c r="E559" s="34" t="s">
        <v>3349</v>
      </c>
      <c r="F559" s="34" t="s">
        <v>280</v>
      </c>
      <c r="G559" s="34" t="s">
        <v>3441</v>
      </c>
      <c r="H559" s="35" t="s">
        <v>3442</v>
      </c>
      <c r="I559" s="36" t="s">
        <v>3443</v>
      </c>
      <c r="J559" s="34" t="s">
        <v>3444</v>
      </c>
      <c r="K559" s="34" t="s">
        <v>3445</v>
      </c>
      <c r="L559" s="37"/>
      <c r="M559" s="37"/>
      <c r="N559" s="37"/>
      <c r="O559" s="37"/>
      <c r="P559" s="37"/>
      <c r="Q559" s="37"/>
      <c r="R559" s="31" t="n">
        <f aca="false">COUNT($M559:$Q559)</f>
        <v>0</v>
      </c>
      <c r="S559" s="32" t="str">
        <f aca="false">IF($L559="","",IF($R559&gt;=5,"",MAX($L559:$Q559)+CHOOSE($R559+1,SETTINGS!$C$9,SETTINGS!$C$10,SETTINGS!$C$11,SETTINGS!$C$12,SETTINGS!$C$13)))</f>
        <v/>
      </c>
      <c r="T559" s="34" t="str">
        <f aca="true">IF($H559="","(chưa có nội dung)",IF($L559="",IF($C559&lt;TODAY(),"⚠ TRỄ HỌC",IF($C559=TODAY(),"★ HỌC HÔM NAY","• Chưa tới")),IF($R559&gt;=5,"✔ MASTER",IF($S559&lt;TODAY(),"⚠ TRỄ ÔN",IF($S559=TODAY(),"◆ ÔN HÔM NAY","✔ Đúng tiến độ")))))</f>
        <v>• Chưa tới</v>
      </c>
      <c r="U559" s="38" t="n">
        <f aca="false">IF($H559="","",$R559/5)</f>
        <v>0</v>
      </c>
    </row>
    <row r="560" customFormat="false" ht="15" hidden="false" customHeight="false" outlineLevel="0" collapsed="false">
      <c r="A560" s="31" t="s">
        <v>3446</v>
      </c>
      <c r="B560" s="31" t="n">
        <v>28</v>
      </c>
      <c r="C560" s="32" t="n">
        <f aca="false">SETTINGS!$C$3+$B560-1</f>
        <v>46327</v>
      </c>
      <c r="D560" s="39" t="s">
        <v>1947</v>
      </c>
      <c r="E560" s="34" t="s">
        <v>3349</v>
      </c>
      <c r="F560" s="34" t="s">
        <v>280</v>
      </c>
      <c r="G560" s="34" t="s">
        <v>3447</v>
      </c>
      <c r="H560" s="35" t="s">
        <v>3448</v>
      </c>
      <c r="I560" s="36" t="s">
        <v>3449</v>
      </c>
      <c r="J560" s="34" t="s">
        <v>3450</v>
      </c>
      <c r="K560" s="34" t="s">
        <v>3447</v>
      </c>
      <c r="L560" s="37"/>
      <c r="M560" s="37"/>
      <c r="N560" s="37"/>
      <c r="O560" s="37"/>
      <c r="P560" s="37"/>
      <c r="Q560" s="37"/>
      <c r="R560" s="31" t="n">
        <f aca="false">COUNT($M560:$Q560)</f>
        <v>0</v>
      </c>
      <c r="S560" s="32" t="str">
        <f aca="false">IF($L560="","",IF($R560&gt;=5,"",MAX($L560:$Q560)+CHOOSE($R560+1,SETTINGS!$C$9,SETTINGS!$C$10,SETTINGS!$C$11,SETTINGS!$C$12,SETTINGS!$C$13)))</f>
        <v/>
      </c>
      <c r="T560" s="34" t="str">
        <f aca="true">IF($H560="","(chưa có nội dung)",IF($L560="",IF($C560&lt;TODAY(),"⚠ TRỄ HỌC",IF($C560=TODAY(),"★ HỌC HÔM NAY","• Chưa tới")),IF($R560&gt;=5,"✔ MASTER",IF($S560&lt;TODAY(),"⚠ TRỄ ÔN",IF($S560=TODAY(),"◆ ÔN HÔM NAY","✔ Đúng tiến độ")))))</f>
        <v>• Chưa tới</v>
      </c>
      <c r="U560" s="38" t="n">
        <f aca="false">IF($H560="","",$R560/5)</f>
        <v>0</v>
      </c>
    </row>
    <row r="561" customFormat="false" ht="23.85" hidden="false" customHeight="false" outlineLevel="0" collapsed="false">
      <c r="A561" s="31" t="s">
        <v>3451</v>
      </c>
      <c r="B561" s="31" t="n">
        <v>28</v>
      </c>
      <c r="C561" s="32" t="n">
        <f aca="false">SETTINGS!$C$3+$B561-1</f>
        <v>46327</v>
      </c>
      <c r="D561" s="39" t="s">
        <v>1947</v>
      </c>
      <c r="E561" s="34" t="s">
        <v>3349</v>
      </c>
      <c r="F561" s="34" t="s">
        <v>280</v>
      </c>
      <c r="G561" s="34" t="s">
        <v>3452</v>
      </c>
      <c r="H561" s="35" t="s">
        <v>3453</v>
      </c>
      <c r="I561" s="36" t="s">
        <v>3454</v>
      </c>
      <c r="J561" s="34" t="s">
        <v>3455</v>
      </c>
      <c r="K561" s="34" t="s">
        <v>3456</v>
      </c>
      <c r="L561" s="37"/>
      <c r="M561" s="37"/>
      <c r="N561" s="37"/>
      <c r="O561" s="37"/>
      <c r="P561" s="37"/>
      <c r="Q561" s="37"/>
      <c r="R561" s="31" t="n">
        <f aca="false">COUNT($M561:$Q561)</f>
        <v>0</v>
      </c>
      <c r="S561" s="32" t="str">
        <f aca="false">IF($L561="","",IF($R561&gt;=5,"",MAX($L561:$Q561)+CHOOSE($R561+1,SETTINGS!$C$9,SETTINGS!$C$10,SETTINGS!$C$11,SETTINGS!$C$12,SETTINGS!$C$13)))</f>
        <v/>
      </c>
      <c r="T561" s="34" t="str">
        <f aca="true">IF($H561="","(chưa có nội dung)",IF($L561="",IF($C561&lt;TODAY(),"⚠ TRỄ HỌC",IF($C561=TODAY(),"★ HỌC HÔM NAY","• Chưa tới")),IF($R561&gt;=5,"✔ MASTER",IF($S561&lt;TODAY(),"⚠ TRỄ ÔN",IF($S561=TODAY(),"◆ ÔN HÔM NAY","✔ Đúng tiến độ")))))</f>
        <v>• Chưa tới</v>
      </c>
      <c r="U561" s="38" t="n">
        <f aca="false">IF($H561="","",$R561/5)</f>
        <v>0</v>
      </c>
    </row>
    <row r="562" customFormat="false" ht="15" hidden="false" customHeight="false" outlineLevel="0" collapsed="false">
      <c r="A562" s="31" t="s">
        <v>3457</v>
      </c>
      <c r="B562" s="31" t="n">
        <v>28</v>
      </c>
      <c r="C562" s="32" t="n">
        <f aca="false">SETTINGS!$C$3+$B562-1</f>
        <v>46327</v>
      </c>
      <c r="D562" s="39" t="s">
        <v>1947</v>
      </c>
      <c r="E562" s="34" t="s">
        <v>3349</v>
      </c>
      <c r="F562" s="34" t="s">
        <v>280</v>
      </c>
      <c r="G562" s="34" t="s">
        <v>1883</v>
      </c>
      <c r="H562" s="35" t="s">
        <v>3458</v>
      </c>
      <c r="I562" s="36" t="s">
        <v>3459</v>
      </c>
      <c r="J562" s="34" t="s">
        <v>3460</v>
      </c>
      <c r="K562" s="34" t="s">
        <v>3461</v>
      </c>
      <c r="L562" s="37"/>
      <c r="M562" s="37"/>
      <c r="N562" s="37"/>
      <c r="O562" s="37"/>
      <c r="P562" s="37"/>
      <c r="Q562" s="37"/>
      <c r="R562" s="31" t="n">
        <f aca="false">COUNT($M562:$Q562)</f>
        <v>0</v>
      </c>
      <c r="S562" s="32" t="str">
        <f aca="false">IF($L562="","",IF($R562&gt;=5,"",MAX($L562:$Q562)+CHOOSE($R562+1,SETTINGS!$C$9,SETTINGS!$C$10,SETTINGS!$C$11,SETTINGS!$C$12,SETTINGS!$C$13)))</f>
        <v/>
      </c>
      <c r="T562" s="34" t="str">
        <f aca="true">IF($H562="","(chưa có nội dung)",IF($L562="",IF($C562&lt;TODAY(),"⚠ TRỄ HỌC",IF($C562=TODAY(),"★ HỌC HÔM NAY","• Chưa tới")),IF($R562&gt;=5,"✔ MASTER",IF($S562&lt;TODAY(),"⚠ TRỄ ÔN",IF($S562=TODAY(),"◆ ÔN HÔM NAY","✔ Đúng tiến độ")))))</f>
        <v>• Chưa tới</v>
      </c>
      <c r="U562" s="38" t="n">
        <f aca="false">IF($H562="","",$R562/5)</f>
        <v>0</v>
      </c>
    </row>
    <row r="563" customFormat="false" ht="15" hidden="false" customHeight="false" outlineLevel="0" collapsed="false">
      <c r="A563" s="31" t="s">
        <v>3462</v>
      </c>
      <c r="B563" s="31" t="n">
        <v>29</v>
      </c>
      <c r="C563" s="32" t="n">
        <f aca="false">SETTINGS!$C$3+$B563-1</f>
        <v>46328</v>
      </c>
      <c r="D563" s="39" t="s">
        <v>1947</v>
      </c>
      <c r="E563" s="34" t="s">
        <v>3463</v>
      </c>
      <c r="F563" s="34" t="s">
        <v>163</v>
      </c>
      <c r="G563" s="34" t="s">
        <v>3464</v>
      </c>
      <c r="H563" s="35" t="s">
        <v>3465</v>
      </c>
      <c r="I563" s="36" t="s">
        <v>3466</v>
      </c>
      <c r="J563" s="34" t="s">
        <v>3467</v>
      </c>
      <c r="K563" s="34" t="s">
        <v>3468</v>
      </c>
      <c r="L563" s="37"/>
      <c r="M563" s="37"/>
      <c r="N563" s="37"/>
      <c r="O563" s="37"/>
      <c r="P563" s="37"/>
      <c r="Q563" s="37"/>
      <c r="R563" s="31" t="n">
        <f aca="false">COUNT($M563:$Q563)</f>
        <v>0</v>
      </c>
      <c r="S563" s="32" t="str">
        <f aca="false">IF($L563="","",IF($R563&gt;=5,"",MAX($L563:$Q563)+CHOOSE($R563+1,SETTINGS!$C$9,SETTINGS!$C$10,SETTINGS!$C$11,SETTINGS!$C$12,SETTINGS!$C$13)))</f>
        <v/>
      </c>
      <c r="T563" s="34" t="str">
        <f aca="true">IF($H563="","(chưa có nội dung)",IF($L563="",IF($C563&lt;TODAY(),"⚠ TRỄ HỌC",IF($C563=TODAY(),"★ HỌC HÔM NAY","• Chưa tới")),IF($R563&gt;=5,"✔ MASTER",IF($S563&lt;TODAY(),"⚠ TRỄ ÔN",IF($S563=TODAY(),"◆ ÔN HÔM NAY","✔ Đúng tiến độ")))))</f>
        <v>• Chưa tới</v>
      </c>
      <c r="U563" s="38" t="n">
        <f aca="false">IF($H563="","",$R563/5)</f>
        <v>0</v>
      </c>
    </row>
    <row r="564" customFormat="false" ht="15" hidden="false" customHeight="false" outlineLevel="0" collapsed="false">
      <c r="A564" s="31" t="s">
        <v>3469</v>
      </c>
      <c r="B564" s="31" t="n">
        <v>29</v>
      </c>
      <c r="C564" s="32" t="n">
        <f aca="false">SETTINGS!$C$3+$B564-1</f>
        <v>46328</v>
      </c>
      <c r="D564" s="39" t="s">
        <v>1947</v>
      </c>
      <c r="E564" s="34" t="s">
        <v>3463</v>
      </c>
      <c r="F564" s="34" t="s">
        <v>280</v>
      </c>
      <c r="G564" s="34" t="s">
        <v>1159</v>
      </c>
      <c r="H564" s="35" t="s">
        <v>3470</v>
      </c>
      <c r="I564" s="36" t="s">
        <v>3471</v>
      </c>
      <c r="J564" s="34" t="s">
        <v>3472</v>
      </c>
      <c r="K564" s="34" t="s">
        <v>3473</v>
      </c>
      <c r="L564" s="37"/>
      <c r="M564" s="37"/>
      <c r="N564" s="37"/>
      <c r="O564" s="37"/>
      <c r="P564" s="37"/>
      <c r="Q564" s="37"/>
      <c r="R564" s="31" t="n">
        <f aca="false">COUNT($M564:$Q564)</f>
        <v>0</v>
      </c>
      <c r="S564" s="32" t="str">
        <f aca="false">IF($L564="","",IF($R564&gt;=5,"",MAX($L564:$Q564)+CHOOSE($R564+1,SETTINGS!$C$9,SETTINGS!$C$10,SETTINGS!$C$11,SETTINGS!$C$12,SETTINGS!$C$13)))</f>
        <v/>
      </c>
      <c r="T564" s="34" t="str">
        <f aca="true">IF($H564="","(chưa có nội dung)",IF($L564="",IF($C564&lt;TODAY(),"⚠ TRỄ HỌC",IF($C564=TODAY(),"★ HỌC HÔM NAY","• Chưa tới")),IF($R564&gt;=5,"✔ MASTER",IF($S564&lt;TODAY(),"⚠ TRỄ ÔN",IF($S564=TODAY(),"◆ ÔN HÔM NAY","✔ Đúng tiến độ")))))</f>
        <v>• Chưa tới</v>
      </c>
      <c r="U564" s="38" t="n">
        <f aca="false">IF($H564="","",$R564/5)</f>
        <v>0</v>
      </c>
    </row>
    <row r="565" customFormat="false" ht="15" hidden="false" customHeight="false" outlineLevel="0" collapsed="false">
      <c r="A565" s="31" t="s">
        <v>3474</v>
      </c>
      <c r="B565" s="31" t="n">
        <v>29</v>
      </c>
      <c r="C565" s="32" t="n">
        <f aca="false">SETTINGS!$C$3+$B565-1</f>
        <v>46328</v>
      </c>
      <c r="D565" s="39" t="s">
        <v>1947</v>
      </c>
      <c r="E565" s="34" t="s">
        <v>3463</v>
      </c>
      <c r="F565" s="34" t="s">
        <v>280</v>
      </c>
      <c r="G565" s="34" t="s">
        <v>3475</v>
      </c>
      <c r="H565" s="35" t="s">
        <v>3476</v>
      </c>
      <c r="I565" s="36" t="s">
        <v>3477</v>
      </c>
      <c r="J565" s="34" t="s">
        <v>3478</v>
      </c>
      <c r="K565" s="34" t="s">
        <v>3479</v>
      </c>
      <c r="L565" s="37"/>
      <c r="M565" s="37"/>
      <c r="N565" s="37"/>
      <c r="O565" s="37"/>
      <c r="P565" s="37"/>
      <c r="Q565" s="37"/>
      <c r="R565" s="31" t="n">
        <f aca="false">COUNT($M565:$Q565)</f>
        <v>0</v>
      </c>
      <c r="S565" s="32" t="str">
        <f aca="false">IF($L565="","",IF($R565&gt;=5,"",MAX($L565:$Q565)+CHOOSE($R565+1,SETTINGS!$C$9,SETTINGS!$C$10,SETTINGS!$C$11,SETTINGS!$C$12,SETTINGS!$C$13)))</f>
        <v/>
      </c>
      <c r="T565" s="34" t="str">
        <f aca="true">IF($H565="","(chưa có nội dung)",IF($L565="",IF($C565&lt;TODAY(),"⚠ TRỄ HỌC",IF($C565=TODAY(),"★ HỌC HÔM NAY","• Chưa tới")),IF($R565&gt;=5,"✔ MASTER",IF($S565&lt;TODAY(),"⚠ TRỄ ÔN",IF($S565=TODAY(),"◆ ÔN HÔM NAY","✔ Đúng tiến độ")))))</f>
        <v>• Chưa tới</v>
      </c>
      <c r="U565" s="38" t="n">
        <f aca="false">IF($H565="","",$R565/5)</f>
        <v>0</v>
      </c>
    </row>
    <row r="566" customFormat="false" ht="15" hidden="false" customHeight="false" outlineLevel="0" collapsed="false">
      <c r="A566" s="31" t="s">
        <v>3480</v>
      </c>
      <c r="B566" s="31" t="n">
        <v>29</v>
      </c>
      <c r="C566" s="32" t="n">
        <f aca="false">SETTINGS!$C$3+$B566-1</f>
        <v>46328</v>
      </c>
      <c r="D566" s="39" t="s">
        <v>1947</v>
      </c>
      <c r="E566" s="34" t="s">
        <v>3463</v>
      </c>
      <c r="F566" s="34" t="s">
        <v>280</v>
      </c>
      <c r="G566" s="34" t="s">
        <v>3481</v>
      </c>
      <c r="H566" s="35" t="s">
        <v>3482</v>
      </c>
      <c r="I566" s="36" t="s">
        <v>3483</v>
      </c>
      <c r="J566" s="34" t="s">
        <v>3484</v>
      </c>
      <c r="K566" s="34" t="s">
        <v>3485</v>
      </c>
      <c r="L566" s="37"/>
      <c r="M566" s="37"/>
      <c r="N566" s="37"/>
      <c r="O566" s="37"/>
      <c r="P566" s="37"/>
      <c r="Q566" s="37"/>
      <c r="R566" s="31" t="n">
        <f aca="false">COUNT($M566:$Q566)</f>
        <v>0</v>
      </c>
      <c r="S566" s="32" t="str">
        <f aca="false">IF($L566="","",IF($R566&gt;=5,"",MAX($L566:$Q566)+CHOOSE($R566+1,SETTINGS!$C$9,SETTINGS!$C$10,SETTINGS!$C$11,SETTINGS!$C$12,SETTINGS!$C$13)))</f>
        <v/>
      </c>
      <c r="T566" s="34" t="str">
        <f aca="true">IF($H566="","(chưa có nội dung)",IF($L566="",IF($C566&lt;TODAY(),"⚠ TRỄ HỌC",IF($C566=TODAY(),"★ HỌC HÔM NAY","• Chưa tới")),IF($R566&gt;=5,"✔ MASTER",IF($S566&lt;TODAY(),"⚠ TRỄ ÔN",IF($S566=TODAY(),"◆ ÔN HÔM NAY","✔ Đúng tiến độ")))))</f>
        <v>• Chưa tới</v>
      </c>
      <c r="U566" s="38" t="n">
        <f aca="false">IF($H566="","",$R566/5)</f>
        <v>0</v>
      </c>
    </row>
    <row r="567" customFormat="false" ht="15" hidden="false" customHeight="false" outlineLevel="0" collapsed="false">
      <c r="A567" s="31" t="s">
        <v>3486</v>
      </c>
      <c r="B567" s="31" t="n">
        <v>29</v>
      </c>
      <c r="C567" s="32" t="n">
        <f aca="false">SETTINGS!$C$3+$B567-1</f>
        <v>46328</v>
      </c>
      <c r="D567" s="39" t="s">
        <v>1947</v>
      </c>
      <c r="E567" s="34" t="s">
        <v>3463</v>
      </c>
      <c r="F567" s="34" t="s">
        <v>280</v>
      </c>
      <c r="G567" s="34" t="s">
        <v>3487</v>
      </c>
      <c r="H567" s="35" t="s">
        <v>3488</v>
      </c>
      <c r="I567" s="36" t="s">
        <v>3489</v>
      </c>
      <c r="J567" s="34" t="s">
        <v>3490</v>
      </c>
      <c r="K567" s="34" t="s">
        <v>3491</v>
      </c>
      <c r="L567" s="37"/>
      <c r="M567" s="37"/>
      <c r="N567" s="37"/>
      <c r="O567" s="37"/>
      <c r="P567" s="37"/>
      <c r="Q567" s="37"/>
      <c r="R567" s="31" t="n">
        <f aca="false">COUNT($M567:$Q567)</f>
        <v>0</v>
      </c>
      <c r="S567" s="32" t="str">
        <f aca="false">IF($L567="","",IF($R567&gt;=5,"",MAX($L567:$Q567)+CHOOSE($R567+1,SETTINGS!$C$9,SETTINGS!$C$10,SETTINGS!$C$11,SETTINGS!$C$12,SETTINGS!$C$13)))</f>
        <v/>
      </c>
      <c r="T567" s="34" t="str">
        <f aca="true">IF($H567="","(chưa có nội dung)",IF($L567="",IF($C567&lt;TODAY(),"⚠ TRỄ HỌC",IF($C567=TODAY(),"★ HỌC HÔM NAY","• Chưa tới")),IF($R567&gt;=5,"✔ MASTER",IF($S567&lt;TODAY(),"⚠ TRỄ ÔN",IF($S567=TODAY(),"◆ ÔN HÔM NAY","✔ Đúng tiến độ")))))</f>
        <v>• Chưa tới</v>
      </c>
      <c r="U567" s="38" t="n">
        <f aca="false">IF($H567="","",$R567/5)</f>
        <v>0</v>
      </c>
    </row>
    <row r="568" customFormat="false" ht="15" hidden="false" customHeight="false" outlineLevel="0" collapsed="false">
      <c r="A568" s="31" t="s">
        <v>3492</v>
      </c>
      <c r="B568" s="31" t="n">
        <v>29</v>
      </c>
      <c r="C568" s="32" t="n">
        <f aca="false">SETTINGS!$C$3+$B568-1</f>
        <v>46328</v>
      </c>
      <c r="D568" s="39" t="s">
        <v>1947</v>
      </c>
      <c r="E568" s="34" t="s">
        <v>3463</v>
      </c>
      <c r="F568" s="34" t="s">
        <v>163</v>
      </c>
      <c r="G568" s="34" t="s">
        <v>3493</v>
      </c>
      <c r="H568" s="35" t="s">
        <v>3494</v>
      </c>
      <c r="I568" s="36" t="s">
        <v>3495</v>
      </c>
      <c r="J568" s="34" t="s">
        <v>3496</v>
      </c>
      <c r="K568" s="34" t="s">
        <v>3497</v>
      </c>
      <c r="L568" s="37"/>
      <c r="M568" s="37"/>
      <c r="N568" s="37"/>
      <c r="O568" s="37"/>
      <c r="P568" s="37"/>
      <c r="Q568" s="37"/>
      <c r="R568" s="31" t="n">
        <f aca="false">COUNT($M568:$Q568)</f>
        <v>0</v>
      </c>
      <c r="S568" s="32" t="str">
        <f aca="false">IF($L568="","",IF($R568&gt;=5,"",MAX($L568:$Q568)+CHOOSE($R568+1,SETTINGS!$C$9,SETTINGS!$C$10,SETTINGS!$C$11,SETTINGS!$C$12,SETTINGS!$C$13)))</f>
        <v/>
      </c>
      <c r="T568" s="34" t="str">
        <f aca="true">IF($H568="","(chưa có nội dung)",IF($L568="",IF($C568&lt;TODAY(),"⚠ TRỄ HỌC",IF($C568=TODAY(),"★ HỌC HÔM NAY","• Chưa tới")),IF($R568&gt;=5,"✔ MASTER",IF($S568&lt;TODAY(),"⚠ TRỄ ÔN",IF($S568=TODAY(),"◆ ÔN HÔM NAY","✔ Đúng tiến độ")))))</f>
        <v>• Chưa tới</v>
      </c>
      <c r="U568" s="38" t="n">
        <f aca="false">IF($H568="","",$R568/5)</f>
        <v>0</v>
      </c>
    </row>
    <row r="569" customFormat="false" ht="15" hidden="false" customHeight="false" outlineLevel="0" collapsed="false">
      <c r="A569" s="31" t="s">
        <v>3498</v>
      </c>
      <c r="B569" s="31" t="n">
        <v>29</v>
      </c>
      <c r="C569" s="32" t="n">
        <f aca="false">SETTINGS!$C$3+$B569-1</f>
        <v>46328</v>
      </c>
      <c r="D569" s="39" t="s">
        <v>1947</v>
      </c>
      <c r="E569" s="34" t="s">
        <v>3463</v>
      </c>
      <c r="F569" s="34" t="s">
        <v>280</v>
      </c>
      <c r="G569" s="34" t="s">
        <v>3499</v>
      </c>
      <c r="H569" s="35" t="s">
        <v>3500</v>
      </c>
      <c r="I569" s="36" t="s">
        <v>3501</v>
      </c>
      <c r="J569" s="34" t="s">
        <v>3502</v>
      </c>
      <c r="K569" s="34" t="s">
        <v>3503</v>
      </c>
      <c r="L569" s="37"/>
      <c r="M569" s="37"/>
      <c r="N569" s="37"/>
      <c r="O569" s="37"/>
      <c r="P569" s="37"/>
      <c r="Q569" s="37"/>
      <c r="R569" s="31" t="n">
        <f aca="false">COUNT($M569:$Q569)</f>
        <v>0</v>
      </c>
      <c r="S569" s="32" t="str">
        <f aca="false">IF($L569="","",IF($R569&gt;=5,"",MAX($L569:$Q569)+CHOOSE($R569+1,SETTINGS!$C$9,SETTINGS!$C$10,SETTINGS!$C$11,SETTINGS!$C$12,SETTINGS!$C$13)))</f>
        <v/>
      </c>
      <c r="T569" s="34" t="str">
        <f aca="true">IF($H569="","(chưa có nội dung)",IF($L569="",IF($C569&lt;TODAY(),"⚠ TRỄ HỌC",IF($C569=TODAY(),"★ HỌC HÔM NAY","• Chưa tới")),IF($R569&gt;=5,"✔ MASTER",IF($S569&lt;TODAY(),"⚠ TRỄ ÔN",IF($S569=TODAY(),"◆ ÔN HÔM NAY","✔ Đúng tiến độ")))))</f>
        <v>• Chưa tới</v>
      </c>
      <c r="U569" s="38" t="n">
        <f aca="false">IF($H569="","",$R569/5)</f>
        <v>0</v>
      </c>
    </row>
    <row r="570" customFormat="false" ht="15" hidden="false" customHeight="false" outlineLevel="0" collapsed="false">
      <c r="A570" s="31" t="s">
        <v>3504</v>
      </c>
      <c r="B570" s="31" t="n">
        <v>29</v>
      </c>
      <c r="C570" s="32" t="n">
        <f aca="false">SETTINGS!$C$3+$B570-1</f>
        <v>46328</v>
      </c>
      <c r="D570" s="39" t="s">
        <v>1947</v>
      </c>
      <c r="E570" s="34" t="s">
        <v>3463</v>
      </c>
      <c r="F570" s="34" t="s">
        <v>280</v>
      </c>
      <c r="G570" s="34" t="s">
        <v>3505</v>
      </c>
      <c r="H570" s="35" t="s">
        <v>3506</v>
      </c>
      <c r="I570" s="36" t="s">
        <v>3507</v>
      </c>
      <c r="J570" s="34" t="s">
        <v>3508</v>
      </c>
      <c r="K570" s="34" t="s">
        <v>2085</v>
      </c>
      <c r="L570" s="37"/>
      <c r="M570" s="37"/>
      <c r="N570" s="37"/>
      <c r="O570" s="37"/>
      <c r="P570" s="37"/>
      <c r="Q570" s="37"/>
      <c r="R570" s="31" t="n">
        <f aca="false">COUNT($M570:$Q570)</f>
        <v>0</v>
      </c>
      <c r="S570" s="32" t="str">
        <f aca="false">IF($L570="","",IF($R570&gt;=5,"",MAX($L570:$Q570)+CHOOSE($R570+1,SETTINGS!$C$9,SETTINGS!$C$10,SETTINGS!$C$11,SETTINGS!$C$12,SETTINGS!$C$13)))</f>
        <v/>
      </c>
      <c r="T570" s="34" t="str">
        <f aca="true">IF($H570="","(chưa có nội dung)",IF($L570="",IF($C570&lt;TODAY(),"⚠ TRỄ HỌC",IF($C570=TODAY(),"★ HỌC HÔM NAY","• Chưa tới")),IF($R570&gt;=5,"✔ MASTER",IF($S570&lt;TODAY(),"⚠ TRỄ ÔN",IF($S570=TODAY(),"◆ ÔN HÔM NAY","✔ Đúng tiến độ")))))</f>
        <v>• Chưa tới</v>
      </c>
      <c r="U570" s="38" t="n">
        <f aca="false">IF($H570="","",$R570/5)</f>
        <v>0</v>
      </c>
    </row>
    <row r="571" customFormat="false" ht="15" hidden="false" customHeight="false" outlineLevel="0" collapsed="false">
      <c r="A571" s="31" t="s">
        <v>3509</v>
      </c>
      <c r="B571" s="31" t="n">
        <v>29</v>
      </c>
      <c r="C571" s="32" t="n">
        <f aca="false">SETTINGS!$C$3+$B571-1</f>
        <v>46328</v>
      </c>
      <c r="D571" s="39" t="s">
        <v>1947</v>
      </c>
      <c r="E571" s="34" t="s">
        <v>3463</v>
      </c>
      <c r="F571" s="34" t="s">
        <v>280</v>
      </c>
      <c r="G571" s="34" t="s">
        <v>3510</v>
      </c>
      <c r="H571" s="35" t="s">
        <v>3511</v>
      </c>
      <c r="I571" s="36" t="s">
        <v>3512</v>
      </c>
      <c r="J571" s="34" t="s">
        <v>3513</v>
      </c>
      <c r="K571" s="34" t="s">
        <v>3514</v>
      </c>
      <c r="L571" s="37"/>
      <c r="M571" s="37"/>
      <c r="N571" s="37"/>
      <c r="O571" s="37"/>
      <c r="P571" s="37"/>
      <c r="Q571" s="37"/>
      <c r="R571" s="31" t="n">
        <f aca="false">COUNT($M571:$Q571)</f>
        <v>0</v>
      </c>
      <c r="S571" s="32" t="str">
        <f aca="false">IF($L571="","",IF($R571&gt;=5,"",MAX($L571:$Q571)+CHOOSE($R571+1,SETTINGS!$C$9,SETTINGS!$C$10,SETTINGS!$C$11,SETTINGS!$C$12,SETTINGS!$C$13)))</f>
        <v/>
      </c>
      <c r="T571" s="34" t="str">
        <f aca="true">IF($H571="","(chưa có nội dung)",IF($L571="",IF($C571&lt;TODAY(),"⚠ TRỄ HỌC",IF($C571=TODAY(),"★ HỌC HÔM NAY","• Chưa tới")),IF($R571&gt;=5,"✔ MASTER",IF($S571&lt;TODAY(),"⚠ TRỄ ÔN",IF($S571=TODAY(),"◆ ÔN HÔM NAY","✔ Đúng tiến độ")))))</f>
        <v>• Chưa tới</v>
      </c>
      <c r="U571" s="38" t="n">
        <f aca="false">IF($H571="","",$R571/5)</f>
        <v>0</v>
      </c>
    </row>
    <row r="572" customFormat="false" ht="15" hidden="false" customHeight="false" outlineLevel="0" collapsed="false">
      <c r="A572" s="31" t="s">
        <v>3515</v>
      </c>
      <c r="B572" s="31" t="n">
        <v>29</v>
      </c>
      <c r="C572" s="32" t="n">
        <f aca="false">SETTINGS!$C$3+$B572-1</f>
        <v>46328</v>
      </c>
      <c r="D572" s="39" t="s">
        <v>1947</v>
      </c>
      <c r="E572" s="34" t="s">
        <v>3463</v>
      </c>
      <c r="F572" s="34" t="s">
        <v>280</v>
      </c>
      <c r="G572" s="34" t="s">
        <v>3516</v>
      </c>
      <c r="H572" s="35" t="s">
        <v>3517</v>
      </c>
      <c r="I572" s="36" t="s">
        <v>3518</v>
      </c>
      <c r="J572" s="34" t="s">
        <v>3519</v>
      </c>
      <c r="K572" s="34" t="s">
        <v>2103</v>
      </c>
      <c r="L572" s="37"/>
      <c r="M572" s="37"/>
      <c r="N572" s="37"/>
      <c r="O572" s="37"/>
      <c r="P572" s="37"/>
      <c r="Q572" s="37"/>
      <c r="R572" s="31" t="n">
        <f aca="false">COUNT($M572:$Q572)</f>
        <v>0</v>
      </c>
      <c r="S572" s="32" t="str">
        <f aca="false">IF($L572="","",IF($R572&gt;=5,"",MAX($L572:$Q572)+CHOOSE($R572+1,SETTINGS!$C$9,SETTINGS!$C$10,SETTINGS!$C$11,SETTINGS!$C$12,SETTINGS!$C$13)))</f>
        <v/>
      </c>
      <c r="T572" s="34" t="str">
        <f aca="true">IF($H572="","(chưa có nội dung)",IF($L572="",IF($C572&lt;TODAY(),"⚠ TRỄ HỌC",IF($C572=TODAY(),"★ HỌC HÔM NAY","• Chưa tới")),IF($R572&gt;=5,"✔ MASTER",IF($S572&lt;TODAY(),"⚠ TRỄ ÔN",IF($S572=TODAY(),"◆ ÔN HÔM NAY","✔ Đúng tiến độ")))))</f>
        <v>• Chưa tới</v>
      </c>
      <c r="U572" s="38" t="n">
        <f aca="false">IF($H572="","",$R572/5)</f>
        <v>0</v>
      </c>
    </row>
    <row r="573" customFormat="false" ht="15" hidden="false" customHeight="false" outlineLevel="0" collapsed="false">
      <c r="A573" s="31" t="s">
        <v>3520</v>
      </c>
      <c r="B573" s="31" t="n">
        <v>29</v>
      </c>
      <c r="C573" s="32" t="n">
        <f aca="false">SETTINGS!$C$3+$B573-1</f>
        <v>46328</v>
      </c>
      <c r="D573" s="39" t="s">
        <v>1947</v>
      </c>
      <c r="E573" s="34" t="s">
        <v>3463</v>
      </c>
      <c r="F573" s="34" t="s">
        <v>280</v>
      </c>
      <c r="G573" s="34" t="s">
        <v>1018</v>
      </c>
      <c r="H573" s="35" t="s">
        <v>3521</v>
      </c>
      <c r="I573" s="36" t="s">
        <v>3522</v>
      </c>
      <c r="J573" s="34" t="s">
        <v>3523</v>
      </c>
      <c r="K573" s="34" t="s">
        <v>3524</v>
      </c>
      <c r="L573" s="37"/>
      <c r="M573" s="37"/>
      <c r="N573" s="37"/>
      <c r="O573" s="37"/>
      <c r="P573" s="37"/>
      <c r="Q573" s="37"/>
      <c r="R573" s="31" t="n">
        <f aca="false">COUNT($M573:$Q573)</f>
        <v>0</v>
      </c>
      <c r="S573" s="32" t="str">
        <f aca="false">IF($L573="","",IF($R573&gt;=5,"",MAX($L573:$Q573)+CHOOSE($R573+1,SETTINGS!$C$9,SETTINGS!$C$10,SETTINGS!$C$11,SETTINGS!$C$12,SETTINGS!$C$13)))</f>
        <v/>
      </c>
      <c r="T573" s="34" t="str">
        <f aca="true">IF($H573="","(chưa có nội dung)",IF($L573="",IF($C573&lt;TODAY(),"⚠ TRỄ HỌC",IF($C573=TODAY(),"★ HỌC HÔM NAY","• Chưa tới")),IF($R573&gt;=5,"✔ MASTER",IF($S573&lt;TODAY(),"⚠ TRỄ ÔN",IF($S573=TODAY(),"◆ ÔN HÔM NAY","✔ Đúng tiến độ")))))</f>
        <v>• Chưa tới</v>
      </c>
      <c r="U573" s="38" t="n">
        <f aca="false">IF($H573="","",$R573/5)</f>
        <v>0</v>
      </c>
    </row>
    <row r="574" customFormat="false" ht="15" hidden="false" customHeight="false" outlineLevel="0" collapsed="false">
      <c r="A574" s="31" t="s">
        <v>3525</v>
      </c>
      <c r="B574" s="31" t="n">
        <v>29</v>
      </c>
      <c r="C574" s="32" t="n">
        <f aca="false">SETTINGS!$C$3+$B574-1</f>
        <v>46328</v>
      </c>
      <c r="D574" s="39" t="s">
        <v>1947</v>
      </c>
      <c r="E574" s="34" t="s">
        <v>3463</v>
      </c>
      <c r="F574" s="34" t="s">
        <v>183</v>
      </c>
      <c r="G574" s="34" t="s">
        <v>3526</v>
      </c>
      <c r="H574" s="35" t="s">
        <v>3527</v>
      </c>
      <c r="I574" s="36" t="s">
        <v>3528</v>
      </c>
      <c r="J574" s="34" t="s">
        <v>3529</v>
      </c>
      <c r="K574" s="34" t="s">
        <v>3530</v>
      </c>
      <c r="L574" s="37"/>
      <c r="M574" s="37"/>
      <c r="N574" s="37"/>
      <c r="O574" s="37"/>
      <c r="P574" s="37"/>
      <c r="Q574" s="37"/>
      <c r="R574" s="31" t="n">
        <f aca="false">COUNT($M574:$Q574)</f>
        <v>0</v>
      </c>
      <c r="S574" s="32" t="str">
        <f aca="false">IF($L574="","",IF($R574&gt;=5,"",MAX($L574:$Q574)+CHOOSE($R574+1,SETTINGS!$C$9,SETTINGS!$C$10,SETTINGS!$C$11,SETTINGS!$C$12,SETTINGS!$C$13)))</f>
        <v/>
      </c>
      <c r="T574" s="34" t="str">
        <f aca="true">IF($H574="","(chưa có nội dung)",IF($L574="",IF($C574&lt;TODAY(),"⚠ TRỄ HỌC",IF($C574=TODAY(),"★ HỌC HÔM NAY","• Chưa tới")),IF($R574&gt;=5,"✔ MASTER",IF($S574&lt;TODAY(),"⚠ TRỄ ÔN",IF($S574=TODAY(),"◆ ÔN HÔM NAY","✔ Đúng tiến độ")))))</f>
        <v>• Chưa tới</v>
      </c>
      <c r="U574" s="38" t="n">
        <f aca="false">IF($H574="","",$R574/5)</f>
        <v>0</v>
      </c>
    </row>
    <row r="575" customFormat="false" ht="15" hidden="false" customHeight="false" outlineLevel="0" collapsed="false">
      <c r="A575" s="31" t="s">
        <v>3531</v>
      </c>
      <c r="B575" s="31" t="n">
        <v>29</v>
      </c>
      <c r="C575" s="32" t="n">
        <f aca="false">SETTINGS!$C$3+$B575-1</f>
        <v>46328</v>
      </c>
      <c r="D575" s="39" t="s">
        <v>1947</v>
      </c>
      <c r="E575" s="34" t="s">
        <v>3463</v>
      </c>
      <c r="F575" s="34" t="s">
        <v>163</v>
      </c>
      <c r="G575" s="34" t="s">
        <v>3532</v>
      </c>
      <c r="H575" s="35" t="s">
        <v>3533</v>
      </c>
      <c r="I575" s="36" t="s">
        <v>3534</v>
      </c>
      <c r="J575" s="34" t="s">
        <v>3535</v>
      </c>
      <c r="K575" s="34" t="s">
        <v>3536</v>
      </c>
      <c r="L575" s="37"/>
      <c r="M575" s="37"/>
      <c r="N575" s="37"/>
      <c r="O575" s="37"/>
      <c r="P575" s="37"/>
      <c r="Q575" s="37"/>
      <c r="R575" s="31" t="n">
        <f aca="false">COUNT($M575:$Q575)</f>
        <v>0</v>
      </c>
      <c r="S575" s="32" t="str">
        <f aca="false">IF($L575="","",IF($R575&gt;=5,"",MAX($L575:$Q575)+CHOOSE($R575+1,SETTINGS!$C$9,SETTINGS!$C$10,SETTINGS!$C$11,SETTINGS!$C$12,SETTINGS!$C$13)))</f>
        <v/>
      </c>
      <c r="T575" s="34" t="str">
        <f aca="true">IF($H575="","(chưa có nội dung)",IF($L575="",IF($C575&lt;TODAY(),"⚠ TRỄ HỌC",IF($C575=TODAY(),"★ HỌC HÔM NAY","• Chưa tới")),IF($R575&gt;=5,"✔ MASTER",IF($S575&lt;TODAY(),"⚠ TRỄ ÔN",IF($S575=TODAY(),"◆ ÔN HÔM NAY","✔ Đúng tiến độ")))))</f>
        <v>• Chưa tới</v>
      </c>
      <c r="U575" s="38" t="n">
        <f aca="false">IF($H575="","",$R575/5)</f>
        <v>0</v>
      </c>
    </row>
    <row r="576" customFormat="false" ht="15" hidden="false" customHeight="false" outlineLevel="0" collapsed="false">
      <c r="A576" s="31" t="s">
        <v>3537</v>
      </c>
      <c r="B576" s="31" t="n">
        <v>29</v>
      </c>
      <c r="C576" s="32" t="n">
        <f aca="false">SETTINGS!$C$3+$B576-1</f>
        <v>46328</v>
      </c>
      <c r="D576" s="39" t="s">
        <v>1947</v>
      </c>
      <c r="E576" s="34" t="s">
        <v>3463</v>
      </c>
      <c r="F576" s="34" t="s">
        <v>280</v>
      </c>
      <c r="G576" s="34" t="s">
        <v>3538</v>
      </c>
      <c r="H576" s="35" t="s">
        <v>3539</v>
      </c>
      <c r="I576" s="36" t="s">
        <v>3540</v>
      </c>
      <c r="J576" s="34" t="s">
        <v>3541</v>
      </c>
      <c r="K576" s="34" t="s">
        <v>3542</v>
      </c>
      <c r="L576" s="37"/>
      <c r="M576" s="37"/>
      <c r="N576" s="37"/>
      <c r="O576" s="37"/>
      <c r="P576" s="37"/>
      <c r="Q576" s="37"/>
      <c r="R576" s="31" t="n">
        <f aca="false">COUNT($M576:$Q576)</f>
        <v>0</v>
      </c>
      <c r="S576" s="32" t="str">
        <f aca="false">IF($L576="","",IF($R576&gt;=5,"",MAX($L576:$Q576)+CHOOSE($R576+1,SETTINGS!$C$9,SETTINGS!$C$10,SETTINGS!$C$11,SETTINGS!$C$12,SETTINGS!$C$13)))</f>
        <v/>
      </c>
      <c r="T576" s="34" t="str">
        <f aca="true">IF($H576="","(chưa có nội dung)",IF($L576="",IF($C576&lt;TODAY(),"⚠ TRỄ HỌC",IF($C576=TODAY(),"★ HỌC HÔM NAY","• Chưa tới")),IF($R576&gt;=5,"✔ MASTER",IF($S576&lt;TODAY(),"⚠ TRỄ ÔN",IF($S576=TODAY(),"◆ ÔN HÔM NAY","✔ Đúng tiến độ")))))</f>
        <v>• Chưa tới</v>
      </c>
      <c r="U576" s="38" t="n">
        <f aca="false">IF($H576="","",$R576/5)</f>
        <v>0</v>
      </c>
    </row>
    <row r="577" customFormat="false" ht="15" hidden="false" customHeight="false" outlineLevel="0" collapsed="false">
      <c r="A577" s="31" t="s">
        <v>3543</v>
      </c>
      <c r="B577" s="31" t="n">
        <v>29</v>
      </c>
      <c r="C577" s="32" t="n">
        <f aca="false">SETTINGS!$C$3+$B577-1</f>
        <v>46328</v>
      </c>
      <c r="D577" s="39" t="s">
        <v>1947</v>
      </c>
      <c r="E577" s="34" t="s">
        <v>3463</v>
      </c>
      <c r="F577" s="34" t="s">
        <v>280</v>
      </c>
      <c r="G577" s="34" t="s">
        <v>3544</v>
      </c>
      <c r="H577" s="35" t="s">
        <v>3545</v>
      </c>
      <c r="I577" s="36" t="s">
        <v>3546</v>
      </c>
      <c r="J577" s="34" t="s">
        <v>3547</v>
      </c>
      <c r="K577" s="34" t="s">
        <v>3548</v>
      </c>
      <c r="L577" s="37"/>
      <c r="M577" s="37"/>
      <c r="N577" s="37"/>
      <c r="O577" s="37"/>
      <c r="P577" s="37"/>
      <c r="Q577" s="37"/>
      <c r="R577" s="31" t="n">
        <f aca="false">COUNT($M577:$Q577)</f>
        <v>0</v>
      </c>
      <c r="S577" s="32" t="str">
        <f aca="false">IF($L577="","",IF($R577&gt;=5,"",MAX($L577:$Q577)+CHOOSE($R577+1,SETTINGS!$C$9,SETTINGS!$C$10,SETTINGS!$C$11,SETTINGS!$C$12,SETTINGS!$C$13)))</f>
        <v/>
      </c>
      <c r="T577" s="34" t="str">
        <f aca="true">IF($H577="","(chưa có nội dung)",IF($L577="",IF($C577&lt;TODAY(),"⚠ TRỄ HỌC",IF($C577=TODAY(),"★ HỌC HÔM NAY","• Chưa tới")),IF($R577&gt;=5,"✔ MASTER",IF($S577&lt;TODAY(),"⚠ TRỄ ÔN",IF($S577=TODAY(),"◆ ÔN HÔM NAY","✔ Đúng tiến độ")))))</f>
        <v>• Chưa tới</v>
      </c>
      <c r="U577" s="38" t="n">
        <f aca="false">IF($H577="","",$R577/5)</f>
        <v>0</v>
      </c>
    </row>
    <row r="578" customFormat="false" ht="15" hidden="false" customHeight="false" outlineLevel="0" collapsed="false">
      <c r="A578" s="31" t="s">
        <v>3549</v>
      </c>
      <c r="B578" s="31" t="n">
        <v>29</v>
      </c>
      <c r="C578" s="32" t="n">
        <f aca="false">SETTINGS!$C$3+$B578-1</f>
        <v>46328</v>
      </c>
      <c r="D578" s="39" t="s">
        <v>1947</v>
      </c>
      <c r="E578" s="34" t="s">
        <v>3463</v>
      </c>
      <c r="F578" s="34" t="s">
        <v>280</v>
      </c>
      <c r="G578" s="34" t="s">
        <v>3550</v>
      </c>
      <c r="H578" s="35" t="s">
        <v>3551</v>
      </c>
      <c r="I578" s="36" t="s">
        <v>3552</v>
      </c>
      <c r="J578" s="34" t="s">
        <v>3553</v>
      </c>
      <c r="K578" s="34" t="s">
        <v>3554</v>
      </c>
      <c r="L578" s="37"/>
      <c r="M578" s="37"/>
      <c r="N578" s="37"/>
      <c r="O578" s="37"/>
      <c r="P578" s="37"/>
      <c r="Q578" s="37"/>
      <c r="R578" s="31" t="n">
        <f aca="false">COUNT($M578:$Q578)</f>
        <v>0</v>
      </c>
      <c r="S578" s="32" t="str">
        <f aca="false">IF($L578="","",IF($R578&gt;=5,"",MAX($L578:$Q578)+CHOOSE($R578+1,SETTINGS!$C$9,SETTINGS!$C$10,SETTINGS!$C$11,SETTINGS!$C$12,SETTINGS!$C$13)))</f>
        <v/>
      </c>
      <c r="T578" s="34" t="str">
        <f aca="true">IF($H578="","(chưa có nội dung)",IF($L578="",IF($C578&lt;TODAY(),"⚠ TRỄ HỌC",IF($C578=TODAY(),"★ HỌC HÔM NAY","• Chưa tới")),IF($R578&gt;=5,"✔ MASTER",IF($S578&lt;TODAY(),"⚠ TRỄ ÔN",IF($S578=TODAY(),"◆ ÔN HÔM NAY","✔ Đúng tiến độ")))))</f>
        <v>• Chưa tới</v>
      </c>
      <c r="U578" s="38" t="n">
        <f aca="false">IF($H578="","",$R578/5)</f>
        <v>0</v>
      </c>
    </row>
    <row r="579" customFormat="false" ht="15" hidden="false" customHeight="false" outlineLevel="0" collapsed="false">
      <c r="A579" s="31" t="s">
        <v>3555</v>
      </c>
      <c r="B579" s="31" t="n">
        <v>29</v>
      </c>
      <c r="C579" s="32" t="n">
        <f aca="false">SETTINGS!$C$3+$B579-1</f>
        <v>46328</v>
      </c>
      <c r="D579" s="39" t="s">
        <v>1947</v>
      </c>
      <c r="E579" s="34" t="s">
        <v>3463</v>
      </c>
      <c r="F579" s="34" t="s">
        <v>280</v>
      </c>
      <c r="G579" s="34" t="s">
        <v>3516</v>
      </c>
      <c r="H579" s="35" t="s">
        <v>3556</v>
      </c>
      <c r="I579" s="36" t="s">
        <v>3557</v>
      </c>
      <c r="J579" s="34" t="s">
        <v>3558</v>
      </c>
      <c r="K579" s="34" t="s">
        <v>3559</v>
      </c>
      <c r="L579" s="37"/>
      <c r="M579" s="37"/>
      <c r="N579" s="37"/>
      <c r="O579" s="37"/>
      <c r="P579" s="37"/>
      <c r="Q579" s="37"/>
      <c r="R579" s="31" t="n">
        <f aca="false">COUNT($M579:$Q579)</f>
        <v>0</v>
      </c>
      <c r="S579" s="32" t="str">
        <f aca="false">IF($L579="","",IF($R579&gt;=5,"",MAX($L579:$Q579)+CHOOSE($R579+1,SETTINGS!$C$9,SETTINGS!$C$10,SETTINGS!$C$11,SETTINGS!$C$12,SETTINGS!$C$13)))</f>
        <v/>
      </c>
      <c r="T579" s="34" t="str">
        <f aca="true">IF($H579="","(chưa có nội dung)",IF($L579="",IF($C579&lt;TODAY(),"⚠ TRỄ HỌC",IF($C579=TODAY(),"★ HỌC HÔM NAY","• Chưa tới")),IF($R579&gt;=5,"✔ MASTER",IF($S579&lt;TODAY(),"⚠ TRỄ ÔN",IF($S579=TODAY(),"◆ ÔN HÔM NAY","✔ Đúng tiến độ")))))</f>
        <v>• Chưa tới</v>
      </c>
      <c r="U579" s="38" t="n">
        <f aca="false">IF($H579="","",$R579/5)</f>
        <v>0</v>
      </c>
    </row>
    <row r="580" customFormat="false" ht="15" hidden="false" customHeight="false" outlineLevel="0" collapsed="false">
      <c r="A580" s="31" t="s">
        <v>3560</v>
      </c>
      <c r="B580" s="31" t="n">
        <v>29</v>
      </c>
      <c r="C580" s="32" t="n">
        <f aca="false">SETTINGS!$C$3+$B580-1</f>
        <v>46328</v>
      </c>
      <c r="D580" s="39" t="s">
        <v>1947</v>
      </c>
      <c r="E580" s="34" t="s">
        <v>3463</v>
      </c>
      <c r="F580" s="34" t="s">
        <v>280</v>
      </c>
      <c r="G580" s="34" t="s">
        <v>3561</v>
      </c>
      <c r="H580" s="35" t="s">
        <v>3562</v>
      </c>
      <c r="I580" s="36" t="s">
        <v>3563</v>
      </c>
      <c r="J580" s="34" t="s">
        <v>3564</v>
      </c>
      <c r="K580" s="34" t="s">
        <v>3565</v>
      </c>
      <c r="L580" s="37"/>
      <c r="M580" s="37"/>
      <c r="N580" s="37"/>
      <c r="O580" s="37"/>
      <c r="P580" s="37"/>
      <c r="Q580" s="37"/>
      <c r="R580" s="31" t="n">
        <f aca="false">COUNT($M580:$Q580)</f>
        <v>0</v>
      </c>
      <c r="S580" s="32" t="str">
        <f aca="false">IF($L580="","",IF($R580&gt;=5,"",MAX($L580:$Q580)+CHOOSE($R580+1,SETTINGS!$C$9,SETTINGS!$C$10,SETTINGS!$C$11,SETTINGS!$C$12,SETTINGS!$C$13)))</f>
        <v/>
      </c>
      <c r="T580" s="34" t="str">
        <f aca="true">IF($H580="","(chưa có nội dung)",IF($L580="",IF($C580&lt;TODAY(),"⚠ TRỄ HỌC",IF($C580=TODAY(),"★ HỌC HÔM NAY","• Chưa tới")),IF($R580&gt;=5,"✔ MASTER",IF($S580&lt;TODAY(),"⚠ TRỄ ÔN",IF($S580=TODAY(),"◆ ÔN HÔM NAY","✔ Đúng tiến độ")))))</f>
        <v>• Chưa tới</v>
      </c>
      <c r="U580" s="38" t="n">
        <f aca="false">IF($H580="","",$R580/5)</f>
        <v>0</v>
      </c>
    </row>
    <row r="581" customFormat="false" ht="15" hidden="false" customHeight="false" outlineLevel="0" collapsed="false">
      <c r="A581" s="31" t="s">
        <v>3566</v>
      </c>
      <c r="B581" s="31" t="n">
        <v>29</v>
      </c>
      <c r="C581" s="32" t="n">
        <f aca="false">SETTINGS!$C$3+$B581-1</f>
        <v>46328</v>
      </c>
      <c r="D581" s="39" t="s">
        <v>1947</v>
      </c>
      <c r="E581" s="34" t="s">
        <v>3463</v>
      </c>
      <c r="F581" s="34" t="s">
        <v>163</v>
      </c>
      <c r="G581" s="34" t="s">
        <v>3567</v>
      </c>
      <c r="H581" s="35" t="s">
        <v>3568</v>
      </c>
      <c r="I581" s="36" t="s">
        <v>3569</v>
      </c>
      <c r="J581" s="34" t="s">
        <v>3570</v>
      </c>
      <c r="K581" s="34" t="s">
        <v>3571</v>
      </c>
      <c r="L581" s="37"/>
      <c r="M581" s="37"/>
      <c r="N581" s="37"/>
      <c r="O581" s="37"/>
      <c r="P581" s="37"/>
      <c r="Q581" s="37"/>
      <c r="R581" s="31" t="n">
        <f aca="false">COUNT($M581:$Q581)</f>
        <v>0</v>
      </c>
      <c r="S581" s="32" t="str">
        <f aca="false">IF($L581="","",IF($R581&gt;=5,"",MAX($L581:$Q581)+CHOOSE($R581+1,SETTINGS!$C$9,SETTINGS!$C$10,SETTINGS!$C$11,SETTINGS!$C$12,SETTINGS!$C$13)))</f>
        <v/>
      </c>
      <c r="T581" s="34" t="str">
        <f aca="true">IF($H581="","(chưa có nội dung)",IF($L581="",IF($C581&lt;TODAY(),"⚠ TRỄ HỌC",IF($C581=TODAY(),"★ HỌC HÔM NAY","• Chưa tới")),IF($R581&gt;=5,"✔ MASTER",IF($S581&lt;TODAY(),"⚠ TRỄ ÔN",IF($S581=TODAY(),"◆ ÔN HÔM NAY","✔ Đúng tiến độ")))))</f>
        <v>• Chưa tới</v>
      </c>
      <c r="U581" s="38" t="n">
        <f aca="false">IF($H581="","",$R581/5)</f>
        <v>0</v>
      </c>
    </row>
    <row r="582" customFormat="false" ht="15" hidden="false" customHeight="false" outlineLevel="0" collapsed="false">
      <c r="A582" s="31" t="s">
        <v>3572</v>
      </c>
      <c r="B582" s="31" t="n">
        <v>29</v>
      </c>
      <c r="C582" s="32" t="n">
        <f aca="false">SETTINGS!$C$3+$B582-1</f>
        <v>46328</v>
      </c>
      <c r="D582" s="39" t="s">
        <v>1947</v>
      </c>
      <c r="E582" s="34" t="s">
        <v>3463</v>
      </c>
      <c r="F582" s="34" t="s">
        <v>280</v>
      </c>
      <c r="G582" s="34" t="s">
        <v>3573</v>
      </c>
      <c r="H582" s="35" t="s">
        <v>3574</v>
      </c>
      <c r="I582" s="36" t="s">
        <v>3575</v>
      </c>
      <c r="J582" s="34" t="s">
        <v>3576</v>
      </c>
      <c r="K582" s="34" t="s">
        <v>3577</v>
      </c>
      <c r="L582" s="37"/>
      <c r="M582" s="37"/>
      <c r="N582" s="37"/>
      <c r="O582" s="37"/>
      <c r="P582" s="37"/>
      <c r="Q582" s="37"/>
      <c r="R582" s="31" t="n">
        <f aca="false">COUNT($M582:$Q582)</f>
        <v>0</v>
      </c>
      <c r="S582" s="32" t="str">
        <f aca="false">IF($L582="","",IF($R582&gt;=5,"",MAX($L582:$Q582)+CHOOSE($R582+1,SETTINGS!$C$9,SETTINGS!$C$10,SETTINGS!$C$11,SETTINGS!$C$12,SETTINGS!$C$13)))</f>
        <v/>
      </c>
      <c r="T582" s="34" t="str">
        <f aca="true">IF($H582="","(chưa có nội dung)",IF($L582="",IF($C582&lt;TODAY(),"⚠ TRỄ HỌC",IF($C582=TODAY(),"★ HỌC HÔM NAY","• Chưa tới")),IF($R582&gt;=5,"✔ MASTER",IF($S582&lt;TODAY(),"⚠ TRỄ ÔN",IF($S582=TODAY(),"◆ ÔN HÔM NAY","✔ Đúng tiến độ")))))</f>
        <v>• Chưa tới</v>
      </c>
      <c r="U582" s="38" t="n">
        <f aca="false">IF($H582="","",$R582/5)</f>
        <v>0</v>
      </c>
    </row>
    <row r="583" customFormat="false" ht="15" hidden="false" customHeight="false" outlineLevel="0" collapsed="false">
      <c r="A583" s="31" t="s">
        <v>3578</v>
      </c>
      <c r="B583" s="31" t="n">
        <v>30</v>
      </c>
      <c r="C583" s="32" t="n">
        <f aca="false">SETTINGS!$C$3+$B583-1</f>
        <v>46329</v>
      </c>
      <c r="D583" s="39" t="s">
        <v>1947</v>
      </c>
      <c r="E583" s="34" t="s">
        <v>3579</v>
      </c>
      <c r="F583" s="34" t="s">
        <v>497</v>
      </c>
      <c r="G583" s="34" t="s">
        <v>1895</v>
      </c>
      <c r="H583" s="35" t="s">
        <v>3580</v>
      </c>
      <c r="I583" s="36" t="s">
        <v>3581</v>
      </c>
      <c r="J583" s="34" t="s">
        <v>3582</v>
      </c>
      <c r="K583" s="34" t="s">
        <v>3583</v>
      </c>
      <c r="L583" s="37"/>
      <c r="M583" s="37"/>
      <c r="N583" s="37"/>
      <c r="O583" s="37"/>
      <c r="P583" s="37"/>
      <c r="Q583" s="37"/>
      <c r="R583" s="31" t="n">
        <f aca="false">COUNT($M583:$Q583)</f>
        <v>0</v>
      </c>
      <c r="S583" s="32" t="str">
        <f aca="false">IF($L583="","",IF($R583&gt;=5,"",MAX($L583:$Q583)+CHOOSE($R583+1,SETTINGS!$C$9,SETTINGS!$C$10,SETTINGS!$C$11,SETTINGS!$C$12,SETTINGS!$C$13)))</f>
        <v/>
      </c>
      <c r="T583" s="34" t="str">
        <f aca="true">IF($H583="","(chưa có nội dung)",IF($L583="",IF($C583&lt;TODAY(),"⚠ TRỄ HỌC",IF($C583=TODAY(),"★ HỌC HÔM NAY","• Chưa tới")),IF($R583&gt;=5,"✔ MASTER",IF($S583&lt;TODAY(),"⚠ TRỄ ÔN",IF($S583=TODAY(),"◆ ÔN HÔM NAY","✔ Đúng tiến độ")))))</f>
        <v>• Chưa tới</v>
      </c>
      <c r="U583" s="38" t="n">
        <f aca="false">IF($H583="","",$R583/5)</f>
        <v>0</v>
      </c>
    </row>
    <row r="584" customFormat="false" ht="15" hidden="false" customHeight="false" outlineLevel="0" collapsed="false">
      <c r="A584" s="31" t="s">
        <v>3584</v>
      </c>
      <c r="B584" s="31" t="n">
        <v>30</v>
      </c>
      <c r="C584" s="32" t="n">
        <f aca="false">SETTINGS!$C$3+$B584-1</f>
        <v>46329</v>
      </c>
      <c r="D584" s="39" t="s">
        <v>1947</v>
      </c>
      <c r="E584" s="34" t="s">
        <v>3579</v>
      </c>
      <c r="F584" s="34" t="s">
        <v>163</v>
      </c>
      <c r="G584" s="34" t="s">
        <v>1802</v>
      </c>
      <c r="H584" s="35" t="s">
        <v>3585</v>
      </c>
      <c r="I584" s="36" t="s">
        <v>3586</v>
      </c>
      <c r="J584" s="34" t="s">
        <v>3587</v>
      </c>
      <c r="K584" s="34" t="s">
        <v>3588</v>
      </c>
      <c r="L584" s="37"/>
      <c r="M584" s="37"/>
      <c r="N584" s="37"/>
      <c r="O584" s="37"/>
      <c r="P584" s="37"/>
      <c r="Q584" s="37"/>
      <c r="R584" s="31" t="n">
        <f aca="false">COUNT($M584:$Q584)</f>
        <v>0</v>
      </c>
      <c r="S584" s="32" t="str">
        <f aca="false">IF($L584="","",IF($R584&gt;=5,"",MAX($L584:$Q584)+CHOOSE($R584+1,SETTINGS!$C$9,SETTINGS!$C$10,SETTINGS!$C$11,SETTINGS!$C$12,SETTINGS!$C$13)))</f>
        <v/>
      </c>
      <c r="T584" s="34" t="str">
        <f aca="true">IF($H584="","(chưa có nội dung)",IF($L584="",IF($C584&lt;TODAY(),"⚠ TRỄ HỌC",IF($C584=TODAY(),"★ HỌC HÔM NAY","• Chưa tới")),IF($R584&gt;=5,"✔ MASTER",IF($S584&lt;TODAY(),"⚠ TRỄ ÔN",IF($S584=TODAY(),"◆ ÔN HÔM NAY","✔ Đúng tiến độ")))))</f>
        <v>• Chưa tới</v>
      </c>
      <c r="U584" s="38" t="n">
        <f aca="false">IF($H584="","",$R584/5)</f>
        <v>0</v>
      </c>
    </row>
    <row r="585" customFormat="false" ht="15" hidden="false" customHeight="false" outlineLevel="0" collapsed="false">
      <c r="A585" s="31" t="s">
        <v>3589</v>
      </c>
      <c r="B585" s="31" t="n">
        <v>30</v>
      </c>
      <c r="C585" s="32" t="n">
        <f aca="false">SETTINGS!$C$3+$B585-1</f>
        <v>46329</v>
      </c>
      <c r="D585" s="39" t="s">
        <v>1947</v>
      </c>
      <c r="E585" s="34" t="s">
        <v>3579</v>
      </c>
      <c r="F585" s="34" t="s">
        <v>183</v>
      </c>
      <c r="G585" s="34" t="s">
        <v>3590</v>
      </c>
      <c r="H585" s="35" t="s">
        <v>3591</v>
      </c>
      <c r="I585" s="36" t="s">
        <v>3592</v>
      </c>
      <c r="J585" s="34" t="s">
        <v>3593</v>
      </c>
      <c r="K585" s="34" t="s">
        <v>508</v>
      </c>
      <c r="L585" s="37"/>
      <c r="M585" s="37"/>
      <c r="N585" s="37"/>
      <c r="O585" s="37"/>
      <c r="P585" s="37"/>
      <c r="Q585" s="37"/>
      <c r="R585" s="31" t="n">
        <f aca="false">COUNT($M585:$Q585)</f>
        <v>0</v>
      </c>
      <c r="S585" s="32" t="str">
        <f aca="false">IF($L585="","",IF($R585&gt;=5,"",MAX($L585:$Q585)+CHOOSE($R585+1,SETTINGS!$C$9,SETTINGS!$C$10,SETTINGS!$C$11,SETTINGS!$C$12,SETTINGS!$C$13)))</f>
        <v/>
      </c>
      <c r="T585" s="34" t="str">
        <f aca="true">IF($H585="","(chưa có nội dung)",IF($L585="",IF($C585&lt;TODAY(),"⚠ TRỄ HỌC",IF($C585=TODAY(),"★ HỌC HÔM NAY","• Chưa tới")),IF($R585&gt;=5,"✔ MASTER",IF($S585&lt;TODAY(),"⚠ TRỄ ÔN",IF($S585=TODAY(),"◆ ÔN HÔM NAY","✔ Đúng tiến độ")))))</f>
        <v>• Chưa tới</v>
      </c>
      <c r="U585" s="38" t="n">
        <f aca="false">IF($H585="","",$R585/5)</f>
        <v>0</v>
      </c>
    </row>
    <row r="586" customFormat="false" ht="15" hidden="false" customHeight="false" outlineLevel="0" collapsed="false">
      <c r="A586" s="31" t="s">
        <v>3594</v>
      </c>
      <c r="B586" s="31" t="n">
        <v>30</v>
      </c>
      <c r="C586" s="32" t="n">
        <f aca="false">SETTINGS!$C$3+$B586-1</f>
        <v>46329</v>
      </c>
      <c r="D586" s="39" t="s">
        <v>1947</v>
      </c>
      <c r="E586" s="34" t="s">
        <v>3579</v>
      </c>
      <c r="F586" s="34" t="s">
        <v>163</v>
      </c>
      <c r="G586" s="34" t="s">
        <v>3595</v>
      </c>
      <c r="H586" s="35" t="s">
        <v>3596</v>
      </c>
      <c r="I586" s="36" t="s">
        <v>3597</v>
      </c>
      <c r="J586" s="34" t="s">
        <v>3598</v>
      </c>
      <c r="K586" s="34" t="s">
        <v>3599</v>
      </c>
      <c r="L586" s="37"/>
      <c r="M586" s="37"/>
      <c r="N586" s="37"/>
      <c r="O586" s="37"/>
      <c r="P586" s="37"/>
      <c r="Q586" s="37"/>
      <c r="R586" s="31" t="n">
        <f aca="false">COUNT($M586:$Q586)</f>
        <v>0</v>
      </c>
      <c r="S586" s="32" t="str">
        <f aca="false">IF($L586="","",IF($R586&gt;=5,"",MAX($L586:$Q586)+CHOOSE($R586+1,SETTINGS!$C$9,SETTINGS!$C$10,SETTINGS!$C$11,SETTINGS!$C$12,SETTINGS!$C$13)))</f>
        <v/>
      </c>
      <c r="T586" s="34" t="str">
        <f aca="true">IF($H586="","(chưa có nội dung)",IF($L586="",IF($C586&lt;TODAY(),"⚠ TRỄ HỌC",IF($C586=TODAY(),"★ HỌC HÔM NAY","• Chưa tới")),IF($R586&gt;=5,"✔ MASTER",IF($S586&lt;TODAY(),"⚠ TRỄ ÔN",IF($S586=TODAY(),"◆ ÔN HÔM NAY","✔ Đúng tiến độ")))))</f>
        <v>• Chưa tới</v>
      </c>
      <c r="U586" s="38" t="n">
        <f aca="false">IF($H586="","",$R586/5)</f>
        <v>0</v>
      </c>
    </row>
    <row r="587" customFormat="false" ht="15" hidden="false" customHeight="false" outlineLevel="0" collapsed="false">
      <c r="A587" s="31" t="s">
        <v>3600</v>
      </c>
      <c r="B587" s="31" t="n">
        <v>30</v>
      </c>
      <c r="C587" s="32" t="n">
        <f aca="false">SETTINGS!$C$3+$B587-1</f>
        <v>46329</v>
      </c>
      <c r="D587" s="39" t="s">
        <v>1947</v>
      </c>
      <c r="E587" s="34" t="s">
        <v>3579</v>
      </c>
      <c r="F587" s="34" t="s">
        <v>472</v>
      </c>
      <c r="G587" s="34" t="s">
        <v>3601</v>
      </c>
      <c r="H587" s="35" t="s">
        <v>3602</v>
      </c>
      <c r="I587" s="36" t="s">
        <v>3603</v>
      </c>
      <c r="J587" s="34" t="s">
        <v>3604</v>
      </c>
      <c r="K587" s="34" t="s">
        <v>3605</v>
      </c>
      <c r="L587" s="37"/>
      <c r="M587" s="37"/>
      <c r="N587" s="37"/>
      <c r="O587" s="37"/>
      <c r="P587" s="37"/>
      <c r="Q587" s="37"/>
      <c r="R587" s="31" t="n">
        <f aca="false">COUNT($M587:$Q587)</f>
        <v>0</v>
      </c>
      <c r="S587" s="32" t="str">
        <f aca="false">IF($L587="","",IF($R587&gt;=5,"",MAX($L587:$Q587)+CHOOSE($R587+1,SETTINGS!$C$9,SETTINGS!$C$10,SETTINGS!$C$11,SETTINGS!$C$12,SETTINGS!$C$13)))</f>
        <v/>
      </c>
      <c r="T587" s="34" t="str">
        <f aca="true">IF($H587="","(chưa có nội dung)",IF($L587="",IF($C587&lt;TODAY(),"⚠ TRỄ HỌC",IF($C587=TODAY(),"★ HỌC HÔM NAY","• Chưa tới")),IF($R587&gt;=5,"✔ MASTER",IF($S587&lt;TODAY(),"⚠ TRỄ ÔN",IF($S587=TODAY(),"◆ ÔN HÔM NAY","✔ Đúng tiến độ")))))</f>
        <v>• Chưa tới</v>
      </c>
      <c r="U587" s="38" t="n">
        <f aca="false">IF($H587="","",$R587/5)</f>
        <v>0</v>
      </c>
    </row>
    <row r="588" customFormat="false" ht="15" hidden="false" customHeight="false" outlineLevel="0" collapsed="false">
      <c r="A588" s="31" t="s">
        <v>3606</v>
      </c>
      <c r="B588" s="31" t="n">
        <v>30</v>
      </c>
      <c r="C588" s="32" t="n">
        <f aca="false">SETTINGS!$C$3+$B588-1</f>
        <v>46329</v>
      </c>
      <c r="D588" s="39" t="s">
        <v>1947</v>
      </c>
      <c r="E588" s="34" t="s">
        <v>3579</v>
      </c>
      <c r="F588" s="34" t="s">
        <v>280</v>
      </c>
      <c r="G588" s="34" t="s">
        <v>3607</v>
      </c>
      <c r="H588" s="35" t="s">
        <v>3608</v>
      </c>
      <c r="I588" s="36" t="s">
        <v>3609</v>
      </c>
      <c r="J588" s="34" t="s">
        <v>3610</v>
      </c>
      <c r="K588" s="34" t="s">
        <v>3611</v>
      </c>
      <c r="L588" s="37"/>
      <c r="M588" s="37"/>
      <c r="N588" s="37"/>
      <c r="O588" s="37"/>
      <c r="P588" s="37"/>
      <c r="Q588" s="37"/>
      <c r="R588" s="31" t="n">
        <f aca="false">COUNT($M588:$Q588)</f>
        <v>0</v>
      </c>
      <c r="S588" s="32" t="str">
        <f aca="false">IF($L588="","",IF($R588&gt;=5,"",MAX($L588:$Q588)+CHOOSE($R588+1,SETTINGS!$C$9,SETTINGS!$C$10,SETTINGS!$C$11,SETTINGS!$C$12,SETTINGS!$C$13)))</f>
        <v/>
      </c>
      <c r="T588" s="34" t="str">
        <f aca="true">IF($H588="","(chưa có nội dung)",IF($L588="",IF($C588&lt;TODAY(),"⚠ TRỄ HỌC",IF($C588=TODAY(),"★ HỌC HÔM NAY","• Chưa tới")),IF($R588&gt;=5,"✔ MASTER",IF($S588&lt;TODAY(),"⚠ TRỄ ÔN",IF($S588=TODAY(),"◆ ÔN HÔM NAY","✔ Đúng tiến độ")))))</f>
        <v>• Chưa tới</v>
      </c>
      <c r="U588" s="38" t="n">
        <f aca="false">IF($H588="","",$R588/5)</f>
        <v>0</v>
      </c>
    </row>
    <row r="589" customFormat="false" ht="15" hidden="false" customHeight="false" outlineLevel="0" collapsed="false">
      <c r="A589" s="31" t="s">
        <v>3612</v>
      </c>
      <c r="B589" s="31" t="n">
        <v>30</v>
      </c>
      <c r="C589" s="32" t="n">
        <f aca="false">SETTINGS!$C$3+$B589-1</f>
        <v>46329</v>
      </c>
      <c r="D589" s="39" t="s">
        <v>1947</v>
      </c>
      <c r="E589" s="34" t="s">
        <v>3579</v>
      </c>
      <c r="F589" s="34" t="s">
        <v>163</v>
      </c>
      <c r="G589" s="34" t="s">
        <v>3613</v>
      </c>
      <c r="H589" s="35" t="s">
        <v>3614</v>
      </c>
      <c r="I589" s="36" t="s">
        <v>3615</v>
      </c>
      <c r="J589" s="34" t="s">
        <v>3616</v>
      </c>
      <c r="K589" s="34" t="s">
        <v>3617</v>
      </c>
      <c r="L589" s="37"/>
      <c r="M589" s="37"/>
      <c r="N589" s="37"/>
      <c r="O589" s="37"/>
      <c r="P589" s="37"/>
      <c r="Q589" s="37"/>
      <c r="R589" s="31" t="n">
        <f aca="false">COUNT($M589:$Q589)</f>
        <v>0</v>
      </c>
      <c r="S589" s="32" t="str">
        <f aca="false">IF($L589="","",IF($R589&gt;=5,"",MAX($L589:$Q589)+CHOOSE($R589+1,SETTINGS!$C$9,SETTINGS!$C$10,SETTINGS!$C$11,SETTINGS!$C$12,SETTINGS!$C$13)))</f>
        <v/>
      </c>
      <c r="T589" s="34" t="str">
        <f aca="true">IF($H589="","(chưa có nội dung)",IF($L589="",IF($C589&lt;TODAY(),"⚠ TRỄ HỌC",IF($C589=TODAY(),"★ HỌC HÔM NAY","• Chưa tới")),IF($R589&gt;=5,"✔ MASTER",IF($S589&lt;TODAY(),"⚠ TRỄ ÔN",IF($S589=TODAY(),"◆ ÔN HÔM NAY","✔ Đúng tiến độ")))))</f>
        <v>• Chưa tới</v>
      </c>
      <c r="U589" s="38" t="n">
        <f aca="false">IF($H589="","",$R589/5)</f>
        <v>0</v>
      </c>
    </row>
    <row r="590" customFormat="false" ht="15" hidden="false" customHeight="false" outlineLevel="0" collapsed="false">
      <c r="A590" s="31" t="s">
        <v>3618</v>
      </c>
      <c r="B590" s="31" t="n">
        <v>30</v>
      </c>
      <c r="C590" s="32" t="n">
        <f aca="false">SETTINGS!$C$3+$B590-1</f>
        <v>46329</v>
      </c>
      <c r="D590" s="39" t="s">
        <v>1947</v>
      </c>
      <c r="E590" s="34" t="s">
        <v>3579</v>
      </c>
      <c r="F590" s="34" t="s">
        <v>280</v>
      </c>
      <c r="G590" s="34" t="s">
        <v>3619</v>
      </c>
      <c r="H590" s="35" t="s">
        <v>3620</v>
      </c>
      <c r="I590" s="36" t="s">
        <v>3621</v>
      </c>
      <c r="J590" s="34" t="s">
        <v>3622</v>
      </c>
      <c r="K590" s="34" t="s">
        <v>3623</v>
      </c>
      <c r="L590" s="37"/>
      <c r="M590" s="37"/>
      <c r="N590" s="37"/>
      <c r="O590" s="37"/>
      <c r="P590" s="37"/>
      <c r="Q590" s="37"/>
      <c r="R590" s="31" t="n">
        <f aca="false">COUNT($M590:$Q590)</f>
        <v>0</v>
      </c>
      <c r="S590" s="32" t="str">
        <f aca="false">IF($L590="","",IF($R590&gt;=5,"",MAX($L590:$Q590)+CHOOSE($R590+1,SETTINGS!$C$9,SETTINGS!$C$10,SETTINGS!$C$11,SETTINGS!$C$12,SETTINGS!$C$13)))</f>
        <v/>
      </c>
      <c r="T590" s="34" t="str">
        <f aca="true">IF($H590="","(chưa có nội dung)",IF($L590="",IF($C590&lt;TODAY(),"⚠ TRỄ HỌC",IF($C590=TODAY(),"★ HỌC HÔM NAY","• Chưa tới")),IF($R590&gt;=5,"✔ MASTER",IF($S590&lt;TODAY(),"⚠ TRỄ ÔN",IF($S590=TODAY(),"◆ ÔN HÔM NAY","✔ Đúng tiến độ")))))</f>
        <v>• Chưa tới</v>
      </c>
      <c r="U590" s="38" t="n">
        <f aca="false">IF($H590="","",$R590/5)</f>
        <v>0</v>
      </c>
    </row>
    <row r="591" customFormat="false" ht="15" hidden="false" customHeight="false" outlineLevel="0" collapsed="false">
      <c r="A591" s="31" t="s">
        <v>3624</v>
      </c>
      <c r="B591" s="31" t="n">
        <v>30</v>
      </c>
      <c r="C591" s="32" t="n">
        <f aca="false">SETTINGS!$C$3+$B591-1</f>
        <v>46329</v>
      </c>
      <c r="D591" s="39" t="s">
        <v>1947</v>
      </c>
      <c r="E591" s="34" t="s">
        <v>3579</v>
      </c>
      <c r="F591" s="34" t="s">
        <v>163</v>
      </c>
      <c r="G591" s="34" t="s">
        <v>323</v>
      </c>
      <c r="H591" s="35" t="s">
        <v>3625</v>
      </c>
      <c r="I591" s="36" t="s">
        <v>3626</v>
      </c>
      <c r="J591" s="34" t="s">
        <v>3627</v>
      </c>
      <c r="K591" s="34" t="s">
        <v>3514</v>
      </c>
      <c r="L591" s="37"/>
      <c r="M591" s="37"/>
      <c r="N591" s="37"/>
      <c r="O591" s="37"/>
      <c r="P591" s="37"/>
      <c r="Q591" s="37"/>
      <c r="R591" s="31" t="n">
        <f aca="false">COUNT($M591:$Q591)</f>
        <v>0</v>
      </c>
      <c r="S591" s="32" t="str">
        <f aca="false">IF($L591="","",IF($R591&gt;=5,"",MAX($L591:$Q591)+CHOOSE($R591+1,SETTINGS!$C$9,SETTINGS!$C$10,SETTINGS!$C$11,SETTINGS!$C$12,SETTINGS!$C$13)))</f>
        <v/>
      </c>
      <c r="T591" s="34" t="str">
        <f aca="true">IF($H591="","(chưa có nội dung)",IF($L591="",IF($C591&lt;TODAY(),"⚠ TRỄ HỌC",IF($C591=TODAY(),"★ HỌC HÔM NAY","• Chưa tới")),IF($R591&gt;=5,"✔ MASTER",IF($S591&lt;TODAY(),"⚠ TRỄ ÔN",IF($S591=TODAY(),"◆ ÔN HÔM NAY","✔ Đúng tiến độ")))))</f>
        <v>• Chưa tới</v>
      </c>
      <c r="U591" s="38" t="n">
        <f aca="false">IF($H591="","",$R591/5)</f>
        <v>0</v>
      </c>
    </row>
    <row r="592" customFormat="false" ht="15" hidden="false" customHeight="false" outlineLevel="0" collapsed="false">
      <c r="A592" s="31" t="s">
        <v>3628</v>
      </c>
      <c r="B592" s="31" t="n">
        <v>30</v>
      </c>
      <c r="C592" s="32" t="n">
        <f aca="false">SETTINGS!$C$3+$B592-1</f>
        <v>46329</v>
      </c>
      <c r="D592" s="39" t="s">
        <v>1947</v>
      </c>
      <c r="E592" s="34" t="s">
        <v>3579</v>
      </c>
      <c r="F592" s="34" t="s">
        <v>202</v>
      </c>
      <c r="G592" s="34" t="s">
        <v>2700</v>
      </c>
      <c r="H592" s="35" t="s">
        <v>3629</v>
      </c>
      <c r="I592" s="36" t="s">
        <v>3630</v>
      </c>
      <c r="J592" s="34" t="s">
        <v>3631</v>
      </c>
      <c r="K592" s="34" t="s">
        <v>2332</v>
      </c>
      <c r="L592" s="37"/>
      <c r="M592" s="37"/>
      <c r="N592" s="37"/>
      <c r="O592" s="37"/>
      <c r="P592" s="37"/>
      <c r="Q592" s="37"/>
      <c r="R592" s="31" t="n">
        <f aca="false">COUNT($M592:$Q592)</f>
        <v>0</v>
      </c>
      <c r="S592" s="32" t="str">
        <f aca="false">IF($L592="","",IF($R592&gt;=5,"",MAX($L592:$Q592)+CHOOSE($R592+1,SETTINGS!$C$9,SETTINGS!$C$10,SETTINGS!$C$11,SETTINGS!$C$12,SETTINGS!$C$13)))</f>
        <v/>
      </c>
      <c r="T592" s="34" t="str">
        <f aca="true">IF($H592="","(chưa có nội dung)",IF($L592="",IF($C592&lt;TODAY(),"⚠ TRỄ HỌC",IF($C592=TODAY(),"★ HỌC HÔM NAY","• Chưa tới")),IF($R592&gt;=5,"✔ MASTER",IF($S592&lt;TODAY(),"⚠ TRỄ ÔN",IF($S592=TODAY(),"◆ ÔN HÔM NAY","✔ Đúng tiến độ")))))</f>
        <v>• Chưa tới</v>
      </c>
      <c r="U592" s="38" t="n">
        <f aca="false">IF($H592="","",$R592/5)</f>
        <v>0</v>
      </c>
    </row>
    <row r="593" customFormat="false" ht="15" hidden="false" customHeight="false" outlineLevel="0" collapsed="false">
      <c r="A593" s="31" t="s">
        <v>3632</v>
      </c>
      <c r="B593" s="31" t="n">
        <v>30</v>
      </c>
      <c r="C593" s="32" t="n">
        <f aca="false">SETTINGS!$C$3+$B593-1</f>
        <v>46329</v>
      </c>
      <c r="D593" s="39" t="s">
        <v>1947</v>
      </c>
      <c r="E593" s="34" t="s">
        <v>3579</v>
      </c>
      <c r="F593" s="34" t="s">
        <v>280</v>
      </c>
      <c r="G593" s="34" t="s">
        <v>3633</v>
      </c>
      <c r="H593" s="35" t="s">
        <v>3634</v>
      </c>
      <c r="I593" s="36" t="s">
        <v>3635</v>
      </c>
      <c r="J593" s="34" t="s">
        <v>3636</v>
      </c>
      <c r="K593" s="34" t="s">
        <v>3637</v>
      </c>
      <c r="L593" s="37"/>
      <c r="M593" s="37"/>
      <c r="N593" s="37"/>
      <c r="O593" s="37"/>
      <c r="P593" s="37"/>
      <c r="Q593" s="37"/>
      <c r="R593" s="31" t="n">
        <f aca="false">COUNT($M593:$Q593)</f>
        <v>0</v>
      </c>
      <c r="S593" s="32" t="str">
        <f aca="false">IF($L593="","",IF($R593&gt;=5,"",MAX($L593:$Q593)+CHOOSE($R593+1,SETTINGS!$C$9,SETTINGS!$C$10,SETTINGS!$C$11,SETTINGS!$C$12,SETTINGS!$C$13)))</f>
        <v/>
      </c>
      <c r="T593" s="34" t="str">
        <f aca="true">IF($H593="","(chưa có nội dung)",IF($L593="",IF($C593&lt;TODAY(),"⚠ TRỄ HỌC",IF($C593=TODAY(),"★ HỌC HÔM NAY","• Chưa tới")),IF($R593&gt;=5,"✔ MASTER",IF($S593&lt;TODAY(),"⚠ TRỄ ÔN",IF($S593=TODAY(),"◆ ÔN HÔM NAY","✔ Đúng tiến độ")))))</f>
        <v>• Chưa tới</v>
      </c>
      <c r="U593" s="38" t="n">
        <f aca="false">IF($H593="","",$R593/5)</f>
        <v>0</v>
      </c>
    </row>
    <row r="594" customFormat="false" ht="15" hidden="false" customHeight="false" outlineLevel="0" collapsed="false">
      <c r="A594" s="31" t="s">
        <v>3638</v>
      </c>
      <c r="B594" s="31" t="n">
        <v>30</v>
      </c>
      <c r="C594" s="32" t="n">
        <f aca="false">SETTINGS!$C$3+$B594-1</f>
        <v>46329</v>
      </c>
      <c r="D594" s="39" t="s">
        <v>1947</v>
      </c>
      <c r="E594" s="34" t="s">
        <v>3579</v>
      </c>
      <c r="F594" s="34" t="s">
        <v>202</v>
      </c>
      <c r="G594" s="34" t="s">
        <v>3639</v>
      </c>
      <c r="H594" s="35" t="s">
        <v>3640</v>
      </c>
      <c r="I594" s="36" t="s">
        <v>3641</v>
      </c>
      <c r="J594" s="34" t="s">
        <v>3642</v>
      </c>
      <c r="K594" s="34" t="s">
        <v>3209</v>
      </c>
      <c r="L594" s="37"/>
      <c r="M594" s="37"/>
      <c r="N594" s="37"/>
      <c r="O594" s="37"/>
      <c r="P594" s="37"/>
      <c r="Q594" s="37"/>
      <c r="R594" s="31" t="n">
        <f aca="false">COUNT($M594:$Q594)</f>
        <v>0</v>
      </c>
      <c r="S594" s="32" t="str">
        <f aca="false">IF($L594="","",IF($R594&gt;=5,"",MAX($L594:$Q594)+CHOOSE($R594+1,SETTINGS!$C$9,SETTINGS!$C$10,SETTINGS!$C$11,SETTINGS!$C$12,SETTINGS!$C$13)))</f>
        <v/>
      </c>
      <c r="T594" s="34" t="str">
        <f aca="true">IF($H594="","(chưa có nội dung)",IF($L594="",IF($C594&lt;TODAY(),"⚠ TRỄ HỌC",IF($C594=TODAY(),"★ HỌC HÔM NAY","• Chưa tới")),IF($R594&gt;=5,"✔ MASTER",IF($S594&lt;TODAY(),"⚠ TRỄ ÔN",IF($S594=TODAY(),"◆ ÔN HÔM NAY","✔ Đúng tiến độ")))))</f>
        <v>• Chưa tới</v>
      </c>
      <c r="U594" s="38" t="n">
        <f aca="false">IF($H594="","",$R594/5)</f>
        <v>0</v>
      </c>
    </row>
    <row r="595" customFormat="false" ht="15" hidden="false" customHeight="false" outlineLevel="0" collapsed="false">
      <c r="A595" s="31" t="s">
        <v>3643</v>
      </c>
      <c r="B595" s="31" t="n">
        <v>30</v>
      </c>
      <c r="C595" s="32" t="n">
        <f aca="false">SETTINGS!$C$3+$B595-1</f>
        <v>46329</v>
      </c>
      <c r="D595" s="39" t="s">
        <v>1947</v>
      </c>
      <c r="E595" s="34" t="s">
        <v>3579</v>
      </c>
      <c r="F595" s="34" t="s">
        <v>280</v>
      </c>
      <c r="G595" s="34" t="s">
        <v>3644</v>
      </c>
      <c r="H595" s="35" t="s">
        <v>3645</v>
      </c>
      <c r="I595" s="36" t="s">
        <v>3646</v>
      </c>
      <c r="J595" s="34" t="s">
        <v>3647</v>
      </c>
      <c r="K595" s="34" t="s">
        <v>3648</v>
      </c>
      <c r="L595" s="37"/>
      <c r="M595" s="37"/>
      <c r="N595" s="37"/>
      <c r="O595" s="37"/>
      <c r="P595" s="37"/>
      <c r="Q595" s="37"/>
      <c r="R595" s="31" t="n">
        <f aca="false">COUNT($M595:$Q595)</f>
        <v>0</v>
      </c>
      <c r="S595" s="32" t="str">
        <f aca="false">IF($L595="","",IF($R595&gt;=5,"",MAX($L595:$Q595)+CHOOSE($R595+1,SETTINGS!$C$9,SETTINGS!$C$10,SETTINGS!$C$11,SETTINGS!$C$12,SETTINGS!$C$13)))</f>
        <v/>
      </c>
      <c r="T595" s="34" t="str">
        <f aca="true">IF($H595="","(chưa có nội dung)",IF($L595="",IF($C595&lt;TODAY(),"⚠ TRỄ HỌC",IF($C595=TODAY(),"★ HỌC HÔM NAY","• Chưa tới")),IF($R595&gt;=5,"✔ MASTER",IF($S595&lt;TODAY(),"⚠ TRỄ ÔN",IF($S595=TODAY(),"◆ ÔN HÔM NAY","✔ Đúng tiến độ")))))</f>
        <v>• Chưa tới</v>
      </c>
      <c r="U595" s="38" t="n">
        <f aca="false">IF($H595="","",$R595/5)</f>
        <v>0</v>
      </c>
    </row>
    <row r="596" customFormat="false" ht="15" hidden="false" customHeight="false" outlineLevel="0" collapsed="false">
      <c r="A596" s="31" t="s">
        <v>3649</v>
      </c>
      <c r="B596" s="31" t="n">
        <v>30</v>
      </c>
      <c r="C596" s="32" t="n">
        <f aca="false">SETTINGS!$C$3+$B596-1</f>
        <v>46329</v>
      </c>
      <c r="D596" s="39" t="s">
        <v>1947</v>
      </c>
      <c r="E596" s="34" t="s">
        <v>3579</v>
      </c>
      <c r="F596" s="34" t="s">
        <v>999</v>
      </c>
      <c r="G596" s="34" t="s">
        <v>3650</v>
      </c>
      <c r="H596" s="35" t="s">
        <v>3651</v>
      </c>
      <c r="I596" s="36" t="s">
        <v>3652</v>
      </c>
      <c r="J596" s="34" t="s">
        <v>3653</v>
      </c>
      <c r="K596" s="34" t="s">
        <v>3654</v>
      </c>
      <c r="L596" s="37"/>
      <c r="M596" s="37"/>
      <c r="N596" s="37"/>
      <c r="O596" s="37"/>
      <c r="P596" s="37"/>
      <c r="Q596" s="37"/>
      <c r="R596" s="31" t="n">
        <f aca="false">COUNT($M596:$Q596)</f>
        <v>0</v>
      </c>
      <c r="S596" s="32" t="str">
        <f aca="false">IF($L596="","",IF($R596&gt;=5,"",MAX($L596:$Q596)+CHOOSE($R596+1,SETTINGS!$C$9,SETTINGS!$C$10,SETTINGS!$C$11,SETTINGS!$C$12,SETTINGS!$C$13)))</f>
        <v/>
      </c>
      <c r="T596" s="34" t="str">
        <f aca="true">IF($H596="","(chưa có nội dung)",IF($L596="",IF($C596&lt;TODAY(),"⚠ TRỄ HỌC",IF($C596=TODAY(),"★ HỌC HÔM NAY","• Chưa tới")),IF($R596&gt;=5,"✔ MASTER",IF($S596&lt;TODAY(),"⚠ TRỄ ÔN",IF($S596=TODAY(),"◆ ÔN HÔM NAY","✔ Đúng tiến độ")))))</f>
        <v>• Chưa tới</v>
      </c>
      <c r="U596" s="38" t="n">
        <f aca="false">IF($H596="","",$R596/5)</f>
        <v>0</v>
      </c>
    </row>
    <row r="597" customFormat="false" ht="15" hidden="false" customHeight="false" outlineLevel="0" collapsed="false">
      <c r="A597" s="31" t="s">
        <v>3655</v>
      </c>
      <c r="B597" s="31" t="n">
        <v>30</v>
      </c>
      <c r="C597" s="32" t="n">
        <f aca="false">SETTINGS!$C$3+$B597-1</f>
        <v>46329</v>
      </c>
      <c r="D597" s="39" t="s">
        <v>1947</v>
      </c>
      <c r="E597" s="34" t="s">
        <v>3579</v>
      </c>
      <c r="F597" s="34" t="s">
        <v>3656</v>
      </c>
      <c r="G597" s="34" t="s">
        <v>3657</v>
      </c>
      <c r="H597" s="35" t="s">
        <v>3658</v>
      </c>
      <c r="I597" s="36" t="s">
        <v>3659</v>
      </c>
      <c r="J597" s="34" t="s">
        <v>3660</v>
      </c>
      <c r="K597" s="34" t="s">
        <v>3661</v>
      </c>
      <c r="L597" s="37"/>
      <c r="M597" s="37"/>
      <c r="N597" s="37"/>
      <c r="O597" s="37"/>
      <c r="P597" s="37"/>
      <c r="Q597" s="37"/>
      <c r="R597" s="31" t="n">
        <f aca="false">COUNT($M597:$Q597)</f>
        <v>0</v>
      </c>
      <c r="S597" s="32" t="str">
        <f aca="false">IF($L597="","",IF($R597&gt;=5,"",MAX($L597:$Q597)+CHOOSE($R597+1,SETTINGS!$C$9,SETTINGS!$C$10,SETTINGS!$C$11,SETTINGS!$C$12,SETTINGS!$C$13)))</f>
        <v/>
      </c>
      <c r="T597" s="34" t="str">
        <f aca="true">IF($H597="","(chưa có nội dung)",IF($L597="",IF($C597&lt;TODAY(),"⚠ TRỄ HỌC",IF($C597=TODAY(),"★ HỌC HÔM NAY","• Chưa tới")),IF($R597&gt;=5,"✔ MASTER",IF($S597&lt;TODAY(),"⚠ TRỄ ÔN",IF($S597=TODAY(),"◆ ÔN HÔM NAY","✔ Đúng tiến độ")))))</f>
        <v>• Chưa tới</v>
      </c>
      <c r="U597" s="38" t="n">
        <f aca="false">IF($H597="","",$R597/5)</f>
        <v>0</v>
      </c>
    </row>
    <row r="598" customFormat="false" ht="15" hidden="false" customHeight="false" outlineLevel="0" collapsed="false">
      <c r="A598" s="31" t="s">
        <v>3662</v>
      </c>
      <c r="B598" s="31" t="n">
        <v>30</v>
      </c>
      <c r="C598" s="32" t="n">
        <f aca="false">SETTINGS!$C$3+$B598-1</f>
        <v>46329</v>
      </c>
      <c r="D598" s="39" t="s">
        <v>1947</v>
      </c>
      <c r="E598" s="34" t="s">
        <v>3579</v>
      </c>
      <c r="F598" s="34" t="s">
        <v>280</v>
      </c>
      <c r="G598" s="34" t="s">
        <v>3663</v>
      </c>
      <c r="H598" s="35" t="s">
        <v>3664</v>
      </c>
      <c r="I598" s="36" t="s">
        <v>3665</v>
      </c>
      <c r="J598" s="34" t="s">
        <v>3666</v>
      </c>
      <c r="K598" s="34" t="s">
        <v>3667</v>
      </c>
      <c r="L598" s="37"/>
      <c r="M598" s="37"/>
      <c r="N598" s="37"/>
      <c r="O598" s="37"/>
      <c r="P598" s="37"/>
      <c r="Q598" s="37"/>
      <c r="R598" s="31" t="n">
        <f aca="false">COUNT($M598:$Q598)</f>
        <v>0</v>
      </c>
      <c r="S598" s="32" t="str">
        <f aca="false">IF($L598="","",IF($R598&gt;=5,"",MAX($L598:$Q598)+CHOOSE($R598+1,SETTINGS!$C$9,SETTINGS!$C$10,SETTINGS!$C$11,SETTINGS!$C$12,SETTINGS!$C$13)))</f>
        <v/>
      </c>
      <c r="T598" s="34" t="str">
        <f aca="true">IF($H598="","(chưa có nội dung)",IF($L598="",IF($C598&lt;TODAY(),"⚠ TRỄ HỌC",IF($C598=TODAY(),"★ HỌC HÔM NAY","• Chưa tới")),IF($R598&gt;=5,"✔ MASTER",IF($S598&lt;TODAY(),"⚠ TRỄ ÔN",IF($S598=TODAY(),"◆ ÔN HÔM NAY","✔ Đúng tiến độ")))))</f>
        <v>• Chưa tới</v>
      </c>
      <c r="U598" s="38" t="n">
        <f aca="false">IF($H598="","",$R598/5)</f>
        <v>0</v>
      </c>
    </row>
    <row r="599" customFormat="false" ht="15" hidden="false" customHeight="false" outlineLevel="0" collapsed="false">
      <c r="A599" s="31" t="s">
        <v>3668</v>
      </c>
      <c r="B599" s="31" t="n">
        <v>30</v>
      </c>
      <c r="C599" s="32" t="n">
        <f aca="false">SETTINGS!$C$3+$B599-1</f>
        <v>46329</v>
      </c>
      <c r="D599" s="39" t="s">
        <v>1947</v>
      </c>
      <c r="E599" s="34" t="s">
        <v>3579</v>
      </c>
      <c r="F599" s="34" t="s">
        <v>202</v>
      </c>
      <c r="G599" s="34" t="s">
        <v>3669</v>
      </c>
      <c r="H599" s="35" t="s">
        <v>3670</v>
      </c>
      <c r="I599" s="36" t="s">
        <v>3671</v>
      </c>
      <c r="J599" s="34" t="s">
        <v>3672</v>
      </c>
      <c r="K599" s="34" t="s">
        <v>3673</v>
      </c>
      <c r="L599" s="37"/>
      <c r="M599" s="37"/>
      <c r="N599" s="37"/>
      <c r="O599" s="37"/>
      <c r="P599" s="37"/>
      <c r="Q599" s="37"/>
      <c r="R599" s="31" t="n">
        <f aca="false">COUNT($M599:$Q599)</f>
        <v>0</v>
      </c>
      <c r="S599" s="32" t="str">
        <f aca="false">IF($L599="","",IF($R599&gt;=5,"",MAX($L599:$Q599)+CHOOSE($R599+1,SETTINGS!$C$9,SETTINGS!$C$10,SETTINGS!$C$11,SETTINGS!$C$12,SETTINGS!$C$13)))</f>
        <v/>
      </c>
      <c r="T599" s="34" t="str">
        <f aca="true">IF($H599="","(chưa có nội dung)",IF($L599="",IF($C599&lt;TODAY(),"⚠ TRỄ HỌC",IF($C599=TODAY(),"★ HỌC HÔM NAY","• Chưa tới")),IF($R599&gt;=5,"✔ MASTER",IF($S599&lt;TODAY(),"⚠ TRỄ ÔN",IF($S599=TODAY(),"◆ ÔN HÔM NAY","✔ Đúng tiến độ")))))</f>
        <v>• Chưa tới</v>
      </c>
      <c r="U599" s="38" t="n">
        <f aca="false">IF($H599="","",$R599/5)</f>
        <v>0</v>
      </c>
    </row>
    <row r="600" customFormat="false" ht="15" hidden="false" customHeight="false" outlineLevel="0" collapsed="false">
      <c r="A600" s="31" t="s">
        <v>3674</v>
      </c>
      <c r="B600" s="31" t="n">
        <v>30</v>
      </c>
      <c r="C600" s="32" t="n">
        <f aca="false">SETTINGS!$C$3+$B600-1</f>
        <v>46329</v>
      </c>
      <c r="D600" s="39" t="s">
        <v>1947</v>
      </c>
      <c r="E600" s="34" t="s">
        <v>3579</v>
      </c>
      <c r="F600" s="34" t="s">
        <v>280</v>
      </c>
      <c r="G600" s="34" t="s">
        <v>3675</v>
      </c>
      <c r="H600" s="35" t="s">
        <v>3676</v>
      </c>
      <c r="I600" s="36" t="s">
        <v>3677</v>
      </c>
      <c r="J600" s="34" t="s">
        <v>3678</v>
      </c>
      <c r="K600" s="34" t="s">
        <v>3679</v>
      </c>
      <c r="L600" s="37"/>
      <c r="M600" s="37"/>
      <c r="N600" s="37"/>
      <c r="O600" s="37"/>
      <c r="P600" s="37"/>
      <c r="Q600" s="37"/>
      <c r="R600" s="31" t="n">
        <f aca="false">COUNT($M600:$Q600)</f>
        <v>0</v>
      </c>
      <c r="S600" s="32" t="str">
        <f aca="false">IF($L600="","",IF($R600&gt;=5,"",MAX($L600:$Q600)+CHOOSE($R600+1,SETTINGS!$C$9,SETTINGS!$C$10,SETTINGS!$C$11,SETTINGS!$C$12,SETTINGS!$C$13)))</f>
        <v/>
      </c>
      <c r="T600" s="34" t="str">
        <f aca="true">IF($H600="","(chưa có nội dung)",IF($L600="",IF($C600&lt;TODAY(),"⚠ TRỄ HỌC",IF($C600=TODAY(),"★ HỌC HÔM NAY","• Chưa tới")),IF($R600&gt;=5,"✔ MASTER",IF($S600&lt;TODAY(),"⚠ TRỄ ÔN",IF($S600=TODAY(),"◆ ÔN HÔM NAY","✔ Đúng tiến độ")))))</f>
        <v>• Chưa tới</v>
      </c>
      <c r="U600" s="38" t="n">
        <f aca="false">IF($H600="","",$R600/5)</f>
        <v>0</v>
      </c>
    </row>
    <row r="601" customFormat="false" ht="15" hidden="false" customHeight="false" outlineLevel="0" collapsed="false">
      <c r="A601" s="31" t="s">
        <v>3680</v>
      </c>
      <c r="B601" s="31" t="n">
        <v>30</v>
      </c>
      <c r="C601" s="32" t="n">
        <f aca="false">SETTINGS!$C$3+$B601-1</f>
        <v>46329</v>
      </c>
      <c r="D601" s="39" t="s">
        <v>1947</v>
      </c>
      <c r="E601" s="34" t="s">
        <v>3579</v>
      </c>
      <c r="F601" s="34" t="s">
        <v>497</v>
      </c>
      <c r="G601" s="34" t="s">
        <v>1080</v>
      </c>
      <c r="H601" s="35" t="s">
        <v>3681</v>
      </c>
      <c r="I601" s="36" t="s">
        <v>3682</v>
      </c>
      <c r="J601" s="34" t="s">
        <v>3683</v>
      </c>
      <c r="K601" s="34" t="s">
        <v>3684</v>
      </c>
      <c r="L601" s="37"/>
      <c r="M601" s="37"/>
      <c r="N601" s="37"/>
      <c r="O601" s="37"/>
      <c r="P601" s="37"/>
      <c r="Q601" s="37"/>
      <c r="R601" s="31" t="n">
        <f aca="false">COUNT($M601:$Q601)</f>
        <v>0</v>
      </c>
      <c r="S601" s="32" t="str">
        <f aca="false">IF($L601="","",IF($R601&gt;=5,"",MAX($L601:$Q601)+CHOOSE($R601+1,SETTINGS!$C$9,SETTINGS!$C$10,SETTINGS!$C$11,SETTINGS!$C$12,SETTINGS!$C$13)))</f>
        <v/>
      </c>
      <c r="T601" s="34" t="str">
        <f aca="true">IF($H601="","(chưa có nội dung)",IF($L601="",IF($C601&lt;TODAY(),"⚠ TRỄ HỌC",IF($C601=TODAY(),"★ HỌC HÔM NAY","• Chưa tới")),IF($R601&gt;=5,"✔ MASTER",IF($S601&lt;TODAY(),"⚠ TRỄ ÔN",IF($S601=TODAY(),"◆ ÔN HÔM NAY","✔ Đúng tiến độ")))))</f>
        <v>• Chưa tới</v>
      </c>
      <c r="U601" s="38" t="n">
        <f aca="false">IF($H601="","",$R601/5)</f>
        <v>0</v>
      </c>
    </row>
    <row r="602" customFormat="false" ht="15" hidden="false" customHeight="false" outlineLevel="0" collapsed="false">
      <c r="A602" s="31" t="s">
        <v>3685</v>
      </c>
      <c r="B602" s="31" t="n">
        <v>30</v>
      </c>
      <c r="C602" s="32" t="n">
        <f aca="false">SETTINGS!$C$3+$B602-1</f>
        <v>46329</v>
      </c>
      <c r="D602" s="39" t="s">
        <v>1947</v>
      </c>
      <c r="E602" s="34" t="s">
        <v>3579</v>
      </c>
      <c r="F602" s="34" t="s">
        <v>156</v>
      </c>
      <c r="G602" s="34" t="s">
        <v>3686</v>
      </c>
      <c r="H602" s="35" t="s">
        <v>3687</v>
      </c>
      <c r="I602" s="36" t="s">
        <v>3688</v>
      </c>
      <c r="J602" s="34" t="s">
        <v>3689</v>
      </c>
      <c r="K602" s="34" t="s">
        <v>3690</v>
      </c>
      <c r="L602" s="37"/>
      <c r="M602" s="37"/>
      <c r="N602" s="37"/>
      <c r="O602" s="37"/>
      <c r="P602" s="37"/>
      <c r="Q602" s="37"/>
      <c r="R602" s="31" t="n">
        <f aca="false">COUNT($M602:$Q602)</f>
        <v>0</v>
      </c>
      <c r="S602" s="32" t="str">
        <f aca="false">IF($L602="","",IF($R602&gt;=5,"",MAX($L602:$Q602)+CHOOSE($R602+1,SETTINGS!$C$9,SETTINGS!$C$10,SETTINGS!$C$11,SETTINGS!$C$12,SETTINGS!$C$13)))</f>
        <v/>
      </c>
      <c r="T602" s="34" t="str">
        <f aca="true">IF($H602="","(chưa có nội dung)",IF($L602="",IF($C602&lt;TODAY(),"⚠ TRỄ HỌC",IF($C602=TODAY(),"★ HỌC HÔM NAY","• Chưa tới")),IF($R602&gt;=5,"✔ MASTER",IF($S602&lt;TODAY(),"⚠ TRỄ ÔN",IF($S602=TODAY(),"◆ ÔN HÔM NAY","✔ Đúng tiến độ")))))</f>
        <v>• Chưa tới</v>
      </c>
      <c r="U602" s="38" t="n">
        <f aca="false">IF($H602="","",$R602/5)</f>
        <v>0</v>
      </c>
    </row>
    <row r="603" customFormat="false" ht="15" hidden="false" customHeight="false" outlineLevel="0" collapsed="false">
      <c r="A603" s="31" t="s">
        <v>3691</v>
      </c>
      <c r="B603" s="31" t="n">
        <v>31</v>
      </c>
      <c r="C603" s="32" t="n">
        <f aca="false">SETTINGS!$C$3+$B603-1</f>
        <v>46330</v>
      </c>
      <c r="D603" s="40" t="s">
        <v>3692</v>
      </c>
      <c r="E603" s="34" t="s">
        <v>3693</v>
      </c>
      <c r="F603" s="34" t="s">
        <v>3694</v>
      </c>
      <c r="G603" s="34" t="s">
        <v>3695</v>
      </c>
      <c r="H603" s="35" t="s">
        <v>3696</v>
      </c>
      <c r="I603" s="36" t="s">
        <v>3697</v>
      </c>
      <c r="J603" s="34" t="s">
        <v>3698</v>
      </c>
      <c r="K603" s="34" t="s">
        <v>3699</v>
      </c>
      <c r="L603" s="37"/>
      <c r="M603" s="37"/>
      <c r="N603" s="37"/>
      <c r="O603" s="37"/>
      <c r="P603" s="37"/>
      <c r="Q603" s="37"/>
      <c r="R603" s="31" t="n">
        <f aca="false">COUNT($M603:$Q603)</f>
        <v>0</v>
      </c>
      <c r="S603" s="32" t="str">
        <f aca="false">IF($L603="","",IF($R603&gt;=5,"",MAX($L603:$Q603)+CHOOSE($R603+1,SETTINGS!$C$9,SETTINGS!$C$10,SETTINGS!$C$11,SETTINGS!$C$12,SETTINGS!$C$13)))</f>
        <v/>
      </c>
      <c r="T603" s="34" t="str">
        <f aca="true">IF($H603="","(chưa có nội dung)",IF($L603="",IF($C603&lt;TODAY(),"⚠ TRỄ HỌC",IF($C603=TODAY(),"★ HỌC HÔM NAY","• Chưa tới")),IF($R603&gt;=5,"✔ MASTER",IF($S603&lt;TODAY(),"⚠ TRỄ ÔN",IF($S603=TODAY(),"◆ ÔN HÔM NAY","✔ Đúng tiến độ")))))</f>
        <v>• Chưa tới</v>
      </c>
      <c r="U603" s="38" t="n">
        <f aca="false">IF($H603="","",$R603/5)</f>
        <v>0</v>
      </c>
    </row>
    <row r="604" customFormat="false" ht="23.85" hidden="false" customHeight="false" outlineLevel="0" collapsed="false">
      <c r="A604" s="31" t="s">
        <v>3700</v>
      </c>
      <c r="B604" s="31" t="n">
        <v>31</v>
      </c>
      <c r="C604" s="32" t="n">
        <f aca="false">SETTINGS!$C$3+$B604-1</f>
        <v>46330</v>
      </c>
      <c r="D604" s="40" t="s">
        <v>3692</v>
      </c>
      <c r="E604" s="34" t="s">
        <v>3693</v>
      </c>
      <c r="F604" s="34" t="s">
        <v>3694</v>
      </c>
      <c r="G604" s="34" t="s">
        <v>3701</v>
      </c>
      <c r="H604" s="35" t="s">
        <v>3702</v>
      </c>
      <c r="I604" s="36" t="s">
        <v>3703</v>
      </c>
      <c r="J604" s="34" t="s">
        <v>3704</v>
      </c>
      <c r="K604" s="34" t="s">
        <v>3705</v>
      </c>
      <c r="L604" s="37"/>
      <c r="M604" s="37"/>
      <c r="N604" s="37"/>
      <c r="O604" s="37"/>
      <c r="P604" s="37"/>
      <c r="Q604" s="37"/>
      <c r="R604" s="31" t="n">
        <f aca="false">COUNT($M604:$Q604)</f>
        <v>0</v>
      </c>
      <c r="S604" s="32" t="str">
        <f aca="false">IF($L604="","",IF($R604&gt;=5,"",MAX($L604:$Q604)+CHOOSE($R604+1,SETTINGS!$C$9,SETTINGS!$C$10,SETTINGS!$C$11,SETTINGS!$C$12,SETTINGS!$C$13)))</f>
        <v/>
      </c>
      <c r="T604" s="34" t="str">
        <f aca="true">IF($H604="","(chưa có nội dung)",IF($L604="",IF($C604&lt;TODAY(),"⚠ TRỄ HỌC",IF($C604=TODAY(),"★ HỌC HÔM NAY","• Chưa tới")),IF($R604&gt;=5,"✔ MASTER",IF($S604&lt;TODAY(),"⚠ TRỄ ÔN",IF($S604=TODAY(),"◆ ÔN HÔM NAY","✔ Đúng tiến độ")))))</f>
        <v>• Chưa tới</v>
      </c>
      <c r="U604" s="38" t="n">
        <f aca="false">IF($H604="","",$R604/5)</f>
        <v>0</v>
      </c>
    </row>
    <row r="605" customFormat="false" ht="15" hidden="false" customHeight="false" outlineLevel="0" collapsed="false">
      <c r="A605" s="31" t="s">
        <v>3706</v>
      </c>
      <c r="B605" s="31" t="n">
        <v>31</v>
      </c>
      <c r="C605" s="32" t="n">
        <f aca="false">SETTINGS!$C$3+$B605-1</f>
        <v>46330</v>
      </c>
      <c r="D605" s="40" t="s">
        <v>3692</v>
      </c>
      <c r="E605" s="34" t="s">
        <v>3693</v>
      </c>
      <c r="F605" s="34" t="s">
        <v>3694</v>
      </c>
      <c r="G605" s="34" t="s">
        <v>3707</v>
      </c>
      <c r="H605" s="35" t="s">
        <v>3708</v>
      </c>
      <c r="I605" s="36" t="s">
        <v>3709</v>
      </c>
      <c r="J605" s="34" t="s">
        <v>3710</v>
      </c>
      <c r="K605" s="34" t="s">
        <v>3711</v>
      </c>
      <c r="L605" s="37"/>
      <c r="M605" s="37"/>
      <c r="N605" s="37"/>
      <c r="O605" s="37"/>
      <c r="P605" s="37"/>
      <c r="Q605" s="37"/>
      <c r="R605" s="31" t="n">
        <f aca="false">COUNT($M605:$Q605)</f>
        <v>0</v>
      </c>
      <c r="S605" s="32" t="str">
        <f aca="false">IF($L605="","",IF($R605&gt;=5,"",MAX($L605:$Q605)+CHOOSE($R605+1,SETTINGS!$C$9,SETTINGS!$C$10,SETTINGS!$C$11,SETTINGS!$C$12,SETTINGS!$C$13)))</f>
        <v/>
      </c>
      <c r="T605" s="34" t="str">
        <f aca="true">IF($H605="","(chưa có nội dung)",IF($L605="",IF($C605&lt;TODAY(),"⚠ TRỄ HỌC",IF($C605=TODAY(),"★ HỌC HÔM NAY","• Chưa tới")),IF($R605&gt;=5,"✔ MASTER",IF($S605&lt;TODAY(),"⚠ TRỄ ÔN",IF($S605=TODAY(),"◆ ÔN HÔM NAY","✔ Đúng tiến độ")))))</f>
        <v>• Chưa tới</v>
      </c>
      <c r="U605" s="38" t="n">
        <f aca="false">IF($H605="","",$R605/5)</f>
        <v>0</v>
      </c>
    </row>
    <row r="606" customFormat="false" ht="15" hidden="false" customHeight="false" outlineLevel="0" collapsed="false">
      <c r="A606" s="31" t="s">
        <v>3712</v>
      </c>
      <c r="B606" s="31" t="n">
        <v>31</v>
      </c>
      <c r="C606" s="32" t="n">
        <f aca="false">SETTINGS!$C$3+$B606-1</f>
        <v>46330</v>
      </c>
      <c r="D606" s="40" t="s">
        <v>3692</v>
      </c>
      <c r="E606" s="34" t="s">
        <v>3693</v>
      </c>
      <c r="F606" s="34" t="s">
        <v>3694</v>
      </c>
      <c r="G606" s="34" t="s">
        <v>3713</v>
      </c>
      <c r="H606" s="35" t="s">
        <v>3714</v>
      </c>
      <c r="I606" s="36" t="s">
        <v>3715</v>
      </c>
      <c r="J606" s="34" t="s">
        <v>3716</v>
      </c>
      <c r="K606" s="34" t="s">
        <v>3717</v>
      </c>
      <c r="L606" s="37"/>
      <c r="M606" s="37"/>
      <c r="N606" s="37"/>
      <c r="O606" s="37"/>
      <c r="P606" s="37"/>
      <c r="Q606" s="37"/>
      <c r="R606" s="31" t="n">
        <f aca="false">COUNT($M606:$Q606)</f>
        <v>0</v>
      </c>
      <c r="S606" s="32" t="str">
        <f aca="false">IF($L606="","",IF($R606&gt;=5,"",MAX($L606:$Q606)+CHOOSE($R606+1,SETTINGS!$C$9,SETTINGS!$C$10,SETTINGS!$C$11,SETTINGS!$C$12,SETTINGS!$C$13)))</f>
        <v/>
      </c>
      <c r="T606" s="34" t="str">
        <f aca="true">IF($H606="","(chưa có nội dung)",IF($L606="",IF($C606&lt;TODAY(),"⚠ TRỄ HỌC",IF($C606=TODAY(),"★ HỌC HÔM NAY","• Chưa tới")),IF($R606&gt;=5,"✔ MASTER",IF($S606&lt;TODAY(),"⚠ TRỄ ÔN",IF($S606=TODAY(),"◆ ÔN HÔM NAY","✔ Đúng tiến độ")))))</f>
        <v>• Chưa tới</v>
      </c>
      <c r="U606" s="38" t="n">
        <f aca="false">IF($H606="","",$R606/5)</f>
        <v>0</v>
      </c>
    </row>
    <row r="607" customFormat="false" ht="15" hidden="false" customHeight="false" outlineLevel="0" collapsed="false">
      <c r="A607" s="31" t="s">
        <v>3718</v>
      </c>
      <c r="B607" s="31" t="n">
        <v>31</v>
      </c>
      <c r="C607" s="32" t="n">
        <f aca="false">SETTINGS!$C$3+$B607-1</f>
        <v>46330</v>
      </c>
      <c r="D607" s="40" t="s">
        <v>3692</v>
      </c>
      <c r="E607" s="34" t="s">
        <v>3693</v>
      </c>
      <c r="F607" s="34" t="s">
        <v>3694</v>
      </c>
      <c r="G607" s="34" t="s">
        <v>3719</v>
      </c>
      <c r="H607" s="35" t="s">
        <v>3720</v>
      </c>
      <c r="I607" s="36" t="s">
        <v>3721</v>
      </c>
      <c r="J607" s="34" t="s">
        <v>3722</v>
      </c>
      <c r="K607" s="34" t="s">
        <v>3723</v>
      </c>
      <c r="L607" s="37"/>
      <c r="M607" s="37"/>
      <c r="N607" s="37"/>
      <c r="O607" s="37"/>
      <c r="P607" s="37"/>
      <c r="Q607" s="37"/>
      <c r="R607" s="31" t="n">
        <f aca="false">COUNT($M607:$Q607)</f>
        <v>0</v>
      </c>
      <c r="S607" s="32" t="str">
        <f aca="false">IF($L607="","",IF($R607&gt;=5,"",MAX($L607:$Q607)+CHOOSE($R607+1,SETTINGS!$C$9,SETTINGS!$C$10,SETTINGS!$C$11,SETTINGS!$C$12,SETTINGS!$C$13)))</f>
        <v/>
      </c>
      <c r="T607" s="34" t="str">
        <f aca="true">IF($H607="","(chưa có nội dung)",IF($L607="",IF($C607&lt;TODAY(),"⚠ TRỄ HỌC",IF($C607=TODAY(),"★ HỌC HÔM NAY","• Chưa tới")),IF($R607&gt;=5,"✔ MASTER",IF($S607&lt;TODAY(),"⚠ TRỄ ÔN",IF($S607=TODAY(),"◆ ÔN HÔM NAY","✔ Đúng tiến độ")))))</f>
        <v>• Chưa tới</v>
      </c>
      <c r="U607" s="38" t="n">
        <f aca="false">IF($H607="","",$R607/5)</f>
        <v>0</v>
      </c>
    </row>
    <row r="608" customFormat="false" ht="15" hidden="false" customHeight="false" outlineLevel="0" collapsed="false">
      <c r="A608" s="31" t="s">
        <v>3724</v>
      </c>
      <c r="B608" s="31" t="n">
        <v>31</v>
      </c>
      <c r="C608" s="32" t="n">
        <f aca="false">SETTINGS!$C$3+$B608-1</f>
        <v>46330</v>
      </c>
      <c r="D608" s="40" t="s">
        <v>3692</v>
      </c>
      <c r="E608" s="34" t="s">
        <v>3693</v>
      </c>
      <c r="F608" s="34" t="s">
        <v>3694</v>
      </c>
      <c r="G608" s="34" t="s">
        <v>3725</v>
      </c>
      <c r="H608" s="35" t="s">
        <v>3726</v>
      </c>
      <c r="I608" s="36" t="s">
        <v>3727</v>
      </c>
      <c r="J608" s="34" t="s">
        <v>3728</v>
      </c>
      <c r="K608" s="34" t="s">
        <v>3729</v>
      </c>
      <c r="L608" s="37"/>
      <c r="M608" s="37"/>
      <c r="N608" s="37"/>
      <c r="O608" s="37"/>
      <c r="P608" s="37"/>
      <c r="Q608" s="37"/>
      <c r="R608" s="31" t="n">
        <f aca="false">COUNT($M608:$Q608)</f>
        <v>0</v>
      </c>
      <c r="S608" s="32" t="str">
        <f aca="false">IF($L608="","",IF($R608&gt;=5,"",MAX($L608:$Q608)+CHOOSE($R608+1,SETTINGS!$C$9,SETTINGS!$C$10,SETTINGS!$C$11,SETTINGS!$C$12,SETTINGS!$C$13)))</f>
        <v/>
      </c>
      <c r="T608" s="34" t="str">
        <f aca="true">IF($H608="","(chưa có nội dung)",IF($L608="",IF($C608&lt;TODAY(),"⚠ TRỄ HỌC",IF($C608=TODAY(),"★ HỌC HÔM NAY","• Chưa tới")),IF($R608&gt;=5,"✔ MASTER",IF($S608&lt;TODAY(),"⚠ TRỄ ÔN",IF($S608=TODAY(),"◆ ÔN HÔM NAY","✔ Đúng tiến độ")))))</f>
        <v>• Chưa tới</v>
      </c>
      <c r="U608" s="38" t="n">
        <f aca="false">IF($H608="","",$R608/5)</f>
        <v>0</v>
      </c>
    </row>
    <row r="609" customFormat="false" ht="15" hidden="false" customHeight="false" outlineLevel="0" collapsed="false">
      <c r="A609" s="31" t="s">
        <v>3730</v>
      </c>
      <c r="B609" s="31" t="n">
        <v>31</v>
      </c>
      <c r="C609" s="32" t="n">
        <f aca="false">SETTINGS!$C$3+$B609-1</f>
        <v>46330</v>
      </c>
      <c r="D609" s="40" t="s">
        <v>3692</v>
      </c>
      <c r="E609" s="34" t="s">
        <v>3693</v>
      </c>
      <c r="F609" s="34" t="s">
        <v>3694</v>
      </c>
      <c r="G609" s="34" t="s">
        <v>3731</v>
      </c>
      <c r="H609" s="35" t="s">
        <v>3732</v>
      </c>
      <c r="I609" s="36" t="s">
        <v>3733</v>
      </c>
      <c r="J609" s="34" t="s">
        <v>3734</v>
      </c>
      <c r="K609" s="34" t="s">
        <v>3735</v>
      </c>
      <c r="L609" s="37"/>
      <c r="M609" s="37"/>
      <c r="N609" s="37"/>
      <c r="O609" s="37"/>
      <c r="P609" s="37"/>
      <c r="Q609" s="37"/>
      <c r="R609" s="31" t="n">
        <f aca="false">COUNT($M609:$Q609)</f>
        <v>0</v>
      </c>
      <c r="S609" s="32" t="str">
        <f aca="false">IF($L609="","",IF($R609&gt;=5,"",MAX($L609:$Q609)+CHOOSE($R609+1,SETTINGS!$C$9,SETTINGS!$C$10,SETTINGS!$C$11,SETTINGS!$C$12,SETTINGS!$C$13)))</f>
        <v/>
      </c>
      <c r="T609" s="34" t="str">
        <f aca="true">IF($H609="","(chưa có nội dung)",IF($L609="",IF($C609&lt;TODAY(),"⚠ TRỄ HỌC",IF($C609=TODAY(),"★ HỌC HÔM NAY","• Chưa tới")),IF($R609&gt;=5,"✔ MASTER",IF($S609&lt;TODAY(),"⚠ TRỄ ÔN",IF($S609=TODAY(),"◆ ÔN HÔM NAY","✔ Đúng tiến độ")))))</f>
        <v>• Chưa tới</v>
      </c>
      <c r="U609" s="38" t="n">
        <f aca="false">IF($H609="","",$R609/5)</f>
        <v>0</v>
      </c>
    </row>
    <row r="610" customFormat="false" ht="23.85" hidden="false" customHeight="false" outlineLevel="0" collapsed="false">
      <c r="A610" s="31" t="s">
        <v>3736</v>
      </c>
      <c r="B610" s="31" t="n">
        <v>31</v>
      </c>
      <c r="C610" s="32" t="n">
        <f aca="false">SETTINGS!$C$3+$B610-1</f>
        <v>46330</v>
      </c>
      <c r="D610" s="40" t="s">
        <v>3692</v>
      </c>
      <c r="E610" s="34" t="s">
        <v>3693</v>
      </c>
      <c r="F610" s="34" t="s">
        <v>3694</v>
      </c>
      <c r="G610" s="34" t="s">
        <v>3737</v>
      </c>
      <c r="H610" s="35" t="s">
        <v>3738</v>
      </c>
      <c r="I610" s="36" t="s">
        <v>3739</v>
      </c>
      <c r="J610" s="34" t="s">
        <v>3740</v>
      </c>
      <c r="K610" s="34" t="s">
        <v>2230</v>
      </c>
      <c r="L610" s="37"/>
      <c r="M610" s="37"/>
      <c r="N610" s="37"/>
      <c r="O610" s="37"/>
      <c r="P610" s="37"/>
      <c r="Q610" s="37"/>
      <c r="R610" s="31" t="n">
        <f aca="false">COUNT($M610:$Q610)</f>
        <v>0</v>
      </c>
      <c r="S610" s="32" t="str">
        <f aca="false">IF($L610="","",IF($R610&gt;=5,"",MAX($L610:$Q610)+CHOOSE($R610+1,SETTINGS!$C$9,SETTINGS!$C$10,SETTINGS!$C$11,SETTINGS!$C$12,SETTINGS!$C$13)))</f>
        <v/>
      </c>
      <c r="T610" s="34" t="str">
        <f aca="true">IF($H610="","(chưa có nội dung)",IF($L610="",IF($C610&lt;TODAY(),"⚠ TRỄ HỌC",IF($C610=TODAY(),"★ HỌC HÔM NAY","• Chưa tới")),IF($R610&gt;=5,"✔ MASTER",IF($S610&lt;TODAY(),"⚠ TRỄ ÔN",IF($S610=TODAY(),"◆ ÔN HÔM NAY","✔ Đúng tiến độ")))))</f>
        <v>• Chưa tới</v>
      </c>
      <c r="U610" s="38" t="n">
        <f aca="false">IF($H610="","",$R610/5)</f>
        <v>0</v>
      </c>
    </row>
    <row r="611" customFormat="false" ht="15" hidden="false" customHeight="false" outlineLevel="0" collapsed="false">
      <c r="A611" s="31" t="s">
        <v>3741</v>
      </c>
      <c r="B611" s="31" t="n">
        <v>31</v>
      </c>
      <c r="C611" s="32" t="n">
        <f aca="false">SETTINGS!$C$3+$B611-1</f>
        <v>46330</v>
      </c>
      <c r="D611" s="40" t="s">
        <v>3692</v>
      </c>
      <c r="E611" s="34" t="s">
        <v>3693</v>
      </c>
      <c r="F611" s="34" t="s">
        <v>3694</v>
      </c>
      <c r="G611" s="34" t="s">
        <v>3742</v>
      </c>
      <c r="H611" s="35" t="s">
        <v>3743</v>
      </c>
      <c r="I611" s="36" t="s">
        <v>3744</v>
      </c>
      <c r="J611" s="34" t="s">
        <v>3745</v>
      </c>
      <c r="K611" s="34" t="s">
        <v>3746</v>
      </c>
      <c r="L611" s="37"/>
      <c r="M611" s="37"/>
      <c r="N611" s="37"/>
      <c r="O611" s="37"/>
      <c r="P611" s="37"/>
      <c r="Q611" s="37"/>
      <c r="R611" s="31" t="n">
        <f aca="false">COUNT($M611:$Q611)</f>
        <v>0</v>
      </c>
      <c r="S611" s="32" t="str">
        <f aca="false">IF($L611="","",IF($R611&gt;=5,"",MAX($L611:$Q611)+CHOOSE($R611+1,SETTINGS!$C$9,SETTINGS!$C$10,SETTINGS!$C$11,SETTINGS!$C$12,SETTINGS!$C$13)))</f>
        <v/>
      </c>
      <c r="T611" s="34" t="str">
        <f aca="true">IF($H611="","(chưa có nội dung)",IF($L611="",IF($C611&lt;TODAY(),"⚠ TRỄ HỌC",IF($C611=TODAY(),"★ HỌC HÔM NAY","• Chưa tới")),IF($R611&gt;=5,"✔ MASTER",IF($S611&lt;TODAY(),"⚠ TRỄ ÔN",IF($S611=TODAY(),"◆ ÔN HÔM NAY","✔ Đúng tiến độ")))))</f>
        <v>• Chưa tới</v>
      </c>
      <c r="U611" s="38" t="n">
        <f aca="false">IF($H611="","",$R611/5)</f>
        <v>0</v>
      </c>
    </row>
    <row r="612" customFormat="false" ht="15" hidden="false" customHeight="false" outlineLevel="0" collapsed="false">
      <c r="A612" s="31" t="s">
        <v>3747</v>
      </c>
      <c r="B612" s="31" t="n">
        <v>31</v>
      </c>
      <c r="C612" s="32" t="n">
        <f aca="false">SETTINGS!$C$3+$B612-1</f>
        <v>46330</v>
      </c>
      <c r="D612" s="40" t="s">
        <v>3692</v>
      </c>
      <c r="E612" s="34" t="s">
        <v>3693</v>
      </c>
      <c r="F612" s="34" t="s">
        <v>3694</v>
      </c>
      <c r="G612" s="34" t="s">
        <v>3748</v>
      </c>
      <c r="H612" s="35" t="s">
        <v>3749</v>
      </c>
      <c r="I612" s="36" t="s">
        <v>3750</v>
      </c>
      <c r="J612" s="34" t="s">
        <v>3751</v>
      </c>
      <c r="K612" s="34" t="s">
        <v>3752</v>
      </c>
      <c r="L612" s="37"/>
      <c r="M612" s="37"/>
      <c r="N612" s="37"/>
      <c r="O612" s="37"/>
      <c r="P612" s="37"/>
      <c r="Q612" s="37"/>
      <c r="R612" s="31" t="n">
        <f aca="false">COUNT($M612:$Q612)</f>
        <v>0</v>
      </c>
      <c r="S612" s="32" t="str">
        <f aca="false">IF($L612="","",IF($R612&gt;=5,"",MAX($L612:$Q612)+CHOOSE($R612+1,SETTINGS!$C$9,SETTINGS!$C$10,SETTINGS!$C$11,SETTINGS!$C$12,SETTINGS!$C$13)))</f>
        <v/>
      </c>
      <c r="T612" s="34" t="str">
        <f aca="true">IF($H612="","(chưa có nội dung)",IF($L612="",IF($C612&lt;TODAY(),"⚠ TRỄ HỌC",IF($C612=TODAY(),"★ HỌC HÔM NAY","• Chưa tới")),IF($R612&gt;=5,"✔ MASTER",IF($S612&lt;TODAY(),"⚠ TRỄ ÔN",IF($S612=TODAY(),"◆ ÔN HÔM NAY","✔ Đúng tiến độ")))))</f>
        <v>• Chưa tới</v>
      </c>
      <c r="U612" s="38" t="n">
        <f aca="false">IF($H612="","",$R612/5)</f>
        <v>0</v>
      </c>
    </row>
    <row r="613" customFormat="false" ht="15" hidden="false" customHeight="false" outlineLevel="0" collapsed="false">
      <c r="A613" s="31" t="s">
        <v>3753</v>
      </c>
      <c r="B613" s="31" t="n">
        <v>31</v>
      </c>
      <c r="C613" s="32" t="n">
        <f aca="false">SETTINGS!$C$3+$B613-1</f>
        <v>46330</v>
      </c>
      <c r="D613" s="40" t="s">
        <v>3692</v>
      </c>
      <c r="E613" s="34" t="s">
        <v>3693</v>
      </c>
      <c r="F613" s="34" t="s">
        <v>3694</v>
      </c>
      <c r="G613" s="34" t="s">
        <v>3754</v>
      </c>
      <c r="H613" s="35" t="s">
        <v>3755</v>
      </c>
      <c r="I613" s="36" t="s">
        <v>3756</v>
      </c>
      <c r="J613" s="34" t="s">
        <v>3757</v>
      </c>
      <c r="K613" s="34" t="s">
        <v>3758</v>
      </c>
      <c r="L613" s="37"/>
      <c r="M613" s="37"/>
      <c r="N613" s="37"/>
      <c r="O613" s="37"/>
      <c r="P613" s="37"/>
      <c r="Q613" s="37"/>
      <c r="R613" s="31" t="n">
        <f aca="false">COUNT($M613:$Q613)</f>
        <v>0</v>
      </c>
      <c r="S613" s="32" t="str">
        <f aca="false">IF($L613="","",IF($R613&gt;=5,"",MAX($L613:$Q613)+CHOOSE($R613+1,SETTINGS!$C$9,SETTINGS!$C$10,SETTINGS!$C$11,SETTINGS!$C$12,SETTINGS!$C$13)))</f>
        <v/>
      </c>
      <c r="T613" s="34" t="str">
        <f aca="true">IF($H613="","(chưa có nội dung)",IF($L613="",IF($C613&lt;TODAY(),"⚠ TRỄ HỌC",IF($C613=TODAY(),"★ HỌC HÔM NAY","• Chưa tới")),IF($R613&gt;=5,"✔ MASTER",IF($S613&lt;TODAY(),"⚠ TRỄ ÔN",IF($S613=TODAY(),"◆ ÔN HÔM NAY","✔ Đúng tiến độ")))))</f>
        <v>• Chưa tới</v>
      </c>
      <c r="U613" s="38" t="n">
        <f aca="false">IF($H613="","",$R613/5)</f>
        <v>0</v>
      </c>
    </row>
    <row r="614" customFormat="false" ht="15" hidden="false" customHeight="false" outlineLevel="0" collapsed="false">
      <c r="A614" s="31" t="s">
        <v>3759</v>
      </c>
      <c r="B614" s="31" t="n">
        <v>31</v>
      </c>
      <c r="C614" s="32" t="n">
        <f aca="false">SETTINGS!$C$3+$B614-1</f>
        <v>46330</v>
      </c>
      <c r="D614" s="40" t="s">
        <v>3692</v>
      </c>
      <c r="E614" s="34" t="s">
        <v>3693</v>
      </c>
      <c r="F614" s="34" t="s">
        <v>3694</v>
      </c>
      <c r="G614" s="34" t="s">
        <v>3760</v>
      </c>
      <c r="H614" s="35" t="s">
        <v>3761</v>
      </c>
      <c r="I614" s="36" t="s">
        <v>3762</v>
      </c>
      <c r="J614" s="34" t="s">
        <v>3763</v>
      </c>
      <c r="K614" s="34" t="s">
        <v>3764</v>
      </c>
      <c r="L614" s="37"/>
      <c r="M614" s="37"/>
      <c r="N614" s="37"/>
      <c r="O614" s="37"/>
      <c r="P614" s="37"/>
      <c r="Q614" s="37"/>
      <c r="R614" s="31" t="n">
        <f aca="false">COUNT($M614:$Q614)</f>
        <v>0</v>
      </c>
      <c r="S614" s="32" t="str">
        <f aca="false">IF($L614="","",IF($R614&gt;=5,"",MAX($L614:$Q614)+CHOOSE($R614+1,SETTINGS!$C$9,SETTINGS!$C$10,SETTINGS!$C$11,SETTINGS!$C$12,SETTINGS!$C$13)))</f>
        <v/>
      </c>
      <c r="T614" s="34" t="str">
        <f aca="true">IF($H614="","(chưa có nội dung)",IF($L614="",IF($C614&lt;TODAY(),"⚠ TRỄ HỌC",IF($C614=TODAY(),"★ HỌC HÔM NAY","• Chưa tới")),IF($R614&gt;=5,"✔ MASTER",IF($S614&lt;TODAY(),"⚠ TRỄ ÔN",IF($S614=TODAY(),"◆ ÔN HÔM NAY","✔ Đúng tiến độ")))))</f>
        <v>• Chưa tới</v>
      </c>
      <c r="U614" s="38" t="n">
        <f aca="false">IF($H614="","",$R614/5)</f>
        <v>0</v>
      </c>
    </row>
    <row r="615" customFormat="false" ht="15" hidden="false" customHeight="false" outlineLevel="0" collapsed="false">
      <c r="A615" s="31" t="s">
        <v>3765</v>
      </c>
      <c r="B615" s="31" t="n">
        <v>31</v>
      </c>
      <c r="C615" s="32" t="n">
        <f aca="false">SETTINGS!$C$3+$B615-1</f>
        <v>46330</v>
      </c>
      <c r="D615" s="40" t="s">
        <v>3692</v>
      </c>
      <c r="E615" s="34" t="s">
        <v>3693</v>
      </c>
      <c r="F615" s="34" t="s">
        <v>3694</v>
      </c>
      <c r="G615" s="34" t="s">
        <v>3766</v>
      </c>
      <c r="H615" s="35" t="s">
        <v>3767</v>
      </c>
      <c r="I615" s="36" t="s">
        <v>3768</v>
      </c>
      <c r="J615" s="34" t="s">
        <v>3769</v>
      </c>
      <c r="K615" s="34" t="s">
        <v>3770</v>
      </c>
      <c r="L615" s="37"/>
      <c r="M615" s="37"/>
      <c r="N615" s="37"/>
      <c r="O615" s="37"/>
      <c r="P615" s="37"/>
      <c r="Q615" s="37"/>
      <c r="R615" s="31" t="n">
        <f aca="false">COUNT($M615:$Q615)</f>
        <v>0</v>
      </c>
      <c r="S615" s="32" t="str">
        <f aca="false">IF($L615="","",IF($R615&gt;=5,"",MAX($L615:$Q615)+CHOOSE($R615+1,SETTINGS!$C$9,SETTINGS!$C$10,SETTINGS!$C$11,SETTINGS!$C$12,SETTINGS!$C$13)))</f>
        <v/>
      </c>
      <c r="T615" s="34" t="str">
        <f aca="true">IF($H615="","(chưa có nội dung)",IF($L615="",IF($C615&lt;TODAY(),"⚠ TRỄ HỌC",IF($C615=TODAY(),"★ HỌC HÔM NAY","• Chưa tới")),IF($R615&gt;=5,"✔ MASTER",IF($S615&lt;TODAY(),"⚠ TRỄ ÔN",IF($S615=TODAY(),"◆ ÔN HÔM NAY","✔ Đúng tiến độ")))))</f>
        <v>• Chưa tới</v>
      </c>
      <c r="U615" s="38" t="n">
        <f aca="false">IF($H615="","",$R615/5)</f>
        <v>0</v>
      </c>
    </row>
    <row r="616" customFormat="false" ht="15" hidden="false" customHeight="false" outlineLevel="0" collapsed="false">
      <c r="A616" s="31" t="s">
        <v>3771</v>
      </c>
      <c r="B616" s="31" t="n">
        <v>31</v>
      </c>
      <c r="C616" s="32" t="n">
        <f aca="false">SETTINGS!$C$3+$B616-1</f>
        <v>46330</v>
      </c>
      <c r="D616" s="40" t="s">
        <v>3692</v>
      </c>
      <c r="E616" s="34" t="s">
        <v>3693</v>
      </c>
      <c r="F616" s="34" t="s">
        <v>3694</v>
      </c>
      <c r="G616" s="34" t="s">
        <v>3772</v>
      </c>
      <c r="H616" s="35" t="s">
        <v>3773</v>
      </c>
      <c r="I616" s="36" t="s">
        <v>3774</v>
      </c>
      <c r="J616" s="34" t="s">
        <v>3775</v>
      </c>
      <c r="K616" s="34" t="s">
        <v>3776</v>
      </c>
      <c r="L616" s="37"/>
      <c r="M616" s="37"/>
      <c r="N616" s="37"/>
      <c r="O616" s="37"/>
      <c r="P616" s="37"/>
      <c r="Q616" s="37"/>
      <c r="R616" s="31" t="n">
        <f aca="false">COUNT($M616:$Q616)</f>
        <v>0</v>
      </c>
      <c r="S616" s="32" t="str">
        <f aca="false">IF($L616="","",IF($R616&gt;=5,"",MAX($L616:$Q616)+CHOOSE($R616+1,SETTINGS!$C$9,SETTINGS!$C$10,SETTINGS!$C$11,SETTINGS!$C$12,SETTINGS!$C$13)))</f>
        <v/>
      </c>
      <c r="T616" s="34" t="str">
        <f aca="true">IF($H616="","(chưa có nội dung)",IF($L616="",IF($C616&lt;TODAY(),"⚠ TRỄ HỌC",IF($C616=TODAY(),"★ HỌC HÔM NAY","• Chưa tới")),IF($R616&gt;=5,"✔ MASTER",IF($S616&lt;TODAY(),"⚠ TRỄ ÔN",IF($S616=TODAY(),"◆ ÔN HÔM NAY","✔ Đúng tiến độ")))))</f>
        <v>• Chưa tới</v>
      </c>
      <c r="U616" s="38" t="n">
        <f aca="false">IF($H616="","",$R616/5)</f>
        <v>0</v>
      </c>
    </row>
    <row r="617" customFormat="false" ht="15" hidden="false" customHeight="false" outlineLevel="0" collapsed="false">
      <c r="A617" s="31" t="s">
        <v>3777</v>
      </c>
      <c r="B617" s="31" t="n">
        <v>31</v>
      </c>
      <c r="C617" s="32" t="n">
        <f aca="false">SETTINGS!$C$3+$B617-1</f>
        <v>46330</v>
      </c>
      <c r="D617" s="40" t="s">
        <v>3692</v>
      </c>
      <c r="E617" s="34" t="s">
        <v>3693</v>
      </c>
      <c r="F617" s="34" t="s">
        <v>3694</v>
      </c>
      <c r="G617" s="34" t="s">
        <v>3778</v>
      </c>
      <c r="H617" s="35" t="s">
        <v>3779</v>
      </c>
      <c r="I617" s="36" t="s">
        <v>3780</v>
      </c>
      <c r="J617" s="34" t="s">
        <v>3781</v>
      </c>
      <c r="K617" s="34" t="s">
        <v>3782</v>
      </c>
      <c r="L617" s="37"/>
      <c r="M617" s="37"/>
      <c r="N617" s="37"/>
      <c r="O617" s="37"/>
      <c r="P617" s="37"/>
      <c r="Q617" s="37"/>
      <c r="R617" s="31" t="n">
        <f aca="false">COUNT($M617:$Q617)</f>
        <v>0</v>
      </c>
      <c r="S617" s="32" t="str">
        <f aca="false">IF($L617="","",IF($R617&gt;=5,"",MAX($L617:$Q617)+CHOOSE($R617+1,SETTINGS!$C$9,SETTINGS!$C$10,SETTINGS!$C$11,SETTINGS!$C$12,SETTINGS!$C$13)))</f>
        <v/>
      </c>
      <c r="T617" s="34" t="str">
        <f aca="true">IF($H617="","(chưa có nội dung)",IF($L617="",IF($C617&lt;TODAY(),"⚠ TRỄ HỌC",IF($C617=TODAY(),"★ HỌC HÔM NAY","• Chưa tới")),IF($R617&gt;=5,"✔ MASTER",IF($S617&lt;TODAY(),"⚠ TRỄ ÔN",IF($S617=TODAY(),"◆ ÔN HÔM NAY","✔ Đúng tiến độ")))))</f>
        <v>• Chưa tới</v>
      </c>
      <c r="U617" s="38" t="n">
        <f aca="false">IF($H617="","",$R617/5)</f>
        <v>0</v>
      </c>
    </row>
    <row r="618" customFormat="false" ht="26.85" hidden="false" customHeight="false" outlineLevel="0" collapsed="false">
      <c r="A618" s="31" t="s">
        <v>3783</v>
      </c>
      <c r="B618" s="31" t="n">
        <v>31</v>
      </c>
      <c r="C618" s="32" t="n">
        <f aca="false">SETTINGS!$C$3+$B618-1</f>
        <v>46330</v>
      </c>
      <c r="D618" s="40" t="s">
        <v>3692</v>
      </c>
      <c r="E618" s="34" t="s">
        <v>3693</v>
      </c>
      <c r="F618" s="34" t="s">
        <v>3694</v>
      </c>
      <c r="G618" s="34" t="s">
        <v>3784</v>
      </c>
      <c r="H618" s="35" t="s">
        <v>3785</v>
      </c>
      <c r="I618" s="36" t="s">
        <v>3786</v>
      </c>
      <c r="J618" s="34" t="s">
        <v>3787</v>
      </c>
      <c r="K618" s="34" t="s">
        <v>3788</v>
      </c>
      <c r="L618" s="37"/>
      <c r="M618" s="37"/>
      <c r="N618" s="37"/>
      <c r="O618" s="37"/>
      <c r="P618" s="37"/>
      <c r="Q618" s="37"/>
      <c r="R618" s="31" t="n">
        <f aca="false">COUNT($M618:$Q618)</f>
        <v>0</v>
      </c>
      <c r="S618" s="32" t="str">
        <f aca="false">IF($L618="","",IF($R618&gt;=5,"",MAX($L618:$Q618)+CHOOSE($R618+1,SETTINGS!$C$9,SETTINGS!$C$10,SETTINGS!$C$11,SETTINGS!$C$12,SETTINGS!$C$13)))</f>
        <v/>
      </c>
      <c r="T618" s="34" t="str">
        <f aca="true">IF($H618="","(chưa có nội dung)",IF($L618="",IF($C618&lt;TODAY(),"⚠ TRỄ HỌC",IF($C618=TODAY(),"★ HỌC HÔM NAY","• Chưa tới")),IF($R618&gt;=5,"✔ MASTER",IF($S618&lt;TODAY(),"⚠ TRỄ ÔN",IF($S618=TODAY(),"◆ ÔN HÔM NAY","✔ Đúng tiến độ")))))</f>
        <v>• Chưa tới</v>
      </c>
      <c r="U618" s="38" t="n">
        <f aca="false">IF($H618="","",$R618/5)</f>
        <v>0</v>
      </c>
    </row>
    <row r="619" customFormat="false" ht="15" hidden="false" customHeight="false" outlineLevel="0" collapsed="false">
      <c r="A619" s="31" t="s">
        <v>3789</v>
      </c>
      <c r="B619" s="31" t="n">
        <v>31</v>
      </c>
      <c r="C619" s="32" t="n">
        <f aca="false">SETTINGS!$C$3+$B619-1</f>
        <v>46330</v>
      </c>
      <c r="D619" s="40" t="s">
        <v>3692</v>
      </c>
      <c r="E619" s="34" t="s">
        <v>3693</v>
      </c>
      <c r="F619" s="34" t="s">
        <v>3694</v>
      </c>
      <c r="G619" s="34" t="s">
        <v>3790</v>
      </c>
      <c r="H619" s="35" t="s">
        <v>3791</v>
      </c>
      <c r="I619" s="36" t="s">
        <v>3792</v>
      </c>
      <c r="J619" s="34" t="s">
        <v>3793</v>
      </c>
      <c r="K619" s="34" t="s">
        <v>3794</v>
      </c>
      <c r="L619" s="37"/>
      <c r="M619" s="37"/>
      <c r="N619" s="37"/>
      <c r="O619" s="37"/>
      <c r="P619" s="37"/>
      <c r="Q619" s="37"/>
      <c r="R619" s="31" t="n">
        <f aca="false">COUNT($M619:$Q619)</f>
        <v>0</v>
      </c>
      <c r="S619" s="32" t="str">
        <f aca="false">IF($L619="","",IF($R619&gt;=5,"",MAX($L619:$Q619)+CHOOSE($R619+1,SETTINGS!$C$9,SETTINGS!$C$10,SETTINGS!$C$11,SETTINGS!$C$12,SETTINGS!$C$13)))</f>
        <v/>
      </c>
      <c r="T619" s="34" t="str">
        <f aca="true">IF($H619="","(chưa có nội dung)",IF($L619="",IF($C619&lt;TODAY(),"⚠ TRỄ HỌC",IF($C619=TODAY(),"★ HỌC HÔM NAY","• Chưa tới")),IF($R619&gt;=5,"✔ MASTER",IF($S619&lt;TODAY(),"⚠ TRỄ ÔN",IF($S619=TODAY(),"◆ ÔN HÔM NAY","✔ Đúng tiến độ")))))</f>
        <v>• Chưa tới</v>
      </c>
      <c r="U619" s="38" t="n">
        <f aca="false">IF($H619="","",$R619/5)</f>
        <v>0</v>
      </c>
    </row>
    <row r="620" customFormat="false" ht="15" hidden="false" customHeight="false" outlineLevel="0" collapsed="false">
      <c r="A620" s="31" t="s">
        <v>3795</v>
      </c>
      <c r="B620" s="31" t="n">
        <v>31</v>
      </c>
      <c r="C620" s="32" t="n">
        <f aca="false">SETTINGS!$C$3+$B620-1</f>
        <v>46330</v>
      </c>
      <c r="D620" s="40" t="s">
        <v>3692</v>
      </c>
      <c r="E620" s="34" t="s">
        <v>3693</v>
      </c>
      <c r="F620" s="34" t="s">
        <v>3694</v>
      </c>
      <c r="G620" s="34" t="s">
        <v>3796</v>
      </c>
      <c r="H620" s="35" t="s">
        <v>3797</v>
      </c>
      <c r="I620" s="36" t="s">
        <v>3798</v>
      </c>
      <c r="J620" s="34" t="s">
        <v>3799</v>
      </c>
      <c r="K620" s="34" t="s">
        <v>3800</v>
      </c>
      <c r="L620" s="37"/>
      <c r="M620" s="37"/>
      <c r="N620" s="37"/>
      <c r="O620" s="37"/>
      <c r="P620" s="37"/>
      <c r="Q620" s="37"/>
      <c r="R620" s="31" t="n">
        <f aca="false">COUNT($M620:$Q620)</f>
        <v>0</v>
      </c>
      <c r="S620" s="32" t="str">
        <f aca="false">IF($L620="","",IF($R620&gt;=5,"",MAX($L620:$Q620)+CHOOSE($R620+1,SETTINGS!$C$9,SETTINGS!$C$10,SETTINGS!$C$11,SETTINGS!$C$12,SETTINGS!$C$13)))</f>
        <v/>
      </c>
      <c r="T620" s="34" t="str">
        <f aca="true">IF($H620="","(chưa có nội dung)",IF($L620="",IF($C620&lt;TODAY(),"⚠ TRỄ HỌC",IF($C620=TODAY(),"★ HỌC HÔM NAY","• Chưa tới")),IF($R620&gt;=5,"✔ MASTER",IF($S620&lt;TODAY(),"⚠ TRỄ ÔN",IF($S620=TODAY(),"◆ ÔN HÔM NAY","✔ Đúng tiến độ")))))</f>
        <v>• Chưa tới</v>
      </c>
      <c r="U620" s="38" t="n">
        <f aca="false">IF($H620="","",$R620/5)</f>
        <v>0</v>
      </c>
    </row>
    <row r="621" customFormat="false" ht="15" hidden="false" customHeight="false" outlineLevel="0" collapsed="false">
      <c r="A621" s="31" t="s">
        <v>3801</v>
      </c>
      <c r="B621" s="31" t="n">
        <v>31</v>
      </c>
      <c r="C621" s="32" t="n">
        <f aca="false">SETTINGS!$C$3+$B621-1</f>
        <v>46330</v>
      </c>
      <c r="D621" s="40" t="s">
        <v>3692</v>
      </c>
      <c r="E621" s="34" t="s">
        <v>3693</v>
      </c>
      <c r="F621" s="34" t="s">
        <v>3694</v>
      </c>
      <c r="G621" s="34" t="s">
        <v>3802</v>
      </c>
      <c r="H621" s="35" t="s">
        <v>3803</v>
      </c>
      <c r="I621" s="36" t="s">
        <v>3804</v>
      </c>
      <c r="J621" s="34" t="s">
        <v>3805</v>
      </c>
      <c r="K621" s="34" t="s">
        <v>3806</v>
      </c>
      <c r="L621" s="37"/>
      <c r="M621" s="37"/>
      <c r="N621" s="37"/>
      <c r="O621" s="37"/>
      <c r="P621" s="37"/>
      <c r="Q621" s="37"/>
      <c r="R621" s="31" t="n">
        <f aca="false">COUNT($M621:$Q621)</f>
        <v>0</v>
      </c>
      <c r="S621" s="32" t="str">
        <f aca="false">IF($L621="","",IF($R621&gt;=5,"",MAX($L621:$Q621)+CHOOSE($R621+1,SETTINGS!$C$9,SETTINGS!$C$10,SETTINGS!$C$11,SETTINGS!$C$12,SETTINGS!$C$13)))</f>
        <v/>
      </c>
      <c r="T621" s="34" t="str">
        <f aca="true">IF($H621="","(chưa có nội dung)",IF($L621="",IF($C621&lt;TODAY(),"⚠ TRỄ HỌC",IF($C621=TODAY(),"★ HỌC HÔM NAY","• Chưa tới")),IF($R621&gt;=5,"✔ MASTER",IF($S621&lt;TODAY(),"⚠ TRỄ ÔN",IF($S621=TODAY(),"◆ ÔN HÔM NAY","✔ Đúng tiến độ")))))</f>
        <v>• Chưa tới</v>
      </c>
      <c r="U621" s="38" t="n">
        <f aca="false">IF($H621="","",$R621/5)</f>
        <v>0</v>
      </c>
    </row>
    <row r="622" customFormat="false" ht="15" hidden="false" customHeight="false" outlineLevel="0" collapsed="false">
      <c r="A622" s="31" t="s">
        <v>3807</v>
      </c>
      <c r="B622" s="31" t="n">
        <v>31</v>
      </c>
      <c r="C622" s="32" t="n">
        <f aca="false">SETTINGS!$C$3+$B622-1</f>
        <v>46330</v>
      </c>
      <c r="D622" s="40" t="s">
        <v>3692</v>
      </c>
      <c r="E622" s="34" t="s">
        <v>3693</v>
      </c>
      <c r="F622" s="34" t="s">
        <v>3694</v>
      </c>
      <c r="G622" s="34" t="s">
        <v>3808</v>
      </c>
      <c r="H622" s="35" t="s">
        <v>3809</v>
      </c>
      <c r="I622" s="36" t="s">
        <v>3810</v>
      </c>
      <c r="J622" s="34" t="s">
        <v>3811</v>
      </c>
      <c r="K622" s="34" t="s">
        <v>3812</v>
      </c>
      <c r="L622" s="37"/>
      <c r="M622" s="37"/>
      <c r="N622" s="37"/>
      <c r="O622" s="37"/>
      <c r="P622" s="37"/>
      <c r="Q622" s="37"/>
      <c r="R622" s="31" t="n">
        <f aca="false">COUNT($M622:$Q622)</f>
        <v>0</v>
      </c>
      <c r="S622" s="32" t="str">
        <f aca="false">IF($L622="","",IF($R622&gt;=5,"",MAX($L622:$Q622)+CHOOSE($R622+1,SETTINGS!$C$9,SETTINGS!$C$10,SETTINGS!$C$11,SETTINGS!$C$12,SETTINGS!$C$13)))</f>
        <v/>
      </c>
      <c r="T622" s="34" t="str">
        <f aca="true">IF($H622="","(chưa có nội dung)",IF($L622="",IF($C622&lt;TODAY(),"⚠ TRỄ HỌC",IF($C622=TODAY(),"★ HỌC HÔM NAY","• Chưa tới")),IF($R622&gt;=5,"✔ MASTER",IF($S622&lt;TODAY(),"⚠ TRỄ ÔN",IF($S622=TODAY(),"◆ ÔN HÔM NAY","✔ Đúng tiến độ")))))</f>
        <v>• Chưa tới</v>
      </c>
      <c r="U622" s="38" t="n">
        <f aca="false">IF($H622="","",$R622/5)</f>
        <v>0</v>
      </c>
    </row>
    <row r="623" customFormat="false" ht="23.85" hidden="false" customHeight="false" outlineLevel="0" collapsed="false">
      <c r="A623" s="31" t="s">
        <v>3813</v>
      </c>
      <c r="B623" s="31" t="n">
        <v>32</v>
      </c>
      <c r="C623" s="32" t="n">
        <f aca="false">SETTINGS!$C$3+$B623-1</f>
        <v>46331</v>
      </c>
      <c r="D623" s="40" t="s">
        <v>3692</v>
      </c>
      <c r="E623" s="34" t="s">
        <v>3814</v>
      </c>
      <c r="F623" s="34" t="s">
        <v>3694</v>
      </c>
      <c r="G623" s="34" t="s">
        <v>3815</v>
      </c>
      <c r="H623" s="35" t="s">
        <v>3816</v>
      </c>
      <c r="I623" s="36" t="s">
        <v>3817</v>
      </c>
      <c r="J623" s="34" t="s">
        <v>3818</v>
      </c>
      <c r="K623" s="34" t="s">
        <v>1004</v>
      </c>
      <c r="L623" s="37"/>
      <c r="M623" s="37"/>
      <c r="N623" s="37"/>
      <c r="O623" s="37"/>
      <c r="P623" s="37"/>
      <c r="Q623" s="37"/>
      <c r="R623" s="31" t="n">
        <f aca="false">COUNT($M623:$Q623)</f>
        <v>0</v>
      </c>
      <c r="S623" s="32" t="str">
        <f aca="false">IF($L623="","",IF($R623&gt;=5,"",MAX($L623:$Q623)+CHOOSE($R623+1,SETTINGS!$C$9,SETTINGS!$C$10,SETTINGS!$C$11,SETTINGS!$C$12,SETTINGS!$C$13)))</f>
        <v/>
      </c>
      <c r="T623" s="34" t="str">
        <f aca="true">IF($H623="","(chưa có nội dung)",IF($L623="",IF($C623&lt;TODAY(),"⚠ TRỄ HỌC",IF($C623=TODAY(),"★ HỌC HÔM NAY","• Chưa tới")),IF($R623&gt;=5,"✔ MASTER",IF($S623&lt;TODAY(),"⚠ TRỄ ÔN",IF($S623=TODAY(),"◆ ÔN HÔM NAY","✔ Đúng tiến độ")))))</f>
        <v>• Chưa tới</v>
      </c>
      <c r="U623" s="38" t="n">
        <f aca="false">IF($H623="","",$R623/5)</f>
        <v>0</v>
      </c>
    </row>
    <row r="624" customFormat="false" ht="23.85" hidden="false" customHeight="false" outlineLevel="0" collapsed="false">
      <c r="A624" s="31" t="s">
        <v>3819</v>
      </c>
      <c r="B624" s="31" t="n">
        <v>32</v>
      </c>
      <c r="C624" s="32" t="n">
        <f aca="false">SETTINGS!$C$3+$B624-1</f>
        <v>46331</v>
      </c>
      <c r="D624" s="40" t="s">
        <v>3692</v>
      </c>
      <c r="E624" s="34" t="s">
        <v>3814</v>
      </c>
      <c r="F624" s="34" t="s">
        <v>3694</v>
      </c>
      <c r="G624" s="34" t="s">
        <v>3820</v>
      </c>
      <c r="H624" s="35" t="s">
        <v>3821</v>
      </c>
      <c r="I624" s="36" t="s">
        <v>3822</v>
      </c>
      <c r="J624" s="34" t="s">
        <v>3823</v>
      </c>
      <c r="K624" s="34" t="s">
        <v>3824</v>
      </c>
      <c r="L624" s="37"/>
      <c r="M624" s="37"/>
      <c r="N624" s="37"/>
      <c r="O624" s="37"/>
      <c r="P624" s="37"/>
      <c r="Q624" s="37"/>
      <c r="R624" s="31" t="n">
        <f aca="false">COUNT($M624:$Q624)</f>
        <v>0</v>
      </c>
      <c r="S624" s="32" t="str">
        <f aca="false">IF($L624="","",IF($R624&gt;=5,"",MAX($L624:$Q624)+CHOOSE($R624+1,SETTINGS!$C$9,SETTINGS!$C$10,SETTINGS!$C$11,SETTINGS!$C$12,SETTINGS!$C$13)))</f>
        <v/>
      </c>
      <c r="T624" s="34" t="str">
        <f aca="true">IF($H624="","(chưa có nội dung)",IF($L624="",IF($C624&lt;TODAY(),"⚠ TRỄ HỌC",IF($C624=TODAY(),"★ HỌC HÔM NAY","• Chưa tới")),IF($R624&gt;=5,"✔ MASTER",IF($S624&lt;TODAY(),"⚠ TRỄ ÔN",IF($S624=TODAY(),"◆ ÔN HÔM NAY","✔ Đúng tiến độ")))))</f>
        <v>• Chưa tới</v>
      </c>
      <c r="U624" s="38" t="n">
        <f aca="false">IF($H624="","",$R624/5)</f>
        <v>0</v>
      </c>
    </row>
    <row r="625" customFormat="false" ht="23.85" hidden="false" customHeight="false" outlineLevel="0" collapsed="false">
      <c r="A625" s="31" t="s">
        <v>3825</v>
      </c>
      <c r="B625" s="31" t="n">
        <v>32</v>
      </c>
      <c r="C625" s="32" t="n">
        <f aca="false">SETTINGS!$C$3+$B625-1</f>
        <v>46331</v>
      </c>
      <c r="D625" s="40" t="s">
        <v>3692</v>
      </c>
      <c r="E625" s="34" t="s">
        <v>3814</v>
      </c>
      <c r="F625" s="34" t="s">
        <v>3694</v>
      </c>
      <c r="G625" s="34" t="s">
        <v>3826</v>
      </c>
      <c r="H625" s="35" t="s">
        <v>3827</v>
      </c>
      <c r="I625" s="36" t="s">
        <v>3828</v>
      </c>
      <c r="J625" s="34" t="s">
        <v>3829</v>
      </c>
      <c r="K625" s="34" t="s">
        <v>3830</v>
      </c>
      <c r="L625" s="37"/>
      <c r="M625" s="37"/>
      <c r="N625" s="37"/>
      <c r="O625" s="37"/>
      <c r="P625" s="37"/>
      <c r="Q625" s="37"/>
      <c r="R625" s="31" t="n">
        <f aca="false">COUNT($M625:$Q625)</f>
        <v>0</v>
      </c>
      <c r="S625" s="32" t="str">
        <f aca="false">IF($L625="","",IF($R625&gt;=5,"",MAX($L625:$Q625)+CHOOSE($R625+1,SETTINGS!$C$9,SETTINGS!$C$10,SETTINGS!$C$11,SETTINGS!$C$12,SETTINGS!$C$13)))</f>
        <v/>
      </c>
      <c r="T625" s="34" t="str">
        <f aca="true">IF($H625="","(chưa có nội dung)",IF($L625="",IF($C625&lt;TODAY(),"⚠ TRỄ HỌC",IF($C625=TODAY(),"★ HỌC HÔM NAY","• Chưa tới")),IF($R625&gt;=5,"✔ MASTER",IF($S625&lt;TODAY(),"⚠ TRỄ ÔN",IF($S625=TODAY(),"◆ ÔN HÔM NAY","✔ Đúng tiến độ")))))</f>
        <v>• Chưa tới</v>
      </c>
      <c r="U625" s="38" t="n">
        <f aca="false">IF($H625="","",$R625/5)</f>
        <v>0</v>
      </c>
    </row>
    <row r="626" customFormat="false" ht="23.85" hidden="false" customHeight="false" outlineLevel="0" collapsed="false">
      <c r="A626" s="31" t="s">
        <v>3831</v>
      </c>
      <c r="B626" s="31" t="n">
        <v>32</v>
      </c>
      <c r="C626" s="32" t="n">
        <f aca="false">SETTINGS!$C$3+$B626-1</f>
        <v>46331</v>
      </c>
      <c r="D626" s="40" t="s">
        <v>3692</v>
      </c>
      <c r="E626" s="34" t="s">
        <v>3814</v>
      </c>
      <c r="F626" s="34" t="s">
        <v>472</v>
      </c>
      <c r="G626" s="34" t="s">
        <v>3832</v>
      </c>
      <c r="H626" s="35" t="s">
        <v>3833</v>
      </c>
      <c r="I626" s="36" t="s">
        <v>3834</v>
      </c>
      <c r="J626" s="34" t="s">
        <v>3835</v>
      </c>
      <c r="K626" s="34" t="s">
        <v>3836</v>
      </c>
      <c r="L626" s="37"/>
      <c r="M626" s="37"/>
      <c r="N626" s="37"/>
      <c r="O626" s="37"/>
      <c r="P626" s="37"/>
      <c r="Q626" s="37"/>
      <c r="R626" s="31" t="n">
        <f aca="false">COUNT($M626:$Q626)</f>
        <v>0</v>
      </c>
      <c r="S626" s="32" t="str">
        <f aca="false">IF($L626="","",IF($R626&gt;=5,"",MAX($L626:$Q626)+CHOOSE($R626+1,SETTINGS!$C$9,SETTINGS!$C$10,SETTINGS!$C$11,SETTINGS!$C$12,SETTINGS!$C$13)))</f>
        <v/>
      </c>
      <c r="T626" s="34" t="str">
        <f aca="true">IF($H626="","(chưa có nội dung)",IF($L626="",IF($C626&lt;TODAY(),"⚠ TRỄ HỌC",IF($C626=TODAY(),"★ HỌC HÔM NAY","• Chưa tới")),IF($R626&gt;=5,"✔ MASTER",IF($S626&lt;TODAY(),"⚠ TRỄ ÔN",IF($S626=TODAY(),"◆ ÔN HÔM NAY","✔ Đúng tiến độ")))))</f>
        <v>• Chưa tới</v>
      </c>
      <c r="U626" s="38" t="n">
        <f aca="false">IF($H626="","",$R626/5)</f>
        <v>0</v>
      </c>
    </row>
    <row r="627" customFormat="false" ht="26.85" hidden="false" customHeight="false" outlineLevel="0" collapsed="false">
      <c r="A627" s="31" t="s">
        <v>3837</v>
      </c>
      <c r="B627" s="31" t="n">
        <v>32</v>
      </c>
      <c r="C627" s="32" t="n">
        <f aca="false">SETTINGS!$C$3+$B627-1</f>
        <v>46331</v>
      </c>
      <c r="D627" s="40" t="s">
        <v>3692</v>
      </c>
      <c r="E627" s="34" t="s">
        <v>3814</v>
      </c>
      <c r="F627" s="34" t="s">
        <v>3694</v>
      </c>
      <c r="G627" s="34" t="s">
        <v>3838</v>
      </c>
      <c r="H627" s="35" t="s">
        <v>3839</v>
      </c>
      <c r="I627" s="36" t="s">
        <v>3840</v>
      </c>
      <c r="J627" s="34" t="s">
        <v>3841</v>
      </c>
      <c r="K627" s="34" t="s">
        <v>3842</v>
      </c>
      <c r="L627" s="37"/>
      <c r="M627" s="37"/>
      <c r="N627" s="37"/>
      <c r="O627" s="37"/>
      <c r="P627" s="37"/>
      <c r="Q627" s="37"/>
      <c r="R627" s="31" t="n">
        <f aca="false">COUNT($M627:$Q627)</f>
        <v>0</v>
      </c>
      <c r="S627" s="32" t="str">
        <f aca="false">IF($L627="","",IF($R627&gt;=5,"",MAX($L627:$Q627)+CHOOSE($R627+1,SETTINGS!$C$9,SETTINGS!$C$10,SETTINGS!$C$11,SETTINGS!$C$12,SETTINGS!$C$13)))</f>
        <v/>
      </c>
      <c r="T627" s="34" t="str">
        <f aca="true">IF($H627="","(chưa có nội dung)",IF($L627="",IF($C627&lt;TODAY(),"⚠ TRỄ HỌC",IF($C627=TODAY(),"★ HỌC HÔM NAY","• Chưa tới")),IF($R627&gt;=5,"✔ MASTER",IF($S627&lt;TODAY(),"⚠ TRỄ ÔN",IF($S627=TODAY(),"◆ ÔN HÔM NAY","✔ Đúng tiến độ")))))</f>
        <v>• Chưa tới</v>
      </c>
      <c r="U627" s="38" t="n">
        <f aca="false">IF($H627="","",$R627/5)</f>
        <v>0</v>
      </c>
    </row>
    <row r="628" customFormat="false" ht="23.85" hidden="false" customHeight="false" outlineLevel="0" collapsed="false">
      <c r="A628" s="31" t="s">
        <v>3843</v>
      </c>
      <c r="B628" s="31" t="n">
        <v>32</v>
      </c>
      <c r="C628" s="32" t="n">
        <f aca="false">SETTINGS!$C$3+$B628-1</f>
        <v>46331</v>
      </c>
      <c r="D628" s="40" t="s">
        <v>3692</v>
      </c>
      <c r="E628" s="34" t="s">
        <v>3814</v>
      </c>
      <c r="F628" s="34" t="s">
        <v>280</v>
      </c>
      <c r="G628" s="34" t="s">
        <v>3844</v>
      </c>
      <c r="H628" s="35" t="s">
        <v>3845</v>
      </c>
      <c r="I628" s="36" t="s">
        <v>3846</v>
      </c>
      <c r="J628" s="34" t="s">
        <v>3847</v>
      </c>
      <c r="K628" s="34" t="s">
        <v>3848</v>
      </c>
      <c r="L628" s="37"/>
      <c r="M628" s="37"/>
      <c r="N628" s="37"/>
      <c r="O628" s="37"/>
      <c r="P628" s="37"/>
      <c r="Q628" s="37"/>
      <c r="R628" s="31" t="n">
        <f aca="false">COUNT($M628:$Q628)</f>
        <v>0</v>
      </c>
      <c r="S628" s="32" t="str">
        <f aca="false">IF($L628="","",IF($R628&gt;=5,"",MAX($L628:$Q628)+CHOOSE($R628+1,SETTINGS!$C$9,SETTINGS!$C$10,SETTINGS!$C$11,SETTINGS!$C$12,SETTINGS!$C$13)))</f>
        <v/>
      </c>
      <c r="T628" s="34" t="str">
        <f aca="true">IF($H628="","(chưa có nội dung)",IF($L628="",IF($C628&lt;TODAY(),"⚠ TRỄ HỌC",IF($C628=TODAY(),"★ HỌC HÔM NAY","• Chưa tới")),IF($R628&gt;=5,"✔ MASTER",IF($S628&lt;TODAY(),"⚠ TRỄ ÔN",IF($S628=TODAY(),"◆ ÔN HÔM NAY","✔ Đúng tiến độ")))))</f>
        <v>• Chưa tới</v>
      </c>
      <c r="U628" s="38" t="n">
        <f aca="false">IF($H628="","",$R628/5)</f>
        <v>0</v>
      </c>
    </row>
    <row r="629" customFormat="false" ht="26.85" hidden="false" customHeight="false" outlineLevel="0" collapsed="false">
      <c r="A629" s="31" t="s">
        <v>3849</v>
      </c>
      <c r="B629" s="31" t="n">
        <v>32</v>
      </c>
      <c r="C629" s="32" t="n">
        <f aca="false">SETTINGS!$C$3+$B629-1</f>
        <v>46331</v>
      </c>
      <c r="D629" s="40" t="s">
        <v>3692</v>
      </c>
      <c r="E629" s="34" t="s">
        <v>3814</v>
      </c>
      <c r="F629" s="34" t="s">
        <v>280</v>
      </c>
      <c r="G629" s="34" t="s">
        <v>3850</v>
      </c>
      <c r="H629" s="35" t="s">
        <v>3851</v>
      </c>
      <c r="I629" s="36" t="s">
        <v>3852</v>
      </c>
      <c r="J629" s="34" t="s">
        <v>3853</v>
      </c>
      <c r="K629" s="34" t="s">
        <v>3854</v>
      </c>
      <c r="L629" s="37"/>
      <c r="M629" s="37"/>
      <c r="N629" s="37"/>
      <c r="O629" s="37"/>
      <c r="P629" s="37"/>
      <c r="Q629" s="37"/>
      <c r="R629" s="31" t="n">
        <f aca="false">COUNT($M629:$Q629)</f>
        <v>0</v>
      </c>
      <c r="S629" s="32" t="str">
        <f aca="false">IF($L629="","",IF($R629&gt;=5,"",MAX($L629:$Q629)+CHOOSE($R629+1,SETTINGS!$C$9,SETTINGS!$C$10,SETTINGS!$C$11,SETTINGS!$C$12,SETTINGS!$C$13)))</f>
        <v/>
      </c>
      <c r="T629" s="34" t="str">
        <f aca="true">IF($H629="","(chưa có nội dung)",IF($L629="",IF($C629&lt;TODAY(),"⚠ TRỄ HỌC",IF($C629=TODAY(),"★ HỌC HÔM NAY","• Chưa tới")),IF($R629&gt;=5,"✔ MASTER",IF($S629&lt;TODAY(),"⚠ TRỄ ÔN",IF($S629=TODAY(),"◆ ÔN HÔM NAY","✔ Đúng tiến độ")))))</f>
        <v>• Chưa tới</v>
      </c>
      <c r="U629" s="38" t="n">
        <f aca="false">IF($H629="","",$R629/5)</f>
        <v>0</v>
      </c>
    </row>
    <row r="630" customFormat="false" ht="26.85" hidden="false" customHeight="false" outlineLevel="0" collapsed="false">
      <c r="A630" s="31" t="s">
        <v>3855</v>
      </c>
      <c r="B630" s="31" t="n">
        <v>32</v>
      </c>
      <c r="C630" s="32" t="n">
        <f aca="false">SETTINGS!$C$3+$B630-1</f>
        <v>46331</v>
      </c>
      <c r="D630" s="40" t="s">
        <v>3692</v>
      </c>
      <c r="E630" s="34" t="s">
        <v>3814</v>
      </c>
      <c r="F630" s="34" t="s">
        <v>280</v>
      </c>
      <c r="G630" s="34" t="s">
        <v>3856</v>
      </c>
      <c r="H630" s="35" t="s">
        <v>3857</v>
      </c>
      <c r="I630" s="36" t="s">
        <v>3858</v>
      </c>
      <c r="J630" s="34" t="s">
        <v>3859</v>
      </c>
      <c r="K630" s="34" t="s">
        <v>3860</v>
      </c>
      <c r="L630" s="37"/>
      <c r="M630" s="37"/>
      <c r="N630" s="37"/>
      <c r="O630" s="37"/>
      <c r="P630" s="37"/>
      <c r="Q630" s="37"/>
      <c r="R630" s="31" t="n">
        <f aca="false">COUNT($M630:$Q630)</f>
        <v>0</v>
      </c>
      <c r="S630" s="32" t="str">
        <f aca="false">IF($L630="","",IF($R630&gt;=5,"",MAX($L630:$Q630)+CHOOSE($R630+1,SETTINGS!$C$9,SETTINGS!$C$10,SETTINGS!$C$11,SETTINGS!$C$12,SETTINGS!$C$13)))</f>
        <v/>
      </c>
      <c r="T630" s="34" t="str">
        <f aca="true">IF($H630="","(chưa có nội dung)",IF($L630="",IF($C630&lt;TODAY(),"⚠ TRỄ HỌC",IF($C630=TODAY(),"★ HỌC HÔM NAY","• Chưa tới")),IF($R630&gt;=5,"✔ MASTER",IF($S630&lt;TODAY(),"⚠ TRỄ ÔN",IF($S630=TODAY(),"◆ ÔN HÔM NAY","✔ Đúng tiến độ")))))</f>
        <v>• Chưa tới</v>
      </c>
      <c r="U630" s="38" t="n">
        <f aca="false">IF($H630="","",$R630/5)</f>
        <v>0</v>
      </c>
    </row>
    <row r="631" customFormat="false" ht="26.85" hidden="false" customHeight="false" outlineLevel="0" collapsed="false">
      <c r="A631" s="31" t="s">
        <v>3861</v>
      </c>
      <c r="B631" s="31" t="n">
        <v>32</v>
      </c>
      <c r="C631" s="32" t="n">
        <f aca="false">SETTINGS!$C$3+$B631-1</f>
        <v>46331</v>
      </c>
      <c r="D631" s="40" t="s">
        <v>3692</v>
      </c>
      <c r="E631" s="34" t="s">
        <v>3814</v>
      </c>
      <c r="F631" s="34" t="s">
        <v>3694</v>
      </c>
      <c r="G631" s="34" t="s">
        <v>3862</v>
      </c>
      <c r="H631" s="35" t="s">
        <v>3863</v>
      </c>
      <c r="I631" s="36" t="s">
        <v>3864</v>
      </c>
      <c r="J631" s="34" t="s">
        <v>3865</v>
      </c>
      <c r="K631" s="34" t="s">
        <v>3866</v>
      </c>
      <c r="L631" s="37"/>
      <c r="M631" s="37"/>
      <c r="N631" s="37"/>
      <c r="O631" s="37"/>
      <c r="P631" s="37"/>
      <c r="Q631" s="37"/>
      <c r="R631" s="31" t="n">
        <f aca="false">COUNT($M631:$Q631)</f>
        <v>0</v>
      </c>
      <c r="S631" s="32" t="str">
        <f aca="false">IF($L631="","",IF($R631&gt;=5,"",MAX($L631:$Q631)+CHOOSE($R631+1,SETTINGS!$C$9,SETTINGS!$C$10,SETTINGS!$C$11,SETTINGS!$C$12,SETTINGS!$C$13)))</f>
        <v/>
      </c>
      <c r="T631" s="34" t="str">
        <f aca="true">IF($H631="","(chưa có nội dung)",IF($L631="",IF($C631&lt;TODAY(),"⚠ TRỄ HỌC",IF($C631=TODAY(),"★ HỌC HÔM NAY","• Chưa tới")),IF($R631&gt;=5,"✔ MASTER",IF($S631&lt;TODAY(),"⚠ TRỄ ÔN",IF($S631=TODAY(),"◆ ÔN HÔM NAY","✔ Đúng tiến độ")))))</f>
        <v>• Chưa tới</v>
      </c>
      <c r="U631" s="38" t="n">
        <f aca="false">IF($H631="","",$R631/5)</f>
        <v>0</v>
      </c>
    </row>
    <row r="632" customFormat="false" ht="23.85" hidden="false" customHeight="false" outlineLevel="0" collapsed="false">
      <c r="A632" s="31" t="s">
        <v>3867</v>
      </c>
      <c r="B632" s="31" t="n">
        <v>32</v>
      </c>
      <c r="C632" s="32" t="n">
        <f aca="false">SETTINGS!$C$3+$B632-1</f>
        <v>46331</v>
      </c>
      <c r="D632" s="40" t="s">
        <v>3692</v>
      </c>
      <c r="E632" s="34" t="s">
        <v>3814</v>
      </c>
      <c r="F632" s="34" t="s">
        <v>3694</v>
      </c>
      <c r="G632" s="34" t="s">
        <v>3868</v>
      </c>
      <c r="H632" s="35" t="s">
        <v>3869</v>
      </c>
      <c r="I632" s="36" t="s">
        <v>3870</v>
      </c>
      <c r="J632" s="34" t="s">
        <v>3871</v>
      </c>
      <c r="K632" s="34" t="s">
        <v>3287</v>
      </c>
      <c r="L632" s="37"/>
      <c r="M632" s="37"/>
      <c r="N632" s="37"/>
      <c r="O632" s="37"/>
      <c r="P632" s="37"/>
      <c r="Q632" s="37"/>
      <c r="R632" s="31" t="n">
        <f aca="false">COUNT($M632:$Q632)</f>
        <v>0</v>
      </c>
      <c r="S632" s="32" t="str">
        <f aca="false">IF($L632="","",IF($R632&gt;=5,"",MAX($L632:$Q632)+CHOOSE($R632+1,SETTINGS!$C$9,SETTINGS!$C$10,SETTINGS!$C$11,SETTINGS!$C$12,SETTINGS!$C$13)))</f>
        <v/>
      </c>
      <c r="T632" s="34" t="str">
        <f aca="true">IF($H632="","(chưa có nội dung)",IF($L632="",IF($C632&lt;TODAY(),"⚠ TRỄ HỌC",IF($C632=TODAY(),"★ HỌC HÔM NAY","• Chưa tới")),IF($R632&gt;=5,"✔ MASTER",IF($S632&lt;TODAY(),"⚠ TRỄ ÔN",IF($S632=TODAY(),"◆ ÔN HÔM NAY","✔ Đúng tiến độ")))))</f>
        <v>• Chưa tới</v>
      </c>
      <c r="U632" s="38" t="n">
        <f aca="false">IF($H632="","",$R632/5)</f>
        <v>0</v>
      </c>
    </row>
    <row r="633" customFormat="false" ht="26.85" hidden="false" customHeight="false" outlineLevel="0" collapsed="false">
      <c r="A633" s="31" t="s">
        <v>3872</v>
      </c>
      <c r="B633" s="31" t="n">
        <v>32</v>
      </c>
      <c r="C633" s="32" t="n">
        <f aca="false">SETTINGS!$C$3+$B633-1</f>
        <v>46331</v>
      </c>
      <c r="D633" s="40" t="s">
        <v>3692</v>
      </c>
      <c r="E633" s="34" t="s">
        <v>3814</v>
      </c>
      <c r="F633" s="34" t="s">
        <v>3694</v>
      </c>
      <c r="G633" s="34" t="s">
        <v>3873</v>
      </c>
      <c r="H633" s="35" t="s">
        <v>3874</v>
      </c>
      <c r="I633" s="36" t="s">
        <v>3875</v>
      </c>
      <c r="J633" s="34" t="s">
        <v>3876</v>
      </c>
      <c r="K633" s="34" t="s">
        <v>3877</v>
      </c>
      <c r="L633" s="37"/>
      <c r="M633" s="37"/>
      <c r="N633" s="37"/>
      <c r="O633" s="37"/>
      <c r="P633" s="37"/>
      <c r="Q633" s="37"/>
      <c r="R633" s="31" t="n">
        <f aca="false">COUNT($M633:$Q633)</f>
        <v>0</v>
      </c>
      <c r="S633" s="32" t="str">
        <f aca="false">IF($L633="","",IF($R633&gt;=5,"",MAX($L633:$Q633)+CHOOSE($R633+1,SETTINGS!$C$9,SETTINGS!$C$10,SETTINGS!$C$11,SETTINGS!$C$12,SETTINGS!$C$13)))</f>
        <v/>
      </c>
      <c r="T633" s="34" t="str">
        <f aca="true">IF($H633="","(chưa có nội dung)",IF($L633="",IF($C633&lt;TODAY(),"⚠ TRỄ HỌC",IF($C633=TODAY(),"★ HỌC HÔM NAY","• Chưa tới")),IF($R633&gt;=5,"✔ MASTER",IF($S633&lt;TODAY(),"⚠ TRỄ ÔN",IF($S633=TODAY(),"◆ ÔN HÔM NAY","✔ Đúng tiến độ")))))</f>
        <v>• Chưa tới</v>
      </c>
      <c r="U633" s="38" t="n">
        <f aca="false">IF($H633="","",$R633/5)</f>
        <v>0</v>
      </c>
    </row>
    <row r="634" customFormat="false" ht="26.85" hidden="false" customHeight="false" outlineLevel="0" collapsed="false">
      <c r="A634" s="31" t="s">
        <v>3878</v>
      </c>
      <c r="B634" s="31" t="n">
        <v>32</v>
      </c>
      <c r="C634" s="32" t="n">
        <f aca="false">SETTINGS!$C$3+$B634-1</f>
        <v>46331</v>
      </c>
      <c r="D634" s="40" t="s">
        <v>3692</v>
      </c>
      <c r="E634" s="34" t="s">
        <v>3814</v>
      </c>
      <c r="F634" s="34" t="s">
        <v>3694</v>
      </c>
      <c r="G634" s="34" t="s">
        <v>3879</v>
      </c>
      <c r="H634" s="35" t="s">
        <v>3880</v>
      </c>
      <c r="I634" s="36" t="s">
        <v>3881</v>
      </c>
      <c r="J634" s="34" t="s">
        <v>3882</v>
      </c>
      <c r="K634" s="34" t="s">
        <v>3883</v>
      </c>
      <c r="L634" s="37"/>
      <c r="M634" s="37"/>
      <c r="N634" s="37"/>
      <c r="O634" s="37"/>
      <c r="P634" s="37"/>
      <c r="Q634" s="37"/>
      <c r="R634" s="31" t="n">
        <f aca="false">COUNT($M634:$Q634)</f>
        <v>0</v>
      </c>
      <c r="S634" s="32" t="str">
        <f aca="false">IF($L634="","",IF($R634&gt;=5,"",MAX($L634:$Q634)+CHOOSE($R634+1,SETTINGS!$C$9,SETTINGS!$C$10,SETTINGS!$C$11,SETTINGS!$C$12,SETTINGS!$C$13)))</f>
        <v/>
      </c>
      <c r="T634" s="34" t="str">
        <f aca="true">IF($H634="","(chưa có nội dung)",IF($L634="",IF($C634&lt;TODAY(),"⚠ TRỄ HỌC",IF($C634=TODAY(),"★ HỌC HÔM NAY","• Chưa tới")),IF($R634&gt;=5,"✔ MASTER",IF($S634&lt;TODAY(),"⚠ TRỄ ÔN",IF($S634=TODAY(),"◆ ÔN HÔM NAY","✔ Đúng tiến độ")))))</f>
        <v>• Chưa tới</v>
      </c>
      <c r="U634" s="38" t="n">
        <f aca="false">IF($H634="","",$R634/5)</f>
        <v>0</v>
      </c>
    </row>
    <row r="635" customFormat="false" ht="23.85" hidden="false" customHeight="false" outlineLevel="0" collapsed="false">
      <c r="A635" s="31" t="s">
        <v>3884</v>
      </c>
      <c r="B635" s="31" t="n">
        <v>32</v>
      </c>
      <c r="C635" s="32" t="n">
        <f aca="false">SETTINGS!$C$3+$B635-1</f>
        <v>46331</v>
      </c>
      <c r="D635" s="40" t="s">
        <v>3692</v>
      </c>
      <c r="E635" s="34" t="s">
        <v>3814</v>
      </c>
      <c r="F635" s="34" t="s">
        <v>3694</v>
      </c>
      <c r="G635" s="34" t="s">
        <v>3885</v>
      </c>
      <c r="H635" s="35" t="s">
        <v>3886</v>
      </c>
      <c r="I635" s="36" t="s">
        <v>3887</v>
      </c>
      <c r="J635" s="34" t="s">
        <v>3888</v>
      </c>
      <c r="K635" s="34" t="s">
        <v>3889</v>
      </c>
      <c r="L635" s="37"/>
      <c r="M635" s="37"/>
      <c r="N635" s="37"/>
      <c r="O635" s="37"/>
      <c r="P635" s="37"/>
      <c r="Q635" s="37"/>
      <c r="R635" s="31" t="n">
        <f aca="false">COUNT($M635:$Q635)</f>
        <v>0</v>
      </c>
      <c r="S635" s="32" t="str">
        <f aca="false">IF($L635="","",IF($R635&gt;=5,"",MAX($L635:$Q635)+CHOOSE($R635+1,SETTINGS!$C$9,SETTINGS!$C$10,SETTINGS!$C$11,SETTINGS!$C$12,SETTINGS!$C$13)))</f>
        <v/>
      </c>
      <c r="T635" s="34" t="str">
        <f aca="true">IF($H635="","(chưa có nội dung)",IF($L635="",IF($C635&lt;TODAY(),"⚠ TRỄ HỌC",IF($C635=TODAY(),"★ HỌC HÔM NAY","• Chưa tới")),IF($R635&gt;=5,"✔ MASTER",IF($S635&lt;TODAY(),"⚠ TRỄ ÔN",IF($S635=TODAY(),"◆ ÔN HÔM NAY","✔ Đúng tiến độ")))))</f>
        <v>• Chưa tới</v>
      </c>
      <c r="U635" s="38" t="n">
        <f aca="false">IF($H635="","",$R635/5)</f>
        <v>0</v>
      </c>
    </row>
    <row r="636" customFormat="false" ht="23.85" hidden="false" customHeight="false" outlineLevel="0" collapsed="false">
      <c r="A636" s="31" t="s">
        <v>3890</v>
      </c>
      <c r="B636" s="31" t="n">
        <v>32</v>
      </c>
      <c r="C636" s="32" t="n">
        <f aca="false">SETTINGS!$C$3+$B636-1</f>
        <v>46331</v>
      </c>
      <c r="D636" s="40" t="s">
        <v>3692</v>
      </c>
      <c r="E636" s="34" t="s">
        <v>3814</v>
      </c>
      <c r="F636" s="34" t="s">
        <v>3694</v>
      </c>
      <c r="G636" s="34" t="s">
        <v>3891</v>
      </c>
      <c r="H636" s="35" t="s">
        <v>3892</v>
      </c>
      <c r="I636" s="36" t="s">
        <v>3893</v>
      </c>
      <c r="J636" s="34" t="s">
        <v>3894</v>
      </c>
      <c r="K636" s="34" t="s">
        <v>3895</v>
      </c>
      <c r="L636" s="37"/>
      <c r="M636" s="37"/>
      <c r="N636" s="37"/>
      <c r="O636" s="37"/>
      <c r="P636" s="37"/>
      <c r="Q636" s="37"/>
      <c r="R636" s="31" t="n">
        <f aca="false">COUNT($M636:$Q636)</f>
        <v>0</v>
      </c>
      <c r="S636" s="32" t="str">
        <f aca="false">IF($L636="","",IF($R636&gt;=5,"",MAX($L636:$Q636)+CHOOSE($R636+1,SETTINGS!$C$9,SETTINGS!$C$10,SETTINGS!$C$11,SETTINGS!$C$12,SETTINGS!$C$13)))</f>
        <v/>
      </c>
      <c r="T636" s="34" t="str">
        <f aca="true">IF($H636="","(chưa có nội dung)",IF($L636="",IF($C636&lt;TODAY(),"⚠ TRỄ HỌC",IF($C636=TODAY(),"★ HỌC HÔM NAY","• Chưa tới")),IF($R636&gt;=5,"✔ MASTER",IF($S636&lt;TODAY(),"⚠ TRỄ ÔN",IF($S636=TODAY(),"◆ ÔN HÔM NAY","✔ Đúng tiến độ")))))</f>
        <v>• Chưa tới</v>
      </c>
      <c r="U636" s="38" t="n">
        <f aca="false">IF($H636="","",$R636/5)</f>
        <v>0</v>
      </c>
    </row>
    <row r="637" customFormat="false" ht="23.85" hidden="false" customHeight="false" outlineLevel="0" collapsed="false">
      <c r="A637" s="31" t="s">
        <v>3896</v>
      </c>
      <c r="B637" s="31" t="n">
        <v>32</v>
      </c>
      <c r="C637" s="32" t="n">
        <f aca="false">SETTINGS!$C$3+$B637-1</f>
        <v>46331</v>
      </c>
      <c r="D637" s="40" t="s">
        <v>3692</v>
      </c>
      <c r="E637" s="34" t="s">
        <v>3814</v>
      </c>
      <c r="F637" s="34" t="s">
        <v>280</v>
      </c>
      <c r="G637" s="34" t="s">
        <v>3897</v>
      </c>
      <c r="H637" s="35" t="s">
        <v>3898</v>
      </c>
      <c r="I637" s="36" t="s">
        <v>3899</v>
      </c>
      <c r="J637" s="34" t="s">
        <v>3900</v>
      </c>
      <c r="K637" s="34" t="s">
        <v>3901</v>
      </c>
      <c r="L637" s="37"/>
      <c r="M637" s="37"/>
      <c r="N637" s="37"/>
      <c r="O637" s="37"/>
      <c r="P637" s="37"/>
      <c r="Q637" s="37"/>
      <c r="R637" s="31" t="n">
        <f aca="false">COUNT($M637:$Q637)</f>
        <v>0</v>
      </c>
      <c r="S637" s="32" t="str">
        <f aca="false">IF($L637="","",IF($R637&gt;=5,"",MAX($L637:$Q637)+CHOOSE($R637+1,SETTINGS!$C$9,SETTINGS!$C$10,SETTINGS!$C$11,SETTINGS!$C$12,SETTINGS!$C$13)))</f>
        <v/>
      </c>
      <c r="T637" s="34" t="str">
        <f aca="true">IF($H637="","(chưa có nội dung)",IF($L637="",IF($C637&lt;TODAY(),"⚠ TRỄ HỌC",IF($C637=TODAY(),"★ HỌC HÔM NAY","• Chưa tới")),IF($R637&gt;=5,"✔ MASTER",IF($S637&lt;TODAY(),"⚠ TRỄ ÔN",IF($S637=TODAY(),"◆ ÔN HÔM NAY","✔ Đúng tiến độ")))))</f>
        <v>• Chưa tới</v>
      </c>
      <c r="U637" s="38" t="n">
        <f aca="false">IF($H637="","",$R637/5)</f>
        <v>0</v>
      </c>
    </row>
    <row r="638" customFormat="false" ht="23.85" hidden="false" customHeight="false" outlineLevel="0" collapsed="false">
      <c r="A638" s="31" t="s">
        <v>3902</v>
      </c>
      <c r="B638" s="31" t="n">
        <v>32</v>
      </c>
      <c r="C638" s="32" t="n">
        <f aca="false">SETTINGS!$C$3+$B638-1</f>
        <v>46331</v>
      </c>
      <c r="D638" s="40" t="s">
        <v>3692</v>
      </c>
      <c r="E638" s="34" t="s">
        <v>3814</v>
      </c>
      <c r="F638" s="34" t="s">
        <v>280</v>
      </c>
      <c r="G638" s="34" t="s">
        <v>3903</v>
      </c>
      <c r="H638" s="35" t="s">
        <v>3904</v>
      </c>
      <c r="I638" s="36" t="s">
        <v>3905</v>
      </c>
      <c r="J638" s="34" t="s">
        <v>3906</v>
      </c>
      <c r="K638" s="34" t="s">
        <v>3907</v>
      </c>
      <c r="L638" s="37"/>
      <c r="M638" s="37"/>
      <c r="N638" s="37"/>
      <c r="O638" s="37"/>
      <c r="P638" s="37"/>
      <c r="Q638" s="37"/>
      <c r="R638" s="31" t="n">
        <f aca="false">COUNT($M638:$Q638)</f>
        <v>0</v>
      </c>
      <c r="S638" s="32" t="str">
        <f aca="false">IF($L638="","",IF($R638&gt;=5,"",MAX($L638:$Q638)+CHOOSE($R638+1,SETTINGS!$C$9,SETTINGS!$C$10,SETTINGS!$C$11,SETTINGS!$C$12,SETTINGS!$C$13)))</f>
        <v/>
      </c>
      <c r="T638" s="34" t="str">
        <f aca="true">IF($H638="","(chưa có nội dung)",IF($L638="",IF($C638&lt;TODAY(),"⚠ TRỄ HỌC",IF($C638=TODAY(),"★ HỌC HÔM NAY","• Chưa tới")),IF($R638&gt;=5,"✔ MASTER",IF($S638&lt;TODAY(),"⚠ TRỄ ÔN",IF($S638=TODAY(),"◆ ÔN HÔM NAY","✔ Đúng tiến độ")))))</f>
        <v>• Chưa tới</v>
      </c>
      <c r="U638" s="38" t="n">
        <f aca="false">IF($H638="","",$R638/5)</f>
        <v>0</v>
      </c>
    </row>
    <row r="639" customFormat="false" ht="23.85" hidden="false" customHeight="false" outlineLevel="0" collapsed="false">
      <c r="A639" s="31" t="s">
        <v>3908</v>
      </c>
      <c r="B639" s="31" t="n">
        <v>32</v>
      </c>
      <c r="C639" s="32" t="n">
        <f aca="false">SETTINGS!$C$3+$B639-1</f>
        <v>46331</v>
      </c>
      <c r="D639" s="40" t="s">
        <v>3692</v>
      </c>
      <c r="E639" s="34" t="s">
        <v>3814</v>
      </c>
      <c r="F639" s="34" t="s">
        <v>3694</v>
      </c>
      <c r="G639" s="34" t="s">
        <v>3909</v>
      </c>
      <c r="H639" s="35" t="s">
        <v>3910</v>
      </c>
      <c r="I639" s="36" t="s">
        <v>3911</v>
      </c>
      <c r="J639" s="34" t="s">
        <v>3912</v>
      </c>
      <c r="K639" s="34" t="s">
        <v>3913</v>
      </c>
      <c r="L639" s="37"/>
      <c r="M639" s="37"/>
      <c r="N639" s="37"/>
      <c r="O639" s="37"/>
      <c r="P639" s="37"/>
      <c r="Q639" s="37"/>
      <c r="R639" s="31" t="n">
        <f aca="false">COUNT($M639:$Q639)</f>
        <v>0</v>
      </c>
      <c r="S639" s="32" t="str">
        <f aca="false">IF($L639="","",IF($R639&gt;=5,"",MAX($L639:$Q639)+CHOOSE($R639+1,SETTINGS!$C$9,SETTINGS!$C$10,SETTINGS!$C$11,SETTINGS!$C$12,SETTINGS!$C$13)))</f>
        <v/>
      </c>
      <c r="T639" s="34" t="str">
        <f aca="true">IF($H639="","(chưa có nội dung)",IF($L639="",IF($C639&lt;TODAY(),"⚠ TRỄ HỌC",IF($C639=TODAY(),"★ HỌC HÔM NAY","• Chưa tới")),IF($R639&gt;=5,"✔ MASTER",IF($S639&lt;TODAY(),"⚠ TRỄ ÔN",IF($S639=TODAY(),"◆ ÔN HÔM NAY","✔ Đúng tiến độ")))))</f>
        <v>• Chưa tới</v>
      </c>
      <c r="U639" s="38" t="n">
        <f aca="false">IF($H639="","",$R639/5)</f>
        <v>0</v>
      </c>
    </row>
    <row r="640" customFormat="false" ht="23.85" hidden="false" customHeight="false" outlineLevel="0" collapsed="false">
      <c r="A640" s="31" t="s">
        <v>3914</v>
      </c>
      <c r="B640" s="31" t="n">
        <v>32</v>
      </c>
      <c r="C640" s="32" t="n">
        <f aca="false">SETTINGS!$C$3+$B640-1</f>
        <v>46331</v>
      </c>
      <c r="D640" s="40" t="s">
        <v>3692</v>
      </c>
      <c r="E640" s="34" t="s">
        <v>3814</v>
      </c>
      <c r="F640" s="34" t="s">
        <v>3694</v>
      </c>
      <c r="G640" s="34" t="s">
        <v>3915</v>
      </c>
      <c r="H640" s="35" t="s">
        <v>3916</v>
      </c>
      <c r="I640" s="36" t="s">
        <v>3917</v>
      </c>
      <c r="J640" s="34" t="s">
        <v>3918</v>
      </c>
      <c r="K640" s="34" t="s">
        <v>3919</v>
      </c>
      <c r="L640" s="37"/>
      <c r="M640" s="37"/>
      <c r="N640" s="37"/>
      <c r="O640" s="37"/>
      <c r="P640" s="37"/>
      <c r="Q640" s="37"/>
      <c r="R640" s="31" t="n">
        <f aca="false">COUNT($M640:$Q640)</f>
        <v>0</v>
      </c>
      <c r="S640" s="32" t="str">
        <f aca="false">IF($L640="","",IF($R640&gt;=5,"",MAX($L640:$Q640)+CHOOSE($R640+1,SETTINGS!$C$9,SETTINGS!$C$10,SETTINGS!$C$11,SETTINGS!$C$12,SETTINGS!$C$13)))</f>
        <v/>
      </c>
      <c r="T640" s="34" t="str">
        <f aca="true">IF($H640="","(chưa có nội dung)",IF($L640="",IF($C640&lt;TODAY(),"⚠ TRỄ HỌC",IF($C640=TODAY(),"★ HỌC HÔM NAY","• Chưa tới")),IF($R640&gt;=5,"✔ MASTER",IF($S640&lt;TODAY(),"⚠ TRỄ ÔN",IF($S640=TODAY(),"◆ ÔN HÔM NAY","✔ Đúng tiến độ")))))</f>
        <v>• Chưa tới</v>
      </c>
      <c r="U640" s="38" t="n">
        <f aca="false">IF($H640="","",$R640/5)</f>
        <v>0</v>
      </c>
    </row>
    <row r="641" customFormat="false" ht="23.85" hidden="false" customHeight="false" outlineLevel="0" collapsed="false">
      <c r="A641" s="31" t="s">
        <v>3920</v>
      </c>
      <c r="B641" s="31" t="n">
        <v>32</v>
      </c>
      <c r="C641" s="32" t="n">
        <f aca="false">SETTINGS!$C$3+$B641-1</f>
        <v>46331</v>
      </c>
      <c r="D641" s="40" t="s">
        <v>3692</v>
      </c>
      <c r="E641" s="34" t="s">
        <v>3814</v>
      </c>
      <c r="F641" s="34" t="s">
        <v>3694</v>
      </c>
      <c r="G641" s="34" t="s">
        <v>3921</v>
      </c>
      <c r="H641" s="35" t="s">
        <v>3922</v>
      </c>
      <c r="I641" s="36" t="s">
        <v>3923</v>
      </c>
      <c r="J641" s="34" t="s">
        <v>3924</v>
      </c>
      <c r="K641" s="34" t="s">
        <v>3925</v>
      </c>
      <c r="L641" s="37"/>
      <c r="M641" s="37"/>
      <c r="N641" s="37"/>
      <c r="O641" s="37"/>
      <c r="P641" s="37"/>
      <c r="Q641" s="37"/>
      <c r="R641" s="31" t="n">
        <f aca="false">COUNT($M641:$Q641)</f>
        <v>0</v>
      </c>
      <c r="S641" s="32" t="str">
        <f aca="false">IF($L641="","",IF($R641&gt;=5,"",MAX($L641:$Q641)+CHOOSE($R641+1,SETTINGS!$C$9,SETTINGS!$C$10,SETTINGS!$C$11,SETTINGS!$C$12,SETTINGS!$C$13)))</f>
        <v/>
      </c>
      <c r="T641" s="34" t="str">
        <f aca="true">IF($H641="","(chưa có nội dung)",IF($L641="",IF($C641&lt;TODAY(),"⚠ TRỄ HỌC",IF($C641=TODAY(),"★ HỌC HÔM NAY","• Chưa tới")),IF($R641&gt;=5,"✔ MASTER",IF($S641&lt;TODAY(),"⚠ TRỄ ÔN",IF($S641=TODAY(),"◆ ÔN HÔM NAY","✔ Đúng tiến độ")))))</f>
        <v>• Chưa tới</v>
      </c>
      <c r="U641" s="38" t="n">
        <f aca="false">IF($H641="","",$R641/5)</f>
        <v>0</v>
      </c>
    </row>
    <row r="642" customFormat="false" ht="23.85" hidden="false" customHeight="false" outlineLevel="0" collapsed="false">
      <c r="A642" s="31" t="s">
        <v>3926</v>
      </c>
      <c r="B642" s="31" t="n">
        <v>32</v>
      </c>
      <c r="C642" s="32" t="n">
        <f aca="false">SETTINGS!$C$3+$B642-1</f>
        <v>46331</v>
      </c>
      <c r="D642" s="40" t="s">
        <v>3692</v>
      </c>
      <c r="E642" s="34" t="s">
        <v>3814</v>
      </c>
      <c r="F642" s="34" t="s">
        <v>280</v>
      </c>
      <c r="G642" s="34" t="s">
        <v>3927</v>
      </c>
      <c r="H642" s="35" t="s">
        <v>3928</v>
      </c>
      <c r="I642" s="36" t="s">
        <v>3929</v>
      </c>
      <c r="J642" s="34" t="s">
        <v>3930</v>
      </c>
      <c r="K642" s="34" t="s">
        <v>3931</v>
      </c>
      <c r="L642" s="37"/>
      <c r="M642" s="37"/>
      <c r="N642" s="37"/>
      <c r="O642" s="37"/>
      <c r="P642" s="37"/>
      <c r="Q642" s="37"/>
      <c r="R642" s="31" t="n">
        <f aca="false">COUNT($M642:$Q642)</f>
        <v>0</v>
      </c>
      <c r="S642" s="32" t="str">
        <f aca="false">IF($L642="","",IF($R642&gt;=5,"",MAX($L642:$Q642)+CHOOSE($R642+1,SETTINGS!$C$9,SETTINGS!$C$10,SETTINGS!$C$11,SETTINGS!$C$12,SETTINGS!$C$13)))</f>
        <v/>
      </c>
      <c r="T642" s="34" t="str">
        <f aca="true">IF($H642="","(chưa có nội dung)",IF($L642="",IF($C642&lt;TODAY(),"⚠ TRỄ HỌC",IF($C642=TODAY(),"★ HỌC HÔM NAY","• Chưa tới")),IF($R642&gt;=5,"✔ MASTER",IF($S642&lt;TODAY(),"⚠ TRỄ ÔN",IF($S642=TODAY(),"◆ ÔN HÔM NAY","✔ Đúng tiến độ")))))</f>
        <v>• Chưa tới</v>
      </c>
      <c r="U642" s="38" t="n">
        <f aca="false">IF($H642="","",$R642/5)</f>
        <v>0</v>
      </c>
    </row>
    <row r="643" customFormat="false" ht="23.85" hidden="false" customHeight="false" outlineLevel="0" collapsed="false">
      <c r="A643" s="31" t="s">
        <v>3932</v>
      </c>
      <c r="B643" s="31" t="n">
        <v>33</v>
      </c>
      <c r="C643" s="32" t="n">
        <f aca="false">SETTINGS!$C$3+$B643-1</f>
        <v>46332</v>
      </c>
      <c r="D643" s="40" t="s">
        <v>3692</v>
      </c>
      <c r="E643" s="34" t="s">
        <v>3933</v>
      </c>
      <c r="F643" s="34" t="s">
        <v>3694</v>
      </c>
      <c r="G643" s="34" t="s">
        <v>3934</v>
      </c>
      <c r="H643" s="35" t="s">
        <v>3935</v>
      </c>
      <c r="I643" s="36" t="s">
        <v>3936</v>
      </c>
      <c r="J643" s="34" t="s">
        <v>3937</v>
      </c>
      <c r="K643" s="34" t="s">
        <v>3654</v>
      </c>
      <c r="L643" s="37"/>
      <c r="M643" s="37"/>
      <c r="N643" s="37"/>
      <c r="O643" s="37"/>
      <c r="P643" s="37"/>
      <c r="Q643" s="37"/>
      <c r="R643" s="31" t="n">
        <f aca="false">COUNT($M643:$Q643)</f>
        <v>0</v>
      </c>
      <c r="S643" s="32" t="str">
        <f aca="false">IF($L643="","",IF($R643&gt;=5,"",MAX($L643:$Q643)+CHOOSE($R643+1,SETTINGS!$C$9,SETTINGS!$C$10,SETTINGS!$C$11,SETTINGS!$C$12,SETTINGS!$C$13)))</f>
        <v/>
      </c>
      <c r="T643" s="34" t="str">
        <f aca="true">IF($H643="","(chưa có nội dung)",IF($L643="",IF($C643&lt;TODAY(),"⚠ TRỄ HỌC",IF($C643=TODAY(),"★ HỌC HÔM NAY","• Chưa tới")),IF($R643&gt;=5,"✔ MASTER",IF($S643&lt;TODAY(),"⚠ TRỄ ÔN",IF($S643=TODAY(),"◆ ÔN HÔM NAY","✔ Đúng tiến độ")))))</f>
        <v>• Chưa tới</v>
      </c>
      <c r="U643" s="38" t="n">
        <f aca="false">IF($H643="","",$R643/5)</f>
        <v>0</v>
      </c>
    </row>
    <row r="644" customFormat="false" ht="23.85" hidden="false" customHeight="false" outlineLevel="0" collapsed="false">
      <c r="A644" s="31" t="s">
        <v>3938</v>
      </c>
      <c r="B644" s="31" t="n">
        <v>33</v>
      </c>
      <c r="C644" s="32" t="n">
        <f aca="false">SETTINGS!$C$3+$B644-1</f>
        <v>46332</v>
      </c>
      <c r="D644" s="40" t="s">
        <v>3692</v>
      </c>
      <c r="E644" s="34" t="s">
        <v>3933</v>
      </c>
      <c r="F644" s="34" t="s">
        <v>3694</v>
      </c>
      <c r="G644" s="34" t="s">
        <v>3939</v>
      </c>
      <c r="H644" s="35" t="s">
        <v>3940</v>
      </c>
      <c r="I644" s="36" t="s">
        <v>3941</v>
      </c>
      <c r="J644" s="34" t="s">
        <v>3942</v>
      </c>
      <c r="K644" s="34" t="s">
        <v>3943</v>
      </c>
      <c r="L644" s="37"/>
      <c r="M644" s="37"/>
      <c r="N644" s="37"/>
      <c r="O644" s="37"/>
      <c r="P644" s="37"/>
      <c r="Q644" s="37"/>
      <c r="R644" s="31" t="n">
        <f aca="false">COUNT($M644:$Q644)</f>
        <v>0</v>
      </c>
      <c r="S644" s="32" t="str">
        <f aca="false">IF($L644="","",IF($R644&gt;=5,"",MAX($L644:$Q644)+CHOOSE($R644+1,SETTINGS!$C$9,SETTINGS!$C$10,SETTINGS!$C$11,SETTINGS!$C$12,SETTINGS!$C$13)))</f>
        <v/>
      </c>
      <c r="T644" s="34" t="str">
        <f aca="true">IF($H644="","(chưa có nội dung)",IF($L644="",IF($C644&lt;TODAY(),"⚠ TRỄ HỌC",IF($C644=TODAY(),"★ HỌC HÔM NAY","• Chưa tới")),IF($R644&gt;=5,"✔ MASTER",IF($S644&lt;TODAY(),"⚠ TRỄ ÔN",IF($S644=TODAY(),"◆ ÔN HÔM NAY","✔ Đúng tiến độ")))))</f>
        <v>• Chưa tới</v>
      </c>
      <c r="U644" s="38" t="n">
        <f aca="false">IF($H644="","",$R644/5)</f>
        <v>0</v>
      </c>
    </row>
    <row r="645" customFormat="false" ht="23.85" hidden="false" customHeight="false" outlineLevel="0" collapsed="false">
      <c r="A645" s="31" t="s">
        <v>3944</v>
      </c>
      <c r="B645" s="31" t="n">
        <v>33</v>
      </c>
      <c r="C645" s="32" t="n">
        <f aca="false">SETTINGS!$C$3+$B645-1</f>
        <v>46332</v>
      </c>
      <c r="D645" s="40" t="s">
        <v>3692</v>
      </c>
      <c r="E645" s="34" t="s">
        <v>3933</v>
      </c>
      <c r="F645" s="34" t="s">
        <v>3694</v>
      </c>
      <c r="G645" s="34" t="s">
        <v>3945</v>
      </c>
      <c r="H645" s="35" t="s">
        <v>3946</v>
      </c>
      <c r="I645" s="36" t="s">
        <v>3947</v>
      </c>
      <c r="J645" s="34" t="s">
        <v>3948</v>
      </c>
      <c r="K645" s="34" t="s">
        <v>3949</v>
      </c>
      <c r="L645" s="37"/>
      <c r="M645" s="37"/>
      <c r="N645" s="37"/>
      <c r="O645" s="37"/>
      <c r="P645" s="37"/>
      <c r="Q645" s="37"/>
      <c r="R645" s="31" t="n">
        <f aca="false">COUNT($M645:$Q645)</f>
        <v>0</v>
      </c>
      <c r="S645" s="32" t="str">
        <f aca="false">IF($L645="","",IF($R645&gt;=5,"",MAX($L645:$Q645)+CHOOSE($R645+1,SETTINGS!$C$9,SETTINGS!$C$10,SETTINGS!$C$11,SETTINGS!$C$12,SETTINGS!$C$13)))</f>
        <v/>
      </c>
      <c r="T645" s="34" t="str">
        <f aca="true">IF($H645="","(chưa có nội dung)",IF($L645="",IF($C645&lt;TODAY(),"⚠ TRỄ HỌC",IF($C645=TODAY(),"★ HỌC HÔM NAY","• Chưa tới")),IF($R645&gt;=5,"✔ MASTER",IF($S645&lt;TODAY(),"⚠ TRỄ ÔN",IF($S645=TODAY(),"◆ ÔN HÔM NAY","✔ Đúng tiến độ")))))</f>
        <v>• Chưa tới</v>
      </c>
      <c r="U645" s="38" t="n">
        <f aca="false">IF($H645="","",$R645/5)</f>
        <v>0</v>
      </c>
    </row>
    <row r="646" customFormat="false" ht="23.85" hidden="false" customHeight="false" outlineLevel="0" collapsed="false">
      <c r="A646" s="31" t="s">
        <v>3950</v>
      </c>
      <c r="B646" s="31" t="n">
        <v>33</v>
      </c>
      <c r="C646" s="32" t="n">
        <f aca="false">SETTINGS!$C$3+$B646-1</f>
        <v>46332</v>
      </c>
      <c r="D646" s="40" t="s">
        <v>3692</v>
      </c>
      <c r="E646" s="34" t="s">
        <v>3933</v>
      </c>
      <c r="F646" s="34" t="s">
        <v>3694</v>
      </c>
      <c r="G646" s="34" t="s">
        <v>3951</v>
      </c>
      <c r="H646" s="35" t="s">
        <v>3952</v>
      </c>
      <c r="I646" s="36" t="s">
        <v>3953</v>
      </c>
      <c r="J646" s="34" t="s">
        <v>3954</v>
      </c>
      <c r="K646" s="34" t="s">
        <v>3951</v>
      </c>
      <c r="L646" s="37"/>
      <c r="M646" s="37"/>
      <c r="N646" s="37"/>
      <c r="O646" s="37"/>
      <c r="P646" s="37"/>
      <c r="Q646" s="37"/>
      <c r="R646" s="31" t="n">
        <f aca="false">COUNT($M646:$Q646)</f>
        <v>0</v>
      </c>
      <c r="S646" s="32" t="str">
        <f aca="false">IF($L646="","",IF($R646&gt;=5,"",MAX($L646:$Q646)+CHOOSE($R646+1,SETTINGS!$C$9,SETTINGS!$C$10,SETTINGS!$C$11,SETTINGS!$C$12,SETTINGS!$C$13)))</f>
        <v/>
      </c>
      <c r="T646" s="34" t="str">
        <f aca="true">IF($H646="","(chưa có nội dung)",IF($L646="",IF($C646&lt;TODAY(),"⚠ TRỄ HỌC",IF($C646=TODAY(),"★ HỌC HÔM NAY","• Chưa tới")),IF($R646&gt;=5,"✔ MASTER",IF($S646&lt;TODAY(),"⚠ TRỄ ÔN",IF($S646=TODAY(),"◆ ÔN HÔM NAY","✔ Đúng tiến độ")))))</f>
        <v>• Chưa tới</v>
      </c>
      <c r="U646" s="38" t="n">
        <f aca="false">IF($H646="","",$R646/5)</f>
        <v>0</v>
      </c>
    </row>
    <row r="647" customFormat="false" ht="23.85" hidden="false" customHeight="false" outlineLevel="0" collapsed="false">
      <c r="A647" s="31" t="s">
        <v>3955</v>
      </c>
      <c r="B647" s="31" t="n">
        <v>33</v>
      </c>
      <c r="C647" s="32" t="n">
        <f aca="false">SETTINGS!$C$3+$B647-1</f>
        <v>46332</v>
      </c>
      <c r="D647" s="40" t="s">
        <v>3692</v>
      </c>
      <c r="E647" s="34" t="s">
        <v>3933</v>
      </c>
      <c r="F647" s="34" t="s">
        <v>3694</v>
      </c>
      <c r="G647" s="34" t="s">
        <v>3956</v>
      </c>
      <c r="H647" s="35" t="s">
        <v>3957</v>
      </c>
      <c r="I647" s="36" t="s">
        <v>3958</v>
      </c>
      <c r="J647" s="34" t="s">
        <v>3959</v>
      </c>
      <c r="K647" s="34" t="s">
        <v>3960</v>
      </c>
      <c r="L647" s="37"/>
      <c r="M647" s="37"/>
      <c r="N647" s="37"/>
      <c r="O647" s="37"/>
      <c r="P647" s="37"/>
      <c r="Q647" s="37"/>
      <c r="R647" s="31" t="n">
        <f aca="false">COUNT($M647:$Q647)</f>
        <v>0</v>
      </c>
      <c r="S647" s="32" t="str">
        <f aca="false">IF($L647="","",IF($R647&gt;=5,"",MAX($L647:$Q647)+CHOOSE($R647+1,SETTINGS!$C$9,SETTINGS!$C$10,SETTINGS!$C$11,SETTINGS!$C$12,SETTINGS!$C$13)))</f>
        <v/>
      </c>
      <c r="T647" s="34" t="str">
        <f aca="true">IF($H647="","(chưa có nội dung)",IF($L647="",IF($C647&lt;TODAY(),"⚠ TRỄ HỌC",IF($C647=TODAY(),"★ HỌC HÔM NAY","• Chưa tới")),IF($R647&gt;=5,"✔ MASTER",IF($S647&lt;TODAY(),"⚠ TRỄ ÔN",IF($S647=TODAY(),"◆ ÔN HÔM NAY","✔ Đúng tiến độ")))))</f>
        <v>• Chưa tới</v>
      </c>
      <c r="U647" s="38" t="n">
        <f aca="false">IF($H647="","",$R647/5)</f>
        <v>0</v>
      </c>
    </row>
    <row r="648" customFormat="false" ht="26.85" hidden="false" customHeight="false" outlineLevel="0" collapsed="false">
      <c r="A648" s="31" t="s">
        <v>3961</v>
      </c>
      <c r="B648" s="31" t="n">
        <v>33</v>
      </c>
      <c r="C648" s="32" t="n">
        <f aca="false">SETTINGS!$C$3+$B648-1</f>
        <v>46332</v>
      </c>
      <c r="D648" s="40" t="s">
        <v>3692</v>
      </c>
      <c r="E648" s="34" t="s">
        <v>3933</v>
      </c>
      <c r="F648" s="34" t="s">
        <v>3694</v>
      </c>
      <c r="G648" s="34" t="s">
        <v>3962</v>
      </c>
      <c r="H648" s="35" t="s">
        <v>3963</v>
      </c>
      <c r="I648" s="36" t="s">
        <v>3964</v>
      </c>
      <c r="J648" s="34" t="s">
        <v>3965</v>
      </c>
      <c r="K648" s="34" t="s">
        <v>3966</v>
      </c>
      <c r="L648" s="37"/>
      <c r="M648" s="37"/>
      <c r="N648" s="37"/>
      <c r="O648" s="37"/>
      <c r="P648" s="37"/>
      <c r="Q648" s="37"/>
      <c r="R648" s="31" t="n">
        <f aca="false">COUNT($M648:$Q648)</f>
        <v>0</v>
      </c>
      <c r="S648" s="32" t="str">
        <f aca="false">IF($L648="","",IF($R648&gt;=5,"",MAX($L648:$Q648)+CHOOSE($R648+1,SETTINGS!$C$9,SETTINGS!$C$10,SETTINGS!$C$11,SETTINGS!$C$12,SETTINGS!$C$13)))</f>
        <v/>
      </c>
      <c r="T648" s="34" t="str">
        <f aca="true">IF($H648="","(chưa có nội dung)",IF($L648="",IF($C648&lt;TODAY(),"⚠ TRỄ HỌC",IF($C648=TODAY(),"★ HỌC HÔM NAY","• Chưa tới")),IF($R648&gt;=5,"✔ MASTER",IF($S648&lt;TODAY(),"⚠ TRỄ ÔN",IF($S648=TODAY(),"◆ ÔN HÔM NAY","✔ Đúng tiến độ")))))</f>
        <v>• Chưa tới</v>
      </c>
      <c r="U648" s="38" t="n">
        <f aca="false">IF($H648="","",$R648/5)</f>
        <v>0</v>
      </c>
    </row>
    <row r="649" customFormat="false" ht="26.85" hidden="false" customHeight="false" outlineLevel="0" collapsed="false">
      <c r="A649" s="31" t="s">
        <v>3967</v>
      </c>
      <c r="B649" s="31" t="n">
        <v>33</v>
      </c>
      <c r="C649" s="32" t="n">
        <f aca="false">SETTINGS!$C$3+$B649-1</f>
        <v>46332</v>
      </c>
      <c r="D649" s="40" t="s">
        <v>3692</v>
      </c>
      <c r="E649" s="34" t="s">
        <v>3933</v>
      </c>
      <c r="F649" s="34" t="s">
        <v>3694</v>
      </c>
      <c r="G649" s="34" t="s">
        <v>3968</v>
      </c>
      <c r="H649" s="35" t="s">
        <v>3969</v>
      </c>
      <c r="I649" s="36" t="s">
        <v>3970</v>
      </c>
      <c r="J649" s="34" t="s">
        <v>3971</v>
      </c>
      <c r="K649" s="34" t="s">
        <v>3972</v>
      </c>
      <c r="L649" s="37"/>
      <c r="M649" s="37"/>
      <c r="N649" s="37"/>
      <c r="O649" s="37"/>
      <c r="P649" s="37"/>
      <c r="Q649" s="37"/>
      <c r="R649" s="31" t="n">
        <f aca="false">COUNT($M649:$Q649)</f>
        <v>0</v>
      </c>
      <c r="S649" s="32" t="str">
        <f aca="false">IF($L649="","",IF($R649&gt;=5,"",MAX($L649:$Q649)+CHOOSE($R649+1,SETTINGS!$C$9,SETTINGS!$C$10,SETTINGS!$C$11,SETTINGS!$C$12,SETTINGS!$C$13)))</f>
        <v/>
      </c>
      <c r="T649" s="34" t="str">
        <f aca="true">IF($H649="","(chưa có nội dung)",IF($L649="",IF($C649&lt;TODAY(),"⚠ TRỄ HỌC",IF($C649=TODAY(),"★ HỌC HÔM NAY","• Chưa tới")),IF($R649&gt;=5,"✔ MASTER",IF($S649&lt;TODAY(),"⚠ TRỄ ÔN",IF($S649=TODAY(),"◆ ÔN HÔM NAY","✔ Đúng tiến độ")))))</f>
        <v>• Chưa tới</v>
      </c>
      <c r="U649" s="38" t="n">
        <f aca="false">IF($H649="","",$R649/5)</f>
        <v>0</v>
      </c>
    </row>
    <row r="650" customFormat="false" ht="23.85" hidden="false" customHeight="false" outlineLevel="0" collapsed="false">
      <c r="A650" s="31" t="s">
        <v>3973</v>
      </c>
      <c r="B650" s="31" t="n">
        <v>33</v>
      </c>
      <c r="C650" s="32" t="n">
        <f aca="false">SETTINGS!$C$3+$B650-1</f>
        <v>46332</v>
      </c>
      <c r="D650" s="40" t="s">
        <v>3692</v>
      </c>
      <c r="E650" s="34" t="s">
        <v>3933</v>
      </c>
      <c r="F650" s="34" t="s">
        <v>3694</v>
      </c>
      <c r="G650" s="34" t="s">
        <v>3974</v>
      </c>
      <c r="H650" s="35" t="s">
        <v>3975</v>
      </c>
      <c r="I650" s="36" t="s">
        <v>3976</v>
      </c>
      <c r="J650" s="34" t="s">
        <v>3977</v>
      </c>
      <c r="K650" s="34" t="s">
        <v>3974</v>
      </c>
      <c r="L650" s="37"/>
      <c r="M650" s="37"/>
      <c r="N650" s="37"/>
      <c r="O650" s="37"/>
      <c r="P650" s="37"/>
      <c r="Q650" s="37"/>
      <c r="R650" s="31" t="n">
        <f aca="false">COUNT($M650:$Q650)</f>
        <v>0</v>
      </c>
      <c r="S650" s="32" t="str">
        <f aca="false">IF($L650="","",IF($R650&gt;=5,"",MAX($L650:$Q650)+CHOOSE($R650+1,SETTINGS!$C$9,SETTINGS!$C$10,SETTINGS!$C$11,SETTINGS!$C$12,SETTINGS!$C$13)))</f>
        <v/>
      </c>
      <c r="T650" s="34" t="str">
        <f aca="true">IF($H650="","(chưa có nội dung)",IF($L650="",IF($C650&lt;TODAY(),"⚠ TRỄ HỌC",IF($C650=TODAY(),"★ HỌC HÔM NAY","• Chưa tới")),IF($R650&gt;=5,"✔ MASTER",IF($S650&lt;TODAY(),"⚠ TRỄ ÔN",IF($S650=TODAY(),"◆ ÔN HÔM NAY","✔ Đúng tiến độ")))))</f>
        <v>• Chưa tới</v>
      </c>
      <c r="U650" s="38" t="n">
        <f aca="false">IF($H650="","",$R650/5)</f>
        <v>0</v>
      </c>
    </row>
    <row r="651" customFormat="false" ht="23.85" hidden="false" customHeight="false" outlineLevel="0" collapsed="false">
      <c r="A651" s="31" t="s">
        <v>3978</v>
      </c>
      <c r="B651" s="31" t="n">
        <v>33</v>
      </c>
      <c r="C651" s="32" t="n">
        <f aca="false">SETTINGS!$C$3+$B651-1</f>
        <v>46332</v>
      </c>
      <c r="D651" s="40" t="s">
        <v>3692</v>
      </c>
      <c r="E651" s="34" t="s">
        <v>3933</v>
      </c>
      <c r="F651" s="34" t="s">
        <v>3694</v>
      </c>
      <c r="G651" s="34" t="s">
        <v>3979</v>
      </c>
      <c r="H651" s="35" t="s">
        <v>3980</v>
      </c>
      <c r="I651" s="36" t="s">
        <v>3981</v>
      </c>
      <c r="J651" s="34" t="s">
        <v>3982</v>
      </c>
      <c r="K651" s="34" t="s">
        <v>3979</v>
      </c>
      <c r="L651" s="37"/>
      <c r="M651" s="37"/>
      <c r="N651" s="37"/>
      <c r="O651" s="37"/>
      <c r="P651" s="37"/>
      <c r="Q651" s="37"/>
      <c r="R651" s="31" t="n">
        <f aca="false">COUNT($M651:$Q651)</f>
        <v>0</v>
      </c>
      <c r="S651" s="32" t="str">
        <f aca="false">IF($L651="","",IF($R651&gt;=5,"",MAX($L651:$Q651)+CHOOSE($R651+1,SETTINGS!$C$9,SETTINGS!$C$10,SETTINGS!$C$11,SETTINGS!$C$12,SETTINGS!$C$13)))</f>
        <v/>
      </c>
      <c r="T651" s="34" t="str">
        <f aca="true">IF($H651="","(chưa có nội dung)",IF($L651="",IF($C651&lt;TODAY(),"⚠ TRỄ HỌC",IF($C651=TODAY(),"★ HỌC HÔM NAY","• Chưa tới")),IF($R651&gt;=5,"✔ MASTER",IF($S651&lt;TODAY(),"⚠ TRỄ ÔN",IF($S651=TODAY(),"◆ ÔN HÔM NAY","✔ Đúng tiến độ")))))</f>
        <v>• Chưa tới</v>
      </c>
      <c r="U651" s="38" t="n">
        <f aca="false">IF($H651="","",$R651/5)</f>
        <v>0</v>
      </c>
    </row>
    <row r="652" customFormat="false" ht="23.85" hidden="false" customHeight="false" outlineLevel="0" collapsed="false">
      <c r="A652" s="31" t="s">
        <v>3983</v>
      </c>
      <c r="B652" s="31" t="n">
        <v>33</v>
      </c>
      <c r="C652" s="32" t="n">
        <f aca="false">SETTINGS!$C$3+$B652-1</f>
        <v>46332</v>
      </c>
      <c r="D652" s="40" t="s">
        <v>3692</v>
      </c>
      <c r="E652" s="34" t="s">
        <v>3933</v>
      </c>
      <c r="F652" s="34" t="s">
        <v>3694</v>
      </c>
      <c r="G652" s="34" t="s">
        <v>3984</v>
      </c>
      <c r="H652" s="35" t="s">
        <v>3985</v>
      </c>
      <c r="I652" s="36" t="s">
        <v>3986</v>
      </c>
      <c r="J652" s="34" t="s">
        <v>3987</v>
      </c>
      <c r="K652" s="34" t="s">
        <v>3984</v>
      </c>
      <c r="L652" s="37"/>
      <c r="M652" s="37"/>
      <c r="N652" s="37"/>
      <c r="O652" s="37"/>
      <c r="P652" s="37"/>
      <c r="Q652" s="37"/>
      <c r="R652" s="31" t="n">
        <f aca="false">COUNT($M652:$Q652)</f>
        <v>0</v>
      </c>
      <c r="S652" s="32" t="str">
        <f aca="false">IF($L652="","",IF($R652&gt;=5,"",MAX($L652:$Q652)+CHOOSE($R652+1,SETTINGS!$C$9,SETTINGS!$C$10,SETTINGS!$C$11,SETTINGS!$C$12,SETTINGS!$C$13)))</f>
        <v/>
      </c>
      <c r="T652" s="34" t="str">
        <f aca="true">IF($H652="","(chưa có nội dung)",IF($L652="",IF($C652&lt;TODAY(),"⚠ TRỄ HỌC",IF($C652=TODAY(),"★ HỌC HÔM NAY","• Chưa tới")),IF($R652&gt;=5,"✔ MASTER",IF($S652&lt;TODAY(),"⚠ TRỄ ÔN",IF($S652=TODAY(),"◆ ÔN HÔM NAY","✔ Đúng tiến độ")))))</f>
        <v>• Chưa tới</v>
      </c>
      <c r="U652" s="38" t="n">
        <f aca="false">IF($H652="","",$R652/5)</f>
        <v>0</v>
      </c>
    </row>
    <row r="653" customFormat="false" ht="23.85" hidden="false" customHeight="false" outlineLevel="0" collapsed="false">
      <c r="A653" s="31" t="s">
        <v>3988</v>
      </c>
      <c r="B653" s="31" t="n">
        <v>33</v>
      </c>
      <c r="C653" s="32" t="n">
        <f aca="false">SETTINGS!$C$3+$B653-1</f>
        <v>46332</v>
      </c>
      <c r="D653" s="40" t="s">
        <v>3692</v>
      </c>
      <c r="E653" s="34" t="s">
        <v>3933</v>
      </c>
      <c r="F653" s="34" t="s">
        <v>3694</v>
      </c>
      <c r="G653" s="34" t="s">
        <v>3989</v>
      </c>
      <c r="H653" s="35" t="s">
        <v>3990</v>
      </c>
      <c r="I653" s="36" t="s">
        <v>3991</v>
      </c>
      <c r="J653" s="34" t="s">
        <v>3992</v>
      </c>
      <c r="K653" s="34" t="s">
        <v>2195</v>
      </c>
      <c r="L653" s="37"/>
      <c r="M653" s="37"/>
      <c r="N653" s="37"/>
      <c r="O653" s="37"/>
      <c r="P653" s="37"/>
      <c r="Q653" s="37"/>
      <c r="R653" s="31" t="n">
        <f aca="false">COUNT($M653:$Q653)</f>
        <v>0</v>
      </c>
      <c r="S653" s="32" t="str">
        <f aca="false">IF($L653="","",IF($R653&gt;=5,"",MAX($L653:$Q653)+CHOOSE($R653+1,SETTINGS!$C$9,SETTINGS!$C$10,SETTINGS!$C$11,SETTINGS!$C$12,SETTINGS!$C$13)))</f>
        <v/>
      </c>
      <c r="T653" s="34" t="str">
        <f aca="true">IF($H653="","(chưa có nội dung)",IF($L653="",IF($C653&lt;TODAY(),"⚠ TRỄ HỌC",IF($C653=TODAY(),"★ HỌC HÔM NAY","• Chưa tới")),IF($R653&gt;=5,"✔ MASTER",IF($S653&lt;TODAY(),"⚠ TRỄ ÔN",IF($S653=TODAY(),"◆ ÔN HÔM NAY","✔ Đúng tiến độ")))))</f>
        <v>• Chưa tới</v>
      </c>
      <c r="U653" s="38" t="n">
        <f aca="false">IF($H653="","",$R653/5)</f>
        <v>0</v>
      </c>
    </row>
    <row r="654" customFormat="false" ht="23.85" hidden="false" customHeight="false" outlineLevel="0" collapsed="false">
      <c r="A654" s="31" t="s">
        <v>3993</v>
      </c>
      <c r="B654" s="31" t="n">
        <v>33</v>
      </c>
      <c r="C654" s="32" t="n">
        <f aca="false">SETTINGS!$C$3+$B654-1</f>
        <v>46332</v>
      </c>
      <c r="D654" s="40" t="s">
        <v>3692</v>
      </c>
      <c r="E654" s="34" t="s">
        <v>3933</v>
      </c>
      <c r="F654" s="34" t="s">
        <v>3694</v>
      </c>
      <c r="G654" s="34" t="s">
        <v>3994</v>
      </c>
      <c r="H654" s="35" t="s">
        <v>3995</v>
      </c>
      <c r="I654" s="36" t="s">
        <v>3996</v>
      </c>
      <c r="J654" s="34" t="s">
        <v>3997</v>
      </c>
      <c r="K654" s="34" t="s">
        <v>3998</v>
      </c>
      <c r="L654" s="37"/>
      <c r="M654" s="37"/>
      <c r="N654" s="37"/>
      <c r="O654" s="37"/>
      <c r="P654" s="37"/>
      <c r="Q654" s="37"/>
      <c r="R654" s="31" t="n">
        <f aca="false">COUNT($M654:$Q654)</f>
        <v>0</v>
      </c>
      <c r="S654" s="32" t="str">
        <f aca="false">IF($L654="","",IF($R654&gt;=5,"",MAX($L654:$Q654)+CHOOSE($R654+1,SETTINGS!$C$9,SETTINGS!$C$10,SETTINGS!$C$11,SETTINGS!$C$12,SETTINGS!$C$13)))</f>
        <v/>
      </c>
      <c r="T654" s="34" t="str">
        <f aca="true">IF($H654="","(chưa có nội dung)",IF($L654="",IF($C654&lt;TODAY(),"⚠ TRỄ HỌC",IF($C654=TODAY(),"★ HỌC HÔM NAY","• Chưa tới")),IF($R654&gt;=5,"✔ MASTER",IF($S654&lt;TODAY(),"⚠ TRỄ ÔN",IF($S654=TODAY(),"◆ ÔN HÔM NAY","✔ Đúng tiến độ")))))</f>
        <v>• Chưa tới</v>
      </c>
      <c r="U654" s="38" t="n">
        <f aca="false">IF($H654="","",$R654/5)</f>
        <v>0</v>
      </c>
    </row>
    <row r="655" customFormat="false" ht="23.85" hidden="false" customHeight="false" outlineLevel="0" collapsed="false">
      <c r="A655" s="31" t="s">
        <v>3999</v>
      </c>
      <c r="B655" s="31" t="n">
        <v>33</v>
      </c>
      <c r="C655" s="32" t="n">
        <f aca="false">SETTINGS!$C$3+$B655-1</f>
        <v>46332</v>
      </c>
      <c r="D655" s="40" t="s">
        <v>3692</v>
      </c>
      <c r="E655" s="34" t="s">
        <v>3933</v>
      </c>
      <c r="F655" s="34" t="s">
        <v>280</v>
      </c>
      <c r="G655" s="34" t="s">
        <v>4000</v>
      </c>
      <c r="H655" s="35" t="s">
        <v>4001</v>
      </c>
      <c r="I655" s="36" t="s">
        <v>4002</v>
      </c>
      <c r="J655" s="34" t="s">
        <v>4003</v>
      </c>
      <c r="K655" s="34" t="s">
        <v>4004</v>
      </c>
      <c r="L655" s="37"/>
      <c r="M655" s="37"/>
      <c r="N655" s="37"/>
      <c r="O655" s="37"/>
      <c r="P655" s="37"/>
      <c r="Q655" s="37"/>
      <c r="R655" s="31" t="n">
        <f aca="false">COUNT($M655:$Q655)</f>
        <v>0</v>
      </c>
      <c r="S655" s="32" t="str">
        <f aca="false">IF($L655="","",IF($R655&gt;=5,"",MAX($L655:$Q655)+CHOOSE($R655+1,SETTINGS!$C$9,SETTINGS!$C$10,SETTINGS!$C$11,SETTINGS!$C$12,SETTINGS!$C$13)))</f>
        <v/>
      </c>
      <c r="T655" s="34" t="str">
        <f aca="true">IF($H655="","(chưa có nội dung)",IF($L655="",IF($C655&lt;TODAY(),"⚠ TRỄ HỌC",IF($C655=TODAY(),"★ HỌC HÔM NAY","• Chưa tới")),IF($R655&gt;=5,"✔ MASTER",IF($S655&lt;TODAY(),"⚠ TRỄ ÔN",IF($S655=TODAY(),"◆ ÔN HÔM NAY","✔ Đúng tiến độ")))))</f>
        <v>• Chưa tới</v>
      </c>
      <c r="U655" s="38" t="n">
        <f aca="false">IF($H655="","",$R655/5)</f>
        <v>0</v>
      </c>
    </row>
    <row r="656" customFormat="false" ht="26.85" hidden="false" customHeight="false" outlineLevel="0" collapsed="false">
      <c r="A656" s="31" t="s">
        <v>4005</v>
      </c>
      <c r="B656" s="31" t="n">
        <v>33</v>
      </c>
      <c r="C656" s="32" t="n">
        <f aca="false">SETTINGS!$C$3+$B656-1</f>
        <v>46332</v>
      </c>
      <c r="D656" s="40" t="s">
        <v>3692</v>
      </c>
      <c r="E656" s="34" t="s">
        <v>3933</v>
      </c>
      <c r="F656" s="34" t="s">
        <v>3694</v>
      </c>
      <c r="G656" s="34" t="s">
        <v>4006</v>
      </c>
      <c r="H656" s="35" t="s">
        <v>4007</v>
      </c>
      <c r="I656" s="36" t="s">
        <v>4008</v>
      </c>
      <c r="J656" s="34" t="s">
        <v>4009</v>
      </c>
      <c r="K656" s="34" t="s">
        <v>997</v>
      </c>
      <c r="L656" s="37"/>
      <c r="M656" s="37"/>
      <c r="N656" s="37"/>
      <c r="O656" s="37"/>
      <c r="P656" s="37"/>
      <c r="Q656" s="37"/>
      <c r="R656" s="31" t="n">
        <f aca="false">COUNT($M656:$Q656)</f>
        <v>0</v>
      </c>
      <c r="S656" s="32" t="str">
        <f aca="false">IF($L656="","",IF($R656&gt;=5,"",MAX($L656:$Q656)+CHOOSE($R656+1,SETTINGS!$C$9,SETTINGS!$C$10,SETTINGS!$C$11,SETTINGS!$C$12,SETTINGS!$C$13)))</f>
        <v/>
      </c>
      <c r="T656" s="34" t="str">
        <f aca="true">IF($H656="","(chưa có nội dung)",IF($L656="",IF($C656&lt;TODAY(),"⚠ TRỄ HỌC",IF($C656=TODAY(),"★ HỌC HÔM NAY","• Chưa tới")),IF($R656&gt;=5,"✔ MASTER",IF($S656&lt;TODAY(),"⚠ TRỄ ÔN",IF($S656=TODAY(),"◆ ÔN HÔM NAY","✔ Đúng tiến độ")))))</f>
        <v>• Chưa tới</v>
      </c>
      <c r="U656" s="38" t="n">
        <f aca="false">IF($H656="","",$R656/5)</f>
        <v>0</v>
      </c>
    </row>
    <row r="657" customFormat="false" ht="26.85" hidden="false" customHeight="false" outlineLevel="0" collapsed="false">
      <c r="A657" s="31" t="s">
        <v>4010</v>
      </c>
      <c r="B657" s="31" t="n">
        <v>33</v>
      </c>
      <c r="C657" s="32" t="n">
        <f aca="false">SETTINGS!$C$3+$B657-1</f>
        <v>46332</v>
      </c>
      <c r="D657" s="40" t="s">
        <v>3692</v>
      </c>
      <c r="E657" s="34" t="s">
        <v>3933</v>
      </c>
      <c r="F657" s="34" t="s">
        <v>3694</v>
      </c>
      <c r="G657" s="34" t="s">
        <v>4011</v>
      </c>
      <c r="H657" s="35" t="s">
        <v>4012</v>
      </c>
      <c r="I657" s="36" t="s">
        <v>4013</v>
      </c>
      <c r="J657" s="34" t="s">
        <v>4014</v>
      </c>
      <c r="K657" s="34" t="s">
        <v>4015</v>
      </c>
      <c r="L657" s="37"/>
      <c r="M657" s="37"/>
      <c r="N657" s="37"/>
      <c r="O657" s="37"/>
      <c r="P657" s="37"/>
      <c r="Q657" s="37"/>
      <c r="R657" s="31" t="n">
        <f aca="false">COUNT($M657:$Q657)</f>
        <v>0</v>
      </c>
      <c r="S657" s="32" t="str">
        <f aca="false">IF($L657="","",IF($R657&gt;=5,"",MAX($L657:$Q657)+CHOOSE($R657+1,SETTINGS!$C$9,SETTINGS!$C$10,SETTINGS!$C$11,SETTINGS!$C$12,SETTINGS!$C$13)))</f>
        <v/>
      </c>
      <c r="T657" s="34" t="str">
        <f aca="true">IF($H657="","(chưa có nội dung)",IF($L657="",IF($C657&lt;TODAY(),"⚠ TRỄ HỌC",IF($C657=TODAY(),"★ HỌC HÔM NAY","• Chưa tới")),IF($R657&gt;=5,"✔ MASTER",IF($S657&lt;TODAY(),"⚠ TRỄ ÔN",IF($S657=TODAY(),"◆ ÔN HÔM NAY","✔ Đúng tiến độ")))))</f>
        <v>• Chưa tới</v>
      </c>
      <c r="U657" s="38" t="n">
        <f aca="false">IF($H657="","",$R657/5)</f>
        <v>0</v>
      </c>
    </row>
    <row r="658" customFormat="false" ht="23.85" hidden="false" customHeight="false" outlineLevel="0" collapsed="false">
      <c r="A658" s="31" t="s">
        <v>4016</v>
      </c>
      <c r="B658" s="31" t="n">
        <v>33</v>
      </c>
      <c r="C658" s="32" t="n">
        <f aca="false">SETTINGS!$C$3+$B658-1</f>
        <v>46332</v>
      </c>
      <c r="D658" s="40" t="s">
        <v>3692</v>
      </c>
      <c r="E658" s="34" t="s">
        <v>3933</v>
      </c>
      <c r="F658" s="34" t="s">
        <v>3694</v>
      </c>
      <c r="G658" s="34" t="s">
        <v>4017</v>
      </c>
      <c r="H658" s="35" t="s">
        <v>4018</v>
      </c>
      <c r="I658" s="36" t="s">
        <v>4019</v>
      </c>
      <c r="J658" s="34" t="s">
        <v>4020</v>
      </c>
      <c r="K658" s="34" t="s">
        <v>4021</v>
      </c>
      <c r="L658" s="37"/>
      <c r="M658" s="37"/>
      <c r="N658" s="37"/>
      <c r="O658" s="37"/>
      <c r="P658" s="37"/>
      <c r="Q658" s="37"/>
      <c r="R658" s="31" t="n">
        <f aca="false">COUNT($M658:$Q658)</f>
        <v>0</v>
      </c>
      <c r="S658" s="32" t="str">
        <f aca="false">IF($L658="","",IF($R658&gt;=5,"",MAX($L658:$Q658)+CHOOSE($R658+1,SETTINGS!$C$9,SETTINGS!$C$10,SETTINGS!$C$11,SETTINGS!$C$12,SETTINGS!$C$13)))</f>
        <v/>
      </c>
      <c r="T658" s="34" t="str">
        <f aca="true">IF($H658="","(chưa có nội dung)",IF($L658="",IF($C658&lt;TODAY(),"⚠ TRỄ HỌC",IF($C658=TODAY(),"★ HỌC HÔM NAY","• Chưa tới")),IF($R658&gt;=5,"✔ MASTER",IF($S658&lt;TODAY(),"⚠ TRỄ ÔN",IF($S658=TODAY(),"◆ ÔN HÔM NAY","✔ Đúng tiến độ")))))</f>
        <v>• Chưa tới</v>
      </c>
      <c r="U658" s="38" t="n">
        <f aca="false">IF($H658="","",$R658/5)</f>
        <v>0</v>
      </c>
    </row>
    <row r="659" customFormat="false" ht="23.85" hidden="false" customHeight="false" outlineLevel="0" collapsed="false">
      <c r="A659" s="31" t="s">
        <v>4022</v>
      </c>
      <c r="B659" s="31" t="n">
        <v>33</v>
      </c>
      <c r="C659" s="32" t="n">
        <f aca="false">SETTINGS!$C$3+$B659-1</f>
        <v>46332</v>
      </c>
      <c r="D659" s="40" t="s">
        <v>3692</v>
      </c>
      <c r="E659" s="34" t="s">
        <v>3933</v>
      </c>
      <c r="F659" s="34" t="s">
        <v>3694</v>
      </c>
      <c r="G659" s="34" t="s">
        <v>4023</v>
      </c>
      <c r="H659" s="35" t="s">
        <v>4024</v>
      </c>
      <c r="I659" s="36" t="s">
        <v>4025</v>
      </c>
      <c r="J659" s="34" t="s">
        <v>4026</v>
      </c>
      <c r="K659" s="34" t="s">
        <v>4027</v>
      </c>
      <c r="L659" s="37"/>
      <c r="M659" s="37"/>
      <c r="N659" s="37"/>
      <c r="O659" s="37"/>
      <c r="P659" s="37"/>
      <c r="Q659" s="37"/>
      <c r="R659" s="31" t="n">
        <f aca="false">COUNT($M659:$Q659)</f>
        <v>0</v>
      </c>
      <c r="S659" s="32" t="str">
        <f aca="false">IF($L659="","",IF($R659&gt;=5,"",MAX($L659:$Q659)+CHOOSE($R659+1,SETTINGS!$C$9,SETTINGS!$C$10,SETTINGS!$C$11,SETTINGS!$C$12,SETTINGS!$C$13)))</f>
        <v/>
      </c>
      <c r="T659" s="34" t="str">
        <f aca="true">IF($H659="","(chưa có nội dung)",IF($L659="",IF($C659&lt;TODAY(),"⚠ TRỄ HỌC",IF($C659=TODAY(),"★ HỌC HÔM NAY","• Chưa tới")),IF($R659&gt;=5,"✔ MASTER",IF($S659&lt;TODAY(),"⚠ TRỄ ÔN",IF($S659=TODAY(),"◆ ÔN HÔM NAY","✔ Đúng tiến độ")))))</f>
        <v>• Chưa tới</v>
      </c>
      <c r="U659" s="38" t="n">
        <f aca="false">IF($H659="","",$R659/5)</f>
        <v>0</v>
      </c>
    </row>
    <row r="660" customFormat="false" ht="23.85" hidden="false" customHeight="false" outlineLevel="0" collapsed="false">
      <c r="A660" s="31" t="s">
        <v>4028</v>
      </c>
      <c r="B660" s="31" t="n">
        <v>33</v>
      </c>
      <c r="C660" s="32" t="n">
        <f aca="false">SETTINGS!$C$3+$B660-1</f>
        <v>46332</v>
      </c>
      <c r="D660" s="40" t="s">
        <v>3692</v>
      </c>
      <c r="E660" s="34" t="s">
        <v>3933</v>
      </c>
      <c r="F660" s="34" t="s">
        <v>3694</v>
      </c>
      <c r="G660" s="34" t="s">
        <v>4029</v>
      </c>
      <c r="H660" s="35" t="s">
        <v>4030</v>
      </c>
      <c r="I660" s="36" t="s">
        <v>4031</v>
      </c>
      <c r="J660" s="34" t="s">
        <v>4032</v>
      </c>
      <c r="K660" s="34" t="s">
        <v>2551</v>
      </c>
      <c r="L660" s="37"/>
      <c r="M660" s="37"/>
      <c r="N660" s="37"/>
      <c r="O660" s="37"/>
      <c r="P660" s="37"/>
      <c r="Q660" s="37"/>
      <c r="R660" s="31" t="n">
        <f aca="false">COUNT($M660:$Q660)</f>
        <v>0</v>
      </c>
      <c r="S660" s="32" t="str">
        <f aca="false">IF($L660="","",IF($R660&gt;=5,"",MAX($L660:$Q660)+CHOOSE($R660+1,SETTINGS!$C$9,SETTINGS!$C$10,SETTINGS!$C$11,SETTINGS!$C$12,SETTINGS!$C$13)))</f>
        <v/>
      </c>
      <c r="T660" s="34" t="str">
        <f aca="true">IF($H660="","(chưa có nội dung)",IF($L660="",IF($C660&lt;TODAY(),"⚠ TRỄ HỌC",IF($C660=TODAY(),"★ HỌC HÔM NAY","• Chưa tới")),IF($R660&gt;=5,"✔ MASTER",IF($S660&lt;TODAY(),"⚠ TRỄ ÔN",IF($S660=TODAY(),"◆ ÔN HÔM NAY","✔ Đúng tiến độ")))))</f>
        <v>• Chưa tới</v>
      </c>
      <c r="U660" s="38" t="n">
        <f aca="false">IF($H660="","",$R660/5)</f>
        <v>0</v>
      </c>
    </row>
    <row r="661" customFormat="false" ht="26.85" hidden="false" customHeight="false" outlineLevel="0" collapsed="false">
      <c r="A661" s="31" t="s">
        <v>4033</v>
      </c>
      <c r="B661" s="31" t="n">
        <v>33</v>
      </c>
      <c r="C661" s="32" t="n">
        <f aca="false">SETTINGS!$C$3+$B661-1</f>
        <v>46332</v>
      </c>
      <c r="D661" s="40" t="s">
        <v>3692</v>
      </c>
      <c r="E661" s="34" t="s">
        <v>3933</v>
      </c>
      <c r="F661" s="34" t="s">
        <v>3694</v>
      </c>
      <c r="G661" s="34" t="s">
        <v>4034</v>
      </c>
      <c r="H661" s="35" t="s">
        <v>4035</v>
      </c>
      <c r="I661" s="36" t="s">
        <v>4036</v>
      </c>
      <c r="J661" s="34" t="s">
        <v>4037</v>
      </c>
      <c r="K661" s="34" t="s">
        <v>4038</v>
      </c>
      <c r="L661" s="37"/>
      <c r="M661" s="37"/>
      <c r="N661" s="37"/>
      <c r="O661" s="37"/>
      <c r="P661" s="37"/>
      <c r="Q661" s="37"/>
      <c r="R661" s="31" t="n">
        <f aca="false">COUNT($M661:$Q661)</f>
        <v>0</v>
      </c>
      <c r="S661" s="32" t="str">
        <f aca="false">IF($L661="","",IF($R661&gt;=5,"",MAX($L661:$Q661)+CHOOSE($R661+1,SETTINGS!$C$9,SETTINGS!$C$10,SETTINGS!$C$11,SETTINGS!$C$12,SETTINGS!$C$13)))</f>
        <v/>
      </c>
      <c r="T661" s="34" t="str">
        <f aca="true">IF($H661="","(chưa có nội dung)",IF($L661="",IF($C661&lt;TODAY(),"⚠ TRỄ HỌC",IF($C661=TODAY(),"★ HỌC HÔM NAY","• Chưa tới")),IF($R661&gt;=5,"✔ MASTER",IF($S661&lt;TODAY(),"⚠ TRỄ ÔN",IF($S661=TODAY(),"◆ ÔN HÔM NAY","✔ Đúng tiến độ")))))</f>
        <v>• Chưa tới</v>
      </c>
      <c r="U661" s="38" t="n">
        <f aca="false">IF($H661="","",$R661/5)</f>
        <v>0</v>
      </c>
    </row>
    <row r="662" customFormat="false" ht="23.85" hidden="false" customHeight="false" outlineLevel="0" collapsed="false">
      <c r="A662" s="31" t="s">
        <v>4039</v>
      </c>
      <c r="B662" s="31" t="n">
        <v>33</v>
      </c>
      <c r="C662" s="32" t="n">
        <f aca="false">SETTINGS!$C$3+$B662-1</f>
        <v>46332</v>
      </c>
      <c r="D662" s="40" t="s">
        <v>3692</v>
      </c>
      <c r="E662" s="34" t="s">
        <v>3933</v>
      </c>
      <c r="F662" s="34" t="s">
        <v>3694</v>
      </c>
      <c r="G662" s="34" t="s">
        <v>4040</v>
      </c>
      <c r="H662" s="35" t="s">
        <v>4041</v>
      </c>
      <c r="I662" s="36" t="s">
        <v>4042</v>
      </c>
      <c r="J662" s="34" t="s">
        <v>4043</v>
      </c>
      <c r="K662" s="34" t="s">
        <v>4044</v>
      </c>
      <c r="L662" s="37"/>
      <c r="M662" s="37"/>
      <c r="N662" s="37"/>
      <c r="O662" s="37"/>
      <c r="P662" s="37"/>
      <c r="Q662" s="37"/>
      <c r="R662" s="31" t="n">
        <f aca="false">COUNT($M662:$Q662)</f>
        <v>0</v>
      </c>
      <c r="S662" s="32" t="str">
        <f aca="false">IF($L662="","",IF($R662&gt;=5,"",MAX($L662:$Q662)+CHOOSE($R662+1,SETTINGS!$C$9,SETTINGS!$C$10,SETTINGS!$C$11,SETTINGS!$C$12,SETTINGS!$C$13)))</f>
        <v/>
      </c>
      <c r="T662" s="34" t="str">
        <f aca="true">IF($H662="","(chưa có nội dung)",IF($L662="",IF($C662&lt;TODAY(),"⚠ TRỄ HỌC",IF($C662=TODAY(),"★ HỌC HÔM NAY","• Chưa tới")),IF($R662&gt;=5,"✔ MASTER",IF($S662&lt;TODAY(),"⚠ TRỄ ÔN",IF($S662=TODAY(),"◆ ÔN HÔM NAY","✔ Đúng tiến độ")))))</f>
        <v>• Chưa tới</v>
      </c>
      <c r="U662" s="38" t="n">
        <f aca="false">IF($H662="","",$R662/5)</f>
        <v>0</v>
      </c>
    </row>
    <row r="663" customFormat="false" ht="23.85" hidden="false" customHeight="false" outlineLevel="0" collapsed="false">
      <c r="A663" s="31" t="s">
        <v>4045</v>
      </c>
      <c r="B663" s="31" t="n">
        <v>34</v>
      </c>
      <c r="C663" s="32" t="n">
        <f aca="false">SETTINGS!$C$3+$B663-1</f>
        <v>46333</v>
      </c>
      <c r="D663" s="40" t="s">
        <v>3692</v>
      </c>
      <c r="E663" s="34" t="s">
        <v>4046</v>
      </c>
      <c r="F663" s="34" t="s">
        <v>4047</v>
      </c>
      <c r="G663" s="34" t="s">
        <v>4048</v>
      </c>
      <c r="H663" s="35" t="s">
        <v>4049</v>
      </c>
      <c r="I663" s="36" t="s">
        <v>4050</v>
      </c>
      <c r="J663" s="34" t="s">
        <v>4051</v>
      </c>
      <c r="K663" s="34" t="s">
        <v>4052</v>
      </c>
      <c r="L663" s="37"/>
      <c r="M663" s="37"/>
      <c r="N663" s="37"/>
      <c r="O663" s="37"/>
      <c r="P663" s="37"/>
      <c r="Q663" s="37"/>
      <c r="R663" s="31" t="n">
        <f aca="false">COUNT($M663:$Q663)</f>
        <v>0</v>
      </c>
      <c r="S663" s="32" t="str">
        <f aca="false">IF($L663="","",IF($R663&gt;=5,"",MAX($L663:$Q663)+CHOOSE($R663+1,SETTINGS!$C$9,SETTINGS!$C$10,SETTINGS!$C$11,SETTINGS!$C$12,SETTINGS!$C$13)))</f>
        <v/>
      </c>
      <c r="T663" s="34" t="str">
        <f aca="true">IF($H663="","(chưa có nội dung)",IF($L663="",IF($C663&lt;TODAY(),"⚠ TRỄ HỌC",IF($C663=TODAY(),"★ HỌC HÔM NAY","• Chưa tới")),IF($R663&gt;=5,"✔ MASTER",IF($S663&lt;TODAY(),"⚠ TRỄ ÔN",IF($S663=TODAY(),"◆ ÔN HÔM NAY","✔ Đúng tiến độ")))))</f>
        <v>• Chưa tới</v>
      </c>
      <c r="U663" s="38" t="n">
        <f aca="false">IF($H663="","",$R663/5)</f>
        <v>0</v>
      </c>
    </row>
    <row r="664" customFormat="false" ht="23.85" hidden="false" customHeight="false" outlineLevel="0" collapsed="false">
      <c r="A664" s="31" t="s">
        <v>4053</v>
      </c>
      <c r="B664" s="31" t="n">
        <v>34</v>
      </c>
      <c r="C664" s="32" t="n">
        <f aca="false">SETTINGS!$C$3+$B664-1</f>
        <v>46333</v>
      </c>
      <c r="D664" s="40" t="s">
        <v>3692</v>
      </c>
      <c r="E664" s="34" t="s">
        <v>4046</v>
      </c>
      <c r="F664" s="34" t="s">
        <v>4047</v>
      </c>
      <c r="G664" s="34" t="s">
        <v>4054</v>
      </c>
      <c r="H664" s="35" t="s">
        <v>4055</v>
      </c>
      <c r="I664" s="36" t="s">
        <v>4056</v>
      </c>
      <c r="J664" s="34" t="s">
        <v>4057</v>
      </c>
      <c r="K664" s="34" t="s">
        <v>1414</v>
      </c>
      <c r="L664" s="37"/>
      <c r="M664" s="37"/>
      <c r="N664" s="37"/>
      <c r="O664" s="37"/>
      <c r="P664" s="37"/>
      <c r="Q664" s="37"/>
      <c r="R664" s="31" t="n">
        <f aca="false">COUNT($M664:$Q664)</f>
        <v>0</v>
      </c>
      <c r="S664" s="32" t="str">
        <f aca="false">IF($L664="","",IF($R664&gt;=5,"",MAX($L664:$Q664)+CHOOSE($R664+1,SETTINGS!$C$9,SETTINGS!$C$10,SETTINGS!$C$11,SETTINGS!$C$12,SETTINGS!$C$13)))</f>
        <v/>
      </c>
      <c r="T664" s="34" t="str">
        <f aca="true">IF($H664="","(chưa có nội dung)",IF($L664="",IF($C664&lt;TODAY(),"⚠ TRỄ HỌC",IF($C664=TODAY(),"★ HỌC HÔM NAY","• Chưa tới")),IF($R664&gt;=5,"✔ MASTER",IF($S664&lt;TODAY(),"⚠ TRỄ ÔN",IF($S664=TODAY(),"◆ ÔN HÔM NAY","✔ Đúng tiến độ")))))</f>
        <v>• Chưa tới</v>
      </c>
      <c r="U664" s="38" t="n">
        <f aca="false">IF($H664="","",$R664/5)</f>
        <v>0</v>
      </c>
    </row>
    <row r="665" customFormat="false" ht="23.85" hidden="false" customHeight="false" outlineLevel="0" collapsed="false">
      <c r="A665" s="31" t="s">
        <v>4058</v>
      </c>
      <c r="B665" s="31" t="n">
        <v>34</v>
      </c>
      <c r="C665" s="32" t="n">
        <f aca="false">SETTINGS!$C$3+$B665-1</f>
        <v>46333</v>
      </c>
      <c r="D665" s="40" t="s">
        <v>3692</v>
      </c>
      <c r="E665" s="34" t="s">
        <v>4046</v>
      </c>
      <c r="F665" s="34" t="s">
        <v>4047</v>
      </c>
      <c r="G665" s="34" t="s">
        <v>4059</v>
      </c>
      <c r="H665" s="35" t="s">
        <v>4060</v>
      </c>
      <c r="I665" s="36" t="s">
        <v>4061</v>
      </c>
      <c r="J665" s="34" t="s">
        <v>4062</v>
      </c>
      <c r="K665" s="34" t="s">
        <v>4063</v>
      </c>
      <c r="L665" s="37"/>
      <c r="M665" s="37"/>
      <c r="N665" s="37"/>
      <c r="O665" s="37"/>
      <c r="P665" s="37"/>
      <c r="Q665" s="37"/>
      <c r="R665" s="31" t="n">
        <f aca="false">COUNT($M665:$Q665)</f>
        <v>0</v>
      </c>
      <c r="S665" s="32" t="str">
        <f aca="false">IF($L665="","",IF($R665&gt;=5,"",MAX($L665:$Q665)+CHOOSE($R665+1,SETTINGS!$C$9,SETTINGS!$C$10,SETTINGS!$C$11,SETTINGS!$C$12,SETTINGS!$C$13)))</f>
        <v/>
      </c>
      <c r="T665" s="34" t="str">
        <f aca="true">IF($H665="","(chưa có nội dung)",IF($L665="",IF($C665&lt;TODAY(),"⚠ TRỄ HỌC",IF($C665=TODAY(),"★ HỌC HÔM NAY","• Chưa tới")),IF($R665&gt;=5,"✔ MASTER",IF($S665&lt;TODAY(),"⚠ TRỄ ÔN",IF($S665=TODAY(),"◆ ÔN HÔM NAY","✔ Đúng tiến độ")))))</f>
        <v>• Chưa tới</v>
      </c>
      <c r="U665" s="38" t="n">
        <f aca="false">IF($H665="","",$R665/5)</f>
        <v>0</v>
      </c>
    </row>
    <row r="666" customFormat="false" ht="23.85" hidden="false" customHeight="false" outlineLevel="0" collapsed="false">
      <c r="A666" s="31" t="s">
        <v>4064</v>
      </c>
      <c r="B666" s="31" t="n">
        <v>34</v>
      </c>
      <c r="C666" s="32" t="n">
        <f aca="false">SETTINGS!$C$3+$B666-1</f>
        <v>46333</v>
      </c>
      <c r="D666" s="40" t="s">
        <v>3692</v>
      </c>
      <c r="E666" s="34" t="s">
        <v>4046</v>
      </c>
      <c r="F666" s="34" t="s">
        <v>4047</v>
      </c>
      <c r="G666" s="34" t="s">
        <v>4065</v>
      </c>
      <c r="H666" s="35" t="s">
        <v>4066</v>
      </c>
      <c r="I666" s="36" t="s">
        <v>4067</v>
      </c>
      <c r="J666" s="34" t="s">
        <v>4068</v>
      </c>
      <c r="K666" s="34" t="s">
        <v>4069</v>
      </c>
      <c r="L666" s="37"/>
      <c r="M666" s="37"/>
      <c r="N666" s="37"/>
      <c r="O666" s="37"/>
      <c r="P666" s="37"/>
      <c r="Q666" s="37"/>
      <c r="R666" s="31" t="n">
        <f aca="false">COUNT($M666:$Q666)</f>
        <v>0</v>
      </c>
      <c r="S666" s="32" t="str">
        <f aca="false">IF($L666="","",IF($R666&gt;=5,"",MAX($L666:$Q666)+CHOOSE($R666+1,SETTINGS!$C$9,SETTINGS!$C$10,SETTINGS!$C$11,SETTINGS!$C$12,SETTINGS!$C$13)))</f>
        <v/>
      </c>
      <c r="T666" s="34" t="str">
        <f aca="true">IF($H666="","(chưa có nội dung)",IF($L666="",IF($C666&lt;TODAY(),"⚠ TRỄ HỌC",IF($C666=TODAY(),"★ HỌC HÔM NAY","• Chưa tới")),IF($R666&gt;=5,"✔ MASTER",IF($S666&lt;TODAY(),"⚠ TRỄ ÔN",IF($S666=TODAY(),"◆ ÔN HÔM NAY","✔ Đúng tiến độ")))))</f>
        <v>• Chưa tới</v>
      </c>
      <c r="U666" s="38" t="n">
        <f aca="false">IF($H666="","",$R666/5)</f>
        <v>0</v>
      </c>
    </row>
    <row r="667" customFormat="false" ht="23.85" hidden="false" customHeight="false" outlineLevel="0" collapsed="false">
      <c r="A667" s="31" t="s">
        <v>4070</v>
      </c>
      <c r="B667" s="31" t="n">
        <v>34</v>
      </c>
      <c r="C667" s="32" t="n">
        <f aca="false">SETTINGS!$C$3+$B667-1</f>
        <v>46333</v>
      </c>
      <c r="D667" s="40" t="s">
        <v>3692</v>
      </c>
      <c r="E667" s="34" t="s">
        <v>4046</v>
      </c>
      <c r="F667" s="34" t="s">
        <v>4047</v>
      </c>
      <c r="G667" s="34" t="s">
        <v>4071</v>
      </c>
      <c r="H667" s="35" t="s">
        <v>4072</v>
      </c>
      <c r="I667" s="36" t="s">
        <v>4073</v>
      </c>
      <c r="J667" s="34" t="s">
        <v>4074</v>
      </c>
      <c r="K667" s="34" t="s">
        <v>4075</v>
      </c>
      <c r="L667" s="37"/>
      <c r="M667" s="37"/>
      <c r="N667" s="37"/>
      <c r="O667" s="37"/>
      <c r="P667" s="37"/>
      <c r="Q667" s="37"/>
      <c r="R667" s="31" t="n">
        <f aca="false">COUNT($M667:$Q667)</f>
        <v>0</v>
      </c>
      <c r="S667" s="32" t="str">
        <f aca="false">IF($L667="","",IF($R667&gt;=5,"",MAX($L667:$Q667)+CHOOSE($R667+1,SETTINGS!$C$9,SETTINGS!$C$10,SETTINGS!$C$11,SETTINGS!$C$12,SETTINGS!$C$13)))</f>
        <v/>
      </c>
      <c r="T667" s="34" t="str">
        <f aca="true">IF($H667="","(chưa có nội dung)",IF($L667="",IF($C667&lt;TODAY(),"⚠ TRỄ HỌC",IF($C667=TODAY(),"★ HỌC HÔM NAY","• Chưa tới")),IF($R667&gt;=5,"✔ MASTER",IF($S667&lt;TODAY(),"⚠ TRỄ ÔN",IF($S667=TODAY(),"◆ ÔN HÔM NAY","✔ Đúng tiến độ")))))</f>
        <v>• Chưa tới</v>
      </c>
      <c r="U667" s="38" t="n">
        <f aca="false">IF($H667="","",$R667/5)</f>
        <v>0</v>
      </c>
    </row>
    <row r="668" customFormat="false" ht="23.85" hidden="false" customHeight="false" outlineLevel="0" collapsed="false">
      <c r="A668" s="31" t="s">
        <v>4076</v>
      </c>
      <c r="B668" s="31" t="n">
        <v>34</v>
      </c>
      <c r="C668" s="32" t="n">
        <f aca="false">SETTINGS!$C$3+$B668-1</f>
        <v>46333</v>
      </c>
      <c r="D668" s="40" t="s">
        <v>3692</v>
      </c>
      <c r="E668" s="34" t="s">
        <v>4046</v>
      </c>
      <c r="F668" s="34" t="s">
        <v>4047</v>
      </c>
      <c r="G668" s="34" t="s">
        <v>4077</v>
      </c>
      <c r="H668" s="35" t="s">
        <v>4078</v>
      </c>
      <c r="I668" s="36" t="s">
        <v>4079</v>
      </c>
      <c r="J668" s="34" t="s">
        <v>4080</v>
      </c>
      <c r="K668" s="34" t="s">
        <v>4081</v>
      </c>
      <c r="L668" s="37"/>
      <c r="M668" s="37"/>
      <c r="N668" s="37"/>
      <c r="O668" s="37"/>
      <c r="P668" s="37"/>
      <c r="Q668" s="37"/>
      <c r="R668" s="31" t="n">
        <f aca="false">COUNT($M668:$Q668)</f>
        <v>0</v>
      </c>
      <c r="S668" s="32" t="str">
        <f aca="false">IF($L668="","",IF($R668&gt;=5,"",MAX($L668:$Q668)+CHOOSE($R668+1,SETTINGS!$C$9,SETTINGS!$C$10,SETTINGS!$C$11,SETTINGS!$C$12,SETTINGS!$C$13)))</f>
        <v/>
      </c>
      <c r="T668" s="34" t="str">
        <f aca="true">IF($H668="","(chưa có nội dung)",IF($L668="",IF($C668&lt;TODAY(),"⚠ TRỄ HỌC",IF($C668=TODAY(),"★ HỌC HÔM NAY","• Chưa tới")),IF($R668&gt;=5,"✔ MASTER",IF($S668&lt;TODAY(),"⚠ TRỄ ÔN",IF($S668=TODAY(),"◆ ÔN HÔM NAY","✔ Đúng tiến độ")))))</f>
        <v>• Chưa tới</v>
      </c>
      <c r="U668" s="38" t="n">
        <f aca="false">IF($H668="","",$R668/5)</f>
        <v>0</v>
      </c>
    </row>
    <row r="669" customFormat="false" ht="23.85" hidden="false" customHeight="false" outlineLevel="0" collapsed="false">
      <c r="A669" s="31" t="s">
        <v>4082</v>
      </c>
      <c r="B669" s="31" t="n">
        <v>34</v>
      </c>
      <c r="C669" s="32" t="n">
        <f aca="false">SETTINGS!$C$3+$B669-1</f>
        <v>46333</v>
      </c>
      <c r="D669" s="40" t="s">
        <v>3692</v>
      </c>
      <c r="E669" s="34" t="s">
        <v>4046</v>
      </c>
      <c r="F669" s="34" t="s">
        <v>4047</v>
      </c>
      <c r="G669" s="34" t="s">
        <v>4083</v>
      </c>
      <c r="H669" s="35" t="s">
        <v>4084</v>
      </c>
      <c r="I669" s="36" t="s">
        <v>4085</v>
      </c>
      <c r="J669" s="34" t="s">
        <v>4086</v>
      </c>
      <c r="K669" s="34" t="s">
        <v>4087</v>
      </c>
      <c r="L669" s="37"/>
      <c r="M669" s="37"/>
      <c r="N669" s="37"/>
      <c r="O669" s="37"/>
      <c r="P669" s="37"/>
      <c r="Q669" s="37"/>
      <c r="R669" s="31" t="n">
        <f aca="false">COUNT($M669:$Q669)</f>
        <v>0</v>
      </c>
      <c r="S669" s="32" t="str">
        <f aca="false">IF($L669="","",IF($R669&gt;=5,"",MAX($L669:$Q669)+CHOOSE($R669+1,SETTINGS!$C$9,SETTINGS!$C$10,SETTINGS!$C$11,SETTINGS!$C$12,SETTINGS!$C$13)))</f>
        <v/>
      </c>
      <c r="T669" s="34" t="str">
        <f aca="true">IF($H669="","(chưa có nội dung)",IF($L669="",IF($C669&lt;TODAY(),"⚠ TRỄ HỌC",IF($C669=TODAY(),"★ HỌC HÔM NAY","• Chưa tới")),IF($R669&gt;=5,"✔ MASTER",IF($S669&lt;TODAY(),"⚠ TRỄ ÔN",IF($S669=TODAY(),"◆ ÔN HÔM NAY","✔ Đúng tiến độ")))))</f>
        <v>• Chưa tới</v>
      </c>
      <c r="U669" s="38" t="n">
        <f aca="false">IF($H669="","",$R669/5)</f>
        <v>0</v>
      </c>
    </row>
    <row r="670" customFormat="false" ht="26.85" hidden="false" customHeight="false" outlineLevel="0" collapsed="false">
      <c r="A670" s="31" t="s">
        <v>4088</v>
      </c>
      <c r="B670" s="31" t="n">
        <v>34</v>
      </c>
      <c r="C670" s="32" t="n">
        <f aca="false">SETTINGS!$C$3+$B670-1</f>
        <v>46333</v>
      </c>
      <c r="D670" s="40" t="s">
        <v>3692</v>
      </c>
      <c r="E670" s="34" t="s">
        <v>4046</v>
      </c>
      <c r="F670" s="34" t="s">
        <v>4047</v>
      </c>
      <c r="G670" s="34" t="s">
        <v>4089</v>
      </c>
      <c r="H670" s="35" t="s">
        <v>4090</v>
      </c>
      <c r="I670" s="36" t="s">
        <v>4091</v>
      </c>
      <c r="J670" s="34" t="s">
        <v>4092</v>
      </c>
      <c r="K670" s="34" t="s">
        <v>2461</v>
      </c>
      <c r="L670" s="37"/>
      <c r="M670" s="37"/>
      <c r="N670" s="37"/>
      <c r="O670" s="37"/>
      <c r="P670" s="37"/>
      <c r="Q670" s="37"/>
      <c r="R670" s="31" t="n">
        <f aca="false">COUNT($M670:$Q670)</f>
        <v>0</v>
      </c>
      <c r="S670" s="32" t="str">
        <f aca="false">IF($L670="","",IF($R670&gt;=5,"",MAX($L670:$Q670)+CHOOSE($R670+1,SETTINGS!$C$9,SETTINGS!$C$10,SETTINGS!$C$11,SETTINGS!$C$12,SETTINGS!$C$13)))</f>
        <v/>
      </c>
      <c r="T670" s="34" t="str">
        <f aca="true">IF($H670="","(chưa có nội dung)",IF($L670="",IF($C670&lt;TODAY(),"⚠ TRỄ HỌC",IF($C670=TODAY(),"★ HỌC HÔM NAY","• Chưa tới")),IF($R670&gt;=5,"✔ MASTER",IF($S670&lt;TODAY(),"⚠ TRỄ ÔN",IF($S670=TODAY(),"◆ ÔN HÔM NAY","✔ Đúng tiến độ")))))</f>
        <v>• Chưa tới</v>
      </c>
      <c r="U670" s="38" t="n">
        <f aca="false">IF($H670="","",$R670/5)</f>
        <v>0</v>
      </c>
    </row>
    <row r="671" customFormat="false" ht="23.85" hidden="false" customHeight="false" outlineLevel="0" collapsed="false">
      <c r="A671" s="31" t="s">
        <v>4093</v>
      </c>
      <c r="B671" s="31" t="n">
        <v>34</v>
      </c>
      <c r="C671" s="32" t="n">
        <f aca="false">SETTINGS!$C$3+$B671-1</f>
        <v>46333</v>
      </c>
      <c r="D671" s="40" t="s">
        <v>3692</v>
      </c>
      <c r="E671" s="34" t="s">
        <v>4046</v>
      </c>
      <c r="F671" s="34" t="s">
        <v>4047</v>
      </c>
      <c r="G671" s="34" t="s">
        <v>4094</v>
      </c>
      <c r="H671" s="35" t="s">
        <v>4095</v>
      </c>
      <c r="I671" s="36" t="s">
        <v>4096</v>
      </c>
      <c r="J671" s="34" t="s">
        <v>4097</v>
      </c>
      <c r="K671" s="34" t="s">
        <v>1040</v>
      </c>
      <c r="L671" s="37"/>
      <c r="M671" s="37"/>
      <c r="N671" s="37"/>
      <c r="O671" s="37"/>
      <c r="P671" s="37"/>
      <c r="Q671" s="37"/>
      <c r="R671" s="31" t="n">
        <f aca="false">COUNT($M671:$Q671)</f>
        <v>0</v>
      </c>
      <c r="S671" s="32" t="str">
        <f aca="false">IF($L671="","",IF($R671&gt;=5,"",MAX($L671:$Q671)+CHOOSE($R671+1,SETTINGS!$C$9,SETTINGS!$C$10,SETTINGS!$C$11,SETTINGS!$C$12,SETTINGS!$C$13)))</f>
        <v/>
      </c>
      <c r="T671" s="34" t="str">
        <f aca="true">IF($H671="","(chưa có nội dung)",IF($L671="",IF($C671&lt;TODAY(),"⚠ TRỄ HỌC",IF($C671=TODAY(),"★ HỌC HÔM NAY","• Chưa tới")),IF($R671&gt;=5,"✔ MASTER",IF($S671&lt;TODAY(),"⚠ TRỄ ÔN",IF($S671=TODAY(),"◆ ÔN HÔM NAY","✔ Đúng tiến độ")))))</f>
        <v>• Chưa tới</v>
      </c>
      <c r="U671" s="38" t="n">
        <f aca="false">IF($H671="","",$R671/5)</f>
        <v>0</v>
      </c>
    </row>
    <row r="672" customFormat="false" ht="23.85" hidden="false" customHeight="false" outlineLevel="0" collapsed="false">
      <c r="A672" s="31" t="s">
        <v>4098</v>
      </c>
      <c r="B672" s="31" t="n">
        <v>34</v>
      </c>
      <c r="C672" s="32" t="n">
        <f aca="false">SETTINGS!$C$3+$B672-1</f>
        <v>46333</v>
      </c>
      <c r="D672" s="40" t="s">
        <v>3692</v>
      </c>
      <c r="E672" s="34" t="s">
        <v>4046</v>
      </c>
      <c r="F672" s="34" t="s">
        <v>4047</v>
      </c>
      <c r="G672" s="34" t="s">
        <v>4099</v>
      </c>
      <c r="H672" s="35" t="s">
        <v>4100</v>
      </c>
      <c r="I672" s="36" t="s">
        <v>4101</v>
      </c>
      <c r="J672" s="34" t="s">
        <v>4102</v>
      </c>
      <c r="K672" s="34" t="s">
        <v>1992</v>
      </c>
      <c r="L672" s="37"/>
      <c r="M672" s="37"/>
      <c r="N672" s="37"/>
      <c r="O672" s="37"/>
      <c r="P672" s="37"/>
      <c r="Q672" s="37"/>
      <c r="R672" s="31" t="n">
        <f aca="false">COUNT($M672:$Q672)</f>
        <v>0</v>
      </c>
      <c r="S672" s="32" t="str">
        <f aca="false">IF($L672="","",IF($R672&gt;=5,"",MAX($L672:$Q672)+CHOOSE($R672+1,SETTINGS!$C$9,SETTINGS!$C$10,SETTINGS!$C$11,SETTINGS!$C$12,SETTINGS!$C$13)))</f>
        <v/>
      </c>
      <c r="T672" s="34" t="str">
        <f aca="true">IF($H672="","(chưa có nội dung)",IF($L672="",IF($C672&lt;TODAY(),"⚠ TRỄ HỌC",IF($C672=TODAY(),"★ HỌC HÔM NAY","• Chưa tới")),IF($R672&gt;=5,"✔ MASTER",IF($S672&lt;TODAY(),"⚠ TRỄ ÔN",IF($S672=TODAY(),"◆ ÔN HÔM NAY","✔ Đúng tiến độ")))))</f>
        <v>• Chưa tới</v>
      </c>
      <c r="U672" s="38" t="n">
        <f aca="false">IF($H672="","",$R672/5)</f>
        <v>0</v>
      </c>
    </row>
    <row r="673" customFormat="false" ht="23.85" hidden="false" customHeight="false" outlineLevel="0" collapsed="false">
      <c r="A673" s="31" t="s">
        <v>4103</v>
      </c>
      <c r="B673" s="31" t="n">
        <v>34</v>
      </c>
      <c r="C673" s="32" t="n">
        <f aca="false">SETTINGS!$C$3+$B673-1</f>
        <v>46333</v>
      </c>
      <c r="D673" s="40" t="s">
        <v>3692</v>
      </c>
      <c r="E673" s="34" t="s">
        <v>4046</v>
      </c>
      <c r="F673" s="34" t="s">
        <v>4047</v>
      </c>
      <c r="G673" s="34" t="s">
        <v>4104</v>
      </c>
      <c r="H673" s="35" t="s">
        <v>4105</v>
      </c>
      <c r="I673" s="36" t="s">
        <v>4106</v>
      </c>
      <c r="J673" s="34" t="s">
        <v>4107</v>
      </c>
      <c r="K673" s="34" t="s">
        <v>4108</v>
      </c>
      <c r="L673" s="37"/>
      <c r="M673" s="37"/>
      <c r="N673" s="37"/>
      <c r="O673" s="37"/>
      <c r="P673" s="37"/>
      <c r="Q673" s="37"/>
      <c r="R673" s="31" t="n">
        <f aca="false">COUNT($M673:$Q673)</f>
        <v>0</v>
      </c>
      <c r="S673" s="32" t="str">
        <f aca="false">IF($L673="","",IF($R673&gt;=5,"",MAX($L673:$Q673)+CHOOSE($R673+1,SETTINGS!$C$9,SETTINGS!$C$10,SETTINGS!$C$11,SETTINGS!$C$12,SETTINGS!$C$13)))</f>
        <v/>
      </c>
      <c r="T673" s="34" t="str">
        <f aca="true">IF($H673="","(chưa có nội dung)",IF($L673="",IF($C673&lt;TODAY(),"⚠ TRỄ HỌC",IF($C673=TODAY(),"★ HỌC HÔM NAY","• Chưa tới")),IF($R673&gt;=5,"✔ MASTER",IF($S673&lt;TODAY(),"⚠ TRỄ ÔN",IF($S673=TODAY(),"◆ ÔN HÔM NAY","✔ Đúng tiến độ")))))</f>
        <v>• Chưa tới</v>
      </c>
      <c r="U673" s="38" t="n">
        <f aca="false">IF($H673="","",$R673/5)</f>
        <v>0</v>
      </c>
    </row>
    <row r="674" customFormat="false" ht="23.85" hidden="false" customHeight="false" outlineLevel="0" collapsed="false">
      <c r="A674" s="31" t="s">
        <v>4109</v>
      </c>
      <c r="B674" s="31" t="n">
        <v>34</v>
      </c>
      <c r="C674" s="32" t="n">
        <f aca="false">SETTINGS!$C$3+$B674-1</f>
        <v>46333</v>
      </c>
      <c r="D674" s="40" t="s">
        <v>3692</v>
      </c>
      <c r="E674" s="34" t="s">
        <v>4046</v>
      </c>
      <c r="F674" s="34" t="s">
        <v>4047</v>
      </c>
      <c r="G674" s="34" t="s">
        <v>4110</v>
      </c>
      <c r="H674" s="35" t="s">
        <v>4111</v>
      </c>
      <c r="I674" s="36" t="s">
        <v>4112</v>
      </c>
      <c r="J674" s="34" t="s">
        <v>4113</v>
      </c>
      <c r="K674" s="34" t="s">
        <v>4114</v>
      </c>
      <c r="L674" s="37"/>
      <c r="M674" s="37"/>
      <c r="N674" s="37"/>
      <c r="O674" s="37"/>
      <c r="P674" s="37"/>
      <c r="Q674" s="37"/>
      <c r="R674" s="31" t="n">
        <f aca="false">COUNT($M674:$Q674)</f>
        <v>0</v>
      </c>
      <c r="S674" s="32" t="str">
        <f aca="false">IF($L674="","",IF($R674&gt;=5,"",MAX($L674:$Q674)+CHOOSE($R674+1,SETTINGS!$C$9,SETTINGS!$C$10,SETTINGS!$C$11,SETTINGS!$C$12,SETTINGS!$C$13)))</f>
        <v/>
      </c>
      <c r="T674" s="34" t="str">
        <f aca="true">IF($H674="","(chưa có nội dung)",IF($L674="",IF($C674&lt;TODAY(),"⚠ TRỄ HỌC",IF($C674=TODAY(),"★ HỌC HÔM NAY","• Chưa tới")),IF($R674&gt;=5,"✔ MASTER",IF($S674&lt;TODAY(),"⚠ TRỄ ÔN",IF($S674=TODAY(),"◆ ÔN HÔM NAY","✔ Đúng tiến độ")))))</f>
        <v>• Chưa tới</v>
      </c>
      <c r="U674" s="38" t="n">
        <f aca="false">IF($H674="","",$R674/5)</f>
        <v>0</v>
      </c>
    </row>
    <row r="675" customFormat="false" ht="23.85" hidden="false" customHeight="false" outlineLevel="0" collapsed="false">
      <c r="A675" s="31" t="s">
        <v>4115</v>
      </c>
      <c r="B675" s="31" t="n">
        <v>34</v>
      </c>
      <c r="C675" s="32" t="n">
        <f aca="false">SETTINGS!$C$3+$B675-1</f>
        <v>46333</v>
      </c>
      <c r="D675" s="40" t="s">
        <v>3692</v>
      </c>
      <c r="E675" s="34" t="s">
        <v>4046</v>
      </c>
      <c r="F675" s="34" t="s">
        <v>4047</v>
      </c>
      <c r="G675" s="34" t="s">
        <v>4116</v>
      </c>
      <c r="H675" s="35" t="s">
        <v>4117</v>
      </c>
      <c r="I675" s="36" t="s">
        <v>4118</v>
      </c>
      <c r="J675" s="34" t="s">
        <v>4119</v>
      </c>
      <c r="K675" s="34" t="s">
        <v>4120</v>
      </c>
      <c r="L675" s="37"/>
      <c r="M675" s="37"/>
      <c r="N675" s="37"/>
      <c r="O675" s="37"/>
      <c r="P675" s="37"/>
      <c r="Q675" s="37"/>
      <c r="R675" s="31" t="n">
        <f aca="false">COUNT($M675:$Q675)</f>
        <v>0</v>
      </c>
      <c r="S675" s="32" t="str">
        <f aca="false">IF($L675="","",IF($R675&gt;=5,"",MAX($L675:$Q675)+CHOOSE($R675+1,SETTINGS!$C$9,SETTINGS!$C$10,SETTINGS!$C$11,SETTINGS!$C$12,SETTINGS!$C$13)))</f>
        <v/>
      </c>
      <c r="T675" s="34" t="str">
        <f aca="true">IF($H675="","(chưa có nội dung)",IF($L675="",IF($C675&lt;TODAY(),"⚠ TRỄ HỌC",IF($C675=TODAY(),"★ HỌC HÔM NAY","• Chưa tới")),IF($R675&gt;=5,"✔ MASTER",IF($S675&lt;TODAY(),"⚠ TRỄ ÔN",IF($S675=TODAY(),"◆ ÔN HÔM NAY","✔ Đúng tiến độ")))))</f>
        <v>• Chưa tới</v>
      </c>
      <c r="U675" s="38" t="n">
        <f aca="false">IF($H675="","",$R675/5)</f>
        <v>0</v>
      </c>
    </row>
    <row r="676" customFormat="false" ht="23.85" hidden="false" customHeight="false" outlineLevel="0" collapsed="false">
      <c r="A676" s="31" t="s">
        <v>4121</v>
      </c>
      <c r="B676" s="31" t="n">
        <v>34</v>
      </c>
      <c r="C676" s="32" t="n">
        <f aca="false">SETTINGS!$C$3+$B676-1</f>
        <v>46333</v>
      </c>
      <c r="D676" s="40" t="s">
        <v>3692</v>
      </c>
      <c r="E676" s="34" t="s">
        <v>4046</v>
      </c>
      <c r="F676" s="34" t="s">
        <v>4047</v>
      </c>
      <c r="G676" s="34" t="s">
        <v>4122</v>
      </c>
      <c r="H676" s="35" t="s">
        <v>4123</v>
      </c>
      <c r="I676" s="36" t="s">
        <v>4124</v>
      </c>
      <c r="J676" s="34" t="s">
        <v>4125</v>
      </c>
      <c r="K676" s="34" t="s">
        <v>4126</v>
      </c>
      <c r="L676" s="37"/>
      <c r="M676" s="37"/>
      <c r="N676" s="37"/>
      <c r="O676" s="37"/>
      <c r="P676" s="37"/>
      <c r="Q676" s="37"/>
      <c r="R676" s="31" t="n">
        <f aca="false">COUNT($M676:$Q676)</f>
        <v>0</v>
      </c>
      <c r="S676" s="32" t="str">
        <f aca="false">IF($L676="","",IF($R676&gt;=5,"",MAX($L676:$Q676)+CHOOSE($R676+1,SETTINGS!$C$9,SETTINGS!$C$10,SETTINGS!$C$11,SETTINGS!$C$12,SETTINGS!$C$13)))</f>
        <v/>
      </c>
      <c r="T676" s="34" t="str">
        <f aca="true">IF($H676="","(chưa có nội dung)",IF($L676="",IF($C676&lt;TODAY(),"⚠ TRỄ HỌC",IF($C676=TODAY(),"★ HỌC HÔM NAY","• Chưa tới")),IF($R676&gt;=5,"✔ MASTER",IF($S676&lt;TODAY(),"⚠ TRỄ ÔN",IF($S676=TODAY(),"◆ ÔN HÔM NAY","✔ Đúng tiến độ")))))</f>
        <v>• Chưa tới</v>
      </c>
      <c r="U676" s="38" t="n">
        <f aca="false">IF($H676="","",$R676/5)</f>
        <v>0</v>
      </c>
    </row>
    <row r="677" customFormat="false" ht="26.85" hidden="false" customHeight="false" outlineLevel="0" collapsed="false">
      <c r="A677" s="31" t="s">
        <v>4127</v>
      </c>
      <c r="B677" s="31" t="n">
        <v>34</v>
      </c>
      <c r="C677" s="32" t="n">
        <f aca="false">SETTINGS!$C$3+$B677-1</f>
        <v>46333</v>
      </c>
      <c r="D677" s="40" t="s">
        <v>3692</v>
      </c>
      <c r="E677" s="34" t="s">
        <v>4046</v>
      </c>
      <c r="F677" s="34" t="s">
        <v>4047</v>
      </c>
      <c r="G677" s="34" t="s">
        <v>4128</v>
      </c>
      <c r="H677" s="35" t="s">
        <v>4129</v>
      </c>
      <c r="I677" s="36" t="s">
        <v>4130</v>
      </c>
      <c r="J677" s="34" t="s">
        <v>4131</v>
      </c>
      <c r="K677" s="34" t="s">
        <v>4081</v>
      </c>
      <c r="L677" s="37"/>
      <c r="M677" s="37"/>
      <c r="N677" s="37"/>
      <c r="O677" s="37"/>
      <c r="P677" s="37"/>
      <c r="Q677" s="37"/>
      <c r="R677" s="31" t="n">
        <f aca="false">COUNT($M677:$Q677)</f>
        <v>0</v>
      </c>
      <c r="S677" s="32" t="str">
        <f aca="false">IF($L677="","",IF($R677&gt;=5,"",MAX($L677:$Q677)+CHOOSE($R677+1,SETTINGS!$C$9,SETTINGS!$C$10,SETTINGS!$C$11,SETTINGS!$C$12,SETTINGS!$C$13)))</f>
        <v/>
      </c>
      <c r="T677" s="34" t="str">
        <f aca="true">IF($H677="","(chưa có nội dung)",IF($L677="",IF($C677&lt;TODAY(),"⚠ TRỄ HỌC",IF($C677=TODAY(),"★ HỌC HÔM NAY","• Chưa tới")),IF($R677&gt;=5,"✔ MASTER",IF($S677&lt;TODAY(),"⚠ TRỄ ÔN",IF($S677=TODAY(),"◆ ÔN HÔM NAY","✔ Đúng tiến độ")))))</f>
        <v>• Chưa tới</v>
      </c>
      <c r="U677" s="38" t="n">
        <f aca="false">IF($H677="","",$R677/5)</f>
        <v>0</v>
      </c>
    </row>
    <row r="678" customFormat="false" ht="26.85" hidden="false" customHeight="false" outlineLevel="0" collapsed="false">
      <c r="A678" s="31" t="s">
        <v>4132</v>
      </c>
      <c r="B678" s="31" t="n">
        <v>34</v>
      </c>
      <c r="C678" s="32" t="n">
        <f aca="false">SETTINGS!$C$3+$B678-1</f>
        <v>46333</v>
      </c>
      <c r="D678" s="40" t="s">
        <v>3692</v>
      </c>
      <c r="E678" s="34" t="s">
        <v>4046</v>
      </c>
      <c r="F678" s="34" t="s">
        <v>4047</v>
      </c>
      <c r="G678" s="34" t="s">
        <v>4133</v>
      </c>
      <c r="H678" s="35" t="s">
        <v>4134</v>
      </c>
      <c r="I678" s="36" t="s">
        <v>4135</v>
      </c>
      <c r="J678" s="34" t="s">
        <v>4136</v>
      </c>
      <c r="K678" s="34" t="s">
        <v>4137</v>
      </c>
      <c r="L678" s="37"/>
      <c r="M678" s="37"/>
      <c r="N678" s="37"/>
      <c r="O678" s="37"/>
      <c r="P678" s="37"/>
      <c r="Q678" s="37"/>
      <c r="R678" s="31" t="n">
        <f aca="false">COUNT($M678:$Q678)</f>
        <v>0</v>
      </c>
      <c r="S678" s="32" t="str">
        <f aca="false">IF($L678="","",IF($R678&gt;=5,"",MAX($L678:$Q678)+CHOOSE($R678+1,SETTINGS!$C$9,SETTINGS!$C$10,SETTINGS!$C$11,SETTINGS!$C$12,SETTINGS!$C$13)))</f>
        <v/>
      </c>
      <c r="T678" s="34" t="str">
        <f aca="true">IF($H678="","(chưa có nội dung)",IF($L678="",IF($C678&lt;TODAY(),"⚠ TRỄ HỌC",IF($C678=TODAY(),"★ HỌC HÔM NAY","• Chưa tới")),IF($R678&gt;=5,"✔ MASTER",IF($S678&lt;TODAY(),"⚠ TRỄ ÔN",IF($S678=TODAY(),"◆ ÔN HÔM NAY","✔ Đúng tiến độ")))))</f>
        <v>• Chưa tới</v>
      </c>
      <c r="U678" s="38" t="n">
        <f aca="false">IF($H678="","",$R678/5)</f>
        <v>0</v>
      </c>
    </row>
    <row r="679" customFormat="false" ht="23.85" hidden="false" customHeight="false" outlineLevel="0" collapsed="false">
      <c r="A679" s="31" t="s">
        <v>4138</v>
      </c>
      <c r="B679" s="31" t="n">
        <v>34</v>
      </c>
      <c r="C679" s="32" t="n">
        <f aca="false">SETTINGS!$C$3+$B679-1</f>
        <v>46333</v>
      </c>
      <c r="D679" s="40" t="s">
        <v>3692</v>
      </c>
      <c r="E679" s="34" t="s">
        <v>4046</v>
      </c>
      <c r="F679" s="34" t="s">
        <v>4047</v>
      </c>
      <c r="G679" s="34" t="s">
        <v>4139</v>
      </c>
      <c r="H679" s="35" t="s">
        <v>4140</v>
      </c>
      <c r="I679" s="36" t="s">
        <v>4141</v>
      </c>
      <c r="J679" s="34" t="s">
        <v>4142</v>
      </c>
      <c r="K679" s="34" t="s">
        <v>4143</v>
      </c>
      <c r="L679" s="37"/>
      <c r="M679" s="37"/>
      <c r="N679" s="37"/>
      <c r="O679" s="37"/>
      <c r="P679" s="37"/>
      <c r="Q679" s="37"/>
      <c r="R679" s="31" t="n">
        <f aca="false">COUNT($M679:$Q679)</f>
        <v>0</v>
      </c>
      <c r="S679" s="32" t="str">
        <f aca="false">IF($L679="","",IF($R679&gt;=5,"",MAX($L679:$Q679)+CHOOSE($R679+1,SETTINGS!$C$9,SETTINGS!$C$10,SETTINGS!$C$11,SETTINGS!$C$12,SETTINGS!$C$13)))</f>
        <v/>
      </c>
      <c r="T679" s="34" t="str">
        <f aca="true">IF($H679="","(chưa có nội dung)",IF($L679="",IF($C679&lt;TODAY(),"⚠ TRỄ HỌC",IF($C679=TODAY(),"★ HỌC HÔM NAY","• Chưa tới")),IF($R679&gt;=5,"✔ MASTER",IF($S679&lt;TODAY(),"⚠ TRỄ ÔN",IF($S679=TODAY(),"◆ ÔN HÔM NAY","✔ Đúng tiến độ")))))</f>
        <v>• Chưa tới</v>
      </c>
      <c r="U679" s="38" t="n">
        <f aca="false">IF($H679="","",$R679/5)</f>
        <v>0</v>
      </c>
    </row>
    <row r="680" customFormat="false" ht="26.85" hidden="false" customHeight="false" outlineLevel="0" collapsed="false">
      <c r="A680" s="31" t="s">
        <v>4144</v>
      </c>
      <c r="B680" s="31" t="n">
        <v>34</v>
      </c>
      <c r="C680" s="32" t="n">
        <f aca="false">SETTINGS!$C$3+$B680-1</f>
        <v>46333</v>
      </c>
      <c r="D680" s="40" t="s">
        <v>3692</v>
      </c>
      <c r="E680" s="34" t="s">
        <v>4046</v>
      </c>
      <c r="F680" s="34" t="s">
        <v>4047</v>
      </c>
      <c r="G680" s="34" t="s">
        <v>4094</v>
      </c>
      <c r="H680" s="35" t="s">
        <v>4145</v>
      </c>
      <c r="I680" s="36" t="s">
        <v>4146</v>
      </c>
      <c r="J680" s="34" t="s">
        <v>4147</v>
      </c>
      <c r="K680" s="34" t="s">
        <v>4148</v>
      </c>
      <c r="L680" s="37"/>
      <c r="M680" s="37"/>
      <c r="N680" s="37"/>
      <c r="O680" s="37"/>
      <c r="P680" s="37"/>
      <c r="Q680" s="37"/>
      <c r="R680" s="31" t="n">
        <f aca="false">COUNT($M680:$Q680)</f>
        <v>0</v>
      </c>
      <c r="S680" s="32" t="str">
        <f aca="false">IF($L680="","",IF($R680&gt;=5,"",MAX($L680:$Q680)+CHOOSE($R680+1,SETTINGS!$C$9,SETTINGS!$C$10,SETTINGS!$C$11,SETTINGS!$C$12,SETTINGS!$C$13)))</f>
        <v/>
      </c>
      <c r="T680" s="34" t="str">
        <f aca="true">IF($H680="","(chưa có nội dung)",IF($L680="",IF($C680&lt;TODAY(),"⚠ TRỄ HỌC",IF($C680=TODAY(),"★ HỌC HÔM NAY","• Chưa tới")),IF($R680&gt;=5,"✔ MASTER",IF($S680&lt;TODAY(),"⚠ TRỄ ÔN",IF($S680=TODAY(),"◆ ÔN HÔM NAY","✔ Đúng tiến độ")))))</f>
        <v>• Chưa tới</v>
      </c>
      <c r="U680" s="38" t="n">
        <f aca="false">IF($H680="","",$R680/5)</f>
        <v>0</v>
      </c>
    </row>
    <row r="681" customFormat="false" ht="23.85" hidden="false" customHeight="false" outlineLevel="0" collapsed="false">
      <c r="A681" s="31" t="s">
        <v>4149</v>
      </c>
      <c r="B681" s="31" t="n">
        <v>34</v>
      </c>
      <c r="C681" s="32" t="n">
        <f aca="false">SETTINGS!$C$3+$B681-1</f>
        <v>46333</v>
      </c>
      <c r="D681" s="40" t="s">
        <v>3692</v>
      </c>
      <c r="E681" s="34" t="s">
        <v>4046</v>
      </c>
      <c r="F681" s="34" t="s">
        <v>4047</v>
      </c>
      <c r="G681" s="34" t="s">
        <v>4150</v>
      </c>
      <c r="H681" s="35" t="s">
        <v>4151</v>
      </c>
      <c r="I681" s="36" t="s">
        <v>4152</v>
      </c>
      <c r="J681" s="34" t="s">
        <v>4153</v>
      </c>
      <c r="K681" s="34" t="s">
        <v>4154</v>
      </c>
      <c r="L681" s="37"/>
      <c r="M681" s="37"/>
      <c r="N681" s="37"/>
      <c r="O681" s="37"/>
      <c r="P681" s="37"/>
      <c r="Q681" s="37"/>
      <c r="R681" s="31" t="n">
        <f aca="false">COUNT($M681:$Q681)</f>
        <v>0</v>
      </c>
      <c r="S681" s="32" t="str">
        <f aca="false">IF($L681="","",IF($R681&gt;=5,"",MAX($L681:$Q681)+CHOOSE($R681+1,SETTINGS!$C$9,SETTINGS!$C$10,SETTINGS!$C$11,SETTINGS!$C$12,SETTINGS!$C$13)))</f>
        <v/>
      </c>
      <c r="T681" s="34" t="str">
        <f aca="true">IF($H681="","(chưa có nội dung)",IF($L681="",IF($C681&lt;TODAY(),"⚠ TRỄ HỌC",IF($C681=TODAY(),"★ HỌC HÔM NAY","• Chưa tới")),IF($R681&gt;=5,"✔ MASTER",IF($S681&lt;TODAY(),"⚠ TRỄ ÔN",IF($S681=TODAY(),"◆ ÔN HÔM NAY","✔ Đúng tiến độ")))))</f>
        <v>• Chưa tới</v>
      </c>
      <c r="U681" s="38" t="n">
        <f aca="false">IF($H681="","",$R681/5)</f>
        <v>0</v>
      </c>
    </row>
    <row r="682" customFormat="false" ht="23.85" hidden="false" customHeight="false" outlineLevel="0" collapsed="false">
      <c r="A682" s="31" t="s">
        <v>4155</v>
      </c>
      <c r="B682" s="31" t="n">
        <v>34</v>
      </c>
      <c r="C682" s="32" t="n">
        <f aca="false">SETTINGS!$C$3+$B682-1</f>
        <v>46333</v>
      </c>
      <c r="D682" s="40" t="s">
        <v>3692</v>
      </c>
      <c r="E682" s="34" t="s">
        <v>4046</v>
      </c>
      <c r="F682" s="34" t="s">
        <v>4047</v>
      </c>
      <c r="G682" s="34" t="s">
        <v>4156</v>
      </c>
      <c r="H682" s="35" t="s">
        <v>4157</v>
      </c>
      <c r="I682" s="36" t="s">
        <v>4158</v>
      </c>
      <c r="J682" s="34" t="s">
        <v>4159</v>
      </c>
      <c r="K682" s="34" t="s">
        <v>4160</v>
      </c>
      <c r="L682" s="37"/>
      <c r="M682" s="37"/>
      <c r="N682" s="37"/>
      <c r="O682" s="37"/>
      <c r="P682" s="37"/>
      <c r="Q682" s="37"/>
      <c r="R682" s="31" t="n">
        <f aca="false">COUNT($M682:$Q682)</f>
        <v>0</v>
      </c>
      <c r="S682" s="32" t="str">
        <f aca="false">IF($L682="","",IF($R682&gt;=5,"",MAX($L682:$Q682)+CHOOSE($R682+1,SETTINGS!$C$9,SETTINGS!$C$10,SETTINGS!$C$11,SETTINGS!$C$12,SETTINGS!$C$13)))</f>
        <v/>
      </c>
      <c r="T682" s="34" t="str">
        <f aca="true">IF($H682="","(chưa có nội dung)",IF($L682="",IF($C682&lt;TODAY(),"⚠ TRỄ HỌC",IF($C682=TODAY(),"★ HỌC HÔM NAY","• Chưa tới")),IF($R682&gt;=5,"✔ MASTER",IF($S682&lt;TODAY(),"⚠ TRỄ ÔN",IF($S682=TODAY(),"◆ ÔN HÔM NAY","✔ Đúng tiến độ")))))</f>
        <v>• Chưa tới</v>
      </c>
      <c r="U682" s="38" t="n">
        <f aca="false">IF($H682="","",$R682/5)</f>
        <v>0</v>
      </c>
    </row>
    <row r="683" customFormat="false" ht="26.85" hidden="false" customHeight="false" outlineLevel="0" collapsed="false">
      <c r="A683" s="31" t="s">
        <v>4161</v>
      </c>
      <c r="B683" s="31" t="n">
        <v>35</v>
      </c>
      <c r="C683" s="32" t="n">
        <f aca="false">SETTINGS!$C$3+$B683-1</f>
        <v>46334</v>
      </c>
      <c r="D683" s="40" t="s">
        <v>3692</v>
      </c>
      <c r="E683" s="34" t="s">
        <v>4162</v>
      </c>
      <c r="F683" s="34" t="s">
        <v>4047</v>
      </c>
      <c r="G683" s="34" t="s">
        <v>4163</v>
      </c>
      <c r="H683" s="35" t="s">
        <v>4164</v>
      </c>
      <c r="I683" s="36" t="s">
        <v>4165</v>
      </c>
      <c r="J683" s="34" t="s">
        <v>4166</v>
      </c>
      <c r="K683" s="34" t="s">
        <v>1959</v>
      </c>
      <c r="L683" s="37"/>
      <c r="M683" s="37"/>
      <c r="N683" s="37"/>
      <c r="O683" s="37"/>
      <c r="P683" s="37"/>
      <c r="Q683" s="37"/>
      <c r="R683" s="31" t="n">
        <f aca="false">COUNT($M683:$Q683)</f>
        <v>0</v>
      </c>
      <c r="S683" s="32" t="str">
        <f aca="false">IF($L683="","",IF($R683&gt;=5,"",MAX($L683:$Q683)+CHOOSE($R683+1,SETTINGS!$C$9,SETTINGS!$C$10,SETTINGS!$C$11,SETTINGS!$C$12,SETTINGS!$C$13)))</f>
        <v/>
      </c>
      <c r="T683" s="34" t="str">
        <f aca="true">IF($H683="","(chưa có nội dung)",IF($L683="",IF($C683&lt;TODAY(),"⚠ TRỄ HỌC",IF($C683=TODAY(),"★ HỌC HÔM NAY","• Chưa tới")),IF($R683&gt;=5,"✔ MASTER",IF($S683&lt;TODAY(),"⚠ TRỄ ÔN",IF($S683=TODAY(),"◆ ÔN HÔM NAY","✔ Đúng tiến độ")))))</f>
        <v>• Chưa tới</v>
      </c>
      <c r="U683" s="38" t="n">
        <f aca="false">IF($H683="","",$R683/5)</f>
        <v>0</v>
      </c>
    </row>
    <row r="684" customFormat="false" ht="23.85" hidden="false" customHeight="false" outlineLevel="0" collapsed="false">
      <c r="A684" s="31" t="s">
        <v>4167</v>
      </c>
      <c r="B684" s="31" t="n">
        <v>35</v>
      </c>
      <c r="C684" s="32" t="n">
        <f aca="false">SETTINGS!$C$3+$B684-1</f>
        <v>46334</v>
      </c>
      <c r="D684" s="40" t="s">
        <v>3692</v>
      </c>
      <c r="E684" s="34" t="s">
        <v>4162</v>
      </c>
      <c r="F684" s="34" t="s">
        <v>4047</v>
      </c>
      <c r="G684" s="34" t="s">
        <v>4168</v>
      </c>
      <c r="H684" s="35" t="s">
        <v>4169</v>
      </c>
      <c r="I684" s="36" t="s">
        <v>4170</v>
      </c>
      <c r="J684" s="34" t="s">
        <v>4171</v>
      </c>
      <c r="K684" s="34" t="s">
        <v>4172</v>
      </c>
      <c r="L684" s="37"/>
      <c r="M684" s="37"/>
      <c r="N684" s="37"/>
      <c r="O684" s="37"/>
      <c r="P684" s="37"/>
      <c r="Q684" s="37"/>
      <c r="R684" s="31" t="n">
        <f aca="false">COUNT($M684:$Q684)</f>
        <v>0</v>
      </c>
      <c r="S684" s="32" t="str">
        <f aca="false">IF($L684="","",IF($R684&gt;=5,"",MAX($L684:$Q684)+CHOOSE($R684+1,SETTINGS!$C$9,SETTINGS!$C$10,SETTINGS!$C$11,SETTINGS!$C$12,SETTINGS!$C$13)))</f>
        <v/>
      </c>
      <c r="T684" s="34" t="str">
        <f aca="true">IF($H684="","(chưa có nội dung)",IF($L684="",IF($C684&lt;TODAY(),"⚠ TRỄ HỌC",IF($C684=TODAY(),"★ HỌC HÔM NAY","• Chưa tới")),IF($R684&gt;=5,"✔ MASTER",IF($S684&lt;TODAY(),"⚠ TRỄ ÔN",IF($S684=TODAY(),"◆ ÔN HÔM NAY","✔ Đúng tiến độ")))))</f>
        <v>• Chưa tới</v>
      </c>
      <c r="U684" s="38" t="n">
        <f aca="false">IF($H684="","",$R684/5)</f>
        <v>0</v>
      </c>
    </row>
    <row r="685" customFormat="false" ht="26.85" hidden="false" customHeight="false" outlineLevel="0" collapsed="false">
      <c r="A685" s="31" t="s">
        <v>4173</v>
      </c>
      <c r="B685" s="31" t="n">
        <v>35</v>
      </c>
      <c r="C685" s="32" t="n">
        <f aca="false">SETTINGS!$C$3+$B685-1</f>
        <v>46334</v>
      </c>
      <c r="D685" s="40" t="s">
        <v>3692</v>
      </c>
      <c r="E685" s="34" t="s">
        <v>4162</v>
      </c>
      <c r="F685" s="34" t="s">
        <v>4047</v>
      </c>
      <c r="G685" s="34" t="s">
        <v>4174</v>
      </c>
      <c r="H685" s="35" t="s">
        <v>4175</v>
      </c>
      <c r="I685" s="36" t="s">
        <v>4176</v>
      </c>
      <c r="J685" s="34" t="s">
        <v>4177</v>
      </c>
      <c r="K685" s="34" t="s">
        <v>4178</v>
      </c>
      <c r="L685" s="37"/>
      <c r="M685" s="37"/>
      <c r="N685" s="37"/>
      <c r="O685" s="37"/>
      <c r="P685" s="37"/>
      <c r="Q685" s="37"/>
      <c r="R685" s="31" t="n">
        <f aca="false">COUNT($M685:$Q685)</f>
        <v>0</v>
      </c>
      <c r="S685" s="32" t="str">
        <f aca="false">IF($L685="","",IF($R685&gt;=5,"",MAX($L685:$Q685)+CHOOSE($R685+1,SETTINGS!$C$9,SETTINGS!$C$10,SETTINGS!$C$11,SETTINGS!$C$12,SETTINGS!$C$13)))</f>
        <v/>
      </c>
      <c r="T685" s="34" t="str">
        <f aca="true">IF($H685="","(chưa có nội dung)",IF($L685="",IF($C685&lt;TODAY(),"⚠ TRỄ HỌC",IF($C685=TODAY(),"★ HỌC HÔM NAY","• Chưa tới")),IF($R685&gt;=5,"✔ MASTER",IF($S685&lt;TODAY(),"⚠ TRỄ ÔN",IF($S685=TODAY(),"◆ ÔN HÔM NAY","✔ Đúng tiến độ")))))</f>
        <v>• Chưa tới</v>
      </c>
      <c r="U685" s="38" t="n">
        <f aca="false">IF($H685="","",$R685/5)</f>
        <v>0</v>
      </c>
    </row>
    <row r="686" customFormat="false" ht="23.85" hidden="false" customHeight="false" outlineLevel="0" collapsed="false">
      <c r="A686" s="31" t="s">
        <v>4179</v>
      </c>
      <c r="B686" s="31" t="n">
        <v>35</v>
      </c>
      <c r="C686" s="32" t="n">
        <f aca="false">SETTINGS!$C$3+$B686-1</f>
        <v>46334</v>
      </c>
      <c r="D686" s="40" t="s">
        <v>3692</v>
      </c>
      <c r="E686" s="34" t="s">
        <v>4162</v>
      </c>
      <c r="F686" s="34" t="s">
        <v>4047</v>
      </c>
      <c r="G686" s="34" t="s">
        <v>4180</v>
      </c>
      <c r="H686" s="35" t="s">
        <v>4181</v>
      </c>
      <c r="I686" s="36" t="s">
        <v>4182</v>
      </c>
      <c r="J686" s="34" t="s">
        <v>4183</v>
      </c>
      <c r="K686" s="34" t="s">
        <v>2532</v>
      </c>
      <c r="L686" s="37"/>
      <c r="M686" s="37"/>
      <c r="N686" s="37"/>
      <c r="O686" s="37"/>
      <c r="P686" s="37"/>
      <c r="Q686" s="37"/>
      <c r="R686" s="31" t="n">
        <f aca="false">COUNT($M686:$Q686)</f>
        <v>0</v>
      </c>
      <c r="S686" s="32" t="str">
        <f aca="false">IF($L686="","",IF($R686&gt;=5,"",MAX($L686:$Q686)+CHOOSE($R686+1,SETTINGS!$C$9,SETTINGS!$C$10,SETTINGS!$C$11,SETTINGS!$C$12,SETTINGS!$C$13)))</f>
        <v/>
      </c>
      <c r="T686" s="34" t="str">
        <f aca="true">IF($H686="","(chưa có nội dung)",IF($L686="",IF($C686&lt;TODAY(),"⚠ TRỄ HỌC",IF($C686=TODAY(),"★ HỌC HÔM NAY","• Chưa tới")),IF($R686&gt;=5,"✔ MASTER",IF($S686&lt;TODAY(),"⚠ TRỄ ÔN",IF($S686=TODAY(),"◆ ÔN HÔM NAY","✔ Đúng tiến độ")))))</f>
        <v>• Chưa tới</v>
      </c>
      <c r="U686" s="38" t="n">
        <f aca="false">IF($H686="","",$R686/5)</f>
        <v>0</v>
      </c>
    </row>
    <row r="687" customFormat="false" ht="23.85" hidden="false" customHeight="false" outlineLevel="0" collapsed="false">
      <c r="A687" s="31" t="s">
        <v>4184</v>
      </c>
      <c r="B687" s="31" t="n">
        <v>35</v>
      </c>
      <c r="C687" s="32" t="n">
        <f aca="false">SETTINGS!$C$3+$B687-1</f>
        <v>46334</v>
      </c>
      <c r="D687" s="40" t="s">
        <v>3692</v>
      </c>
      <c r="E687" s="34" t="s">
        <v>4162</v>
      </c>
      <c r="F687" s="34" t="s">
        <v>4047</v>
      </c>
      <c r="G687" s="34" t="s">
        <v>4185</v>
      </c>
      <c r="H687" s="35" t="s">
        <v>4186</v>
      </c>
      <c r="I687" s="36" t="s">
        <v>4187</v>
      </c>
      <c r="J687" s="34" t="s">
        <v>4188</v>
      </c>
      <c r="K687" s="34" t="s">
        <v>4189</v>
      </c>
      <c r="L687" s="37"/>
      <c r="M687" s="37"/>
      <c r="N687" s="37"/>
      <c r="O687" s="37"/>
      <c r="P687" s="37"/>
      <c r="Q687" s="37"/>
      <c r="R687" s="31" t="n">
        <f aca="false">COUNT($M687:$Q687)</f>
        <v>0</v>
      </c>
      <c r="S687" s="32" t="str">
        <f aca="false">IF($L687="","",IF($R687&gt;=5,"",MAX($L687:$Q687)+CHOOSE($R687+1,SETTINGS!$C$9,SETTINGS!$C$10,SETTINGS!$C$11,SETTINGS!$C$12,SETTINGS!$C$13)))</f>
        <v/>
      </c>
      <c r="T687" s="34" t="str">
        <f aca="true">IF($H687="","(chưa có nội dung)",IF($L687="",IF($C687&lt;TODAY(),"⚠ TRỄ HỌC",IF($C687=TODAY(),"★ HỌC HÔM NAY","• Chưa tới")),IF($R687&gt;=5,"✔ MASTER",IF($S687&lt;TODAY(),"⚠ TRỄ ÔN",IF($S687=TODAY(),"◆ ÔN HÔM NAY","✔ Đúng tiến độ")))))</f>
        <v>• Chưa tới</v>
      </c>
      <c r="U687" s="38" t="n">
        <f aca="false">IF($H687="","",$R687/5)</f>
        <v>0</v>
      </c>
    </row>
    <row r="688" customFormat="false" ht="26.85" hidden="false" customHeight="false" outlineLevel="0" collapsed="false">
      <c r="A688" s="31" t="s">
        <v>4190</v>
      </c>
      <c r="B688" s="31" t="n">
        <v>35</v>
      </c>
      <c r="C688" s="32" t="n">
        <f aca="false">SETTINGS!$C$3+$B688-1</f>
        <v>46334</v>
      </c>
      <c r="D688" s="40" t="s">
        <v>3692</v>
      </c>
      <c r="E688" s="34" t="s">
        <v>4162</v>
      </c>
      <c r="F688" s="34" t="s">
        <v>4047</v>
      </c>
      <c r="G688" s="34" t="s">
        <v>4191</v>
      </c>
      <c r="H688" s="35" t="s">
        <v>4192</v>
      </c>
      <c r="I688" s="36" t="s">
        <v>4193</v>
      </c>
      <c r="J688" s="34" t="s">
        <v>4194</v>
      </c>
      <c r="K688" s="34" t="s">
        <v>4195</v>
      </c>
      <c r="L688" s="37"/>
      <c r="M688" s="37"/>
      <c r="N688" s="37"/>
      <c r="O688" s="37"/>
      <c r="P688" s="37"/>
      <c r="Q688" s="37"/>
      <c r="R688" s="31" t="n">
        <f aca="false">COUNT($M688:$Q688)</f>
        <v>0</v>
      </c>
      <c r="S688" s="32" t="str">
        <f aca="false">IF($L688="","",IF($R688&gt;=5,"",MAX($L688:$Q688)+CHOOSE($R688+1,SETTINGS!$C$9,SETTINGS!$C$10,SETTINGS!$C$11,SETTINGS!$C$12,SETTINGS!$C$13)))</f>
        <v/>
      </c>
      <c r="T688" s="34" t="str">
        <f aca="true">IF($H688="","(chưa có nội dung)",IF($L688="",IF($C688&lt;TODAY(),"⚠ TRỄ HỌC",IF($C688=TODAY(),"★ HỌC HÔM NAY","• Chưa tới")),IF($R688&gt;=5,"✔ MASTER",IF($S688&lt;TODAY(),"⚠ TRỄ ÔN",IF($S688=TODAY(),"◆ ÔN HÔM NAY","✔ Đúng tiến độ")))))</f>
        <v>• Chưa tới</v>
      </c>
      <c r="U688" s="38" t="n">
        <f aca="false">IF($H688="","",$R688/5)</f>
        <v>0</v>
      </c>
    </row>
    <row r="689" customFormat="false" ht="23.85" hidden="false" customHeight="false" outlineLevel="0" collapsed="false">
      <c r="A689" s="31" t="s">
        <v>4196</v>
      </c>
      <c r="B689" s="31" t="n">
        <v>35</v>
      </c>
      <c r="C689" s="32" t="n">
        <f aca="false">SETTINGS!$C$3+$B689-1</f>
        <v>46334</v>
      </c>
      <c r="D689" s="40" t="s">
        <v>3692</v>
      </c>
      <c r="E689" s="34" t="s">
        <v>4162</v>
      </c>
      <c r="F689" s="34" t="s">
        <v>4047</v>
      </c>
      <c r="G689" s="34" t="s">
        <v>4197</v>
      </c>
      <c r="H689" s="35" t="s">
        <v>4198</v>
      </c>
      <c r="I689" s="36" t="s">
        <v>4199</v>
      </c>
      <c r="J689" s="34" t="s">
        <v>4200</v>
      </c>
      <c r="K689" s="34" t="s">
        <v>4201</v>
      </c>
      <c r="L689" s="37"/>
      <c r="M689" s="37"/>
      <c r="N689" s="37"/>
      <c r="O689" s="37"/>
      <c r="P689" s="37"/>
      <c r="Q689" s="37"/>
      <c r="R689" s="31" t="n">
        <f aca="false">COUNT($M689:$Q689)</f>
        <v>0</v>
      </c>
      <c r="S689" s="32" t="str">
        <f aca="false">IF($L689="","",IF($R689&gt;=5,"",MAX($L689:$Q689)+CHOOSE($R689+1,SETTINGS!$C$9,SETTINGS!$C$10,SETTINGS!$C$11,SETTINGS!$C$12,SETTINGS!$C$13)))</f>
        <v/>
      </c>
      <c r="T689" s="34" t="str">
        <f aca="true">IF($H689="","(chưa có nội dung)",IF($L689="",IF($C689&lt;TODAY(),"⚠ TRỄ HỌC",IF($C689=TODAY(),"★ HỌC HÔM NAY","• Chưa tới")),IF($R689&gt;=5,"✔ MASTER",IF($S689&lt;TODAY(),"⚠ TRỄ ÔN",IF($S689=TODAY(),"◆ ÔN HÔM NAY","✔ Đúng tiến độ")))))</f>
        <v>• Chưa tới</v>
      </c>
      <c r="U689" s="38" t="n">
        <f aca="false">IF($H689="","",$R689/5)</f>
        <v>0</v>
      </c>
    </row>
    <row r="690" customFormat="false" ht="26.85" hidden="false" customHeight="false" outlineLevel="0" collapsed="false">
      <c r="A690" s="31" t="s">
        <v>4202</v>
      </c>
      <c r="B690" s="31" t="n">
        <v>35</v>
      </c>
      <c r="C690" s="32" t="n">
        <f aca="false">SETTINGS!$C$3+$B690-1</f>
        <v>46334</v>
      </c>
      <c r="D690" s="40" t="s">
        <v>3692</v>
      </c>
      <c r="E690" s="34" t="s">
        <v>4162</v>
      </c>
      <c r="F690" s="34" t="s">
        <v>4047</v>
      </c>
      <c r="G690" s="34" t="s">
        <v>2238</v>
      </c>
      <c r="H690" s="35" t="s">
        <v>4203</v>
      </c>
      <c r="I690" s="36" t="s">
        <v>4204</v>
      </c>
      <c r="J690" s="34" t="s">
        <v>4205</v>
      </c>
      <c r="K690" s="34" t="s">
        <v>4206</v>
      </c>
      <c r="L690" s="37"/>
      <c r="M690" s="37"/>
      <c r="N690" s="37"/>
      <c r="O690" s="37"/>
      <c r="P690" s="37"/>
      <c r="Q690" s="37"/>
      <c r="R690" s="31" t="n">
        <f aca="false">COUNT($M690:$Q690)</f>
        <v>0</v>
      </c>
      <c r="S690" s="32" t="str">
        <f aca="false">IF($L690="","",IF($R690&gt;=5,"",MAX($L690:$Q690)+CHOOSE($R690+1,SETTINGS!$C$9,SETTINGS!$C$10,SETTINGS!$C$11,SETTINGS!$C$12,SETTINGS!$C$13)))</f>
        <v/>
      </c>
      <c r="T690" s="34" t="str">
        <f aca="true">IF($H690="","(chưa có nội dung)",IF($L690="",IF($C690&lt;TODAY(),"⚠ TRỄ HỌC",IF($C690=TODAY(),"★ HỌC HÔM NAY","• Chưa tới")),IF($R690&gt;=5,"✔ MASTER",IF($S690&lt;TODAY(),"⚠ TRỄ ÔN",IF($S690=TODAY(),"◆ ÔN HÔM NAY","✔ Đúng tiến độ")))))</f>
        <v>• Chưa tới</v>
      </c>
      <c r="U690" s="38" t="n">
        <f aca="false">IF($H690="","",$R690/5)</f>
        <v>0</v>
      </c>
    </row>
    <row r="691" customFormat="false" ht="26.85" hidden="false" customHeight="false" outlineLevel="0" collapsed="false">
      <c r="A691" s="31" t="s">
        <v>4207</v>
      </c>
      <c r="B691" s="31" t="n">
        <v>35</v>
      </c>
      <c r="C691" s="32" t="n">
        <f aca="false">SETTINGS!$C$3+$B691-1</f>
        <v>46334</v>
      </c>
      <c r="D691" s="40" t="s">
        <v>3692</v>
      </c>
      <c r="E691" s="34" t="s">
        <v>4162</v>
      </c>
      <c r="F691" s="34" t="s">
        <v>4047</v>
      </c>
      <c r="G691" s="34" t="s">
        <v>4208</v>
      </c>
      <c r="H691" s="35" t="s">
        <v>4209</v>
      </c>
      <c r="I691" s="36" t="s">
        <v>4210</v>
      </c>
      <c r="J691" s="34" t="s">
        <v>4211</v>
      </c>
      <c r="K691" s="34" t="s">
        <v>4212</v>
      </c>
      <c r="L691" s="37"/>
      <c r="M691" s="37"/>
      <c r="N691" s="37"/>
      <c r="O691" s="37"/>
      <c r="P691" s="37"/>
      <c r="Q691" s="37"/>
      <c r="R691" s="31" t="n">
        <f aca="false">COUNT($M691:$Q691)</f>
        <v>0</v>
      </c>
      <c r="S691" s="32" t="str">
        <f aca="false">IF($L691="","",IF($R691&gt;=5,"",MAX($L691:$Q691)+CHOOSE($R691+1,SETTINGS!$C$9,SETTINGS!$C$10,SETTINGS!$C$11,SETTINGS!$C$12,SETTINGS!$C$13)))</f>
        <v/>
      </c>
      <c r="T691" s="34" t="str">
        <f aca="true">IF($H691="","(chưa có nội dung)",IF($L691="",IF($C691&lt;TODAY(),"⚠ TRỄ HỌC",IF($C691=TODAY(),"★ HỌC HÔM NAY","• Chưa tới")),IF($R691&gt;=5,"✔ MASTER",IF($S691&lt;TODAY(),"⚠ TRỄ ÔN",IF($S691=TODAY(),"◆ ÔN HÔM NAY","✔ Đúng tiến độ")))))</f>
        <v>• Chưa tới</v>
      </c>
      <c r="U691" s="38" t="n">
        <f aca="false">IF($H691="","",$R691/5)</f>
        <v>0</v>
      </c>
    </row>
    <row r="692" customFormat="false" ht="26.85" hidden="false" customHeight="false" outlineLevel="0" collapsed="false">
      <c r="A692" s="31" t="s">
        <v>4213</v>
      </c>
      <c r="B692" s="31" t="n">
        <v>35</v>
      </c>
      <c r="C692" s="32" t="n">
        <f aca="false">SETTINGS!$C$3+$B692-1</f>
        <v>46334</v>
      </c>
      <c r="D692" s="40" t="s">
        <v>3692</v>
      </c>
      <c r="E692" s="34" t="s">
        <v>4162</v>
      </c>
      <c r="F692" s="34" t="s">
        <v>4047</v>
      </c>
      <c r="G692" s="34" t="s">
        <v>4214</v>
      </c>
      <c r="H692" s="35" t="s">
        <v>4215</v>
      </c>
      <c r="I692" s="36" t="s">
        <v>4216</v>
      </c>
      <c r="J692" s="34" t="s">
        <v>4217</v>
      </c>
      <c r="K692" s="34" t="s">
        <v>4218</v>
      </c>
      <c r="L692" s="37"/>
      <c r="M692" s="37"/>
      <c r="N692" s="37"/>
      <c r="O692" s="37"/>
      <c r="P692" s="37"/>
      <c r="Q692" s="37"/>
      <c r="R692" s="31" t="n">
        <f aca="false">COUNT($M692:$Q692)</f>
        <v>0</v>
      </c>
      <c r="S692" s="32" t="str">
        <f aca="false">IF($L692="","",IF($R692&gt;=5,"",MAX($L692:$Q692)+CHOOSE($R692+1,SETTINGS!$C$9,SETTINGS!$C$10,SETTINGS!$C$11,SETTINGS!$C$12,SETTINGS!$C$13)))</f>
        <v/>
      </c>
      <c r="T692" s="34" t="str">
        <f aca="true">IF($H692="","(chưa có nội dung)",IF($L692="",IF($C692&lt;TODAY(),"⚠ TRỄ HỌC",IF($C692=TODAY(),"★ HỌC HÔM NAY","• Chưa tới")),IF($R692&gt;=5,"✔ MASTER",IF($S692&lt;TODAY(),"⚠ TRỄ ÔN",IF($S692=TODAY(),"◆ ÔN HÔM NAY","✔ Đúng tiến độ")))))</f>
        <v>• Chưa tới</v>
      </c>
      <c r="U692" s="38" t="n">
        <f aca="false">IF($H692="","",$R692/5)</f>
        <v>0</v>
      </c>
    </row>
    <row r="693" customFormat="false" ht="23.85" hidden="false" customHeight="false" outlineLevel="0" collapsed="false">
      <c r="A693" s="31" t="s">
        <v>4219</v>
      </c>
      <c r="B693" s="31" t="n">
        <v>35</v>
      </c>
      <c r="C693" s="32" t="n">
        <f aca="false">SETTINGS!$C$3+$B693-1</f>
        <v>46334</v>
      </c>
      <c r="D693" s="40" t="s">
        <v>3692</v>
      </c>
      <c r="E693" s="34" t="s">
        <v>4162</v>
      </c>
      <c r="F693" s="34" t="s">
        <v>4047</v>
      </c>
      <c r="G693" s="34" t="s">
        <v>4220</v>
      </c>
      <c r="H693" s="35" t="s">
        <v>4221</v>
      </c>
      <c r="I693" s="36" t="s">
        <v>4222</v>
      </c>
      <c r="J693" s="34" t="s">
        <v>4223</v>
      </c>
      <c r="K693" s="34" t="s">
        <v>4224</v>
      </c>
      <c r="L693" s="37"/>
      <c r="M693" s="37"/>
      <c r="N693" s="37"/>
      <c r="O693" s="37"/>
      <c r="P693" s="37"/>
      <c r="Q693" s="37"/>
      <c r="R693" s="31" t="n">
        <f aca="false">COUNT($M693:$Q693)</f>
        <v>0</v>
      </c>
      <c r="S693" s="32" t="str">
        <f aca="false">IF($L693="","",IF($R693&gt;=5,"",MAX($L693:$Q693)+CHOOSE($R693+1,SETTINGS!$C$9,SETTINGS!$C$10,SETTINGS!$C$11,SETTINGS!$C$12,SETTINGS!$C$13)))</f>
        <v/>
      </c>
      <c r="T693" s="34" t="str">
        <f aca="true">IF($H693="","(chưa có nội dung)",IF($L693="",IF($C693&lt;TODAY(),"⚠ TRỄ HỌC",IF($C693=TODAY(),"★ HỌC HÔM NAY","• Chưa tới")),IF($R693&gt;=5,"✔ MASTER",IF($S693&lt;TODAY(),"⚠ TRỄ ÔN",IF($S693=TODAY(),"◆ ÔN HÔM NAY","✔ Đúng tiến độ")))))</f>
        <v>• Chưa tới</v>
      </c>
      <c r="U693" s="38" t="n">
        <f aca="false">IF($H693="","",$R693/5)</f>
        <v>0</v>
      </c>
    </row>
    <row r="694" customFormat="false" ht="23.85" hidden="false" customHeight="false" outlineLevel="0" collapsed="false">
      <c r="A694" s="31" t="s">
        <v>4225</v>
      </c>
      <c r="B694" s="31" t="n">
        <v>35</v>
      </c>
      <c r="C694" s="32" t="n">
        <f aca="false">SETTINGS!$C$3+$B694-1</f>
        <v>46334</v>
      </c>
      <c r="D694" s="40" t="s">
        <v>3692</v>
      </c>
      <c r="E694" s="34" t="s">
        <v>4162</v>
      </c>
      <c r="F694" s="34" t="s">
        <v>4047</v>
      </c>
      <c r="G694" s="34" t="s">
        <v>4226</v>
      </c>
      <c r="H694" s="35" t="s">
        <v>4227</v>
      </c>
      <c r="I694" s="36" t="s">
        <v>4228</v>
      </c>
      <c r="J694" s="34" t="s">
        <v>4229</v>
      </c>
      <c r="K694" s="34" t="s">
        <v>4230</v>
      </c>
      <c r="L694" s="37"/>
      <c r="M694" s="37"/>
      <c r="N694" s="37"/>
      <c r="O694" s="37"/>
      <c r="P694" s="37"/>
      <c r="Q694" s="37"/>
      <c r="R694" s="31" t="n">
        <f aca="false">COUNT($M694:$Q694)</f>
        <v>0</v>
      </c>
      <c r="S694" s="32" t="str">
        <f aca="false">IF($L694="","",IF($R694&gt;=5,"",MAX($L694:$Q694)+CHOOSE($R694+1,SETTINGS!$C$9,SETTINGS!$C$10,SETTINGS!$C$11,SETTINGS!$C$12,SETTINGS!$C$13)))</f>
        <v/>
      </c>
      <c r="T694" s="34" t="str">
        <f aca="true">IF($H694="","(chưa có nội dung)",IF($L694="",IF($C694&lt;TODAY(),"⚠ TRỄ HỌC",IF($C694=TODAY(),"★ HỌC HÔM NAY","• Chưa tới")),IF($R694&gt;=5,"✔ MASTER",IF($S694&lt;TODAY(),"⚠ TRỄ ÔN",IF($S694=TODAY(),"◆ ÔN HÔM NAY","✔ Đúng tiến độ")))))</f>
        <v>• Chưa tới</v>
      </c>
      <c r="U694" s="38" t="n">
        <f aca="false">IF($H694="","",$R694/5)</f>
        <v>0</v>
      </c>
    </row>
    <row r="695" customFormat="false" ht="23.85" hidden="false" customHeight="false" outlineLevel="0" collapsed="false">
      <c r="A695" s="31" t="s">
        <v>4231</v>
      </c>
      <c r="B695" s="31" t="n">
        <v>35</v>
      </c>
      <c r="C695" s="32" t="n">
        <f aca="false">SETTINGS!$C$3+$B695-1</f>
        <v>46334</v>
      </c>
      <c r="D695" s="40" t="s">
        <v>3692</v>
      </c>
      <c r="E695" s="34" t="s">
        <v>4162</v>
      </c>
      <c r="F695" s="34" t="s">
        <v>4047</v>
      </c>
      <c r="G695" s="34" t="s">
        <v>4232</v>
      </c>
      <c r="H695" s="35" t="s">
        <v>4233</v>
      </c>
      <c r="I695" s="36" t="s">
        <v>4234</v>
      </c>
      <c r="J695" s="34" t="s">
        <v>4235</v>
      </c>
      <c r="K695" s="34" t="s">
        <v>4236</v>
      </c>
      <c r="L695" s="37"/>
      <c r="M695" s="37"/>
      <c r="N695" s="37"/>
      <c r="O695" s="37"/>
      <c r="P695" s="37"/>
      <c r="Q695" s="37"/>
      <c r="R695" s="31" t="n">
        <f aca="false">COUNT($M695:$Q695)</f>
        <v>0</v>
      </c>
      <c r="S695" s="32" t="str">
        <f aca="false">IF($L695="","",IF($R695&gt;=5,"",MAX($L695:$Q695)+CHOOSE($R695+1,SETTINGS!$C$9,SETTINGS!$C$10,SETTINGS!$C$11,SETTINGS!$C$12,SETTINGS!$C$13)))</f>
        <v/>
      </c>
      <c r="T695" s="34" t="str">
        <f aca="true">IF($H695="","(chưa có nội dung)",IF($L695="",IF($C695&lt;TODAY(),"⚠ TRỄ HỌC",IF($C695=TODAY(),"★ HỌC HÔM NAY","• Chưa tới")),IF($R695&gt;=5,"✔ MASTER",IF($S695&lt;TODAY(),"⚠ TRỄ ÔN",IF($S695=TODAY(),"◆ ÔN HÔM NAY","✔ Đúng tiến độ")))))</f>
        <v>• Chưa tới</v>
      </c>
      <c r="U695" s="38" t="n">
        <f aca="false">IF($H695="","",$R695/5)</f>
        <v>0</v>
      </c>
    </row>
    <row r="696" customFormat="false" ht="26.85" hidden="false" customHeight="false" outlineLevel="0" collapsed="false">
      <c r="A696" s="31" t="s">
        <v>4237</v>
      </c>
      <c r="B696" s="31" t="n">
        <v>35</v>
      </c>
      <c r="C696" s="32" t="n">
        <f aca="false">SETTINGS!$C$3+$B696-1</f>
        <v>46334</v>
      </c>
      <c r="D696" s="40" t="s">
        <v>3692</v>
      </c>
      <c r="E696" s="34" t="s">
        <v>4162</v>
      </c>
      <c r="F696" s="34" t="s">
        <v>4047</v>
      </c>
      <c r="G696" s="34" t="s">
        <v>4238</v>
      </c>
      <c r="H696" s="35" t="s">
        <v>4239</v>
      </c>
      <c r="I696" s="36" t="s">
        <v>4240</v>
      </c>
      <c r="J696" s="34" t="s">
        <v>4241</v>
      </c>
      <c r="K696" s="34" t="s">
        <v>2609</v>
      </c>
      <c r="L696" s="37"/>
      <c r="M696" s="37"/>
      <c r="N696" s="37"/>
      <c r="O696" s="37"/>
      <c r="P696" s="37"/>
      <c r="Q696" s="37"/>
      <c r="R696" s="31" t="n">
        <f aca="false">COUNT($M696:$Q696)</f>
        <v>0</v>
      </c>
      <c r="S696" s="32" t="str">
        <f aca="false">IF($L696="","",IF($R696&gt;=5,"",MAX($L696:$Q696)+CHOOSE($R696+1,SETTINGS!$C$9,SETTINGS!$C$10,SETTINGS!$C$11,SETTINGS!$C$12,SETTINGS!$C$13)))</f>
        <v/>
      </c>
      <c r="T696" s="34" t="str">
        <f aca="true">IF($H696="","(chưa có nội dung)",IF($L696="",IF($C696&lt;TODAY(),"⚠ TRỄ HỌC",IF($C696=TODAY(),"★ HỌC HÔM NAY","• Chưa tới")),IF($R696&gt;=5,"✔ MASTER",IF($S696&lt;TODAY(),"⚠ TRỄ ÔN",IF($S696=TODAY(),"◆ ÔN HÔM NAY","✔ Đúng tiến độ")))))</f>
        <v>• Chưa tới</v>
      </c>
      <c r="U696" s="38" t="n">
        <f aca="false">IF($H696="","",$R696/5)</f>
        <v>0</v>
      </c>
    </row>
    <row r="697" customFormat="false" ht="23.85" hidden="false" customHeight="false" outlineLevel="0" collapsed="false">
      <c r="A697" s="31" t="s">
        <v>4242</v>
      </c>
      <c r="B697" s="31" t="n">
        <v>35</v>
      </c>
      <c r="C697" s="32" t="n">
        <f aca="false">SETTINGS!$C$3+$B697-1</f>
        <v>46334</v>
      </c>
      <c r="D697" s="40" t="s">
        <v>3692</v>
      </c>
      <c r="E697" s="34" t="s">
        <v>4162</v>
      </c>
      <c r="F697" s="34" t="s">
        <v>4047</v>
      </c>
      <c r="G697" s="34" t="s">
        <v>4226</v>
      </c>
      <c r="H697" s="35" t="s">
        <v>4243</v>
      </c>
      <c r="I697" s="36" t="s">
        <v>4244</v>
      </c>
      <c r="J697" s="34" t="s">
        <v>4245</v>
      </c>
      <c r="K697" s="34" t="s">
        <v>4246</v>
      </c>
      <c r="L697" s="37"/>
      <c r="M697" s="37"/>
      <c r="N697" s="37"/>
      <c r="O697" s="37"/>
      <c r="P697" s="37"/>
      <c r="Q697" s="37"/>
      <c r="R697" s="31" t="n">
        <f aca="false">COUNT($M697:$Q697)</f>
        <v>0</v>
      </c>
      <c r="S697" s="32" t="str">
        <f aca="false">IF($L697="","",IF($R697&gt;=5,"",MAX($L697:$Q697)+CHOOSE($R697+1,SETTINGS!$C$9,SETTINGS!$C$10,SETTINGS!$C$11,SETTINGS!$C$12,SETTINGS!$C$13)))</f>
        <v/>
      </c>
      <c r="T697" s="34" t="str">
        <f aca="true">IF($H697="","(chưa có nội dung)",IF($L697="",IF($C697&lt;TODAY(),"⚠ TRỄ HỌC",IF($C697=TODAY(),"★ HỌC HÔM NAY","• Chưa tới")),IF($R697&gt;=5,"✔ MASTER",IF($S697&lt;TODAY(),"⚠ TRỄ ÔN",IF($S697=TODAY(),"◆ ÔN HÔM NAY","✔ Đúng tiến độ")))))</f>
        <v>• Chưa tới</v>
      </c>
      <c r="U697" s="38" t="n">
        <f aca="false">IF($H697="","",$R697/5)</f>
        <v>0</v>
      </c>
    </row>
    <row r="698" customFormat="false" ht="26.85" hidden="false" customHeight="false" outlineLevel="0" collapsed="false">
      <c r="A698" s="31" t="s">
        <v>4247</v>
      </c>
      <c r="B698" s="31" t="n">
        <v>35</v>
      </c>
      <c r="C698" s="32" t="n">
        <f aca="false">SETTINGS!$C$3+$B698-1</f>
        <v>46334</v>
      </c>
      <c r="D698" s="40" t="s">
        <v>3692</v>
      </c>
      <c r="E698" s="34" t="s">
        <v>4162</v>
      </c>
      <c r="F698" s="34" t="s">
        <v>4047</v>
      </c>
      <c r="G698" s="34" t="s">
        <v>4248</v>
      </c>
      <c r="H698" s="35" t="s">
        <v>4249</v>
      </c>
      <c r="I698" s="36" t="s">
        <v>4250</v>
      </c>
      <c r="J698" s="34" t="s">
        <v>4251</v>
      </c>
      <c r="K698" s="34" t="s">
        <v>2437</v>
      </c>
      <c r="L698" s="37"/>
      <c r="M698" s="37"/>
      <c r="N698" s="37"/>
      <c r="O698" s="37"/>
      <c r="P698" s="37"/>
      <c r="Q698" s="37"/>
      <c r="R698" s="31" t="n">
        <f aca="false">COUNT($M698:$Q698)</f>
        <v>0</v>
      </c>
      <c r="S698" s="32" t="str">
        <f aca="false">IF($L698="","",IF($R698&gt;=5,"",MAX($L698:$Q698)+CHOOSE($R698+1,SETTINGS!$C$9,SETTINGS!$C$10,SETTINGS!$C$11,SETTINGS!$C$12,SETTINGS!$C$13)))</f>
        <v/>
      </c>
      <c r="T698" s="34" t="str">
        <f aca="true">IF($H698="","(chưa có nội dung)",IF($L698="",IF($C698&lt;TODAY(),"⚠ TRỄ HỌC",IF($C698=TODAY(),"★ HỌC HÔM NAY","• Chưa tới")),IF($R698&gt;=5,"✔ MASTER",IF($S698&lt;TODAY(),"⚠ TRỄ ÔN",IF($S698=TODAY(),"◆ ÔN HÔM NAY","✔ Đúng tiến độ")))))</f>
        <v>• Chưa tới</v>
      </c>
      <c r="U698" s="38" t="n">
        <f aca="false">IF($H698="","",$R698/5)</f>
        <v>0</v>
      </c>
    </row>
    <row r="699" customFormat="false" ht="23.85" hidden="false" customHeight="false" outlineLevel="0" collapsed="false">
      <c r="A699" s="31" t="s">
        <v>4252</v>
      </c>
      <c r="B699" s="31" t="n">
        <v>35</v>
      </c>
      <c r="C699" s="32" t="n">
        <f aca="false">SETTINGS!$C$3+$B699-1</f>
        <v>46334</v>
      </c>
      <c r="D699" s="40" t="s">
        <v>3692</v>
      </c>
      <c r="E699" s="34" t="s">
        <v>4162</v>
      </c>
      <c r="F699" s="34" t="s">
        <v>4047</v>
      </c>
      <c r="G699" s="34" t="s">
        <v>4253</v>
      </c>
      <c r="H699" s="35" t="s">
        <v>4254</v>
      </c>
      <c r="I699" s="36" t="s">
        <v>4255</v>
      </c>
      <c r="J699" s="34" t="s">
        <v>4256</v>
      </c>
      <c r="K699" s="34" t="s">
        <v>4257</v>
      </c>
      <c r="L699" s="37"/>
      <c r="M699" s="37"/>
      <c r="N699" s="37"/>
      <c r="O699" s="37"/>
      <c r="P699" s="37"/>
      <c r="Q699" s="37"/>
      <c r="R699" s="31" t="n">
        <f aca="false">COUNT($M699:$Q699)</f>
        <v>0</v>
      </c>
      <c r="S699" s="32" t="str">
        <f aca="false">IF($L699="","",IF($R699&gt;=5,"",MAX($L699:$Q699)+CHOOSE($R699+1,SETTINGS!$C$9,SETTINGS!$C$10,SETTINGS!$C$11,SETTINGS!$C$12,SETTINGS!$C$13)))</f>
        <v/>
      </c>
      <c r="T699" s="34" t="str">
        <f aca="true">IF($H699="","(chưa có nội dung)",IF($L699="",IF($C699&lt;TODAY(),"⚠ TRỄ HỌC",IF($C699=TODAY(),"★ HỌC HÔM NAY","• Chưa tới")),IF($R699&gt;=5,"✔ MASTER",IF($S699&lt;TODAY(),"⚠ TRỄ ÔN",IF($S699=TODAY(),"◆ ÔN HÔM NAY","✔ Đúng tiến độ")))))</f>
        <v>• Chưa tới</v>
      </c>
      <c r="U699" s="38" t="n">
        <f aca="false">IF($H699="","",$R699/5)</f>
        <v>0</v>
      </c>
    </row>
    <row r="700" customFormat="false" ht="26.85" hidden="false" customHeight="false" outlineLevel="0" collapsed="false">
      <c r="A700" s="31" t="s">
        <v>4258</v>
      </c>
      <c r="B700" s="31" t="n">
        <v>35</v>
      </c>
      <c r="C700" s="32" t="n">
        <f aca="false">SETTINGS!$C$3+$B700-1</f>
        <v>46334</v>
      </c>
      <c r="D700" s="40" t="s">
        <v>3692</v>
      </c>
      <c r="E700" s="34" t="s">
        <v>4162</v>
      </c>
      <c r="F700" s="34" t="s">
        <v>4047</v>
      </c>
      <c r="G700" s="34" t="s">
        <v>4259</v>
      </c>
      <c r="H700" s="35" t="s">
        <v>4260</v>
      </c>
      <c r="I700" s="36" t="s">
        <v>4261</v>
      </c>
      <c r="J700" s="34" t="s">
        <v>4262</v>
      </c>
      <c r="K700" s="34" t="s">
        <v>4263</v>
      </c>
      <c r="L700" s="37"/>
      <c r="M700" s="37"/>
      <c r="N700" s="37"/>
      <c r="O700" s="37"/>
      <c r="P700" s="37"/>
      <c r="Q700" s="37"/>
      <c r="R700" s="31" t="n">
        <f aca="false">COUNT($M700:$Q700)</f>
        <v>0</v>
      </c>
      <c r="S700" s="32" t="str">
        <f aca="false">IF($L700="","",IF($R700&gt;=5,"",MAX($L700:$Q700)+CHOOSE($R700+1,SETTINGS!$C$9,SETTINGS!$C$10,SETTINGS!$C$11,SETTINGS!$C$12,SETTINGS!$C$13)))</f>
        <v/>
      </c>
      <c r="T700" s="34" t="str">
        <f aca="true">IF($H700="","(chưa có nội dung)",IF($L700="",IF($C700&lt;TODAY(),"⚠ TRỄ HỌC",IF($C700=TODAY(),"★ HỌC HÔM NAY","• Chưa tới")),IF($R700&gt;=5,"✔ MASTER",IF($S700&lt;TODAY(),"⚠ TRỄ ÔN",IF($S700=TODAY(),"◆ ÔN HÔM NAY","✔ Đúng tiến độ")))))</f>
        <v>• Chưa tới</v>
      </c>
      <c r="U700" s="38" t="n">
        <f aca="false">IF($H700="","",$R700/5)</f>
        <v>0</v>
      </c>
    </row>
    <row r="701" customFormat="false" ht="23.85" hidden="false" customHeight="false" outlineLevel="0" collapsed="false">
      <c r="A701" s="31" t="s">
        <v>4264</v>
      </c>
      <c r="B701" s="31" t="n">
        <v>35</v>
      </c>
      <c r="C701" s="32" t="n">
        <f aca="false">SETTINGS!$C$3+$B701-1</f>
        <v>46334</v>
      </c>
      <c r="D701" s="40" t="s">
        <v>3692</v>
      </c>
      <c r="E701" s="34" t="s">
        <v>4162</v>
      </c>
      <c r="F701" s="34" t="s">
        <v>4047</v>
      </c>
      <c r="G701" s="34" t="s">
        <v>4265</v>
      </c>
      <c r="H701" s="35" t="s">
        <v>4266</v>
      </c>
      <c r="I701" s="36" t="s">
        <v>4267</v>
      </c>
      <c r="J701" s="34" t="s">
        <v>4268</v>
      </c>
      <c r="K701" s="34" t="s">
        <v>4269</v>
      </c>
      <c r="L701" s="37"/>
      <c r="M701" s="37"/>
      <c r="N701" s="37"/>
      <c r="O701" s="37"/>
      <c r="P701" s="37"/>
      <c r="Q701" s="37"/>
      <c r="R701" s="31" t="n">
        <f aca="false">COUNT($M701:$Q701)</f>
        <v>0</v>
      </c>
      <c r="S701" s="32" t="str">
        <f aca="false">IF($L701="","",IF($R701&gt;=5,"",MAX($L701:$Q701)+CHOOSE($R701+1,SETTINGS!$C$9,SETTINGS!$C$10,SETTINGS!$C$11,SETTINGS!$C$12,SETTINGS!$C$13)))</f>
        <v/>
      </c>
      <c r="T701" s="34" t="str">
        <f aca="true">IF($H701="","(chưa có nội dung)",IF($L701="",IF($C701&lt;TODAY(),"⚠ TRỄ HỌC",IF($C701=TODAY(),"★ HỌC HÔM NAY","• Chưa tới")),IF($R701&gt;=5,"✔ MASTER",IF($S701&lt;TODAY(),"⚠ TRỄ ÔN",IF($S701=TODAY(),"◆ ÔN HÔM NAY","✔ Đúng tiến độ")))))</f>
        <v>• Chưa tới</v>
      </c>
      <c r="U701" s="38" t="n">
        <f aca="false">IF($H701="","",$R701/5)</f>
        <v>0</v>
      </c>
    </row>
    <row r="702" customFormat="false" ht="26.85" hidden="false" customHeight="false" outlineLevel="0" collapsed="false">
      <c r="A702" s="31" t="s">
        <v>4270</v>
      </c>
      <c r="B702" s="31" t="n">
        <v>35</v>
      </c>
      <c r="C702" s="32" t="n">
        <f aca="false">SETTINGS!$C$3+$B702-1</f>
        <v>46334</v>
      </c>
      <c r="D702" s="40" t="s">
        <v>3692</v>
      </c>
      <c r="E702" s="34" t="s">
        <v>4162</v>
      </c>
      <c r="F702" s="34" t="s">
        <v>4047</v>
      </c>
      <c r="G702" s="34" t="s">
        <v>4271</v>
      </c>
      <c r="H702" s="35" t="s">
        <v>4272</v>
      </c>
      <c r="I702" s="36" t="s">
        <v>4273</v>
      </c>
      <c r="J702" s="34" t="s">
        <v>4274</v>
      </c>
      <c r="K702" s="34" t="s">
        <v>4275</v>
      </c>
      <c r="L702" s="37"/>
      <c r="M702" s="37"/>
      <c r="N702" s="37"/>
      <c r="O702" s="37"/>
      <c r="P702" s="37"/>
      <c r="Q702" s="37"/>
      <c r="R702" s="31" t="n">
        <f aca="false">COUNT($M702:$Q702)</f>
        <v>0</v>
      </c>
      <c r="S702" s="32" t="str">
        <f aca="false">IF($L702="","",IF($R702&gt;=5,"",MAX($L702:$Q702)+CHOOSE($R702+1,SETTINGS!$C$9,SETTINGS!$C$10,SETTINGS!$C$11,SETTINGS!$C$12,SETTINGS!$C$13)))</f>
        <v/>
      </c>
      <c r="T702" s="34" t="str">
        <f aca="true">IF($H702="","(chưa có nội dung)",IF($L702="",IF($C702&lt;TODAY(),"⚠ TRỄ HỌC",IF($C702=TODAY(),"★ HỌC HÔM NAY","• Chưa tới")),IF($R702&gt;=5,"✔ MASTER",IF($S702&lt;TODAY(),"⚠ TRỄ ÔN",IF($S702=TODAY(),"◆ ÔN HÔM NAY","✔ Đúng tiến độ")))))</f>
        <v>• Chưa tới</v>
      </c>
      <c r="U702" s="38" t="n">
        <f aca="false">IF($H702="","",$R702/5)</f>
        <v>0</v>
      </c>
    </row>
    <row r="703" customFormat="false" ht="15" hidden="false" customHeight="false" outlineLevel="0" collapsed="false">
      <c r="A703" s="31" t="s">
        <v>4276</v>
      </c>
      <c r="B703" s="31" t="n">
        <v>36</v>
      </c>
      <c r="C703" s="32" t="n">
        <f aca="false">SETTINGS!$C$3+$B703-1</f>
        <v>46335</v>
      </c>
      <c r="D703" s="40" t="s">
        <v>3692</v>
      </c>
      <c r="E703" s="34" t="s">
        <v>4277</v>
      </c>
      <c r="F703" s="34" t="s">
        <v>280</v>
      </c>
      <c r="G703" s="34" t="s">
        <v>4278</v>
      </c>
      <c r="H703" s="35" t="s">
        <v>4279</v>
      </c>
      <c r="I703" s="36" t="s">
        <v>4280</v>
      </c>
      <c r="J703" s="34" t="s">
        <v>4281</v>
      </c>
      <c r="K703" s="34" t="s">
        <v>4282</v>
      </c>
      <c r="L703" s="37"/>
      <c r="M703" s="37"/>
      <c r="N703" s="37"/>
      <c r="O703" s="37"/>
      <c r="P703" s="37"/>
      <c r="Q703" s="37"/>
      <c r="R703" s="31" t="n">
        <f aca="false">COUNT($M703:$Q703)</f>
        <v>0</v>
      </c>
      <c r="S703" s="32" t="str">
        <f aca="false">IF($L703="","",IF($R703&gt;=5,"",MAX($L703:$Q703)+CHOOSE($R703+1,SETTINGS!$C$9,SETTINGS!$C$10,SETTINGS!$C$11,SETTINGS!$C$12,SETTINGS!$C$13)))</f>
        <v/>
      </c>
      <c r="T703" s="34" t="str">
        <f aca="true">IF($H703="","(chưa có nội dung)",IF($L703="",IF($C703&lt;TODAY(),"⚠ TRỄ HỌC",IF($C703=TODAY(),"★ HỌC HÔM NAY","• Chưa tới")),IF($R703&gt;=5,"✔ MASTER",IF($S703&lt;TODAY(),"⚠ TRỄ ÔN",IF($S703=TODAY(),"◆ ÔN HÔM NAY","✔ Đúng tiến độ")))))</f>
        <v>• Chưa tới</v>
      </c>
      <c r="U703" s="38" t="n">
        <f aca="false">IF($H703="","",$R703/5)</f>
        <v>0</v>
      </c>
    </row>
    <row r="704" customFormat="false" ht="15" hidden="false" customHeight="false" outlineLevel="0" collapsed="false">
      <c r="A704" s="31" t="s">
        <v>4283</v>
      </c>
      <c r="B704" s="31" t="n">
        <v>36</v>
      </c>
      <c r="C704" s="32" t="n">
        <f aca="false">SETTINGS!$C$3+$B704-1</f>
        <v>46335</v>
      </c>
      <c r="D704" s="40" t="s">
        <v>3692</v>
      </c>
      <c r="E704" s="34" t="s">
        <v>4277</v>
      </c>
      <c r="F704" s="34" t="s">
        <v>280</v>
      </c>
      <c r="G704" s="34" t="s">
        <v>4284</v>
      </c>
      <c r="H704" s="35" t="s">
        <v>4285</v>
      </c>
      <c r="I704" s="36" t="s">
        <v>4286</v>
      </c>
      <c r="J704" s="34" t="s">
        <v>4287</v>
      </c>
      <c r="K704" s="34" t="s">
        <v>4288</v>
      </c>
      <c r="L704" s="37"/>
      <c r="M704" s="37"/>
      <c r="N704" s="37"/>
      <c r="O704" s="37"/>
      <c r="P704" s="37"/>
      <c r="Q704" s="37"/>
      <c r="R704" s="31" t="n">
        <f aca="false">COUNT($M704:$Q704)</f>
        <v>0</v>
      </c>
      <c r="S704" s="32" t="str">
        <f aca="false">IF($L704="","",IF($R704&gt;=5,"",MAX($L704:$Q704)+CHOOSE($R704+1,SETTINGS!$C$9,SETTINGS!$C$10,SETTINGS!$C$11,SETTINGS!$C$12,SETTINGS!$C$13)))</f>
        <v/>
      </c>
      <c r="T704" s="34" t="str">
        <f aca="true">IF($H704="","(chưa có nội dung)",IF($L704="",IF($C704&lt;TODAY(),"⚠ TRỄ HỌC",IF($C704=TODAY(),"★ HỌC HÔM NAY","• Chưa tới")),IF($R704&gt;=5,"✔ MASTER",IF($S704&lt;TODAY(),"⚠ TRỄ ÔN",IF($S704=TODAY(),"◆ ÔN HÔM NAY","✔ Đúng tiến độ")))))</f>
        <v>• Chưa tới</v>
      </c>
      <c r="U704" s="38" t="n">
        <f aca="false">IF($H704="","",$R704/5)</f>
        <v>0</v>
      </c>
    </row>
    <row r="705" customFormat="false" ht="15" hidden="false" customHeight="false" outlineLevel="0" collapsed="false">
      <c r="A705" s="31" t="s">
        <v>4289</v>
      </c>
      <c r="B705" s="31" t="n">
        <v>36</v>
      </c>
      <c r="C705" s="32" t="n">
        <f aca="false">SETTINGS!$C$3+$B705-1</f>
        <v>46335</v>
      </c>
      <c r="D705" s="40" t="s">
        <v>3692</v>
      </c>
      <c r="E705" s="34" t="s">
        <v>4277</v>
      </c>
      <c r="F705" s="34" t="s">
        <v>280</v>
      </c>
      <c r="G705" s="34" t="s">
        <v>4290</v>
      </c>
      <c r="H705" s="35" t="s">
        <v>4291</v>
      </c>
      <c r="I705" s="36" t="s">
        <v>4292</v>
      </c>
      <c r="J705" s="34" t="s">
        <v>4293</v>
      </c>
      <c r="K705" s="34" t="s">
        <v>4294</v>
      </c>
      <c r="L705" s="37"/>
      <c r="M705" s="37"/>
      <c r="N705" s="37"/>
      <c r="O705" s="37"/>
      <c r="P705" s="37"/>
      <c r="Q705" s="37"/>
      <c r="R705" s="31" t="n">
        <f aca="false">COUNT($M705:$Q705)</f>
        <v>0</v>
      </c>
      <c r="S705" s="32" t="str">
        <f aca="false">IF($L705="","",IF($R705&gt;=5,"",MAX($L705:$Q705)+CHOOSE($R705+1,SETTINGS!$C$9,SETTINGS!$C$10,SETTINGS!$C$11,SETTINGS!$C$12,SETTINGS!$C$13)))</f>
        <v/>
      </c>
      <c r="T705" s="34" t="str">
        <f aca="true">IF($H705="","(chưa có nội dung)",IF($L705="",IF($C705&lt;TODAY(),"⚠ TRỄ HỌC",IF($C705=TODAY(),"★ HỌC HÔM NAY","• Chưa tới")),IF($R705&gt;=5,"✔ MASTER",IF($S705&lt;TODAY(),"⚠ TRỄ ÔN",IF($S705=TODAY(),"◆ ÔN HÔM NAY","✔ Đúng tiến độ")))))</f>
        <v>• Chưa tới</v>
      </c>
      <c r="U705" s="38" t="n">
        <f aca="false">IF($H705="","",$R705/5)</f>
        <v>0</v>
      </c>
    </row>
    <row r="706" customFormat="false" ht="15" hidden="false" customHeight="false" outlineLevel="0" collapsed="false">
      <c r="A706" s="31" t="s">
        <v>4295</v>
      </c>
      <c r="B706" s="31" t="n">
        <v>36</v>
      </c>
      <c r="C706" s="32" t="n">
        <f aca="false">SETTINGS!$C$3+$B706-1</f>
        <v>46335</v>
      </c>
      <c r="D706" s="40" t="s">
        <v>3692</v>
      </c>
      <c r="E706" s="34" t="s">
        <v>4277</v>
      </c>
      <c r="F706" s="34" t="s">
        <v>280</v>
      </c>
      <c r="G706" s="34" t="s">
        <v>4296</v>
      </c>
      <c r="H706" s="35" t="s">
        <v>4297</v>
      </c>
      <c r="I706" s="36" t="s">
        <v>4298</v>
      </c>
      <c r="J706" s="34" t="s">
        <v>4299</v>
      </c>
      <c r="K706" s="34" t="s">
        <v>4300</v>
      </c>
      <c r="L706" s="37"/>
      <c r="M706" s="37"/>
      <c r="N706" s="37"/>
      <c r="O706" s="37"/>
      <c r="P706" s="37"/>
      <c r="Q706" s="37"/>
      <c r="R706" s="31" t="n">
        <f aca="false">COUNT($M706:$Q706)</f>
        <v>0</v>
      </c>
      <c r="S706" s="32" t="str">
        <f aca="false">IF($L706="","",IF($R706&gt;=5,"",MAX($L706:$Q706)+CHOOSE($R706+1,SETTINGS!$C$9,SETTINGS!$C$10,SETTINGS!$C$11,SETTINGS!$C$12,SETTINGS!$C$13)))</f>
        <v/>
      </c>
      <c r="T706" s="34" t="str">
        <f aca="true">IF($H706="","(chưa có nội dung)",IF($L706="",IF($C706&lt;TODAY(),"⚠ TRỄ HỌC",IF($C706=TODAY(),"★ HỌC HÔM NAY","• Chưa tới")),IF($R706&gt;=5,"✔ MASTER",IF($S706&lt;TODAY(),"⚠ TRỄ ÔN",IF($S706=TODAY(),"◆ ÔN HÔM NAY","✔ Đúng tiến độ")))))</f>
        <v>• Chưa tới</v>
      </c>
      <c r="U706" s="38" t="n">
        <f aca="false">IF($H706="","",$R706/5)</f>
        <v>0</v>
      </c>
    </row>
    <row r="707" customFormat="false" ht="15" hidden="false" customHeight="false" outlineLevel="0" collapsed="false">
      <c r="A707" s="31" t="s">
        <v>4301</v>
      </c>
      <c r="B707" s="31" t="n">
        <v>36</v>
      </c>
      <c r="C707" s="32" t="n">
        <f aca="false">SETTINGS!$C$3+$B707-1</f>
        <v>46335</v>
      </c>
      <c r="D707" s="40" t="s">
        <v>3692</v>
      </c>
      <c r="E707" s="34" t="s">
        <v>4277</v>
      </c>
      <c r="F707" s="34" t="s">
        <v>280</v>
      </c>
      <c r="G707" s="34" t="s">
        <v>4302</v>
      </c>
      <c r="H707" s="35" t="s">
        <v>4303</v>
      </c>
      <c r="I707" s="36" t="s">
        <v>4304</v>
      </c>
      <c r="J707" s="34" t="s">
        <v>4305</v>
      </c>
      <c r="K707" s="34" t="s">
        <v>4306</v>
      </c>
      <c r="L707" s="37"/>
      <c r="M707" s="37"/>
      <c r="N707" s="37"/>
      <c r="O707" s="37"/>
      <c r="P707" s="37"/>
      <c r="Q707" s="37"/>
      <c r="R707" s="31" t="n">
        <f aca="false">COUNT($M707:$Q707)</f>
        <v>0</v>
      </c>
      <c r="S707" s="32" t="str">
        <f aca="false">IF($L707="","",IF($R707&gt;=5,"",MAX($L707:$Q707)+CHOOSE($R707+1,SETTINGS!$C$9,SETTINGS!$C$10,SETTINGS!$C$11,SETTINGS!$C$12,SETTINGS!$C$13)))</f>
        <v/>
      </c>
      <c r="T707" s="34" t="str">
        <f aca="true">IF($H707="","(chưa có nội dung)",IF($L707="",IF($C707&lt;TODAY(),"⚠ TRỄ HỌC",IF($C707=TODAY(),"★ HỌC HÔM NAY","• Chưa tới")),IF($R707&gt;=5,"✔ MASTER",IF($S707&lt;TODAY(),"⚠ TRỄ ÔN",IF($S707=TODAY(),"◆ ÔN HÔM NAY","✔ Đúng tiến độ")))))</f>
        <v>• Chưa tới</v>
      </c>
      <c r="U707" s="38" t="n">
        <f aca="false">IF($H707="","",$R707/5)</f>
        <v>0</v>
      </c>
    </row>
    <row r="708" customFormat="false" ht="15" hidden="false" customHeight="false" outlineLevel="0" collapsed="false">
      <c r="A708" s="31" t="s">
        <v>4307</v>
      </c>
      <c r="B708" s="31" t="n">
        <v>36</v>
      </c>
      <c r="C708" s="32" t="n">
        <f aca="false">SETTINGS!$C$3+$B708-1</f>
        <v>46335</v>
      </c>
      <c r="D708" s="40" t="s">
        <v>3692</v>
      </c>
      <c r="E708" s="34" t="s">
        <v>4277</v>
      </c>
      <c r="F708" s="34" t="s">
        <v>3694</v>
      </c>
      <c r="G708" s="34" t="s">
        <v>4308</v>
      </c>
      <c r="H708" s="35" t="s">
        <v>4309</v>
      </c>
      <c r="I708" s="36" t="s">
        <v>4310</v>
      </c>
      <c r="J708" s="34" t="s">
        <v>4311</v>
      </c>
      <c r="K708" s="34" t="s">
        <v>955</v>
      </c>
      <c r="L708" s="37"/>
      <c r="M708" s="37"/>
      <c r="N708" s="37"/>
      <c r="O708" s="37"/>
      <c r="P708" s="37"/>
      <c r="Q708" s="37"/>
      <c r="R708" s="31" t="n">
        <f aca="false">COUNT($M708:$Q708)</f>
        <v>0</v>
      </c>
      <c r="S708" s="32" t="str">
        <f aca="false">IF($L708="","",IF($R708&gt;=5,"",MAX($L708:$Q708)+CHOOSE($R708+1,SETTINGS!$C$9,SETTINGS!$C$10,SETTINGS!$C$11,SETTINGS!$C$12,SETTINGS!$C$13)))</f>
        <v/>
      </c>
      <c r="T708" s="34" t="str">
        <f aca="true">IF($H708="","(chưa có nội dung)",IF($L708="",IF($C708&lt;TODAY(),"⚠ TRỄ HỌC",IF($C708=TODAY(),"★ HỌC HÔM NAY","• Chưa tới")),IF($R708&gt;=5,"✔ MASTER",IF($S708&lt;TODAY(),"⚠ TRỄ ÔN",IF($S708=TODAY(),"◆ ÔN HÔM NAY","✔ Đúng tiến độ")))))</f>
        <v>• Chưa tới</v>
      </c>
      <c r="U708" s="38" t="n">
        <f aca="false">IF($H708="","",$R708/5)</f>
        <v>0</v>
      </c>
    </row>
    <row r="709" customFormat="false" ht="15" hidden="false" customHeight="false" outlineLevel="0" collapsed="false">
      <c r="A709" s="31" t="s">
        <v>4312</v>
      </c>
      <c r="B709" s="31" t="n">
        <v>36</v>
      </c>
      <c r="C709" s="32" t="n">
        <f aca="false">SETTINGS!$C$3+$B709-1</f>
        <v>46335</v>
      </c>
      <c r="D709" s="40" t="s">
        <v>3692</v>
      </c>
      <c r="E709" s="34" t="s">
        <v>4277</v>
      </c>
      <c r="F709" s="34" t="s">
        <v>472</v>
      </c>
      <c r="G709" s="34" t="s">
        <v>4313</v>
      </c>
      <c r="H709" s="35" t="s">
        <v>4314</v>
      </c>
      <c r="I709" s="36" t="s">
        <v>4315</v>
      </c>
      <c r="J709" s="34" t="s">
        <v>4316</v>
      </c>
      <c r="K709" s="34" t="s">
        <v>4317</v>
      </c>
      <c r="L709" s="37"/>
      <c r="M709" s="37"/>
      <c r="N709" s="37"/>
      <c r="O709" s="37"/>
      <c r="P709" s="37"/>
      <c r="Q709" s="37"/>
      <c r="R709" s="31" t="n">
        <f aca="false">COUNT($M709:$Q709)</f>
        <v>0</v>
      </c>
      <c r="S709" s="32" t="str">
        <f aca="false">IF($L709="","",IF($R709&gt;=5,"",MAX($L709:$Q709)+CHOOSE($R709+1,SETTINGS!$C$9,SETTINGS!$C$10,SETTINGS!$C$11,SETTINGS!$C$12,SETTINGS!$C$13)))</f>
        <v/>
      </c>
      <c r="T709" s="34" t="str">
        <f aca="true">IF($H709="","(chưa có nội dung)",IF($L709="",IF($C709&lt;TODAY(),"⚠ TRỄ HỌC",IF($C709=TODAY(),"★ HỌC HÔM NAY","• Chưa tới")),IF($R709&gt;=5,"✔ MASTER",IF($S709&lt;TODAY(),"⚠ TRỄ ÔN",IF($S709=TODAY(),"◆ ÔN HÔM NAY","✔ Đúng tiến độ")))))</f>
        <v>• Chưa tới</v>
      </c>
      <c r="U709" s="38" t="n">
        <f aca="false">IF($H709="","",$R709/5)</f>
        <v>0</v>
      </c>
    </row>
    <row r="710" customFormat="false" ht="15" hidden="false" customHeight="false" outlineLevel="0" collapsed="false">
      <c r="A710" s="31" t="s">
        <v>4318</v>
      </c>
      <c r="B710" s="31" t="n">
        <v>36</v>
      </c>
      <c r="C710" s="32" t="n">
        <f aca="false">SETTINGS!$C$3+$B710-1</f>
        <v>46335</v>
      </c>
      <c r="D710" s="40" t="s">
        <v>3692</v>
      </c>
      <c r="E710" s="34" t="s">
        <v>4277</v>
      </c>
      <c r="F710" s="34" t="s">
        <v>280</v>
      </c>
      <c r="G710" s="34" t="s">
        <v>4319</v>
      </c>
      <c r="H710" s="35" t="s">
        <v>4320</v>
      </c>
      <c r="I710" s="36" t="s">
        <v>4321</v>
      </c>
      <c r="J710" s="34" t="s">
        <v>4322</v>
      </c>
      <c r="K710" s="34" t="s">
        <v>4323</v>
      </c>
      <c r="L710" s="37"/>
      <c r="M710" s="37"/>
      <c r="N710" s="37"/>
      <c r="O710" s="37"/>
      <c r="P710" s="37"/>
      <c r="Q710" s="37"/>
      <c r="R710" s="31" t="n">
        <f aca="false">COUNT($M710:$Q710)</f>
        <v>0</v>
      </c>
      <c r="S710" s="32" t="str">
        <f aca="false">IF($L710="","",IF($R710&gt;=5,"",MAX($L710:$Q710)+CHOOSE($R710+1,SETTINGS!$C$9,SETTINGS!$C$10,SETTINGS!$C$11,SETTINGS!$C$12,SETTINGS!$C$13)))</f>
        <v/>
      </c>
      <c r="T710" s="34" t="str">
        <f aca="true">IF($H710="","(chưa có nội dung)",IF($L710="",IF($C710&lt;TODAY(),"⚠ TRỄ HỌC",IF($C710=TODAY(),"★ HỌC HÔM NAY","• Chưa tới")),IF($R710&gt;=5,"✔ MASTER",IF($S710&lt;TODAY(),"⚠ TRỄ ÔN",IF($S710=TODAY(),"◆ ÔN HÔM NAY","✔ Đúng tiến độ")))))</f>
        <v>• Chưa tới</v>
      </c>
      <c r="U710" s="38" t="n">
        <f aca="false">IF($H710="","",$R710/5)</f>
        <v>0</v>
      </c>
    </row>
    <row r="711" customFormat="false" ht="15" hidden="false" customHeight="false" outlineLevel="0" collapsed="false">
      <c r="A711" s="31" t="s">
        <v>4324</v>
      </c>
      <c r="B711" s="31" t="n">
        <v>36</v>
      </c>
      <c r="C711" s="32" t="n">
        <f aca="false">SETTINGS!$C$3+$B711-1</f>
        <v>46335</v>
      </c>
      <c r="D711" s="40" t="s">
        <v>3692</v>
      </c>
      <c r="E711" s="34" t="s">
        <v>4277</v>
      </c>
      <c r="F711" s="34" t="s">
        <v>472</v>
      </c>
      <c r="G711" s="34" t="s">
        <v>4325</v>
      </c>
      <c r="H711" s="35" t="s">
        <v>4326</v>
      </c>
      <c r="I711" s="36" t="s">
        <v>4327</v>
      </c>
      <c r="J711" s="34" t="s">
        <v>4328</v>
      </c>
      <c r="K711" s="34" t="s">
        <v>4329</v>
      </c>
      <c r="L711" s="37"/>
      <c r="M711" s="37"/>
      <c r="N711" s="37"/>
      <c r="O711" s="37"/>
      <c r="P711" s="37"/>
      <c r="Q711" s="37"/>
      <c r="R711" s="31" t="n">
        <f aca="false">COUNT($M711:$Q711)</f>
        <v>0</v>
      </c>
      <c r="S711" s="32" t="str">
        <f aca="false">IF($L711="","",IF($R711&gt;=5,"",MAX($L711:$Q711)+CHOOSE($R711+1,SETTINGS!$C$9,SETTINGS!$C$10,SETTINGS!$C$11,SETTINGS!$C$12,SETTINGS!$C$13)))</f>
        <v/>
      </c>
      <c r="T711" s="34" t="str">
        <f aca="true">IF($H711="","(chưa có nội dung)",IF($L711="",IF($C711&lt;TODAY(),"⚠ TRỄ HỌC",IF($C711=TODAY(),"★ HỌC HÔM NAY","• Chưa tới")),IF($R711&gt;=5,"✔ MASTER",IF($S711&lt;TODAY(),"⚠ TRỄ ÔN",IF($S711=TODAY(),"◆ ÔN HÔM NAY","✔ Đúng tiến độ")))))</f>
        <v>• Chưa tới</v>
      </c>
      <c r="U711" s="38" t="n">
        <f aca="false">IF($H711="","",$R711/5)</f>
        <v>0</v>
      </c>
    </row>
    <row r="712" customFormat="false" ht="15" hidden="false" customHeight="false" outlineLevel="0" collapsed="false">
      <c r="A712" s="31" t="s">
        <v>4330</v>
      </c>
      <c r="B712" s="31" t="n">
        <v>36</v>
      </c>
      <c r="C712" s="32" t="n">
        <f aca="false">SETTINGS!$C$3+$B712-1</f>
        <v>46335</v>
      </c>
      <c r="D712" s="40" t="s">
        <v>3692</v>
      </c>
      <c r="E712" s="34" t="s">
        <v>4277</v>
      </c>
      <c r="F712" s="34" t="s">
        <v>183</v>
      </c>
      <c r="G712" s="34" t="s">
        <v>4331</v>
      </c>
      <c r="H712" s="35" t="s">
        <v>4332</v>
      </c>
      <c r="I712" s="36" t="s">
        <v>4333</v>
      </c>
      <c r="J712" s="34" t="s">
        <v>4334</v>
      </c>
      <c r="K712" s="34" t="s">
        <v>4335</v>
      </c>
      <c r="L712" s="37"/>
      <c r="M712" s="37"/>
      <c r="N712" s="37"/>
      <c r="O712" s="37"/>
      <c r="P712" s="37"/>
      <c r="Q712" s="37"/>
      <c r="R712" s="31" t="n">
        <f aca="false">COUNT($M712:$Q712)</f>
        <v>0</v>
      </c>
      <c r="S712" s="32" t="str">
        <f aca="false">IF($L712="","",IF($R712&gt;=5,"",MAX($L712:$Q712)+CHOOSE($R712+1,SETTINGS!$C$9,SETTINGS!$C$10,SETTINGS!$C$11,SETTINGS!$C$12,SETTINGS!$C$13)))</f>
        <v/>
      </c>
      <c r="T712" s="34" t="str">
        <f aca="true">IF($H712="","(chưa có nội dung)",IF($L712="",IF($C712&lt;TODAY(),"⚠ TRỄ HỌC",IF($C712=TODAY(),"★ HỌC HÔM NAY","• Chưa tới")),IF($R712&gt;=5,"✔ MASTER",IF($S712&lt;TODAY(),"⚠ TRỄ ÔN",IF($S712=TODAY(),"◆ ÔN HÔM NAY","✔ Đúng tiến độ")))))</f>
        <v>• Chưa tới</v>
      </c>
      <c r="U712" s="38" t="n">
        <f aca="false">IF($H712="","",$R712/5)</f>
        <v>0</v>
      </c>
    </row>
    <row r="713" customFormat="false" ht="15" hidden="false" customHeight="false" outlineLevel="0" collapsed="false">
      <c r="A713" s="31" t="s">
        <v>4336</v>
      </c>
      <c r="B713" s="31" t="n">
        <v>36</v>
      </c>
      <c r="C713" s="32" t="n">
        <f aca="false">SETTINGS!$C$3+$B713-1</f>
        <v>46335</v>
      </c>
      <c r="D713" s="40" t="s">
        <v>3692</v>
      </c>
      <c r="E713" s="34" t="s">
        <v>4277</v>
      </c>
      <c r="F713" s="34" t="s">
        <v>280</v>
      </c>
      <c r="G713" s="34" t="s">
        <v>4337</v>
      </c>
      <c r="H713" s="35" t="s">
        <v>4338</v>
      </c>
      <c r="I713" s="36" t="s">
        <v>4339</v>
      </c>
      <c r="J713" s="34" t="s">
        <v>4340</v>
      </c>
      <c r="K713" s="34" t="s">
        <v>4337</v>
      </c>
      <c r="L713" s="37"/>
      <c r="M713" s="37"/>
      <c r="N713" s="37"/>
      <c r="O713" s="37"/>
      <c r="P713" s="37"/>
      <c r="Q713" s="37"/>
      <c r="R713" s="31" t="n">
        <f aca="false">COUNT($M713:$Q713)</f>
        <v>0</v>
      </c>
      <c r="S713" s="32" t="str">
        <f aca="false">IF($L713="","",IF($R713&gt;=5,"",MAX($L713:$Q713)+CHOOSE($R713+1,SETTINGS!$C$9,SETTINGS!$C$10,SETTINGS!$C$11,SETTINGS!$C$12,SETTINGS!$C$13)))</f>
        <v/>
      </c>
      <c r="T713" s="34" t="str">
        <f aca="true">IF($H713="","(chưa có nội dung)",IF($L713="",IF($C713&lt;TODAY(),"⚠ TRỄ HỌC",IF($C713=TODAY(),"★ HỌC HÔM NAY","• Chưa tới")),IF($R713&gt;=5,"✔ MASTER",IF($S713&lt;TODAY(),"⚠ TRỄ ÔN",IF($S713=TODAY(),"◆ ÔN HÔM NAY","✔ Đúng tiến độ")))))</f>
        <v>• Chưa tới</v>
      </c>
      <c r="U713" s="38" t="n">
        <f aca="false">IF($H713="","",$R713/5)</f>
        <v>0</v>
      </c>
    </row>
    <row r="714" customFormat="false" ht="15" hidden="false" customHeight="false" outlineLevel="0" collapsed="false">
      <c r="A714" s="31" t="s">
        <v>4341</v>
      </c>
      <c r="B714" s="31" t="n">
        <v>36</v>
      </c>
      <c r="C714" s="32" t="n">
        <f aca="false">SETTINGS!$C$3+$B714-1</f>
        <v>46335</v>
      </c>
      <c r="D714" s="40" t="s">
        <v>3692</v>
      </c>
      <c r="E714" s="34" t="s">
        <v>4277</v>
      </c>
      <c r="F714" s="34" t="s">
        <v>472</v>
      </c>
      <c r="G714" s="34" t="s">
        <v>4342</v>
      </c>
      <c r="H714" s="35" t="s">
        <v>4343</v>
      </c>
      <c r="I714" s="36" t="s">
        <v>4344</v>
      </c>
      <c r="J714" s="34" t="s">
        <v>4345</v>
      </c>
      <c r="K714" s="34" t="s">
        <v>2183</v>
      </c>
      <c r="L714" s="37"/>
      <c r="M714" s="37"/>
      <c r="N714" s="37"/>
      <c r="O714" s="37"/>
      <c r="P714" s="37"/>
      <c r="Q714" s="37"/>
      <c r="R714" s="31" t="n">
        <f aca="false">COUNT($M714:$Q714)</f>
        <v>0</v>
      </c>
      <c r="S714" s="32" t="str">
        <f aca="false">IF($L714="","",IF($R714&gt;=5,"",MAX($L714:$Q714)+CHOOSE($R714+1,SETTINGS!$C$9,SETTINGS!$C$10,SETTINGS!$C$11,SETTINGS!$C$12,SETTINGS!$C$13)))</f>
        <v/>
      </c>
      <c r="T714" s="34" t="str">
        <f aca="true">IF($H714="","(chưa có nội dung)",IF($L714="",IF($C714&lt;TODAY(),"⚠ TRỄ HỌC",IF($C714=TODAY(),"★ HỌC HÔM NAY","• Chưa tới")),IF($R714&gt;=5,"✔ MASTER",IF($S714&lt;TODAY(),"⚠ TRỄ ÔN",IF($S714=TODAY(),"◆ ÔN HÔM NAY","✔ Đúng tiến độ")))))</f>
        <v>• Chưa tới</v>
      </c>
      <c r="U714" s="38" t="n">
        <f aca="false">IF($H714="","",$R714/5)</f>
        <v>0</v>
      </c>
    </row>
    <row r="715" customFormat="false" ht="23.85" hidden="false" customHeight="false" outlineLevel="0" collapsed="false">
      <c r="A715" s="31" t="s">
        <v>4346</v>
      </c>
      <c r="B715" s="31" t="n">
        <v>36</v>
      </c>
      <c r="C715" s="32" t="n">
        <f aca="false">SETTINGS!$C$3+$B715-1</f>
        <v>46335</v>
      </c>
      <c r="D715" s="40" t="s">
        <v>3692</v>
      </c>
      <c r="E715" s="34" t="s">
        <v>4277</v>
      </c>
      <c r="F715" s="34" t="s">
        <v>3656</v>
      </c>
      <c r="G715" s="34" t="s">
        <v>4347</v>
      </c>
      <c r="H715" s="35" t="s">
        <v>4348</v>
      </c>
      <c r="I715" s="36" t="s">
        <v>4349</v>
      </c>
      <c r="J715" s="34" t="s">
        <v>4350</v>
      </c>
      <c r="K715" s="34" t="s">
        <v>4351</v>
      </c>
      <c r="L715" s="37"/>
      <c r="M715" s="37"/>
      <c r="N715" s="37"/>
      <c r="O715" s="37"/>
      <c r="P715" s="37"/>
      <c r="Q715" s="37"/>
      <c r="R715" s="31" t="n">
        <f aca="false">COUNT($M715:$Q715)</f>
        <v>0</v>
      </c>
      <c r="S715" s="32" t="str">
        <f aca="false">IF($L715="","",IF($R715&gt;=5,"",MAX($L715:$Q715)+CHOOSE($R715+1,SETTINGS!$C$9,SETTINGS!$C$10,SETTINGS!$C$11,SETTINGS!$C$12,SETTINGS!$C$13)))</f>
        <v/>
      </c>
      <c r="T715" s="34" t="str">
        <f aca="true">IF($H715="","(chưa có nội dung)",IF($L715="",IF($C715&lt;TODAY(),"⚠ TRỄ HỌC",IF($C715=TODAY(),"★ HỌC HÔM NAY","• Chưa tới")),IF($R715&gt;=5,"✔ MASTER",IF($S715&lt;TODAY(),"⚠ TRỄ ÔN",IF($S715=TODAY(),"◆ ÔN HÔM NAY","✔ Đúng tiến độ")))))</f>
        <v>• Chưa tới</v>
      </c>
      <c r="U715" s="38" t="n">
        <f aca="false">IF($H715="","",$R715/5)</f>
        <v>0</v>
      </c>
    </row>
    <row r="716" customFormat="false" ht="15" hidden="false" customHeight="false" outlineLevel="0" collapsed="false">
      <c r="A716" s="31" t="s">
        <v>4352</v>
      </c>
      <c r="B716" s="31" t="n">
        <v>36</v>
      </c>
      <c r="C716" s="32" t="n">
        <f aca="false">SETTINGS!$C$3+$B716-1</f>
        <v>46335</v>
      </c>
      <c r="D716" s="40" t="s">
        <v>3692</v>
      </c>
      <c r="E716" s="34" t="s">
        <v>4277</v>
      </c>
      <c r="F716" s="34" t="s">
        <v>280</v>
      </c>
      <c r="G716" s="34" t="s">
        <v>4353</v>
      </c>
      <c r="H716" s="35" t="s">
        <v>4354</v>
      </c>
      <c r="I716" s="36" t="s">
        <v>4355</v>
      </c>
      <c r="J716" s="34" t="s">
        <v>4356</v>
      </c>
      <c r="K716" s="34" t="s">
        <v>4357</v>
      </c>
      <c r="L716" s="37"/>
      <c r="M716" s="37"/>
      <c r="N716" s="37"/>
      <c r="O716" s="37"/>
      <c r="P716" s="37"/>
      <c r="Q716" s="37"/>
      <c r="R716" s="31" t="n">
        <f aca="false">COUNT($M716:$Q716)</f>
        <v>0</v>
      </c>
      <c r="S716" s="32" t="str">
        <f aca="false">IF($L716="","",IF($R716&gt;=5,"",MAX($L716:$Q716)+CHOOSE($R716+1,SETTINGS!$C$9,SETTINGS!$C$10,SETTINGS!$C$11,SETTINGS!$C$12,SETTINGS!$C$13)))</f>
        <v/>
      </c>
      <c r="T716" s="34" t="str">
        <f aca="true">IF($H716="","(chưa có nội dung)",IF($L716="",IF($C716&lt;TODAY(),"⚠ TRỄ HỌC",IF($C716=TODAY(),"★ HỌC HÔM NAY","• Chưa tới")),IF($R716&gt;=5,"✔ MASTER",IF($S716&lt;TODAY(),"⚠ TRỄ ÔN",IF($S716=TODAY(),"◆ ÔN HÔM NAY","✔ Đúng tiến độ")))))</f>
        <v>• Chưa tới</v>
      </c>
      <c r="U716" s="38" t="n">
        <f aca="false">IF($H716="","",$R716/5)</f>
        <v>0</v>
      </c>
    </row>
    <row r="717" customFormat="false" ht="15" hidden="false" customHeight="false" outlineLevel="0" collapsed="false">
      <c r="A717" s="31" t="s">
        <v>4358</v>
      </c>
      <c r="B717" s="31" t="n">
        <v>36</v>
      </c>
      <c r="C717" s="32" t="n">
        <f aca="false">SETTINGS!$C$3+$B717-1</f>
        <v>46335</v>
      </c>
      <c r="D717" s="40" t="s">
        <v>3692</v>
      </c>
      <c r="E717" s="34" t="s">
        <v>4277</v>
      </c>
      <c r="F717" s="34" t="s">
        <v>280</v>
      </c>
      <c r="G717" s="34" t="s">
        <v>4359</v>
      </c>
      <c r="H717" s="35" t="s">
        <v>4360</v>
      </c>
      <c r="I717" s="36" t="s">
        <v>4361</v>
      </c>
      <c r="J717" s="34" t="s">
        <v>4362</v>
      </c>
      <c r="K717" s="34" t="s">
        <v>4363</v>
      </c>
      <c r="L717" s="37"/>
      <c r="M717" s="37"/>
      <c r="N717" s="37"/>
      <c r="O717" s="37"/>
      <c r="P717" s="37"/>
      <c r="Q717" s="37"/>
      <c r="R717" s="31" t="n">
        <f aca="false">COUNT($M717:$Q717)</f>
        <v>0</v>
      </c>
      <c r="S717" s="32" t="str">
        <f aca="false">IF($L717="","",IF($R717&gt;=5,"",MAX($L717:$Q717)+CHOOSE($R717+1,SETTINGS!$C$9,SETTINGS!$C$10,SETTINGS!$C$11,SETTINGS!$C$12,SETTINGS!$C$13)))</f>
        <v/>
      </c>
      <c r="T717" s="34" t="str">
        <f aca="true">IF($H717="","(chưa có nội dung)",IF($L717="",IF($C717&lt;TODAY(),"⚠ TRỄ HỌC",IF($C717=TODAY(),"★ HỌC HÔM NAY","• Chưa tới")),IF($R717&gt;=5,"✔ MASTER",IF($S717&lt;TODAY(),"⚠ TRỄ ÔN",IF($S717=TODAY(),"◆ ÔN HÔM NAY","✔ Đúng tiến độ")))))</f>
        <v>• Chưa tới</v>
      </c>
      <c r="U717" s="38" t="n">
        <f aca="false">IF($H717="","",$R717/5)</f>
        <v>0</v>
      </c>
    </row>
    <row r="718" customFormat="false" ht="15" hidden="false" customHeight="false" outlineLevel="0" collapsed="false">
      <c r="A718" s="31" t="s">
        <v>4364</v>
      </c>
      <c r="B718" s="31" t="n">
        <v>36</v>
      </c>
      <c r="C718" s="32" t="n">
        <f aca="false">SETTINGS!$C$3+$B718-1</f>
        <v>46335</v>
      </c>
      <c r="D718" s="40" t="s">
        <v>3692</v>
      </c>
      <c r="E718" s="34" t="s">
        <v>4277</v>
      </c>
      <c r="F718" s="34" t="s">
        <v>3694</v>
      </c>
      <c r="G718" s="34" t="s">
        <v>4365</v>
      </c>
      <c r="H718" s="35" t="s">
        <v>4366</v>
      </c>
      <c r="I718" s="36" t="s">
        <v>4367</v>
      </c>
      <c r="J718" s="34" t="s">
        <v>4368</v>
      </c>
      <c r="K718" s="34" t="s">
        <v>4369</v>
      </c>
      <c r="L718" s="37"/>
      <c r="M718" s="37"/>
      <c r="N718" s="37"/>
      <c r="O718" s="37"/>
      <c r="P718" s="37"/>
      <c r="Q718" s="37"/>
      <c r="R718" s="31" t="n">
        <f aca="false">COUNT($M718:$Q718)</f>
        <v>0</v>
      </c>
      <c r="S718" s="32" t="str">
        <f aca="false">IF($L718="","",IF($R718&gt;=5,"",MAX($L718:$Q718)+CHOOSE($R718+1,SETTINGS!$C$9,SETTINGS!$C$10,SETTINGS!$C$11,SETTINGS!$C$12,SETTINGS!$C$13)))</f>
        <v/>
      </c>
      <c r="T718" s="34" t="str">
        <f aca="true">IF($H718="","(chưa có nội dung)",IF($L718="",IF($C718&lt;TODAY(),"⚠ TRỄ HỌC",IF($C718=TODAY(),"★ HỌC HÔM NAY","• Chưa tới")),IF($R718&gt;=5,"✔ MASTER",IF($S718&lt;TODAY(),"⚠ TRỄ ÔN",IF($S718=TODAY(),"◆ ÔN HÔM NAY","✔ Đúng tiến độ")))))</f>
        <v>• Chưa tới</v>
      </c>
      <c r="U718" s="38" t="n">
        <f aca="false">IF($H718="","",$R718/5)</f>
        <v>0</v>
      </c>
    </row>
    <row r="719" customFormat="false" ht="15" hidden="false" customHeight="false" outlineLevel="0" collapsed="false">
      <c r="A719" s="31" t="s">
        <v>4370</v>
      </c>
      <c r="B719" s="31" t="n">
        <v>36</v>
      </c>
      <c r="C719" s="32" t="n">
        <f aca="false">SETTINGS!$C$3+$B719-1</f>
        <v>46335</v>
      </c>
      <c r="D719" s="40" t="s">
        <v>3692</v>
      </c>
      <c r="E719" s="34" t="s">
        <v>4277</v>
      </c>
      <c r="F719" s="34" t="s">
        <v>280</v>
      </c>
      <c r="G719" s="34" t="s">
        <v>4371</v>
      </c>
      <c r="H719" s="35" t="s">
        <v>4372</v>
      </c>
      <c r="I719" s="36" t="s">
        <v>4373</v>
      </c>
      <c r="J719" s="34" t="s">
        <v>4374</v>
      </c>
      <c r="K719" s="34" t="s">
        <v>4375</v>
      </c>
      <c r="L719" s="37"/>
      <c r="M719" s="37"/>
      <c r="N719" s="37"/>
      <c r="O719" s="37"/>
      <c r="P719" s="37"/>
      <c r="Q719" s="37"/>
      <c r="R719" s="31" t="n">
        <f aca="false">COUNT($M719:$Q719)</f>
        <v>0</v>
      </c>
      <c r="S719" s="32" t="str">
        <f aca="false">IF($L719="","",IF($R719&gt;=5,"",MAX($L719:$Q719)+CHOOSE($R719+1,SETTINGS!$C$9,SETTINGS!$C$10,SETTINGS!$C$11,SETTINGS!$C$12,SETTINGS!$C$13)))</f>
        <v/>
      </c>
      <c r="T719" s="34" t="str">
        <f aca="true">IF($H719="","(chưa có nội dung)",IF($L719="",IF($C719&lt;TODAY(),"⚠ TRỄ HỌC",IF($C719=TODAY(),"★ HỌC HÔM NAY","• Chưa tới")),IF($R719&gt;=5,"✔ MASTER",IF($S719&lt;TODAY(),"⚠ TRỄ ÔN",IF($S719=TODAY(),"◆ ÔN HÔM NAY","✔ Đúng tiến độ")))))</f>
        <v>• Chưa tới</v>
      </c>
      <c r="U719" s="38" t="n">
        <f aca="false">IF($H719="","",$R719/5)</f>
        <v>0</v>
      </c>
    </row>
    <row r="720" customFormat="false" ht="15" hidden="false" customHeight="false" outlineLevel="0" collapsed="false">
      <c r="A720" s="31" t="s">
        <v>4376</v>
      </c>
      <c r="B720" s="31" t="n">
        <v>36</v>
      </c>
      <c r="C720" s="32" t="n">
        <f aca="false">SETTINGS!$C$3+$B720-1</f>
        <v>46335</v>
      </c>
      <c r="D720" s="40" t="s">
        <v>3692</v>
      </c>
      <c r="E720" s="34" t="s">
        <v>4277</v>
      </c>
      <c r="F720" s="34" t="s">
        <v>3694</v>
      </c>
      <c r="G720" s="34" t="s">
        <v>4377</v>
      </c>
      <c r="H720" s="35" t="s">
        <v>4378</v>
      </c>
      <c r="I720" s="36" t="s">
        <v>4379</v>
      </c>
      <c r="J720" s="34" t="s">
        <v>4380</v>
      </c>
      <c r="K720" s="34" t="s">
        <v>4381</v>
      </c>
      <c r="L720" s="37"/>
      <c r="M720" s="37"/>
      <c r="N720" s="37"/>
      <c r="O720" s="37"/>
      <c r="P720" s="37"/>
      <c r="Q720" s="37"/>
      <c r="R720" s="31" t="n">
        <f aca="false">COUNT($M720:$Q720)</f>
        <v>0</v>
      </c>
      <c r="S720" s="32" t="str">
        <f aca="false">IF($L720="","",IF($R720&gt;=5,"",MAX($L720:$Q720)+CHOOSE($R720+1,SETTINGS!$C$9,SETTINGS!$C$10,SETTINGS!$C$11,SETTINGS!$C$12,SETTINGS!$C$13)))</f>
        <v/>
      </c>
      <c r="T720" s="34" t="str">
        <f aca="true">IF($H720="","(chưa có nội dung)",IF($L720="",IF($C720&lt;TODAY(),"⚠ TRỄ HỌC",IF($C720=TODAY(),"★ HỌC HÔM NAY","• Chưa tới")),IF($R720&gt;=5,"✔ MASTER",IF($S720&lt;TODAY(),"⚠ TRỄ ÔN",IF($S720=TODAY(),"◆ ÔN HÔM NAY","✔ Đúng tiến độ")))))</f>
        <v>• Chưa tới</v>
      </c>
      <c r="U720" s="38" t="n">
        <f aca="false">IF($H720="","",$R720/5)</f>
        <v>0</v>
      </c>
    </row>
    <row r="721" customFormat="false" ht="26.85" hidden="false" customHeight="false" outlineLevel="0" collapsed="false">
      <c r="A721" s="31" t="s">
        <v>4382</v>
      </c>
      <c r="B721" s="31" t="n">
        <v>36</v>
      </c>
      <c r="C721" s="32" t="n">
        <f aca="false">SETTINGS!$C$3+$B721-1</f>
        <v>46335</v>
      </c>
      <c r="D721" s="40" t="s">
        <v>3692</v>
      </c>
      <c r="E721" s="34" t="s">
        <v>4277</v>
      </c>
      <c r="F721" s="34" t="s">
        <v>472</v>
      </c>
      <c r="G721" s="34" t="s">
        <v>4383</v>
      </c>
      <c r="H721" s="35" t="s">
        <v>4384</v>
      </c>
      <c r="I721" s="36" t="s">
        <v>4385</v>
      </c>
      <c r="J721" s="34" t="s">
        <v>4386</v>
      </c>
      <c r="K721" s="34" t="s">
        <v>4387</v>
      </c>
      <c r="L721" s="37"/>
      <c r="M721" s="37"/>
      <c r="N721" s="37"/>
      <c r="O721" s="37"/>
      <c r="P721" s="37"/>
      <c r="Q721" s="37"/>
      <c r="R721" s="31" t="n">
        <f aca="false">COUNT($M721:$Q721)</f>
        <v>0</v>
      </c>
      <c r="S721" s="32" t="str">
        <f aca="false">IF($L721="","",IF($R721&gt;=5,"",MAX($L721:$Q721)+CHOOSE($R721+1,SETTINGS!$C$9,SETTINGS!$C$10,SETTINGS!$C$11,SETTINGS!$C$12,SETTINGS!$C$13)))</f>
        <v/>
      </c>
      <c r="T721" s="34" t="str">
        <f aca="true">IF($H721="","(chưa có nội dung)",IF($L721="",IF($C721&lt;TODAY(),"⚠ TRỄ HỌC",IF($C721=TODAY(),"★ HỌC HÔM NAY","• Chưa tới")),IF($R721&gt;=5,"✔ MASTER",IF($S721&lt;TODAY(),"⚠ TRỄ ÔN",IF($S721=TODAY(),"◆ ÔN HÔM NAY","✔ Đúng tiến độ")))))</f>
        <v>• Chưa tới</v>
      </c>
      <c r="U721" s="38" t="n">
        <f aca="false">IF($H721="","",$R721/5)</f>
        <v>0</v>
      </c>
    </row>
    <row r="722" customFormat="false" ht="15" hidden="false" customHeight="false" outlineLevel="0" collapsed="false">
      <c r="A722" s="31" t="s">
        <v>4388</v>
      </c>
      <c r="B722" s="31" t="n">
        <v>36</v>
      </c>
      <c r="C722" s="32" t="n">
        <f aca="false">SETTINGS!$C$3+$B722-1</f>
        <v>46335</v>
      </c>
      <c r="D722" s="40" t="s">
        <v>3692</v>
      </c>
      <c r="E722" s="34" t="s">
        <v>4277</v>
      </c>
      <c r="F722" s="34" t="s">
        <v>280</v>
      </c>
      <c r="G722" s="34" t="s">
        <v>4389</v>
      </c>
      <c r="H722" s="35" t="s">
        <v>4390</v>
      </c>
      <c r="I722" s="36" t="s">
        <v>4391</v>
      </c>
      <c r="J722" s="34" t="s">
        <v>4392</v>
      </c>
      <c r="K722" s="34" t="s">
        <v>4393</v>
      </c>
      <c r="L722" s="37"/>
      <c r="M722" s="37"/>
      <c r="N722" s="37"/>
      <c r="O722" s="37"/>
      <c r="P722" s="37"/>
      <c r="Q722" s="37"/>
      <c r="R722" s="31" t="n">
        <f aca="false">COUNT($M722:$Q722)</f>
        <v>0</v>
      </c>
      <c r="S722" s="32" t="str">
        <f aca="false">IF($L722="","",IF($R722&gt;=5,"",MAX($L722:$Q722)+CHOOSE($R722+1,SETTINGS!$C$9,SETTINGS!$C$10,SETTINGS!$C$11,SETTINGS!$C$12,SETTINGS!$C$13)))</f>
        <v/>
      </c>
      <c r="T722" s="34" t="str">
        <f aca="true">IF($H722="","(chưa có nội dung)",IF($L722="",IF($C722&lt;TODAY(),"⚠ TRỄ HỌC",IF($C722=TODAY(),"★ HỌC HÔM NAY","• Chưa tới")),IF($R722&gt;=5,"✔ MASTER",IF($S722&lt;TODAY(),"⚠ TRỄ ÔN",IF($S722=TODAY(),"◆ ÔN HÔM NAY","✔ Đúng tiến độ")))))</f>
        <v>• Chưa tới</v>
      </c>
      <c r="U722" s="38" t="n">
        <f aca="false">IF($H722="","",$R722/5)</f>
        <v>0</v>
      </c>
    </row>
    <row r="723" customFormat="false" ht="23.85" hidden="false" customHeight="false" outlineLevel="0" collapsed="false">
      <c r="A723" s="31" t="s">
        <v>4394</v>
      </c>
      <c r="B723" s="31" t="n">
        <v>37</v>
      </c>
      <c r="C723" s="32" t="n">
        <f aca="false">SETTINGS!$C$3+$B723-1</f>
        <v>46336</v>
      </c>
      <c r="D723" s="40" t="s">
        <v>3692</v>
      </c>
      <c r="E723" s="34" t="s">
        <v>4395</v>
      </c>
      <c r="F723" s="34" t="s">
        <v>472</v>
      </c>
      <c r="G723" s="34" t="s">
        <v>4396</v>
      </c>
      <c r="H723" s="35" t="s">
        <v>4397</v>
      </c>
      <c r="I723" s="36" t="s">
        <v>4398</v>
      </c>
      <c r="J723" s="34" t="s">
        <v>4399</v>
      </c>
      <c r="K723" s="34" t="s">
        <v>4400</v>
      </c>
      <c r="L723" s="37"/>
      <c r="M723" s="37"/>
      <c r="N723" s="37"/>
      <c r="O723" s="37"/>
      <c r="P723" s="37"/>
      <c r="Q723" s="37"/>
      <c r="R723" s="31" t="n">
        <f aca="false">COUNT($M723:$Q723)</f>
        <v>0</v>
      </c>
      <c r="S723" s="32" t="str">
        <f aca="false">IF($L723="","",IF($R723&gt;=5,"",MAX($L723:$Q723)+CHOOSE($R723+1,SETTINGS!$C$9,SETTINGS!$C$10,SETTINGS!$C$11,SETTINGS!$C$12,SETTINGS!$C$13)))</f>
        <v/>
      </c>
      <c r="T723" s="34" t="str">
        <f aca="true">IF($H723="","(chưa có nội dung)",IF($L723="",IF($C723&lt;TODAY(),"⚠ TRỄ HỌC",IF($C723=TODAY(),"★ HỌC HÔM NAY","• Chưa tới")),IF($R723&gt;=5,"✔ MASTER",IF($S723&lt;TODAY(),"⚠ TRỄ ÔN",IF($S723=TODAY(),"◆ ÔN HÔM NAY","✔ Đúng tiến độ")))))</f>
        <v>• Chưa tới</v>
      </c>
      <c r="U723" s="38" t="n">
        <f aca="false">IF($H723="","",$R723/5)</f>
        <v>0</v>
      </c>
    </row>
    <row r="724" customFormat="false" ht="26.85" hidden="false" customHeight="false" outlineLevel="0" collapsed="false">
      <c r="A724" s="31" t="s">
        <v>4401</v>
      </c>
      <c r="B724" s="31" t="n">
        <v>37</v>
      </c>
      <c r="C724" s="32" t="n">
        <f aca="false">SETTINGS!$C$3+$B724-1</f>
        <v>46336</v>
      </c>
      <c r="D724" s="40" t="s">
        <v>3692</v>
      </c>
      <c r="E724" s="34" t="s">
        <v>4395</v>
      </c>
      <c r="F724" s="34" t="s">
        <v>3694</v>
      </c>
      <c r="G724" s="34" t="s">
        <v>4402</v>
      </c>
      <c r="H724" s="35" t="s">
        <v>4403</v>
      </c>
      <c r="I724" s="36" t="s">
        <v>4404</v>
      </c>
      <c r="J724" s="34" t="s">
        <v>4405</v>
      </c>
      <c r="K724" s="34" t="s">
        <v>4406</v>
      </c>
      <c r="L724" s="37"/>
      <c r="M724" s="37"/>
      <c r="N724" s="37"/>
      <c r="O724" s="37"/>
      <c r="P724" s="37"/>
      <c r="Q724" s="37"/>
      <c r="R724" s="31" t="n">
        <f aca="false">COUNT($M724:$Q724)</f>
        <v>0</v>
      </c>
      <c r="S724" s="32" t="str">
        <f aca="false">IF($L724="","",IF($R724&gt;=5,"",MAX($L724:$Q724)+CHOOSE($R724+1,SETTINGS!$C$9,SETTINGS!$C$10,SETTINGS!$C$11,SETTINGS!$C$12,SETTINGS!$C$13)))</f>
        <v/>
      </c>
      <c r="T724" s="34" t="str">
        <f aca="true">IF($H724="","(chưa có nội dung)",IF($L724="",IF($C724&lt;TODAY(),"⚠ TRỄ HỌC",IF($C724=TODAY(),"★ HỌC HÔM NAY","• Chưa tới")),IF($R724&gt;=5,"✔ MASTER",IF($S724&lt;TODAY(),"⚠ TRỄ ÔN",IF($S724=TODAY(),"◆ ÔN HÔM NAY","✔ Đúng tiến độ")))))</f>
        <v>• Chưa tới</v>
      </c>
      <c r="U724" s="38" t="n">
        <f aca="false">IF($H724="","",$R724/5)</f>
        <v>0</v>
      </c>
    </row>
    <row r="725" customFormat="false" ht="26.85" hidden="false" customHeight="false" outlineLevel="0" collapsed="false">
      <c r="A725" s="31" t="s">
        <v>4407</v>
      </c>
      <c r="B725" s="31" t="n">
        <v>37</v>
      </c>
      <c r="C725" s="32" t="n">
        <f aca="false">SETTINGS!$C$3+$B725-1</f>
        <v>46336</v>
      </c>
      <c r="D725" s="40" t="s">
        <v>3692</v>
      </c>
      <c r="E725" s="34" t="s">
        <v>4395</v>
      </c>
      <c r="F725" s="34" t="s">
        <v>3694</v>
      </c>
      <c r="G725" s="34" t="s">
        <v>4408</v>
      </c>
      <c r="H725" s="35" t="s">
        <v>4409</v>
      </c>
      <c r="I725" s="36" t="s">
        <v>4410</v>
      </c>
      <c r="J725" s="34" t="s">
        <v>4411</v>
      </c>
      <c r="K725" s="34" t="s">
        <v>4412</v>
      </c>
      <c r="L725" s="37"/>
      <c r="M725" s="37"/>
      <c r="N725" s="37"/>
      <c r="O725" s="37"/>
      <c r="P725" s="37"/>
      <c r="Q725" s="37"/>
      <c r="R725" s="31" t="n">
        <f aca="false">COUNT($M725:$Q725)</f>
        <v>0</v>
      </c>
      <c r="S725" s="32" t="str">
        <f aca="false">IF($L725="","",IF($R725&gt;=5,"",MAX($L725:$Q725)+CHOOSE($R725+1,SETTINGS!$C$9,SETTINGS!$C$10,SETTINGS!$C$11,SETTINGS!$C$12,SETTINGS!$C$13)))</f>
        <v/>
      </c>
      <c r="T725" s="34" t="str">
        <f aca="true">IF($H725="","(chưa có nội dung)",IF($L725="",IF($C725&lt;TODAY(),"⚠ TRỄ HỌC",IF($C725=TODAY(),"★ HỌC HÔM NAY","• Chưa tới")),IF($R725&gt;=5,"✔ MASTER",IF($S725&lt;TODAY(),"⚠ TRỄ ÔN",IF($S725=TODAY(),"◆ ÔN HÔM NAY","✔ Đúng tiến độ")))))</f>
        <v>• Chưa tới</v>
      </c>
      <c r="U725" s="38" t="n">
        <f aca="false">IF($H725="","",$R725/5)</f>
        <v>0</v>
      </c>
    </row>
    <row r="726" customFormat="false" ht="26.85" hidden="false" customHeight="false" outlineLevel="0" collapsed="false">
      <c r="A726" s="31" t="s">
        <v>4413</v>
      </c>
      <c r="B726" s="31" t="n">
        <v>37</v>
      </c>
      <c r="C726" s="32" t="n">
        <f aca="false">SETTINGS!$C$3+$B726-1</f>
        <v>46336</v>
      </c>
      <c r="D726" s="40" t="s">
        <v>3692</v>
      </c>
      <c r="E726" s="34" t="s">
        <v>4395</v>
      </c>
      <c r="F726" s="34" t="s">
        <v>472</v>
      </c>
      <c r="G726" s="34" t="s">
        <v>4414</v>
      </c>
      <c r="H726" s="35" t="s">
        <v>4415</v>
      </c>
      <c r="I726" s="36" t="s">
        <v>4416</v>
      </c>
      <c r="J726" s="34" t="s">
        <v>4417</v>
      </c>
      <c r="K726" s="34" t="s">
        <v>4418</v>
      </c>
      <c r="L726" s="37"/>
      <c r="M726" s="37"/>
      <c r="N726" s="37"/>
      <c r="O726" s="37"/>
      <c r="P726" s="37"/>
      <c r="Q726" s="37"/>
      <c r="R726" s="31" t="n">
        <f aca="false">COUNT($M726:$Q726)</f>
        <v>0</v>
      </c>
      <c r="S726" s="32" t="str">
        <f aca="false">IF($L726="","",IF($R726&gt;=5,"",MAX($L726:$Q726)+CHOOSE($R726+1,SETTINGS!$C$9,SETTINGS!$C$10,SETTINGS!$C$11,SETTINGS!$C$12,SETTINGS!$C$13)))</f>
        <v/>
      </c>
      <c r="T726" s="34" t="str">
        <f aca="true">IF($H726="","(chưa có nội dung)",IF($L726="",IF($C726&lt;TODAY(),"⚠ TRỄ HỌC",IF($C726=TODAY(),"★ HỌC HÔM NAY","• Chưa tới")),IF($R726&gt;=5,"✔ MASTER",IF($S726&lt;TODAY(),"⚠ TRỄ ÔN",IF($S726=TODAY(),"◆ ÔN HÔM NAY","✔ Đúng tiến độ")))))</f>
        <v>• Chưa tới</v>
      </c>
      <c r="U726" s="38" t="n">
        <f aca="false">IF($H726="","",$R726/5)</f>
        <v>0</v>
      </c>
    </row>
    <row r="727" customFormat="false" ht="26.85" hidden="false" customHeight="false" outlineLevel="0" collapsed="false">
      <c r="A727" s="31" t="s">
        <v>4419</v>
      </c>
      <c r="B727" s="31" t="n">
        <v>37</v>
      </c>
      <c r="C727" s="32" t="n">
        <f aca="false">SETTINGS!$C$3+$B727-1</f>
        <v>46336</v>
      </c>
      <c r="D727" s="40" t="s">
        <v>3692</v>
      </c>
      <c r="E727" s="34" t="s">
        <v>4395</v>
      </c>
      <c r="F727" s="34" t="s">
        <v>3694</v>
      </c>
      <c r="G727" s="34" t="s">
        <v>4420</v>
      </c>
      <c r="H727" s="35" t="s">
        <v>4421</v>
      </c>
      <c r="I727" s="36" t="s">
        <v>4422</v>
      </c>
      <c r="J727" s="34" t="s">
        <v>4423</v>
      </c>
      <c r="K727" s="34" t="s">
        <v>4424</v>
      </c>
      <c r="L727" s="37"/>
      <c r="M727" s="37"/>
      <c r="N727" s="37"/>
      <c r="O727" s="37"/>
      <c r="P727" s="37"/>
      <c r="Q727" s="37"/>
      <c r="R727" s="31" t="n">
        <f aca="false">COUNT($M727:$Q727)</f>
        <v>0</v>
      </c>
      <c r="S727" s="32" t="str">
        <f aca="false">IF($L727="","",IF($R727&gt;=5,"",MAX($L727:$Q727)+CHOOSE($R727+1,SETTINGS!$C$9,SETTINGS!$C$10,SETTINGS!$C$11,SETTINGS!$C$12,SETTINGS!$C$13)))</f>
        <v/>
      </c>
      <c r="T727" s="34" t="str">
        <f aca="true">IF($H727="","(chưa có nội dung)",IF($L727="",IF($C727&lt;TODAY(),"⚠ TRỄ HỌC",IF($C727=TODAY(),"★ HỌC HÔM NAY","• Chưa tới")),IF($R727&gt;=5,"✔ MASTER",IF($S727&lt;TODAY(),"⚠ TRỄ ÔN",IF($S727=TODAY(),"◆ ÔN HÔM NAY","✔ Đúng tiến độ")))))</f>
        <v>• Chưa tới</v>
      </c>
      <c r="U727" s="38" t="n">
        <f aca="false">IF($H727="","",$R727/5)</f>
        <v>0</v>
      </c>
    </row>
    <row r="728" customFormat="false" ht="26.85" hidden="false" customHeight="false" outlineLevel="0" collapsed="false">
      <c r="A728" s="31" t="s">
        <v>4425</v>
      </c>
      <c r="B728" s="31" t="n">
        <v>37</v>
      </c>
      <c r="C728" s="32" t="n">
        <f aca="false">SETTINGS!$C$3+$B728-1</f>
        <v>46336</v>
      </c>
      <c r="D728" s="40" t="s">
        <v>3692</v>
      </c>
      <c r="E728" s="34" t="s">
        <v>4395</v>
      </c>
      <c r="F728" s="34" t="s">
        <v>3694</v>
      </c>
      <c r="G728" s="34" t="s">
        <v>4426</v>
      </c>
      <c r="H728" s="35" t="s">
        <v>4427</v>
      </c>
      <c r="I728" s="36" t="s">
        <v>4428</v>
      </c>
      <c r="J728" s="34" t="s">
        <v>4429</v>
      </c>
      <c r="K728" s="34" t="s">
        <v>4430</v>
      </c>
      <c r="L728" s="37"/>
      <c r="M728" s="37"/>
      <c r="N728" s="37"/>
      <c r="O728" s="37"/>
      <c r="P728" s="37"/>
      <c r="Q728" s="37"/>
      <c r="R728" s="31" t="n">
        <f aca="false">COUNT($M728:$Q728)</f>
        <v>0</v>
      </c>
      <c r="S728" s="32" t="str">
        <f aca="false">IF($L728="","",IF($R728&gt;=5,"",MAX($L728:$Q728)+CHOOSE($R728+1,SETTINGS!$C$9,SETTINGS!$C$10,SETTINGS!$C$11,SETTINGS!$C$12,SETTINGS!$C$13)))</f>
        <v/>
      </c>
      <c r="T728" s="34" t="str">
        <f aca="true">IF($H728="","(chưa có nội dung)",IF($L728="",IF($C728&lt;TODAY(),"⚠ TRỄ HỌC",IF($C728=TODAY(),"★ HỌC HÔM NAY","• Chưa tới")),IF($R728&gt;=5,"✔ MASTER",IF($S728&lt;TODAY(),"⚠ TRỄ ÔN",IF($S728=TODAY(),"◆ ÔN HÔM NAY","✔ Đúng tiến độ")))))</f>
        <v>• Chưa tới</v>
      </c>
      <c r="U728" s="38" t="n">
        <f aca="false">IF($H728="","",$R728/5)</f>
        <v>0</v>
      </c>
    </row>
    <row r="729" customFormat="false" ht="26.85" hidden="false" customHeight="false" outlineLevel="0" collapsed="false">
      <c r="A729" s="31" t="s">
        <v>4431</v>
      </c>
      <c r="B729" s="31" t="n">
        <v>37</v>
      </c>
      <c r="C729" s="32" t="n">
        <f aca="false">SETTINGS!$C$3+$B729-1</f>
        <v>46336</v>
      </c>
      <c r="D729" s="40" t="s">
        <v>3692</v>
      </c>
      <c r="E729" s="34" t="s">
        <v>4395</v>
      </c>
      <c r="F729" s="34" t="s">
        <v>3694</v>
      </c>
      <c r="G729" s="34" t="s">
        <v>4432</v>
      </c>
      <c r="H729" s="35" t="s">
        <v>4433</v>
      </c>
      <c r="I729" s="36" t="s">
        <v>4434</v>
      </c>
      <c r="J729" s="34" t="s">
        <v>4435</v>
      </c>
      <c r="K729" s="34" t="s">
        <v>4432</v>
      </c>
      <c r="L729" s="37"/>
      <c r="M729" s="37"/>
      <c r="N729" s="37"/>
      <c r="O729" s="37"/>
      <c r="P729" s="37"/>
      <c r="Q729" s="37"/>
      <c r="R729" s="31" t="n">
        <f aca="false">COUNT($M729:$Q729)</f>
        <v>0</v>
      </c>
      <c r="S729" s="32" t="str">
        <f aca="false">IF($L729="","",IF($R729&gt;=5,"",MAX($L729:$Q729)+CHOOSE($R729+1,SETTINGS!$C$9,SETTINGS!$C$10,SETTINGS!$C$11,SETTINGS!$C$12,SETTINGS!$C$13)))</f>
        <v/>
      </c>
      <c r="T729" s="34" t="str">
        <f aca="true">IF($H729="","(chưa có nội dung)",IF($L729="",IF($C729&lt;TODAY(),"⚠ TRỄ HỌC",IF($C729=TODAY(),"★ HỌC HÔM NAY","• Chưa tới")),IF($R729&gt;=5,"✔ MASTER",IF($S729&lt;TODAY(),"⚠ TRỄ ÔN",IF($S729=TODAY(),"◆ ÔN HÔM NAY","✔ Đúng tiến độ")))))</f>
        <v>• Chưa tới</v>
      </c>
      <c r="U729" s="38" t="n">
        <f aca="false">IF($H729="","",$R729/5)</f>
        <v>0</v>
      </c>
    </row>
    <row r="730" customFormat="false" ht="26.85" hidden="false" customHeight="false" outlineLevel="0" collapsed="false">
      <c r="A730" s="31" t="s">
        <v>4436</v>
      </c>
      <c r="B730" s="31" t="n">
        <v>37</v>
      </c>
      <c r="C730" s="32" t="n">
        <f aca="false">SETTINGS!$C$3+$B730-1</f>
        <v>46336</v>
      </c>
      <c r="D730" s="40" t="s">
        <v>3692</v>
      </c>
      <c r="E730" s="34" t="s">
        <v>4395</v>
      </c>
      <c r="F730" s="34" t="s">
        <v>3694</v>
      </c>
      <c r="G730" s="34" t="s">
        <v>4437</v>
      </c>
      <c r="H730" s="35" t="s">
        <v>4438</v>
      </c>
      <c r="I730" s="36" t="s">
        <v>4439</v>
      </c>
      <c r="J730" s="34" t="s">
        <v>4440</v>
      </c>
      <c r="K730" s="34" t="s">
        <v>4441</v>
      </c>
      <c r="L730" s="37"/>
      <c r="M730" s="37"/>
      <c r="N730" s="37"/>
      <c r="O730" s="37"/>
      <c r="P730" s="37"/>
      <c r="Q730" s="37"/>
      <c r="R730" s="31" t="n">
        <f aca="false">COUNT($M730:$Q730)</f>
        <v>0</v>
      </c>
      <c r="S730" s="32" t="str">
        <f aca="false">IF($L730="","",IF($R730&gt;=5,"",MAX($L730:$Q730)+CHOOSE($R730+1,SETTINGS!$C$9,SETTINGS!$C$10,SETTINGS!$C$11,SETTINGS!$C$12,SETTINGS!$C$13)))</f>
        <v/>
      </c>
      <c r="T730" s="34" t="str">
        <f aca="true">IF($H730="","(chưa có nội dung)",IF($L730="",IF($C730&lt;TODAY(),"⚠ TRỄ HỌC",IF($C730=TODAY(),"★ HỌC HÔM NAY","• Chưa tới")),IF($R730&gt;=5,"✔ MASTER",IF($S730&lt;TODAY(),"⚠ TRỄ ÔN",IF($S730=TODAY(),"◆ ÔN HÔM NAY","✔ Đúng tiến độ")))))</f>
        <v>• Chưa tới</v>
      </c>
      <c r="U730" s="38" t="n">
        <f aca="false">IF($H730="","",$R730/5)</f>
        <v>0</v>
      </c>
    </row>
    <row r="731" customFormat="false" ht="26.85" hidden="false" customHeight="false" outlineLevel="0" collapsed="false">
      <c r="A731" s="31" t="s">
        <v>4442</v>
      </c>
      <c r="B731" s="31" t="n">
        <v>37</v>
      </c>
      <c r="C731" s="32" t="n">
        <f aca="false">SETTINGS!$C$3+$B731-1</f>
        <v>46336</v>
      </c>
      <c r="D731" s="40" t="s">
        <v>3692</v>
      </c>
      <c r="E731" s="34" t="s">
        <v>4395</v>
      </c>
      <c r="F731" s="34" t="s">
        <v>3694</v>
      </c>
      <c r="G731" s="34" t="s">
        <v>4443</v>
      </c>
      <c r="H731" s="35" t="s">
        <v>4444</v>
      </c>
      <c r="I731" s="36" t="s">
        <v>4445</v>
      </c>
      <c r="J731" s="34" t="s">
        <v>4446</v>
      </c>
      <c r="K731" s="34" t="s">
        <v>4447</v>
      </c>
      <c r="L731" s="37"/>
      <c r="M731" s="37"/>
      <c r="N731" s="37"/>
      <c r="O731" s="37"/>
      <c r="P731" s="37"/>
      <c r="Q731" s="37"/>
      <c r="R731" s="31" t="n">
        <f aca="false">COUNT($M731:$Q731)</f>
        <v>0</v>
      </c>
      <c r="S731" s="32" t="str">
        <f aca="false">IF($L731="","",IF($R731&gt;=5,"",MAX($L731:$Q731)+CHOOSE($R731+1,SETTINGS!$C$9,SETTINGS!$C$10,SETTINGS!$C$11,SETTINGS!$C$12,SETTINGS!$C$13)))</f>
        <v/>
      </c>
      <c r="T731" s="34" t="str">
        <f aca="true">IF($H731="","(chưa có nội dung)",IF($L731="",IF($C731&lt;TODAY(),"⚠ TRỄ HỌC",IF($C731=TODAY(),"★ HỌC HÔM NAY","• Chưa tới")),IF($R731&gt;=5,"✔ MASTER",IF($S731&lt;TODAY(),"⚠ TRỄ ÔN",IF($S731=TODAY(),"◆ ÔN HÔM NAY","✔ Đúng tiến độ")))))</f>
        <v>• Chưa tới</v>
      </c>
      <c r="U731" s="38" t="n">
        <f aca="false">IF($H731="","",$R731/5)</f>
        <v>0</v>
      </c>
    </row>
    <row r="732" customFormat="false" ht="26.85" hidden="false" customHeight="false" outlineLevel="0" collapsed="false">
      <c r="A732" s="31" t="s">
        <v>4448</v>
      </c>
      <c r="B732" s="31" t="n">
        <v>37</v>
      </c>
      <c r="C732" s="32" t="n">
        <f aca="false">SETTINGS!$C$3+$B732-1</f>
        <v>46336</v>
      </c>
      <c r="D732" s="40" t="s">
        <v>3692</v>
      </c>
      <c r="E732" s="34" t="s">
        <v>4395</v>
      </c>
      <c r="F732" s="34" t="s">
        <v>472</v>
      </c>
      <c r="G732" s="34" t="s">
        <v>4449</v>
      </c>
      <c r="H732" s="35" t="s">
        <v>4450</v>
      </c>
      <c r="I732" s="36" t="s">
        <v>4451</v>
      </c>
      <c r="J732" s="34" t="s">
        <v>4452</v>
      </c>
      <c r="K732" s="34" t="s">
        <v>4453</v>
      </c>
      <c r="L732" s="37"/>
      <c r="M732" s="37"/>
      <c r="N732" s="37"/>
      <c r="O732" s="37"/>
      <c r="P732" s="37"/>
      <c r="Q732" s="37"/>
      <c r="R732" s="31" t="n">
        <f aca="false">COUNT($M732:$Q732)</f>
        <v>0</v>
      </c>
      <c r="S732" s="32" t="str">
        <f aca="false">IF($L732="","",IF($R732&gt;=5,"",MAX($L732:$Q732)+CHOOSE($R732+1,SETTINGS!$C$9,SETTINGS!$C$10,SETTINGS!$C$11,SETTINGS!$C$12,SETTINGS!$C$13)))</f>
        <v/>
      </c>
      <c r="T732" s="34" t="str">
        <f aca="true">IF($H732="","(chưa có nội dung)",IF($L732="",IF($C732&lt;TODAY(),"⚠ TRỄ HỌC",IF($C732=TODAY(),"★ HỌC HÔM NAY","• Chưa tới")),IF($R732&gt;=5,"✔ MASTER",IF($S732&lt;TODAY(),"⚠ TRỄ ÔN",IF($S732=TODAY(),"◆ ÔN HÔM NAY","✔ Đúng tiến độ")))))</f>
        <v>• Chưa tới</v>
      </c>
      <c r="U732" s="38" t="n">
        <f aca="false">IF($H732="","",$R732/5)</f>
        <v>0</v>
      </c>
    </row>
    <row r="733" customFormat="false" ht="23.85" hidden="false" customHeight="false" outlineLevel="0" collapsed="false">
      <c r="A733" s="31" t="s">
        <v>4454</v>
      </c>
      <c r="B733" s="31" t="n">
        <v>37</v>
      </c>
      <c r="C733" s="32" t="n">
        <f aca="false">SETTINGS!$C$3+$B733-1</f>
        <v>46336</v>
      </c>
      <c r="D733" s="40" t="s">
        <v>3692</v>
      </c>
      <c r="E733" s="34" t="s">
        <v>4395</v>
      </c>
      <c r="F733" s="34" t="s">
        <v>3694</v>
      </c>
      <c r="G733" s="34" t="s">
        <v>4455</v>
      </c>
      <c r="H733" s="35" t="s">
        <v>4456</v>
      </c>
      <c r="I733" s="36" t="s">
        <v>4457</v>
      </c>
      <c r="J733" s="34" t="s">
        <v>4458</v>
      </c>
      <c r="K733" s="34" t="s">
        <v>4459</v>
      </c>
      <c r="L733" s="37"/>
      <c r="M733" s="37"/>
      <c r="N733" s="37"/>
      <c r="O733" s="37"/>
      <c r="P733" s="37"/>
      <c r="Q733" s="37"/>
      <c r="R733" s="31" t="n">
        <f aca="false">COUNT($M733:$Q733)</f>
        <v>0</v>
      </c>
      <c r="S733" s="32" t="str">
        <f aca="false">IF($L733="","",IF($R733&gt;=5,"",MAX($L733:$Q733)+CHOOSE($R733+1,SETTINGS!$C$9,SETTINGS!$C$10,SETTINGS!$C$11,SETTINGS!$C$12,SETTINGS!$C$13)))</f>
        <v/>
      </c>
      <c r="T733" s="34" t="str">
        <f aca="true">IF($H733="","(chưa có nội dung)",IF($L733="",IF($C733&lt;TODAY(),"⚠ TRỄ HỌC",IF($C733=TODAY(),"★ HỌC HÔM NAY","• Chưa tới")),IF($R733&gt;=5,"✔ MASTER",IF($S733&lt;TODAY(),"⚠ TRỄ ÔN",IF($S733=TODAY(),"◆ ÔN HÔM NAY","✔ Đúng tiến độ")))))</f>
        <v>• Chưa tới</v>
      </c>
      <c r="U733" s="38" t="n">
        <f aca="false">IF($H733="","",$R733/5)</f>
        <v>0</v>
      </c>
    </row>
    <row r="734" customFormat="false" ht="23.85" hidden="false" customHeight="false" outlineLevel="0" collapsed="false">
      <c r="A734" s="31" t="s">
        <v>4460</v>
      </c>
      <c r="B734" s="31" t="n">
        <v>37</v>
      </c>
      <c r="C734" s="32" t="n">
        <f aca="false">SETTINGS!$C$3+$B734-1</f>
        <v>46336</v>
      </c>
      <c r="D734" s="40" t="s">
        <v>3692</v>
      </c>
      <c r="E734" s="34" t="s">
        <v>4395</v>
      </c>
      <c r="F734" s="34" t="s">
        <v>3694</v>
      </c>
      <c r="G734" s="34" t="s">
        <v>4461</v>
      </c>
      <c r="H734" s="35" t="s">
        <v>4462</v>
      </c>
      <c r="I734" s="36" t="s">
        <v>4463</v>
      </c>
      <c r="J734" s="34" t="s">
        <v>4464</v>
      </c>
      <c r="K734" s="34" t="s">
        <v>4465</v>
      </c>
      <c r="L734" s="37"/>
      <c r="M734" s="37"/>
      <c r="N734" s="37"/>
      <c r="O734" s="37"/>
      <c r="P734" s="37"/>
      <c r="Q734" s="37"/>
      <c r="R734" s="31" t="n">
        <f aca="false">COUNT($M734:$Q734)</f>
        <v>0</v>
      </c>
      <c r="S734" s="32" t="str">
        <f aca="false">IF($L734="","",IF($R734&gt;=5,"",MAX($L734:$Q734)+CHOOSE($R734+1,SETTINGS!$C$9,SETTINGS!$C$10,SETTINGS!$C$11,SETTINGS!$C$12,SETTINGS!$C$13)))</f>
        <v/>
      </c>
      <c r="T734" s="34" t="str">
        <f aca="true">IF($H734="","(chưa có nội dung)",IF($L734="",IF($C734&lt;TODAY(),"⚠ TRỄ HỌC",IF($C734=TODAY(),"★ HỌC HÔM NAY","• Chưa tới")),IF($R734&gt;=5,"✔ MASTER",IF($S734&lt;TODAY(),"⚠ TRỄ ÔN",IF($S734=TODAY(),"◆ ÔN HÔM NAY","✔ Đúng tiến độ")))))</f>
        <v>• Chưa tới</v>
      </c>
      <c r="U734" s="38" t="n">
        <f aca="false">IF($H734="","",$R734/5)</f>
        <v>0</v>
      </c>
    </row>
    <row r="735" customFormat="false" ht="26.85" hidden="false" customHeight="false" outlineLevel="0" collapsed="false">
      <c r="A735" s="31" t="s">
        <v>4466</v>
      </c>
      <c r="B735" s="31" t="n">
        <v>37</v>
      </c>
      <c r="C735" s="32" t="n">
        <f aca="false">SETTINGS!$C$3+$B735-1</f>
        <v>46336</v>
      </c>
      <c r="D735" s="40" t="s">
        <v>3692</v>
      </c>
      <c r="E735" s="34" t="s">
        <v>4395</v>
      </c>
      <c r="F735" s="34" t="s">
        <v>3694</v>
      </c>
      <c r="G735" s="34" t="s">
        <v>4467</v>
      </c>
      <c r="H735" s="35" t="s">
        <v>4468</v>
      </c>
      <c r="I735" s="36" t="s">
        <v>4469</v>
      </c>
      <c r="J735" s="34" t="s">
        <v>4470</v>
      </c>
      <c r="K735" s="34" t="s">
        <v>4471</v>
      </c>
      <c r="L735" s="37"/>
      <c r="M735" s="37"/>
      <c r="N735" s="37"/>
      <c r="O735" s="37"/>
      <c r="P735" s="37"/>
      <c r="Q735" s="37"/>
      <c r="R735" s="31" t="n">
        <f aca="false">COUNT($M735:$Q735)</f>
        <v>0</v>
      </c>
      <c r="S735" s="32" t="str">
        <f aca="false">IF($L735="","",IF($R735&gt;=5,"",MAX($L735:$Q735)+CHOOSE($R735+1,SETTINGS!$C$9,SETTINGS!$C$10,SETTINGS!$C$11,SETTINGS!$C$12,SETTINGS!$C$13)))</f>
        <v/>
      </c>
      <c r="T735" s="34" t="str">
        <f aca="true">IF($H735="","(chưa có nội dung)",IF($L735="",IF($C735&lt;TODAY(),"⚠ TRỄ HỌC",IF($C735=TODAY(),"★ HỌC HÔM NAY","• Chưa tới")),IF($R735&gt;=5,"✔ MASTER",IF($S735&lt;TODAY(),"⚠ TRỄ ÔN",IF($S735=TODAY(),"◆ ÔN HÔM NAY","✔ Đúng tiến độ")))))</f>
        <v>• Chưa tới</v>
      </c>
      <c r="U735" s="38" t="n">
        <f aca="false">IF($H735="","",$R735/5)</f>
        <v>0</v>
      </c>
    </row>
    <row r="736" customFormat="false" ht="23.85" hidden="false" customHeight="false" outlineLevel="0" collapsed="false">
      <c r="A736" s="31" t="s">
        <v>4472</v>
      </c>
      <c r="B736" s="31" t="n">
        <v>37</v>
      </c>
      <c r="C736" s="32" t="n">
        <f aca="false">SETTINGS!$C$3+$B736-1</f>
        <v>46336</v>
      </c>
      <c r="D736" s="40" t="s">
        <v>3692</v>
      </c>
      <c r="E736" s="34" t="s">
        <v>4395</v>
      </c>
      <c r="F736" s="34" t="s">
        <v>280</v>
      </c>
      <c r="G736" s="34" t="s">
        <v>4473</v>
      </c>
      <c r="H736" s="35" t="s">
        <v>4474</v>
      </c>
      <c r="I736" s="36" t="s">
        <v>4475</v>
      </c>
      <c r="J736" s="34" t="s">
        <v>4476</v>
      </c>
      <c r="K736" s="34" t="s">
        <v>4477</v>
      </c>
      <c r="L736" s="37"/>
      <c r="M736" s="37"/>
      <c r="N736" s="37"/>
      <c r="O736" s="37"/>
      <c r="P736" s="37"/>
      <c r="Q736" s="37"/>
      <c r="R736" s="31" t="n">
        <f aca="false">COUNT($M736:$Q736)</f>
        <v>0</v>
      </c>
      <c r="S736" s="32" t="str">
        <f aca="false">IF($L736="","",IF($R736&gt;=5,"",MAX($L736:$Q736)+CHOOSE($R736+1,SETTINGS!$C$9,SETTINGS!$C$10,SETTINGS!$C$11,SETTINGS!$C$12,SETTINGS!$C$13)))</f>
        <v/>
      </c>
      <c r="T736" s="34" t="str">
        <f aca="true">IF($H736="","(chưa có nội dung)",IF($L736="",IF($C736&lt;TODAY(),"⚠ TRỄ HỌC",IF($C736=TODAY(),"★ HỌC HÔM NAY","• Chưa tới")),IF($R736&gt;=5,"✔ MASTER",IF($S736&lt;TODAY(),"⚠ TRỄ ÔN",IF($S736=TODAY(),"◆ ÔN HÔM NAY","✔ Đúng tiến độ")))))</f>
        <v>• Chưa tới</v>
      </c>
      <c r="U736" s="38" t="n">
        <f aca="false">IF($H736="","",$R736/5)</f>
        <v>0</v>
      </c>
    </row>
    <row r="737" customFormat="false" ht="23.85" hidden="false" customHeight="false" outlineLevel="0" collapsed="false">
      <c r="A737" s="31" t="s">
        <v>4478</v>
      </c>
      <c r="B737" s="31" t="n">
        <v>37</v>
      </c>
      <c r="C737" s="32" t="n">
        <f aca="false">SETTINGS!$C$3+$B737-1</f>
        <v>46336</v>
      </c>
      <c r="D737" s="40" t="s">
        <v>3692</v>
      </c>
      <c r="E737" s="34" t="s">
        <v>4395</v>
      </c>
      <c r="F737" s="34" t="s">
        <v>280</v>
      </c>
      <c r="G737" s="34" t="s">
        <v>4479</v>
      </c>
      <c r="H737" s="35" t="s">
        <v>4480</v>
      </c>
      <c r="I737" s="36" t="s">
        <v>4481</v>
      </c>
      <c r="J737" s="34" t="s">
        <v>4482</v>
      </c>
      <c r="K737" s="34" t="s">
        <v>4483</v>
      </c>
      <c r="L737" s="37"/>
      <c r="M737" s="37"/>
      <c r="N737" s="37"/>
      <c r="O737" s="37"/>
      <c r="P737" s="37"/>
      <c r="Q737" s="37"/>
      <c r="R737" s="31" t="n">
        <f aca="false">COUNT($M737:$Q737)</f>
        <v>0</v>
      </c>
      <c r="S737" s="32" t="str">
        <f aca="false">IF($L737="","",IF($R737&gt;=5,"",MAX($L737:$Q737)+CHOOSE($R737+1,SETTINGS!$C$9,SETTINGS!$C$10,SETTINGS!$C$11,SETTINGS!$C$12,SETTINGS!$C$13)))</f>
        <v/>
      </c>
      <c r="T737" s="34" t="str">
        <f aca="true">IF($H737="","(chưa có nội dung)",IF($L737="",IF($C737&lt;TODAY(),"⚠ TRỄ HỌC",IF($C737=TODAY(),"★ HỌC HÔM NAY","• Chưa tới")),IF($R737&gt;=5,"✔ MASTER",IF($S737&lt;TODAY(),"⚠ TRỄ ÔN",IF($S737=TODAY(),"◆ ÔN HÔM NAY","✔ Đúng tiến độ")))))</f>
        <v>• Chưa tới</v>
      </c>
      <c r="U737" s="38" t="n">
        <f aca="false">IF($H737="","",$R737/5)</f>
        <v>0</v>
      </c>
    </row>
    <row r="738" customFormat="false" ht="23.85" hidden="false" customHeight="false" outlineLevel="0" collapsed="false">
      <c r="A738" s="31" t="s">
        <v>4484</v>
      </c>
      <c r="B738" s="31" t="n">
        <v>37</v>
      </c>
      <c r="C738" s="32" t="n">
        <f aca="false">SETTINGS!$C$3+$B738-1</f>
        <v>46336</v>
      </c>
      <c r="D738" s="40" t="s">
        <v>3692</v>
      </c>
      <c r="E738" s="34" t="s">
        <v>4395</v>
      </c>
      <c r="F738" s="34" t="s">
        <v>3694</v>
      </c>
      <c r="G738" s="34" t="s">
        <v>4485</v>
      </c>
      <c r="H738" s="35" t="s">
        <v>4486</v>
      </c>
      <c r="I738" s="36" t="s">
        <v>4487</v>
      </c>
      <c r="J738" s="34" t="s">
        <v>4488</v>
      </c>
      <c r="K738" s="34" t="s">
        <v>4489</v>
      </c>
      <c r="L738" s="37"/>
      <c r="M738" s="37"/>
      <c r="N738" s="37"/>
      <c r="O738" s="37"/>
      <c r="P738" s="37"/>
      <c r="Q738" s="37"/>
      <c r="R738" s="31" t="n">
        <f aca="false">COUNT($M738:$Q738)</f>
        <v>0</v>
      </c>
      <c r="S738" s="32" t="str">
        <f aca="false">IF($L738="","",IF($R738&gt;=5,"",MAX($L738:$Q738)+CHOOSE($R738+1,SETTINGS!$C$9,SETTINGS!$C$10,SETTINGS!$C$11,SETTINGS!$C$12,SETTINGS!$C$13)))</f>
        <v/>
      </c>
      <c r="T738" s="34" t="str">
        <f aca="true">IF($H738="","(chưa có nội dung)",IF($L738="",IF($C738&lt;TODAY(),"⚠ TRỄ HỌC",IF($C738=TODAY(),"★ HỌC HÔM NAY","• Chưa tới")),IF($R738&gt;=5,"✔ MASTER",IF($S738&lt;TODAY(),"⚠ TRỄ ÔN",IF($S738=TODAY(),"◆ ÔN HÔM NAY","✔ Đúng tiến độ")))))</f>
        <v>• Chưa tới</v>
      </c>
      <c r="U738" s="38" t="n">
        <f aca="false">IF($H738="","",$R738/5)</f>
        <v>0</v>
      </c>
    </row>
    <row r="739" customFormat="false" ht="23.85" hidden="false" customHeight="false" outlineLevel="0" collapsed="false">
      <c r="A739" s="31" t="s">
        <v>4490</v>
      </c>
      <c r="B739" s="31" t="n">
        <v>37</v>
      </c>
      <c r="C739" s="32" t="n">
        <f aca="false">SETTINGS!$C$3+$B739-1</f>
        <v>46336</v>
      </c>
      <c r="D739" s="40" t="s">
        <v>3692</v>
      </c>
      <c r="E739" s="34" t="s">
        <v>4395</v>
      </c>
      <c r="F739" s="34" t="s">
        <v>3694</v>
      </c>
      <c r="G739" s="34" t="s">
        <v>4491</v>
      </c>
      <c r="H739" s="35" t="s">
        <v>4492</v>
      </c>
      <c r="I739" s="36" t="s">
        <v>4493</v>
      </c>
      <c r="J739" s="34" t="s">
        <v>4494</v>
      </c>
      <c r="K739" s="34" t="s">
        <v>4044</v>
      </c>
      <c r="L739" s="37"/>
      <c r="M739" s="37"/>
      <c r="N739" s="37"/>
      <c r="O739" s="37"/>
      <c r="P739" s="37"/>
      <c r="Q739" s="37"/>
      <c r="R739" s="31" t="n">
        <f aca="false">COUNT($M739:$Q739)</f>
        <v>0</v>
      </c>
      <c r="S739" s="32" t="str">
        <f aca="false">IF($L739="","",IF($R739&gt;=5,"",MAX($L739:$Q739)+CHOOSE($R739+1,SETTINGS!$C$9,SETTINGS!$C$10,SETTINGS!$C$11,SETTINGS!$C$12,SETTINGS!$C$13)))</f>
        <v/>
      </c>
      <c r="T739" s="34" t="str">
        <f aca="true">IF($H739="","(chưa có nội dung)",IF($L739="",IF($C739&lt;TODAY(),"⚠ TRỄ HỌC",IF($C739=TODAY(),"★ HỌC HÔM NAY","• Chưa tới")),IF($R739&gt;=5,"✔ MASTER",IF($S739&lt;TODAY(),"⚠ TRỄ ÔN",IF($S739=TODAY(),"◆ ÔN HÔM NAY","✔ Đúng tiến độ")))))</f>
        <v>• Chưa tới</v>
      </c>
      <c r="U739" s="38" t="n">
        <f aca="false">IF($H739="","",$R739/5)</f>
        <v>0</v>
      </c>
    </row>
    <row r="740" customFormat="false" ht="23.85" hidden="false" customHeight="false" outlineLevel="0" collapsed="false">
      <c r="A740" s="31" t="s">
        <v>4495</v>
      </c>
      <c r="B740" s="31" t="n">
        <v>37</v>
      </c>
      <c r="C740" s="32" t="n">
        <f aca="false">SETTINGS!$C$3+$B740-1</f>
        <v>46336</v>
      </c>
      <c r="D740" s="40" t="s">
        <v>3692</v>
      </c>
      <c r="E740" s="34" t="s">
        <v>4395</v>
      </c>
      <c r="F740" s="34" t="s">
        <v>3694</v>
      </c>
      <c r="G740" s="34" t="s">
        <v>4496</v>
      </c>
      <c r="H740" s="35" t="s">
        <v>4497</v>
      </c>
      <c r="I740" s="36" t="s">
        <v>4498</v>
      </c>
      <c r="J740" s="34" t="s">
        <v>4499</v>
      </c>
      <c r="K740" s="34" t="s">
        <v>3711</v>
      </c>
      <c r="L740" s="37"/>
      <c r="M740" s="37"/>
      <c r="N740" s="37"/>
      <c r="O740" s="37"/>
      <c r="P740" s="37"/>
      <c r="Q740" s="37"/>
      <c r="R740" s="31" t="n">
        <f aca="false">COUNT($M740:$Q740)</f>
        <v>0</v>
      </c>
      <c r="S740" s="32" t="str">
        <f aca="false">IF($L740="","",IF($R740&gt;=5,"",MAX($L740:$Q740)+CHOOSE($R740+1,SETTINGS!$C$9,SETTINGS!$C$10,SETTINGS!$C$11,SETTINGS!$C$12,SETTINGS!$C$13)))</f>
        <v/>
      </c>
      <c r="T740" s="34" t="str">
        <f aca="true">IF($H740="","(chưa có nội dung)",IF($L740="",IF($C740&lt;TODAY(),"⚠ TRỄ HỌC",IF($C740=TODAY(),"★ HỌC HÔM NAY","• Chưa tới")),IF($R740&gt;=5,"✔ MASTER",IF($S740&lt;TODAY(),"⚠ TRỄ ÔN",IF($S740=TODAY(),"◆ ÔN HÔM NAY","✔ Đúng tiến độ")))))</f>
        <v>• Chưa tới</v>
      </c>
      <c r="U740" s="38" t="n">
        <f aca="false">IF($H740="","",$R740/5)</f>
        <v>0</v>
      </c>
    </row>
    <row r="741" customFormat="false" ht="26.85" hidden="false" customHeight="false" outlineLevel="0" collapsed="false">
      <c r="A741" s="31" t="s">
        <v>4500</v>
      </c>
      <c r="B741" s="31" t="n">
        <v>37</v>
      </c>
      <c r="C741" s="32" t="n">
        <f aca="false">SETTINGS!$C$3+$B741-1</f>
        <v>46336</v>
      </c>
      <c r="D741" s="40" t="s">
        <v>3692</v>
      </c>
      <c r="E741" s="34" t="s">
        <v>4395</v>
      </c>
      <c r="F741" s="34" t="s">
        <v>280</v>
      </c>
      <c r="G741" s="34" t="s">
        <v>4501</v>
      </c>
      <c r="H741" s="35" t="s">
        <v>4502</v>
      </c>
      <c r="I741" s="36" t="s">
        <v>4503</v>
      </c>
      <c r="J741" s="34" t="s">
        <v>4504</v>
      </c>
      <c r="K741" s="34" t="s">
        <v>4505</v>
      </c>
      <c r="L741" s="37"/>
      <c r="M741" s="37"/>
      <c r="N741" s="37"/>
      <c r="O741" s="37"/>
      <c r="P741" s="37"/>
      <c r="Q741" s="37"/>
      <c r="R741" s="31" t="n">
        <f aca="false">COUNT($M741:$Q741)</f>
        <v>0</v>
      </c>
      <c r="S741" s="32" t="str">
        <f aca="false">IF($L741="","",IF($R741&gt;=5,"",MAX($L741:$Q741)+CHOOSE($R741+1,SETTINGS!$C$9,SETTINGS!$C$10,SETTINGS!$C$11,SETTINGS!$C$12,SETTINGS!$C$13)))</f>
        <v/>
      </c>
      <c r="T741" s="34" t="str">
        <f aca="true">IF($H741="","(chưa có nội dung)",IF($L741="",IF($C741&lt;TODAY(),"⚠ TRỄ HỌC",IF($C741=TODAY(),"★ HỌC HÔM NAY","• Chưa tới")),IF($R741&gt;=5,"✔ MASTER",IF($S741&lt;TODAY(),"⚠ TRỄ ÔN",IF($S741=TODAY(),"◆ ÔN HÔM NAY","✔ Đúng tiến độ")))))</f>
        <v>• Chưa tới</v>
      </c>
      <c r="U741" s="38" t="n">
        <f aca="false">IF($H741="","",$R741/5)</f>
        <v>0</v>
      </c>
    </row>
    <row r="742" customFormat="false" ht="23.85" hidden="false" customHeight="false" outlineLevel="0" collapsed="false">
      <c r="A742" s="31" t="s">
        <v>4506</v>
      </c>
      <c r="B742" s="31" t="n">
        <v>37</v>
      </c>
      <c r="C742" s="32" t="n">
        <f aca="false">SETTINGS!$C$3+$B742-1</f>
        <v>46336</v>
      </c>
      <c r="D742" s="40" t="s">
        <v>3692</v>
      </c>
      <c r="E742" s="34" t="s">
        <v>4395</v>
      </c>
      <c r="F742" s="34" t="s">
        <v>472</v>
      </c>
      <c r="G742" s="34" t="s">
        <v>4507</v>
      </c>
      <c r="H742" s="35" t="s">
        <v>4508</v>
      </c>
      <c r="I742" s="36" t="s">
        <v>4509</v>
      </c>
      <c r="J742" s="34" t="s">
        <v>4510</v>
      </c>
      <c r="K742" s="34" t="s">
        <v>4511</v>
      </c>
      <c r="L742" s="37"/>
      <c r="M742" s="37"/>
      <c r="N742" s="37"/>
      <c r="O742" s="37"/>
      <c r="P742" s="37"/>
      <c r="Q742" s="37"/>
      <c r="R742" s="31" t="n">
        <f aca="false">COUNT($M742:$Q742)</f>
        <v>0</v>
      </c>
      <c r="S742" s="32" t="str">
        <f aca="false">IF($L742="","",IF($R742&gt;=5,"",MAX($L742:$Q742)+CHOOSE($R742+1,SETTINGS!$C$9,SETTINGS!$C$10,SETTINGS!$C$11,SETTINGS!$C$12,SETTINGS!$C$13)))</f>
        <v/>
      </c>
      <c r="T742" s="34" t="str">
        <f aca="true">IF($H742="","(chưa có nội dung)",IF($L742="",IF($C742&lt;TODAY(),"⚠ TRỄ HỌC",IF($C742=TODAY(),"★ HỌC HÔM NAY","• Chưa tới")),IF($R742&gt;=5,"✔ MASTER",IF($S742&lt;TODAY(),"⚠ TRỄ ÔN",IF($S742=TODAY(),"◆ ÔN HÔM NAY","✔ Đúng tiến độ")))))</f>
        <v>• Chưa tới</v>
      </c>
      <c r="U742" s="38" t="n">
        <f aca="false">IF($H742="","",$R742/5)</f>
        <v>0</v>
      </c>
    </row>
    <row r="743" customFormat="false" ht="26.85" hidden="false" customHeight="false" outlineLevel="0" collapsed="false">
      <c r="A743" s="31" t="s">
        <v>4512</v>
      </c>
      <c r="B743" s="31" t="n">
        <v>38</v>
      </c>
      <c r="C743" s="32" t="n">
        <f aca="false">SETTINGS!$C$3+$B743-1</f>
        <v>46337</v>
      </c>
      <c r="D743" s="40" t="s">
        <v>3692</v>
      </c>
      <c r="E743" s="34" t="s">
        <v>4513</v>
      </c>
      <c r="F743" s="34" t="s">
        <v>280</v>
      </c>
      <c r="G743" s="34" t="s">
        <v>4514</v>
      </c>
      <c r="H743" s="35" t="s">
        <v>4515</v>
      </c>
      <c r="I743" s="36" t="s">
        <v>4516</v>
      </c>
      <c r="J743" s="34" t="s">
        <v>4517</v>
      </c>
      <c r="K743" s="34" t="s">
        <v>4518</v>
      </c>
      <c r="L743" s="37"/>
      <c r="M743" s="37"/>
      <c r="N743" s="37"/>
      <c r="O743" s="37"/>
      <c r="P743" s="37"/>
      <c r="Q743" s="37"/>
      <c r="R743" s="31" t="n">
        <f aca="false">COUNT($M743:$Q743)</f>
        <v>0</v>
      </c>
      <c r="S743" s="32" t="str">
        <f aca="false">IF($L743="","",IF($R743&gt;=5,"",MAX($L743:$Q743)+CHOOSE($R743+1,SETTINGS!$C$9,SETTINGS!$C$10,SETTINGS!$C$11,SETTINGS!$C$12,SETTINGS!$C$13)))</f>
        <v/>
      </c>
      <c r="T743" s="34" t="str">
        <f aca="true">IF($H743="","(chưa có nội dung)",IF($L743="",IF($C743&lt;TODAY(),"⚠ TRỄ HỌC",IF($C743=TODAY(),"★ HỌC HÔM NAY","• Chưa tới")),IF($R743&gt;=5,"✔ MASTER",IF($S743&lt;TODAY(),"⚠ TRỄ ÔN",IF($S743=TODAY(),"◆ ÔN HÔM NAY","✔ Đúng tiến độ")))))</f>
        <v>• Chưa tới</v>
      </c>
      <c r="U743" s="38" t="n">
        <f aca="false">IF($H743="","",$R743/5)</f>
        <v>0</v>
      </c>
    </row>
    <row r="744" customFormat="false" ht="15" hidden="false" customHeight="false" outlineLevel="0" collapsed="false">
      <c r="A744" s="31" t="s">
        <v>4519</v>
      </c>
      <c r="B744" s="31" t="n">
        <v>38</v>
      </c>
      <c r="C744" s="32" t="n">
        <f aca="false">SETTINGS!$C$3+$B744-1</f>
        <v>46337</v>
      </c>
      <c r="D744" s="40" t="s">
        <v>3692</v>
      </c>
      <c r="E744" s="34" t="s">
        <v>4513</v>
      </c>
      <c r="F744" s="34" t="s">
        <v>280</v>
      </c>
      <c r="G744" s="34" t="s">
        <v>4520</v>
      </c>
      <c r="H744" s="35" t="s">
        <v>4521</v>
      </c>
      <c r="I744" s="36" t="s">
        <v>4522</v>
      </c>
      <c r="J744" s="34" t="s">
        <v>4523</v>
      </c>
      <c r="K744" s="34" t="s">
        <v>4524</v>
      </c>
      <c r="L744" s="37"/>
      <c r="M744" s="37"/>
      <c r="N744" s="37"/>
      <c r="O744" s="37"/>
      <c r="P744" s="37"/>
      <c r="Q744" s="37"/>
      <c r="R744" s="31" t="n">
        <f aca="false">COUNT($M744:$Q744)</f>
        <v>0</v>
      </c>
      <c r="S744" s="32" t="str">
        <f aca="false">IF($L744="","",IF($R744&gt;=5,"",MAX($L744:$Q744)+CHOOSE($R744+1,SETTINGS!$C$9,SETTINGS!$C$10,SETTINGS!$C$11,SETTINGS!$C$12,SETTINGS!$C$13)))</f>
        <v/>
      </c>
      <c r="T744" s="34" t="str">
        <f aca="true">IF($H744="","(chưa có nội dung)",IF($L744="",IF($C744&lt;TODAY(),"⚠ TRỄ HỌC",IF($C744=TODAY(),"★ HỌC HÔM NAY","• Chưa tới")),IF($R744&gt;=5,"✔ MASTER",IF($S744&lt;TODAY(),"⚠ TRỄ ÔN",IF($S744=TODAY(),"◆ ÔN HÔM NAY","✔ Đúng tiến độ")))))</f>
        <v>• Chưa tới</v>
      </c>
      <c r="U744" s="38" t="n">
        <f aca="false">IF($H744="","",$R744/5)</f>
        <v>0</v>
      </c>
    </row>
    <row r="745" customFormat="false" ht="15" hidden="false" customHeight="false" outlineLevel="0" collapsed="false">
      <c r="A745" s="31" t="s">
        <v>4525</v>
      </c>
      <c r="B745" s="31" t="n">
        <v>38</v>
      </c>
      <c r="C745" s="32" t="n">
        <f aca="false">SETTINGS!$C$3+$B745-1</f>
        <v>46337</v>
      </c>
      <c r="D745" s="40" t="s">
        <v>3692</v>
      </c>
      <c r="E745" s="34" t="s">
        <v>4513</v>
      </c>
      <c r="F745" s="34" t="s">
        <v>280</v>
      </c>
      <c r="G745" s="34" t="s">
        <v>4526</v>
      </c>
      <c r="H745" s="35" t="s">
        <v>4527</v>
      </c>
      <c r="I745" s="36" t="s">
        <v>4528</v>
      </c>
      <c r="J745" s="34" t="s">
        <v>4529</v>
      </c>
      <c r="K745" s="34" t="s">
        <v>4530</v>
      </c>
      <c r="L745" s="37"/>
      <c r="M745" s="37"/>
      <c r="N745" s="37"/>
      <c r="O745" s="37"/>
      <c r="P745" s="37"/>
      <c r="Q745" s="37"/>
      <c r="R745" s="31" t="n">
        <f aca="false">COUNT($M745:$Q745)</f>
        <v>0</v>
      </c>
      <c r="S745" s="32" t="str">
        <f aca="false">IF($L745="","",IF($R745&gt;=5,"",MAX($L745:$Q745)+CHOOSE($R745+1,SETTINGS!$C$9,SETTINGS!$C$10,SETTINGS!$C$11,SETTINGS!$C$12,SETTINGS!$C$13)))</f>
        <v/>
      </c>
      <c r="T745" s="34" t="str">
        <f aca="true">IF($H745="","(chưa có nội dung)",IF($L745="",IF($C745&lt;TODAY(),"⚠ TRỄ HỌC",IF($C745=TODAY(),"★ HỌC HÔM NAY","• Chưa tới")),IF($R745&gt;=5,"✔ MASTER",IF($S745&lt;TODAY(),"⚠ TRỄ ÔN",IF($S745=TODAY(),"◆ ÔN HÔM NAY","✔ Đúng tiến độ")))))</f>
        <v>• Chưa tới</v>
      </c>
      <c r="U745" s="38" t="n">
        <f aca="false">IF($H745="","",$R745/5)</f>
        <v>0</v>
      </c>
    </row>
    <row r="746" customFormat="false" ht="15" hidden="false" customHeight="false" outlineLevel="0" collapsed="false">
      <c r="A746" s="31" t="s">
        <v>4531</v>
      </c>
      <c r="B746" s="31" t="n">
        <v>38</v>
      </c>
      <c r="C746" s="32" t="n">
        <f aca="false">SETTINGS!$C$3+$B746-1</f>
        <v>46337</v>
      </c>
      <c r="D746" s="40" t="s">
        <v>3692</v>
      </c>
      <c r="E746" s="34" t="s">
        <v>4513</v>
      </c>
      <c r="F746" s="34" t="s">
        <v>280</v>
      </c>
      <c r="G746" s="34" t="s">
        <v>4532</v>
      </c>
      <c r="H746" s="35" t="s">
        <v>4533</v>
      </c>
      <c r="I746" s="36" t="s">
        <v>4534</v>
      </c>
      <c r="J746" s="34" t="s">
        <v>4535</v>
      </c>
      <c r="K746" s="34" t="s">
        <v>4536</v>
      </c>
      <c r="L746" s="37"/>
      <c r="M746" s="37"/>
      <c r="N746" s="37"/>
      <c r="O746" s="37"/>
      <c r="P746" s="37"/>
      <c r="Q746" s="37"/>
      <c r="R746" s="31" t="n">
        <f aca="false">COUNT($M746:$Q746)</f>
        <v>0</v>
      </c>
      <c r="S746" s="32" t="str">
        <f aca="false">IF($L746="","",IF($R746&gt;=5,"",MAX($L746:$Q746)+CHOOSE($R746+1,SETTINGS!$C$9,SETTINGS!$C$10,SETTINGS!$C$11,SETTINGS!$C$12,SETTINGS!$C$13)))</f>
        <v/>
      </c>
      <c r="T746" s="34" t="str">
        <f aca="true">IF($H746="","(chưa có nội dung)",IF($L746="",IF($C746&lt;TODAY(),"⚠ TRỄ HỌC",IF($C746=TODAY(),"★ HỌC HÔM NAY","• Chưa tới")),IF($R746&gt;=5,"✔ MASTER",IF($S746&lt;TODAY(),"⚠ TRỄ ÔN",IF($S746=TODAY(),"◆ ÔN HÔM NAY","✔ Đúng tiến độ")))))</f>
        <v>• Chưa tới</v>
      </c>
      <c r="U746" s="38" t="n">
        <f aca="false">IF($H746="","",$R746/5)</f>
        <v>0</v>
      </c>
    </row>
    <row r="747" customFormat="false" ht="15" hidden="false" customHeight="false" outlineLevel="0" collapsed="false">
      <c r="A747" s="31" t="s">
        <v>4537</v>
      </c>
      <c r="B747" s="31" t="n">
        <v>38</v>
      </c>
      <c r="C747" s="32" t="n">
        <f aca="false">SETTINGS!$C$3+$B747-1</f>
        <v>46337</v>
      </c>
      <c r="D747" s="40" t="s">
        <v>3692</v>
      </c>
      <c r="E747" s="34" t="s">
        <v>4513</v>
      </c>
      <c r="F747" s="34" t="s">
        <v>280</v>
      </c>
      <c r="G747" s="34" t="s">
        <v>4538</v>
      </c>
      <c r="H747" s="35" t="s">
        <v>4539</v>
      </c>
      <c r="I747" s="36" t="s">
        <v>4540</v>
      </c>
      <c r="J747" s="34" t="s">
        <v>4541</v>
      </c>
      <c r="K747" s="34" t="s">
        <v>4542</v>
      </c>
      <c r="L747" s="37"/>
      <c r="M747" s="37"/>
      <c r="N747" s="37"/>
      <c r="O747" s="37"/>
      <c r="P747" s="37"/>
      <c r="Q747" s="37"/>
      <c r="R747" s="31" t="n">
        <f aca="false">COUNT($M747:$Q747)</f>
        <v>0</v>
      </c>
      <c r="S747" s="32" t="str">
        <f aca="false">IF($L747="","",IF($R747&gt;=5,"",MAX($L747:$Q747)+CHOOSE($R747+1,SETTINGS!$C$9,SETTINGS!$C$10,SETTINGS!$C$11,SETTINGS!$C$12,SETTINGS!$C$13)))</f>
        <v/>
      </c>
      <c r="T747" s="34" t="str">
        <f aca="true">IF($H747="","(chưa có nội dung)",IF($L747="",IF($C747&lt;TODAY(),"⚠ TRỄ HỌC",IF($C747=TODAY(),"★ HỌC HÔM NAY","• Chưa tới")),IF($R747&gt;=5,"✔ MASTER",IF($S747&lt;TODAY(),"⚠ TRỄ ÔN",IF($S747=TODAY(),"◆ ÔN HÔM NAY","✔ Đúng tiến độ")))))</f>
        <v>• Chưa tới</v>
      </c>
      <c r="U747" s="38" t="n">
        <f aca="false">IF($H747="","",$R747/5)</f>
        <v>0</v>
      </c>
    </row>
    <row r="748" customFormat="false" ht="15" hidden="false" customHeight="false" outlineLevel="0" collapsed="false">
      <c r="A748" s="31" t="s">
        <v>4543</v>
      </c>
      <c r="B748" s="31" t="n">
        <v>38</v>
      </c>
      <c r="C748" s="32" t="n">
        <f aca="false">SETTINGS!$C$3+$B748-1</f>
        <v>46337</v>
      </c>
      <c r="D748" s="40" t="s">
        <v>3692</v>
      </c>
      <c r="E748" s="34" t="s">
        <v>4513</v>
      </c>
      <c r="F748" s="34" t="s">
        <v>280</v>
      </c>
      <c r="G748" s="34" t="s">
        <v>4544</v>
      </c>
      <c r="H748" s="35" t="s">
        <v>4545</v>
      </c>
      <c r="I748" s="36" t="s">
        <v>4546</v>
      </c>
      <c r="J748" s="34" t="s">
        <v>4547</v>
      </c>
      <c r="K748" s="34" t="s">
        <v>4544</v>
      </c>
      <c r="L748" s="37"/>
      <c r="M748" s="37"/>
      <c r="N748" s="37"/>
      <c r="O748" s="37"/>
      <c r="P748" s="37"/>
      <c r="Q748" s="37"/>
      <c r="R748" s="31" t="n">
        <f aca="false">COUNT($M748:$Q748)</f>
        <v>0</v>
      </c>
      <c r="S748" s="32" t="str">
        <f aca="false">IF($L748="","",IF($R748&gt;=5,"",MAX($L748:$Q748)+CHOOSE($R748+1,SETTINGS!$C$9,SETTINGS!$C$10,SETTINGS!$C$11,SETTINGS!$C$12,SETTINGS!$C$13)))</f>
        <v/>
      </c>
      <c r="T748" s="34" t="str">
        <f aca="true">IF($H748="","(chưa có nội dung)",IF($L748="",IF($C748&lt;TODAY(),"⚠ TRỄ HỌC",IF($C748=TODAY(),"★ HỌC HÔM NAY","• Chưa tới")),IF($R748&gt;=5,"✔ MASTER",IF($S748&lt;TODAY(),"⚠ TRỄ ÔN",IF($S748=TODAY(),"◆ ÔN HÔM NAY","✔ Đúng tiến độ")))))</f>
        <v>• Chưa tới</v>
      </c>
      <c r="U748" s="38" t="n">
        <f aca="false">IF($H748="","",$R748/5)</f>
        <v>0</v>
      </c>
    </row>
    <row r="749" customFormat="false" ht="15" hidden="false" customHeight="false" outlineLevel="0" collapsed="false">
      <c r="A749" s="31" t="s">
        <v>4548</v>
      </c>
      <c r="B749" s="31" t="n">
        <v>38</v>
      </c>
      <c r="C749" s="32" t="n">
        <f aca="false">SETTINGS!$C$3+$B749-1</f>
        <v>46337</v>
      </c>
      <c r="D749" s="40" t="s">
        <v>3692</v>
      </c>
      <c r="E749" s="34" t="s">
        <v>4513</v>
      </c>
      <c r="F749" s="34" t="s">
        <v>280</v>
      </c>
      <c r="G749" s="34" t="s">
        <v>4549</v>
      </c>
      <c r="H749" s="35" t="s">
        <v>4550</v>
      </c>
      <c r="I749" s="36" t="s">
        <v>4551</v>
      </c>
      <c r="J749" s="34" t="s">
        <v>4552</v>
      </c>
      <c r="K749" s="34" t="s">
        <v>4553</v>
      </c>
      <c r="L749" s="37"/>
      <c r="M749" s="37"/>
      <c r="N749" s="37"/>
      <c r="O749" s="37"/>
      <c r="P749" s="37"/>
      <c r="Q749" s="37"/>
      <c r="R749" s="31" t="n">
        <f aca="false">COUNT($M749:$Q749)</f>
        <v>0</v>
      </c>
      <c r="S749" s="32" t="str">
        <f aca="false">IF($L749="","",IF($R749&gt;=5,"",MAX($L749:$Q749)+CHOOSE($R749+1,SETTINGS!$C$9,SETTINGS!$C$10,SETTINGS!$C$11,SETTINGS!$C$12,SETTINGS!$C$13)))</f>
        <v/>
      </c>
      <c r="T749" s="34" t="str">
        <f aca="true">IF($H749="","(chưa có nội dung)",IF($L749="",IF($C749&lt;TODAY(),"⚠ TRỄ HỌC",IF($C749=TODAY(),"★ HỌC HÔM NAY","• Chưa tới")),IF($R749&gt;=5,"✔ MASTER",IF($S749&lt;TODAY(),"⚠ TRỄ ÔN",IF($S749=TODAY(),"◆ ÔN HÔM NAY","✔ Đúng tiến độ")))))</f>
        <v>• Chưa tới</v>
      </c>
      <c r="U749" s="38" t="n">
        <f aca="false">IF($H749="","",$R749/5)</f>
        <v>0</v>
      </c>
    </row>
    <row r="750" customFormat="false" ht="15" hidden="false" customHeight="false" outlineLevel="0" collapsed="false">
      <c r="A750" s="31" t="s">
        <v>4554</v>
      </c>
      <c r="B750" s="31" t="n">
        <v>38</v>
      </c>
      <c r="C750" s="32" t="n">
        <f aca="false">SETTINGS!$C$3+$B750-1</f>
        <v>46337</v>
      </c>
      <c r="D750" s="40" t="s">
        <v>3692</v>
      </c>
      <c r="E750" s="34" t="s">
        <v>4513</v>
      </c>
      <c r="F750" s="34" t="s">
        <v>183</v>
      </c>
      <c r="G750" s="34" t="s">
        <v>4555</v>
      </c>
      <c r="H750" s="35" t="s">
        <v>4556</v>
      </c>
      <c r="I750" s="36" t="s">
        <v>4557</v>
      </c>
      <c r="J750" s="34" t="s">
        <v>4558</v>
      </c>
      <c r="K750" s="34" t="s">
        <v>4559</v>
      </c>
      <c r="L750" s="37"/>
      <c r="M750" s="37"/>
      <c r="N750" s="37"/>
      <c r="O750" s="37"/>
      <c r="P750" s="37"/>
      <c r="Q750" s="37"/>
      <c r="R750" s="31" t="n">
        <f aca="false">COUNT($M750:$Q750)</f>
        <v>0</v>
      </c>
      <c r="S750" s="32" t="str">
        <f aca="false">IF($L750="","",IF($R750&gt;=5,"",MAX($L750:$Q750)+CHOOSE($R750+1,SETTINGS!$C$9,SETTINGS!$C$10,SETTINGS!$C$11,SETTINGS!$C$12,SETTINGS!$C$13)))</f>
        <v/>
      </c>
      <c r="T750" s="34" t="str">
        <f aca="true">IF($H750="","(chưa có nội dung)",IF($L750="",IF($C750&lt;TODAY(),"⚠ TRỄ HỌC",IF($C750=TODAY(),"★ HỌC HÔM NAY","• Chưa tới")),IF($R750&gt;=5,"✔ MASTER",IF($S750&lt;TODAY(),"⚠ TRỄ ÔN",IF($S750=TODAY(),"◆ ÔN HÔM NAY","✔ Đúng tiến độ")))))</f>
        <v>• Chưa tới</v>
      </c>
      <c r="U750" s="38" t="n">
        <f aca="false">IF($H750="","",$R750/5)</f>
        <v>0</v>
      </c>
    </row>
    <row r="751" customFormat="false" ht="23.85" hidden="false" customHeight="false" outlineLevel="0" collapsed="false">
      <c r="A751" s="31" t="s">
        <v>4560</v>
      </c>
      <c r="B751" s="31" t="n">
        <v>38</v>
      </c>
      <c r="C751" s="32" t="n">
        <f aca="false">SETTINGS!$C$3+$B751-1</f>
        <v>46337</v>
      </c>
      <c r="D751" s="40" t="s">
        <v>3692</v>
      </c>
      <c r="E751" s="34" t="s">
        <v>4513</v>
      </c>
      <c r="F751" s="34" t="s">
        <v>280</v>
      </c>
      <c r="G751" s="34" t="s">
        <v>4561</v>
      </c>
      <c r="H751" s="35" t="s">
        <v>4562</v>
      </c>
      <c r="I751" s="36" t="s">
        <v>4563</v>
      </c>
      <c r="J751" s="34" t="s">
        <v>4564</v>
      </c>
      <c r="K751" s="34" t="s">
        <v>4565</v>
      </c>
      <c r="L751" s="37"/>
      <c r="M751" s="37"/>
      <c r="N751" s="37"/>
      <c r="O751" s="37"/>
      <c r="P751" s="37"/>
      <c r="Q751" s="37"/>
      <c r="R751" s="31" t="n">
        <f aca="false">COUNT($M751:$Q751)</f>
        <v>0</v>
      </c>
      <c r="S751" s="32" t="str">
        <f aca="false">IF($L751="","",IF($R751&gt;=5,"",MAX($L751:$Q751)+CHOOSE($R751+1,SETTINGS!$C$9,SETTINGS!$C$10,SETTINGS!$C$11,SETTINGS!$C$12,SETTINGS!$C$13)))</f>
        <v/>
      </c>
      <c r="T751" s="34" t="str">
        <f aca="true">IF($H751="","(chưa có nội dung)",IF($L751="",IF($C751&lt;TODAY(),"⚠ TRỄ HỌC",IF($C751=TODAY(),"★ HỌC HÔM NAY","• Chưa tới")),IF($R751&gt;=5,"✔ MASTER",IF($S751&lt;TODAY(),"⚠ TRỄ ÔN",IF($S751=TODAY(),"◆ ÔN HÔM NAY","✔ Đúng tiến độ")))))</f>
        <v>• Chưa tới</v>
      </c>
      <c r="U751" s="38" t="n">
        <f aca="false">IF($H751="","",$R751/5)</f>
        <v>0</v>
      </c>
    </row>
    <row r="752" customFormat="false" ht="15" hidden="false" customHeight="false" outlineLevel="0" collapsed="false">
      <c r="A752" s="31" t="s">
        <v>4566</v>
      </c>
      <c r="B752" s="31" t="n">
        <v>38</v>
      </c>
      <c r="C752" s="32" t="n">
        <f aca="false">SETTINGS!$C$3+$B752-1</f>
        <v>46337</v>
      </c>
      <c r="D752" s="40" t="s">
        <v>3692</v>
      </c>
      <c r="E752" s="34" t="s">
        <v>4513</v>
      </c>
      <c r="F752" s="34" t="s">
        <v>280</v>
      </c>
      <c r="G752" s="34" t="s">
        <v>4567</v>
      </c>
      <c r="H752" s="35" t="s">
        <v>4568</v>
      </c>
      <c r="I752" s="36" t="s">
        <v>4569</v>
      </c>
      <c r="J752" s="34" t="s">
        <v>4570</v>
      </c>
      <c r="K752" s="34" t="s">
        <v>2803</v>
      </c>
      <c r="L752" s="37"/>
      <c r="M752" s="37"/>
      <c r="N752" s="37"/>
      <c r="O752" s="37"/>
      <c r="P752" s="37"/>
      <c r="Q752" s="37"/>
      <c r="R752" s="31" t="n">
        <f aca="false">COUNT($M752:$Q752)</f>
        <v>0</v>
      </c>
      <c r="S752" s="32" t="str">
        <f aca="false">IF($L752="","",IF($R752&gt;=5,"",MAX($L752:$Q752)+CHOOSE($R752+1,SETTINGS!$C$9,SETTINGS!$C$10,SETTINGS!$C$11,SETTINGS!$C$12,SETTINGS!$C$13)))</f>
        <v/>
      </c>
      <c r="T752" s="34" t="str">
        <f aca="true">IF($H752="","(chưa có nội dung)",IF($L752="",IF($C752&lt;TODAY(),"⚠ TRỄ HỌC",IF($C752=TODAY(),"★ HỌC HÔM NAY","• Chưa tới")),IF($R752&gt;=5,"✔ MASTER",IF($S752&lt;TODAY(),"⚠ TRỄ ÔN",IF($S752=TODAY(),"◆ ÔN HÔM NAY","✔ Đúng tiến độ")))))</f>
        <v>• Chưa tới</v>
      </c>
      <c r="U752" s="38" t="n">
        <f aca="false">IF($H752="","",$R752/5)</f>
        <v>0</v>
      </c>
    </row>
    <row r="753" customFormat="false" ht="15" hidden="false" customHeight="false" outlineLevel="0" collapsed="false">
      <c r="A753" s="31" t="s">
        <v>4571</v>
      </c>
      <c r="B753" s="31" t="n">
        <v>38</v>
      </c>
      <c r="C753" s="32" t="n">
        <f aca="false">SETTINGS!$C$3+$B753-1</f>
        <v>46337</v>
      </c>
      <c r="D753" s="40" t="s">
        <v>3692</v>
      </c>
      <c r="E753" s="34" t="s">
        <v>4513</v>
      </c>
      <c r="F753" s="34" t="s">
        <v>163</v>
      </c>
      <c r="G753" s="34" t="s">
        <v>4572</v>
      </c>
      <c r="H753" s="35" t="s">
        <v>4573</v>
      </c>
      <c r="I753" s="36" t="s">
        <v>4574</v>
      </c>
      <c r="J753" s="34" t="s">
        <v>4575</v>
      </c>
      <c r="K753" s="34" t="s">
        <v>4576</v>
      </c>
      <c r="L753" s="37"/>
      <c r="M753" s="37"/>
      <c r="N753" s="37"/>
      <c r="O753" s="37"/>
      <c r="P753" s="37"/>
      <c r="Q753" s="37"/>
      <c r="R753" s="31" t="n">
        <f aca="false">COUNT($M753:$Q753)</f>
        <v>0</v>
      </c>
      <c r="S753" s="32" t="str">
        <f aca="false">IF($L753="","",IF($R753&gt;=5,"",MAX($L753:$Q753)+CHOOSE($R753+1,SETTINGS!$C$9,SETTINGS!$C$10,SETTINGS!$C$11,SETTINGS!$C$12,SETTINGS!$C$13)))</f>
        <v/>
      </c>
      <c r="T753" s="34" t="str">
        <f aca="true">IF($H753="","(chưa có nội dung)",IF($L753="",IF($C753&lt;TODAY(),"⚠ TRỄ HỌC",IF($C753=TODAY(),"★ HỌC HÔM NAY","• Chưa tới")),IF($R753&gt;=5,"✔ MASTER",IF($S753&lt;TODAY(),"⚠ TRỄ ÔN",IF($S753=TODAY(),"◆ ÔN HÔM NAY","✔ Đúng tiến độ")))))</f>
        <v>• Chưa tới</v>
      </c>
      <c r="U753" s="38" t="n">
        <f aca="false">IF($H753="","",$R753/5)</f>
        <v>0</v>
      </c>
    </row>
    <row r="754" customFormat="false" ht="15" hidden="false" customHeight="false" outlineLevel="0" collapsed="false">
      <c r="A754" s="31" t="s">
        <v>4577</v>
      </c>
      <c r="B754" s="31" t="n">
        <v>38</v>
      </c>
      <c r="C754" s="32" t="n">
        <f aca="false">SETTINGS!$C$3+$B754-1</f>
        <v>46337</v>
      </c>
      <c r="D754" s="40" t="s">
        <v>3692</v>
      </c>
      <c r="E754" s="34" t="s">
        <v>4513</v>
      </c>
      <c r="F754" s="34" t="s">
        <v>280</v>
      </c>
      <c r="G754" s="34" t="s">
        <v>4578</v>
      </c>
      <c r="H754" s="35" t="s">
        <v>4579</v>
      </c>
      <c r="I754" s="36" t="s">
        <v>4580</v>
      </c>
      <c r="J754" s="34" t="s">
        <v>4581</v>
      </c>
      <c r="K754" s="34" t="s">
        <v>4582</v>
      </c>
      <c r="L754" s="37"/>
      <c r="M754" s="37"/>
      <c r="N754" s="37"/>
      <c r="O754" s="37"/>
      <c r="P754" s="37"/>
      <c r="Q754" s="37"/>
      <c r="R754" s="31" t="n">
        <f aca="false">COUNT($M754:$Q754)</f>
        <v>0</v>
      </c>
      <c r="S754" s="32" t="str">
        <f aca="false">IF($L754="","",IF($R754&gt;=5,"",MAX($L754:$Q754)+CHOOSE($R754+1,SETTINGS!$C$9,SETTINGS!$C$10,SETTINGS!$C$11,SETTINGS!$C$12,SETTINGS!$C$13)))</f>
        <v/>
      </c>
      <c r="T754" s="34" t="str">
        <f aca="true">IF($H754="","(chưa có nội dung)",IF($L754="",IF($C754&lt;TODAY(),"⚠ TRỄ HỌC",IF($C754=TODAY(),"★ HỌC HÔM NAY","• Chưa tới")),IF($R754&gt;=5,"✔ MASTER",IF($S754&lt;TODAY(),"⚠ TRỄ ÔN",IF($S754=TODAY(),"◆ ÔN HÔM NAY","✔ Đúng tiến độ")))))</f>
        <v>• Chưa tới</v>
      </c>
      <c r="U754" s="38" t="n">
        <f aca="false">IF($H754="","",$R754/5)</f>
        <v>0</v>
      </c>
    </row>
    <row r="755" customFormat="false" ht="15" hidden="false" customHeight="false" outlineLevel="0" collapsed="false">
      <c r="A755" s="31" t="s">
        <v>4583</v>
      </c>
      <c r="B755" s="31" t="n">
        <v>38</v>
      </c>
      <c r="C755" s="32" t="n">
        <f aca="false">SETTINGS!$C$3+$B755-1</f>
        <v>46337</v>
      </c>
      <c r="D755" s="40" t="s">
        <v>3692</v>
      </c>
      <c r="E755" s="34" t="s">
        <v>4513</v>
      </c>
      <c r="F755" s="34" t="s">
        <v>280</v>
      </c>
      <c r="G755" s="34" t="s">
        <v>4584</v>
      </c>
      <c r="H755" s="35" t="s">
        <v>4585</v>
      </c>
      <c r="I755" s="36" t="s">
        <v>4586</v>
      </c>
      <c r="J755" s="34" t="s">
        <v>4587</v>
      </c>
      <c r="K755" s="34" t="s">
        <v>4588</v>
      </c>
      <c r="L755" s="37"/>
      <c r="M755" s="37"/>
      <c r="N755" s="37"/>
      <c r="O755" s="37"/>
      <c r="P755" s="37"/>
      <c r="Q755" s="37"/>
      <c r="R755" s="31" t="n">
        <f aca="false">COUNT($M755:$Q755)</f>
        <v>0</v>
      </c>
      <c r="S755" s="32" t="str">
        <f aca="false">IF($L755="","",IF($R755&gt;=5,"",MAX($L755:$Q755)+CHOOSE($R755+1,SETTINGS!$C$9,SETTINGS!$C$10,SETTINGS!$C$11,SETTINGS!$C$12,SETTINGS!$C$13)))</f>
        <v/>
      </c>
      <c r="T755" s="34" t="str">
        <f aca="true">IF($H755="","(chưa có nội dung)",IF($L755="",IF($C755&lt;TODAY(),"⚠ TRỄ HỌC",IF($C755=TODAY(),"★ HỌC HÔM NAY","• Chưa tới")),IF($R755&gt;=5,"✔ MASTER",IF($S755&lt;TODAY(),"⚠ TRỄ ÔN",IF($S755=TODAY(),"◆ ÔN HÔM NAY","✔ Đúng tiến độ")))))</f>
        <v>• Chưa tới</v>
      </c>
      <c r="U755" s="38" t="n">
        <f aca="false">IF($H755="","",$R755/5)</f>
        <v>0</v>
      </c>
    </row>
    <row r="756" customFormat="false" ht="15" hidden="false" customHeight="false" outlineLevel="0" collapsed="false">
      <c r="A756" s="31" t="s">
        <v>4589</v>
      </c>
      <c r="B756" s="31" t="n">
        <v>38</v>
      </c>
      <c r="C756" s="32" t="n">
        <f aca="false">SETTINGS!$C$3+$B756-1</f>
        <v>46337</v>
      </c>
      <c r="D756" s="40" t="s">
        <v>3692</v>
      </c>
      <c r="E756" s="34" t="s">
        <v>4513</v>
      </c>
      <c r="F756" s="34" t="s">
        <v>3694</v>
      </c>
      <c r="G756" s="34" t="s">
        <v>4590</v>
      </c>
      <c r="H756" s="35" t="s">
        <v>4591</v>
      </c>
      <c r="I756" s="36" t="s">
        <v>4592</v>
      </c>
      <c r="J756" s="34" t="s">
        <v>4593</v>
      </c>
      <c r="K756" s="34" t="s">
        <v>4594</v>
      </c>
      <c r="L756" s="37"/>
      <c r="M756" s="37"/>
      <c r="N756" s="37"/>
      <c r="O756" s="37"/>
      <c r="P756" s="37"/>
      <c r="Q756" s="37"/>
      <c r="R756" s="31" t="n">
        <f aca="false">COUNT($M756:$Q756)</f>
        <v>0</v>
      </c>
      <c r="S756" s="32" t="str">
        <f aca="false">IF($L756="","",IF($R756&gt;=5,"",MAX($L756:$Q756)+CHOOSE($R756+1,SETTINGS!$C$9,SETTINGS!$C$10,SETTINGS!$C$11,SETTINGS!$C$12,SETTINGS!$C$13)))</f>
        <v/>
      </c>
      <c r="T756" s="34" t="str">
        <f aca="true">IF($H756="","(chưa có nội dung)",IF($L756="",IF($C756&lt;TODAY(),"⚠ TRỄ HỌC",IF($C756=TODAY(),"★ HỌC HÔM NAY","• Chưa tới")),IF($R756&gt;=5,"✔ MASTER",IF($S756&lt;TODAY(),"⚠ TRỄ ÔN",IF($S756=TODAY(),"◆ ÔN HÔM NAY","✔ Đúng tiến độ")))))</f>
        <v>• Chưa tới</v>
      </c>
      <c r="U756" s="38" t="n">
        <f aca="false">IF($H756="","",$R756/5)</f>
        <v>0</v>
      </c>
    </row>
    <row r="757" customFormat="false" ht="15" hidden="false" customHeight="false" outlineLevel="0" collapsed="false">
      <c r="A757" s="31" t="s">
        <v>4595</v>
      </c>
      <c r="B757" s="31" t="n">
        <v>38</v>
      </c>
      <c r="C757" s="32" t="n">
        <f aca="false">SETTINGS!$C$3+$B757-1</f>
        <v>46337</v>
      </c>
      <c r="D757" s="40" t="s">
        <v>3692</v>
      </c>
      <c r="E757" s="34" t="s">
        <v>4513</v>
      </c>
      <c r="F757" s="34" t="s">
        <v>280</v>
      </c>
      <c r="G757" s="34" t="s">
        <v>4596</v>
      </c>
      <c r="H757" s="35" t="s">
        <v>4597</v>
      </c>
      <c r="I757" s="36" t="s">
        <v>4598</v>
      </c>
      <c r="J757" s="34" t="s">
        <v>4599</v>
      </c>
      <c r="K757" s="34" t="s">
        <v>4600</v>
      </c>
      <c r="L757" s="37"/>
      <c r="M757" s="37"/>
      <c r="N757" s="37"/>
      <c r="O757" s="37"/>
      <c r="P757" s="37"/>
      <c r="Q757" s="37"/>
      <c r="R757" s="31" t="n">
        <f aca="false">COUNT($M757:$Q757)</f>
        <v>0</v>
      </c>
      <c r="S757" s="32" t="str">
        <f aca="false">IF($L757="","",IF($R757&gt;=5,"",MAX($L757:$Q757)+CHOOSE($R757+1,SETTINGS!$C$9,SETTINGS!$C$10,SETTINGS!$C$11,SETTINGS!$C$12,SETTINGS!$C$13)))</f>
        <v/>
      </c>
      <c r="T757" s="34" t="str">
        <f aca="true">IF($H757="","(chưa có nội dung)",IF($L757="",IF($C757&lt;TODAY(),"⚠ TRỄ HỌC",IF($C757=TODAY(),"★ HỌC HÔM NAY","• Chưa tới")),IF($R757&gt;=5,"✔ MASTER",IF($S757&lt;TODAY(),"⚠ TRỄ ÔN",IF($S757=TODAY(),"◆ ÔN HÔM NAY","✔ Đúng tiến độ")))))</f>
        <v>• Chưa tới</v>
      </c>
      <c r="U757" s="38" t="n">
        <f aca="false">IF($H757="","",$R757/5)</f>
        <v>0</v>
      </c>
    </row>
    <row r="758" customFormat="false" ht="15" hidden="false" customHeight="false" outlineLevel="0" collapsed="false">
      <c r="A758" s="31" t="s">
        <v>4601</v>
      </c>
      <c r="B758" s="31" t="n">
        <v>38</v>
      </c>
      <c r="C758" s="32" t="n">
        <f aca="false">SETTINGS!$C$3+$B758-1</f>
        <v>46337</v>
      </c>
      <c r="D758" s="40" t="s">
        <v>3692</v>
      </c>
      <c r="E758" s="34" t="s">
        <v>4513</v>
      </c>
      <c r="F758" s="34" t="s">
        <v>280</v>
      </c>
      <c r="G758" s="34" t="s">
        <v>4602</v>
      </c>
      <c r="H758" s="35" t="s">
        <v>4603</v>
      </c>
      <c r="I758" s="36" t="s">
        <v>4604</v>
      </c>
      <c r="J758" s="34" t="s">
        <v>4605</v>
      </c>
      <c r="K758" s="34" t="s">
        <v>4606</v>
      </c>
      <c r="L758" s="37"/>
      <c r="M758" s="37"/>
      <c r="N758" s="37"/>
      <c r="O758" s="37"/>
      <c r="P758" s="37"/>
      <c r="Q758" s="37"/>
      <c r="R758" s="31" t="n">
        <f aca="false">COUNT($M758:$Q758)</f>
        <v>0</v>
      </c>
      <c r="S758" s="32" t="str">
        <f aca="false">IF($L758="","",IF($R758&gt;=5,"",MAX($L758:$Q758)+CHOOSE($R758+1,SETTINGS!$C$9,SETTINGS!$C$10,SETTINGS!$C$11,SETTINGS!$C$12,SETTINGS!$C$13)))</f>
        <v/>
      </c>
      <c r="T758" s="34" t="str">
        <f aca="true">IF($H758="","(chưa có nội dung)",IF($L758="",IF($C758&lt;TODAY(),"⚠ TRỄ HỌC",IF($C758=TODAY(),"★ HỌC HÔM NAY","• Chưa tới")),IF($R758&gt;=5,"✔ MASTER",IF($S758&lt;TODAY(),"⚠ TRỄ ÔN",IF($S758=TODAY(),"◆ ÔN HÔM NAY","✔ Đúng tiến độ")))))</f>
        <v>• Chưa tới</v>
      </c>
      <c r="U758" s="38" t="n">
        <f aca="false">IF($H758="","",$R758/5)</f>
        <v>0</v>
      </c>
    </row>
    <row r="759" customFormat="false" ht="15" hidden="false" customHeight="false" outlineLevel="0" collapsed="false">
      <c r="A759" s="31" t="s">
        <v>4607</v>
      </c>
      <c r="B759" s="31" t="n">
        <v>38</v>
      </c>
      <c r="C759" s="32" t="n">
        <f aca="false">SETTINGS!$C$3+$B759-1</f>
        <v>46337</v>
      </c>
      <c r="D759" s="40" t="s">
        <v>3692</v>
      </c>
      <c r="E759" s="34" t="s">
        <v>4513</v>
      </c>
      <c r="F759" s="34" t="s">
        <v>280</v>
      </c>
      <c r="G759" s="34" t="s">
        <v>4608</v>
      </c>
      <c r="H759" s="35" t="s">
        <v>4609</v>
      </c>
      <c r="I759" s="36" t="s">
        <v>4610</v>
      </c>
      <c r="J759" s="34" t="s">
        <v>4611</v>
      </c>
      <c r="K759" s="34" t="s">
        <v>4612</v>
      </c>
      <c r="L759" s="37"/>
      <c r="M759" s="37"/>
      <c r="N759" s="37"/>
      <c r="O759" s="37"/>
      <c r="P759" s="37"/>
      <c r="Q759" s="37"/>
      <c r="R759" s="31" t="n">
        <f aca="false">COUNT($M759:$Q759)</f>
        <v>0</v>
      </c>
      <c r="S759" s="32" t="str">
        <f aca="false">IF($L759="","",IF($R759&gt;=5,"",MAX($L759:$Q759)+CHOOSE($R759+1,SETTINGS!$C$9,SETTINGS!$C$10,SETTINGS!$C$11,SETTINGS!$C$12,SETTINGS!$C$13)))</f>
        <v/>
      </c>
      <c r="T759" s="34" t="str">
        <f aca="true">IF($H759="","(chưa có nội dung)",IF($L759="",IF($C759&lt;TODAY(),"⚠ TRỄ HỌC",IF($C759=TODAY(),"★ HỌC HÔM NAY","• Chưa tới")),IF($R759&gt;=5,"✔ MASTER",IF($S759&lt;TODAY(),"⚠ TRỄ ÔN",IF($S759=TODAY(),"◆ ÔN HÔM NAY","✔ Đúng tiến độ")))))</f>
        <v>• Chưa tới</v>
      </c>
      <c r="U759" s="38" t="n">
        <f aca="false">IF($H759="","",$R759/5)</f>
        <v>0</v>
      </c>
    </row>
    <row r="760" customFormat="false" ht="26.85" hidden="false" customHeight="false" outlineLevel="0" collapsed="false">
      <c r="A760" s="31" t="s">
        <v>4613</v>
      </c>
      <c r="B760" s="31" t="n">
        <v>38</v>
      </c>
      <c r="C760" s="32" t="n">
        <f aca="false">SETTINGS!$C$3+$B760-1</f>
        <v>46337</v>
      </c>
      <c r="D760" s="40" t="s">
        <v>3692</v>
      </c>
      <c r="E760" s="34" t="s">
        <v>4513</v>
      </c>
      <c r="F760" s="34" t="s">
        <v>280</v>
      </c>
      <c r="G760" s="34" t="s">
        <v>4614</v>
      </c>
      <c r="H760" s="35" t="s">
        <v>4615</v>
      </c>
      <c r="I760" s="36" t="s">
        <v>4616</v>
      </c>
      <c r="J760" s="34" t="s">
        <v>4617</v>
      </c>
      <c r="K760" s="34" t="s">
        <v>4618</v>
      </c>
      <c r="L760" s="37"/>
      <c r="M760" s="37"/>
      <c r="N760" s="37"/>
      <c r="O760" s="37"/>
      <c r="P760" s="37"/>
      <c r="Q760" s="37"/>
      <c r="R760" s="31" t="n">
        <f aca="false">COUNT($M760:$Q760)</f>
        <v>0</v>
      </c>
      <c r="S760" s="32" t="str">
        <f aca="false">IF($L760="","",IF($R760&gt;=5,"",MAX($L760:$Q760)+CHOOSE($R760+1,SETTINGS!$C$9,SETTINGS!$C$10,SETTINGS!$C$11,SETTINGS!$C$12,SETTINGS!$C$13)))</f>
        <v/>
      </c>
      <c r="T760" s="34" t="str">
        <f aca="true">IF($H760="","(chưa có nội dung)",IF($L760="",IF($C760&lt;TODAY(),"⚠ TRỄ HỌC",IF($C760=TODAY(),"★ HỌC HÔM NAY","• Chưa tới")),IF($R760&gt;=5,"✔ MASTER",IF($S760&lt;TODAY(),"⚠ TRỄ ÔN",IF($S760=TODAY(),"◆ ÔN HÔM NAY","✔ Đúng tiến độ")))))</f>
        <v>• Chưa tới</v>
      </c>
      <c r="U760" s="38" t="n">
        <f aca="false">IF($H760="","",$R760/5)</f>
        <v>0</v>
      </c>
    </row>
    <row r="761" customFormat="false" ht="15" hidden="false" customHeight="false" outlineLevel="0" collapsed="false">
      <c r="A761" s="31" t="s">
        <v>4619</v>
      </c>
      <c r="B761" s="31" t="n">
        <v>38</v>
      </c>
      <c r="C761" s="32" t="n">
        <f aca="false">SETTINGS!$C$3+$B761-1</f>
        <v>46337</v>
      </c>
      <c r="D761" s="40" t="s">
        <v>3692</v>
      </c>
      <c r="E761" s="34" t="s">
        <v>4513</v>
      </c>
      <c r="F761" s="34" t="s">
        <v>280</v>
      </c>
      <c r="G761" s="34" t="s">
        <v>4620</v>
      </c>
      <c r="H761" s="35" t="s">
        <v>4621</v>
      </c>
      <c r="I761" s="36" t="s">
        <v>4622</v>
      </c>
      <c r="J761" s="34" t="s">
        <v>4623</v>
      </c>
      <c r="K761" s="34" t="s">
        <v>4624</v>
      </c>
      <c r="L761" s="37"/>
      <c r="M761" s="37"/>
      <c r="N761" s="37"/>
      <c r="O761" s="37"/>
      <c r="P761" s="37"/>
      <c r="Q761" s="37"/>
      <c r="R761" s="31" t="n">
        <f aca="false">COUNT($M761:$Q761)</f>
        <v>0</v>
      </c>
      <c r="S761" s="32" t="str">
        <f aca="false">IF($L761="","",IF($R761&gt;=5,"",MAX($L761:$Q761)+CHOOSE($R761+1,SETTINGS!$C$9,SETTINGS!$C$10,SETTINGS!$C$11,SETTINGS!$C$12,SETTINGS!$C$13)))</f>
        <v/>
      </c>
      <c r="T761" s="34" t="str">
        <f aca="true">IF($H761="","(chưa có nội dung)",IF($L761="",IF($C761&lt;TODAY(),"⚠ TRỄ HỌC",IF($C761=TODAY(),"★ HỌC HÔM NAY","• Chưa tới")),IF($R761&gt;=5,"✔ MASTER",IF($S761&lt;TODAY(),"⚠ TRỄ ÔN",IF($S761=TODAY(),"◆ ÔN HÔM NAY","✔ Đúng tiến độ")))))</f>
        <v>• Chưa tới</v>
      </c>
      <c r="U761" s="38" t="n">
        <f aca="false">IF($H761="","",$R761/5)</f>
        <v>0</v>
      </c>
    </row>
    <row r="762" customFormat="false" ht="15" hidden="false" customHeight="false" outlineLevel="0" collapsed="false">
      <c r="A762" s="31" t="s">
        <v>4625</v>
      </c>
      <c r="B762" s="31" t="n">
        <v>38</v>
      </c>
      <c r="C762" s="32" t="n">
        <f aca="false">SETTINGS!$C$3+$B762-1</f>
        <v>46337</v>
      </c>
      <c r="D762" s="40" t="s">
        <v>3692</v>
      </c>
      <c r="E762" s="34" t="s">
        <v>4513</v>
      </c>
      <c r="F762" s="34" t="s">
        <v>3694</v>
      </c>
      <c r="G762" s="34" t="s">
        <v>4626</v>
      </c>
      <c r="H762" s="35" t="s">
        <v>4627</v>
      </c>
      <c r="I762" s="36" t="s">
        <v>4628</v>
      </c>
      <c r="J762" s="34" t="s">
        <v>4629</v>
      </c>
      <c r="K762" s="34" t="s">
        <v>4630</v>
      </c>
      <c r="L762" s="37"/>
      <c r="M762" s="37"/>
      <c r="N762" s="37"/>
      <c r="O762" s="37"/>
      <c r="P762" s="37"/>
      <c r="Q762" s="37"/>
      <c r="R762" s="31" t="n">
        <f aca="false">COUNT($M762:$Q762)</f>
        <v>0</v>
      </c>
      <c r="S762" s="32" t="str">
        <f aca="false">IF($L762="","",IF($R762&gt;=5,"",MAX($L762:$Q762)+CHOOSE($R762+1,SETTINGS!$C$9,SETTINGS!$C$10,SETTINGS!$C$11,SETTINGS!$C$12,SETTINGS!$C$13)))</f>
        <v/>
      </c>
      <c r="T762" s="34" t="str">
        <f aca="true">IF($H762="","(chưa có nội dung)",IF($L762="",IF($C762&lt;TODAY(),"⚠ TRỄ HỌC",IF($C762=TODAY(),"★ HỌC HÔM NAY","• Chưa tới")),IF($R762&gt;=5,"✔ MASTER",IF($S762&lt;TODAY(),"⚠ TRỄ ÔN",IF($S762=TODAY(),"◆ ÔN HÔM NAY","✔ Đúng tiến độ")))))</f>
        <v>• Chưa tới</v>
      </c>
      <c r="U762" s="38" t="n">
        <f aca="false">IF($H762="","",$R762/5)</f>
        <v>0</v>
      </c>
    </row>
    <row r="763" customFormat="false" ht="15" hidden="false" customHeight="false" outlineLevel="0" collapsed="false">
      <c r="A763" s="31" t="s">
        <v>4631</v>
      </c>
      <c r="B763" s="31" t="n">
        <v>39</v>
      </c>
      <c r="C763" s="32" t="n">
        <f aca="false">SETTINGS!$C$3+$B763-1</f>
        <v>46338</v>
      </c>
      <c r="D763" s="40" t="s">
        <v>3692</v>
      </c>
      <c r="E763" s="34" t="s">
        <v>4632</v>
      </c>
      <c r="F763" s="34" t="s">
        <v>3656</v>
      </c>
      <c r="G763" s="34" t="s">
        <v>4633</v>
      </c>
      <c r="H763" s="35" t="s">
        <v>4634</v>
      </c>
      <c r="I763" s="36" t="s">
        <v>4635</v>
      </c>
      <c r="J763" s="34" t="s">
        <v>4636</v>
      </c>
      <c r="K763" s="34" t="s">
        <v>4126</v>
      </c>
      <c r="L763" s="37"/>
      <c r="M763" s="37"/>
      <c r="N763" s="37"/>
      <c r="O763" s="37"/>
      <c r="P763" s="37"/>
      <c r="Q763" s="37"/>
      <c r="R763" s="31" t="n">
        <f aca="false">COUNT($M763:$Q763)</f>
        <v>0</v>
      </c>
      <c r="S763" s="32" t="str">
        <f aca="false">IF($L763="","",IF($R763&gt;=5,"",MAX($L763:$Q763)+CHOOSE($R763+1,SETTINGS!$C$9,SETTINGS!$C$10,SETTINGS!$C$11,SETTINGS!$C$12,SETTINGS!$C$13)))</f>
        <v/>
      </c>
      <c r="T763" s="34" t="str">
        <f aca="true">IF($H763="","(chưa có nội dung)",IF($L763="",IF($C763&lt;TODAY(),"⚠ TRỄ HỌC",IF($C763=TODAY(),"★ HỌC HÔM NAY","• Chưa tới")),IF($R763&gt;=5,"✔ MASTER",IF($S763&lt;TODAY(),"⚠ TRỄ ÔN",IF($S763=TODAY(),"◆ ÔN HÔM NAY","✔ Đúng tiến độ")))))</f>
        <v>• Chưa tới</v>
      </c>
      <c r="U763" s="38" t="n">
        <f aca="false">IF($H763="","",$R763/5)</f>
        <v>0</v>
      </c>
    </row>
    <row r="764" customFormat="false" ht="15" hidden="false" customHeight="false" outlineLevel="0" collapsed="false">
      <c r="A764" s="31" t="s">
        <v>4637</v>
      </c>
      <c r="B764" s="31" t="n">
        <v>39</v>
      </c>
      <c r="C764" s="32" t="n">
        <f aca="false">SETTINGS!$C$3+$B764-1</f>
        <v>46338</v>
      </c>
      <c r="D764" s="40" t="s">
        <v>3692</v>
      </c>
      <c r="E764" s="34" t="s">
        <v>4632</v>
      </c>
      <c r="F764" s="34" t="s">
        <v>3656</v>
      </c>
      <c r="G764" s="34" t="s">
        <v>4638</v>
      </c>
      <c r="H764" s="35" t="s">
        <v>4639</v>
      </c>
      <c r="I764" s="36" t="s">
        <v>4640</v>
      </c>
      <c r="J764" s="34" t="s">
        <v>4641</v>
      </c>
      <c r="K764" s="34" t="s">
        <v>4642</v>
      </c>
      <c r="L764" s="37"/>
      <c r="M764" s="37"/>
      <c r="N764" s="37"/>
      <c r="O764" s="37"/>
      <c r="P764" s="37"/>
      <c r="Q764" s="37"/>
      <c r="R764" s="31" t="n">
        <f aca="false">COUNT($M764:$Q764)</f>
        <v>0</v>
      </c>
      <c r="S764" s="32" t="str">
        <f aca="false">IF($L764="","",IF($R764&gt;=5,"",MAX($L764:$Q764)+CHOOSE($R764+1,SETTINGS!$C$9,SETTINGS!$C$10,SETTINGS!$C$11,SETTINGS!$C$12,SETTINGS!$C$13)))</f>
        <v/>
      </c>
      <c r="T764" s="34" t="str">
        <f aca="true">IF($H764="","(chưa có nội dung)",IF($L764="",IF($C764&lt;TODAY(),"⚠ TRỄ HỌC",IF($C764=TODAY(),"★ HỌC HÔM NAY","• Chưa tới")),IF($R764&gt;=5,"✔ MASTER",IF($S764&lt;TODAY(),"⚠ TRỄ ÔN",IF($S764=TODAY(),"◆ ÔN HÔM NAY","✔ Đúng tiến độ")))))</f>
        <v>• Chưa tới</v>
      </c>
      <c r="U764" s="38" t="n">
        <f aca="false">IF($H764="","",$R764/5)</f>
        <v>0</v>
      </c>
    </row>
    <row r="765" customFormat="false" ht="15" hidden="false" customHeight="false" outlineLevel="0" collapsed="false">
      <c r="A765" s="31" t="s">
        <v>4643</v>
      </c>
      <c r="B765" s="31" t="n">
        <v>39</v>
      </c>
      <c r="C765" s="32" t="n">
        <f aca="false">SETTINGS!$C$3+$B765-1</f>
        <v>46338</v>
      </c>
      <c r="D765" s="40" t="s">
        <v>3692</v>
      </c>
      <c r="E765" s="34" t="s">
        <v>4632</v>
      </c>
      <c r="F765" s="34" t="s">
        <v>3656</v>
      </c>
      <c r="G765" s="34" t="s">
        <v>4644</v>
      </c>
      <c r="H765" s="35" t="s">
        <v>4645</v>
      </c>
      <c r="I765" s="36" t="s">
        <v>4646</v>
      </c>
      <c r="J765" s="34" t="s">
        <v>4647</v>
      </c>
      <c r="K765" s="34" t="s">
        <v>2473</v>
      </c>
      <c r="L765" s="37"/>
      <c r="M765" s="37"/>
      <c r="N765" s="37"/>
      <c r="O765" s="37"/>
      <c r="P765" s="37"/>
      <c r="Q765" s="37"/>
      <c r="R765" s="31" t="n">
        <f aca="false">COUNT($M765:$Q765)</f>
        <v>0</v>
      </c>
      <c r="S765" s="32" t="str">
        <f aca="false">IF($L765="","",IF($R765&gt;=5,"",MAX($L765:$Q765)+CHOOSE($R765+1,SETTINGS!$C$9,SETTINGS!$C$10,SETTINGS!$C$11,SETTINGS!$C$12,SETTINGS!$C$13)))</f>
        <v/>
      </c>
      <c r="T765" s="34" t="str">
        <f aca="true">IF($H765="","(chưa có nội dung)",IF($L765="",IF($C765&lt;TODAY(),"⚠ TRỄ HỌC",IF($C765=TODAY(),"★ HỌC HÔM NAY","• Chưa tới")),IF($R765&gt;=5,"✔ MASTER",IF($S765&lt;TODAY(),"⚠ TRỄ ÔN",IF($S765=TODAY(),"◆ ÔN HÔM NAY","✔ Đúng tiến độ")))))</f>
        <v>• Chưa tới</v>
      </c>
      <c r="U765" s="38" t="n">
        <f aca="false">IF($H765="","",$R765/5)</f>
        <v>0</v>
      </c>
    </row>
    <row r="766" customFormat="false" ht="15" hidden="false" customHeight="false" outlineLevel="0" collapsed="false">
      <c r="A766" s="31" t="s">
        <v>4648</v>
      </c>
      <c r="B766" s="31" t="n">
        <v>39</v>
      </c>
      <c r="C766" s="32" t="n">
        <f aca="false">SETTINGS!$C$3+$B766-1</f>
        <v>46338</v>
      </c>
      <c r="D766" s="40" t="s">
        <v>3692</v>
      </c>
      <c r="E766" s="34" t="s">
        <v>4632</v>
      </c>
      <c r="F766" s="34" t="s">
        <v>3656</v>
      </c>
      <c r="G766" s="34" t="s">
        <v>4649</v>
      </c>
      <c r="H766" s="35" t="s">
        <v>4650</v>
      </c>
      <c r="I766" s="36" t="s">
        <v>4651</v>
      </c>
      <c r="J766" s="34" t="s">
        <v>4652</v>
      </c>
      <c r="K766" s="34" t="s">
        <v>4653</v>
      </c>
      <c r="L766" s="37"/>
      <c r="M766" s="37"/>
      <c r="N766" s="37"/>
      <c r="O766" s="37"/>
      <c r="P766" s="37"/>
      <c r="Q766" s="37"/>
      <c r="R766" s="31" t="n">
        <f aca="false">COUNT($M766:$Q766)</f>
        <v>0</v>
      </c>
      <c r="S766" s="32" t="str">
        <f aca="false">IF($L766="","",IF($R766&gt;=5,"",MAX($L766:$Q766)+CHOOSE($R766+1,SETTINGS!$C$9,SETTINGS!$C$10,SETTINGS!$C$11,SETTINGS!$C$12,SETTINGS!$C$13)))</f>
        <v/>
      </c>
      <c r="T766" s="34" t="str">
        <f aca="true">IF($H766="","(chưa có nội dung)",IF($L766="",IF($C766&lt;TODAY(),"⚠ TRỄ HỌC",IF($C766=TODAY(),"★ HỌC HÔM NAY","• Chưa tới")),IF($R766&gt;=5,"✔ MASTER",IF($S766&lt;TODAY(),"⚠ TRỄ ÔN",IF($S766=TODAY(),"◆ ÔN HÔM NAY","✔ Đúng tiến độ")))))</f>
        <v>• Chưa tới</v>
      </c>
      <c r="U766" s="38" t="n">
        <f aca="false">IF($H766="","",$R766/5)</f>
        <v>0</v>
      </c>
    </row>
    <row r="767" customFormat="false" ht="15" hidden="false" customHeight="false" outlineLevel="0" collapsed="false">
      <c r="A767" s="31" t="s">
        <v>4654</v>
      </c>
      <c r="B767" s="31" t="n">
        <v>39</v>
      </c>
      <c r="C767" s="32" t="n">
        <f aca="false">SETTINGS!$C$3+$B767-1</f>
        <v>46338</v>
      </c>
      <c r="D767" s="40" t="s">
        <v>3692</v>
      </c>
      <c r="E767" s="34" t="s">
        <v>4632</v>
      </c>
      <c r="F767" s="34" t="s">
        <v>3656</v>
      </c>
      <c r="G767" s="34" t="s">
        <v>4655</v>
      </c>
      <c r="H767" s="35" t="s">
        <v>4656</v>
      </c>
      <c r="I767" s="36" t="s">
        <v>4657</v>
      </c>
      <c r="J767" s="34" t="s">
        <v>4658</v>
      </c>
      <c r="K767" s="34" t="s">
        <v>4659</v>
      </c>
      <c r="L767" s="37"/>
      <c r="M767" s="37"/>
      <c r="N767" s="37"/>
      <c r="O767" s="37"/>
      <c r="P767" s="37"/>
      <c r="Q767" s="37"/>
      <c r="R767" s="31" t="n">
        <f aca="false">COUNT($M767:$Q767)</f>
        <v>0</v>
      </c>
      <c r="S767" s="32" t="str">
        <f aca="false">IF($L767="","",IF($R767&gt;=5,"",MAX($L767:$Q767)+CHOOSE($R767+1,SETTINGS!$C$9,SETTINGS!$C$10,SETTINGS!$C$11,SETTINGS!$C$12,SETTINGS!$C$13)))</f>
        <v/>
      </c>
      <c r="T767" s="34" t="str">
        <f aca="true">IF($H767="","(chưa có nội dung)",IF($L767="",IF($C767&lt;TODAY(),"⚠ TRỄ HỌC",IF($C767=TODAY(),"★ HỌC HÔM NAY","• Chưa tới")),IF($R767&gt;=5,"✔ MASTER",IF($S767&lt;TODAY(),"⚠ TRỄ ÔN",IF($S767=TODAY(),"◆ ÔN HÔM NAY","✔ Đúng tiến độ")))))</f>
        <v>• Chưa tới</v>
      </c>
      <c r="U767" s="38" t="n">
        <f aca="false">IF($H767="","",$R767/5)</f>
        <v>0</v>
      </c>
    </row>
    <row r="768" customFormat="false" ht="15" hidden="false" customHeight="false" outlineLevel="0" collapsed="false">
      <c r="A768" s="31" t="s">
        <v>4660</v>
      </c>
      <c r="B768" s="31" t="n">
        <v>39</v>
      </c>
      <c r="C768" s="32" t="n">
        <f aca="false">SETTINGS!$C$3+$B768-1</f>
        <v>46338</v>
      </c>
      <c r="D768" s="40" t="s">
        <v>3692</v>
      </c>
      <c r="E768" s="34" t="s">
        <v>4632</v>
      </c>
      <c r="F768" s="34" t="s">
        <v>3656</v>
      </c>
      <c r="G768" s="34" t="s">
        <v>4661</v>
      </c>
      <c r="H768" s="35" t="s">
        <v>4662</v>
      </c>
      <c r="I768" s="36" t="s">
        <v>4663</v>
      </c>
      <c r="J768" s="34" t="s">
        <v>4664</v>
      </c>
      <c r="K768" s="34" t="s">
        <v>4665</v>
      </c>
      <c r="L768" s="37"/>
      <c r="M768" s="37"/>
      <c r="N768" s="37"/>
      <c r="O768" s="37"/>
      <c r="P768" s="37"/>
      <c r="Q768" s="37"/>
      <c r="R768" s="31" t="n">
        <f aca="false">COUNT($M768:$Q768)</f>
        <v>0</v>
      </c>
      <c r="S768" s="32" t="str">
        <f aca="false">IF($L768="","",IF($R768&gt;=5,"",MAX($L768:$Q768)+CHOOSE($R768+1,SETTINGS!$C$9,SETTINGS!$C$10,SETTINGS!$C$11,SETTINGS!$C$12,SETTINGS!$C$13)))</f>
        <v/>
      </c>
      <c r="T768" s="34" t="str">
        <f aca="true">IF($H768="","(chưa có nội dung)",IF($L768="",IF($C768&lt;TODAY(),"⚠ TRỄ HỌC",IF($C768=TODAY(),"★ HỌC HÔM NAY","• Chưa tới")),IF($R768&gt;=5,"✔ MASTER",IF($S768&lt;TODAY(),"⚠ TRỄ ÔN",IF($S768=TODAY(),"◆ ÔN HÔM NAY","✔ Đúng tiến độ")))))</f>
        <v>• Chưa tới</v>
      </c>
      <c r="U768" s="38" t="n">
        <f aca="false">IF($H768="","",$R768/5)</f>
        <v>0</v>
      </c>
    </row>
    <row r="769" customFormat="false" ht="15" hidden="false" customHeight="false" outlineLevel="0" collapsed="false">
      <c r="A769" s="31" t="s">
        <v>4666</v>
      </c>
      <c r="B769" s="31" t="n">
        <v>39</v>
      </c>
      <c r="C769" s="32" t="n">
        <f aca="false">SETTINGS!$C$3+$B769-1</f>
        <v>46338</v>
      </c>
      <c r="D769" s="40" t="s">
        <v>3692</v>
      </c>
      <c r="E769" s="34" t="s">
        <v>4632</v>
      </c>
      <c r="F769" s="34" t="s">
        <v>3656</v>
      </c>
      <c r="G769" s="34" t="s">
        <v>2553</v>
      </c>
      <c r="H769" s="35" t="s">
        <v>4667</v>
      </c>
      <c r="I769" s="36" t="s">
        <v>4668</v>
      </c>
      <c r="J769" s="34" t="s">
        <v>4669</v>
      </c>
      <c r="K769" s="34" t="s">
        <v>4670</v>
      </c>
      <c r="L769" s="37"/>
      <c r="M769" s="37"/>
      <c r="N769" s="37"/>
      <c r="O769" s="37"/>
      <c r="P769" s="37"/>
      <c r="Q769" s="37"/>
      <c r="R769" s="31" t="n">
        <f aca="false">COUNT($M769:$Q769)</f>
        <v>0</v>
      </c>
      <c r="S769" s="32" t="str">
        <f aca="false">IF($L769="","",IF($R769&gt;=5,"",MAX($L769:$Q769)+CHOOSE($R769+1,SETTINGS!$C$9,SETTINGS!$C$10,SETTINGS!$C$11,SETTINGS!$C$12,SETTINGS!$C$13)))</f>
        <v/>
      </c>
      <c r="T769" s="34" t="str">
        <f aca="true">IF($H769="","(chưa có nội dung)",IF($L769="",IF($C769&lt;TODAY(),"⚠ TRỄ HỌC",IF($C769=TODAY(),"★ HỌC HÔM NAY","• Chưa tới")),IF($R769&gt;=5,"✔ MASTER",IF($S769&lt;TODAY(),"⚠ TRỄ ÔN",IF($S769=TODAY(),"◆ ÔN HÔM NAY","✔ Đúng tiến độ")))))</f>
        <v>• Chưa tới</v>
      </c>
      <c r="U769" s="38" t="n">
        <f aca="false">IF($H769="","",$R769/5)</f>
        <v>0</v>
      </c>
    </row>
    <row r="770" customFormat="false" ht="15" hidden="false" customHeight="false" outlineLevel="0" collapsed="false">
      <c r="A770" s="31" t="s">
        <v>4671</v>
      </c>
      <c r="B770" s="31" t="n">
        <v>39</v>
      </c>
      <c r="C770" s="32" t="n">
        <f aca="false">SETTINGS!$C$3+$B770-1</f>
        <v>46338</v>
      </c>
      <c r="D770" s="40" t="s">
        <v>3692</v>
      </c>
      <c r="E770" s="34" t="s">
        <v>4632</v>
      </c>
      <c r="F770" s="34" t="s">
        <v>3656</v>
      </c>
      <c r="G770" s="34" t="s">
        <v>4672</v>
      </c>
      <c r="H770" s="35" t="s">
        <v>4673</v>
      </c>
      <c r="I770" s="36" t="s">
        <v>4674</v>
      </c>
      <c r="J770" s="34" t="s">
        <v>4675</v>
      </c>
      <c r="K770" s="34" t="s">
        <v>4676</v>
      </c>
      <c r="L770" s="37"/>
      <c r="M770" s="37"/>
      <c r="N770" s="37"/>
      <c r="O770" s="37"/>
      <c r="P770" s="37"/>
      <c r="Q770" s="37"/>
      <c r="R770" s="31" t="n">
        <f aca="false">COUNT($M770:$Q770)</f>
        <v>0</v>
      </c>
      <c r="S770" s="32" t="str">
        <f aca="false">IF($L770="","",IF($R770&gt;=5,"",MAX($L770:$Q770)+CHOOSE($R770+1,SETTINGS!$C$9,SETTINGS!$C$10,SETTINGS!$C$11,SETTINGS!$C$12,SETTINGS!$C$13)))</f>
        <v/>
      </c>
      <c r="T770" s="34" t="str">
        <f aca="true">IF($H770="","(chưa có nội dung)",IF($L770="",IF($C770&lt;TODAY(),"⚠ TRỄ HỌC",IF($C770=TODAY(),"★ HỌC HÔM NAY","• Chưa tới")),IF($R770&gt;=5,"✔ MASTER",IF($S770&lt;TODAY(),"⚠ TRỄ ÔN",IF($S770=TODAY(),"◆ ÔN HÔM NAY","✔ Đúng tiến độ")))))</f>
        <v>• Chưa tới</v>
      </c>
      <c r="U770" s="38" t="n">
        <f aca="false">IF($H770="","",$R770/5)</f>
        <v>0</v>
      </c>
    </row>
    <row r="771" customFormat="false" ht="15" hidden="false" customHeight="false" outlineLevel="0" collapsed="false">
      <c r="A771" s="31" t="s">
        <v>4677</v>
      </c>
      <c r="B771" s="31" t="n">
        <v>39</v>
      </c>
      <c r="C771" s="32" t="n">
        <f aca="false">SETTINGS!$C$3+$B771-1</f>
        <v>46338</v>
      </c>
      <c r="D771" s="40" t="s">
        <v>3692</v>
      </c>
      <c r="E771" s="34" t="s">
        <v>4632</v>
      </c>
      <c r="F771" s="34" t="s">
        <v>3656</v>
      </c>
      <c r="G771" s="34" t="s">
        <v>4678</v>
      </c>
      <c r="H771" s="35" t="s">
        <v>4679</v>
      </c>
      <c r="I771" s="36" t="s">
        <v>4680</v>
      </c>
      <c r="J771" s="34" t="s">
        <v>4681</v>
      </c>
      <c r="K771" s="34" t="s">
        <v>4682</v>
      </c>
      <c r="L771" s="37"/>
      <c r="M771" s="37"/>
      <c r="N771" s="37"/>
      <c r="O771" s="37"/>
      <c r="P771" s="37"/>
      <c r="Q771" s="37"/>
      <c r="R771" s="31" t="n">
        <f aca="false">COUNT($M771:$Q771)</f>
        <v>0</v>
      </c>
      <c r="S771" s="32" t="str">
        <f aca="false">IF($L771="","",IF($R771&gt;=5,"",MAX($L771:$Q771)+CHOOSE($R771+1,SETTINGS!$C$9,SETTINGS!$C$10,SETTINGS!$C$11,SETTINGS!$C$12,SETTINGS!$C$13)))</f>
        <v/>
      </c>
      <c r="T771" s="34" t="str">
        <f aca="true">IF($H771="","(chưa có nội dung)",IF($L771="",IF($C771&lt;TODAY(),"⚠ TRỄ HỌC",IF($C771=TODAY(),"★ HỌC HÔM NAY","• Chưa tới")),IF($R771&gt;=5,"✔ MASTER",IF($S771&lt;TODAY(),"⚠ TRỄ ÔN",IF($S771=TODAY(),"◆ ÔN HÔM NAY","✔ Đúng tiến độ")))))</f>
        <v>• Chưa tới</v>
      </c>
      <c r="U771" s="38" t="n">
        <f aca="false">IF($H771="","",$R771/5)</f>
        <v>0</v>
      </c>
    </row>
    <row r="772" customFormat="false" ht="15" hidden="false" customHeight="false" outlineLevel="0" collapsed="false">
      <c r="A772" s="31" t="s">
        <v>4683</v>
      </c>
      <c r="B772" s="31" t="n">
        <v>39</v>
      </c>
      <c r="C772" s="32" t="n">
        <f aca="false">SETTINGS!$C$3+$B772-1</f>
        <v>46338</v>
      </c>
      <c r="D772" s="40" t="s">
        <v>3692</v>
      </c>
      <c r="E772" s="34" t="s">
        <v>4632</v>
      </c>
      <c r="F772" s="34" t="s">
        <v>3656</v>
      </c>
      <c r="G772" s="34" t="s">
        <v>4684</v>
      </c>
      <c r="H772" s="35" t="s">
        <v>4685</v>
      </c>
      <c r="I772" s="36" t="s">
        <v>4686</v>
      </c>
      <c r="J772" s="34" t="s">
        <v>4687</v>
      </c>
      <c r="K772" s="34" t="s">
        <v>4688</v>
      </c>
      <c r="L772" s="37"/>
      <c r="M772" s="37"/>
      <c r="N772" s="37"/>
      <c r="O772" s="37"/>
      <c r="P772" s="37"/>
      <c r="Q772" s="37"/>
      <c r="R772" s="31" t="n">
        <f aca="false">COUNT($M772:$Q772)</f>
        <v>0</v>
      </c>
      <c r="S772" s="32" t="str">
        <f aca="false">IF($L772="","",IF($R772&gt;=5,"",MAX($L772:$Q772)+CHOOSE($R772+1,SETTINGS!$C$9,SETTINGS!$C$10,SETTINGS!$C$11,SETTINGS!$C$12,SETTINGS!$C$13)))</f>
        <v/>
      </c>
      <c r="T772" s="34" t="str">
        <f aca="true">IF($H772="","(chưa có nội dung)",IF($L772="",IF($C772&lt;TODAY(),"⚠ TRỄ HỌC",IF($C772=TODAY(),"★ HỌC HÔM NAY","• Chưa tới")),IF($R772&gt;=5,"✔ MASTER",IF($S772&lt;TODAY(),"⚠ TRỄ ÔN",IF($S772=TODAY(),"◆ ÔN HÔM NAY","✔ Đúng tiến độ")))))</f>
        <v>• Chưa tới</v>
      </c>
      <c r="U772" s="38" t="n">
        <f aca="false">IF($H772="","",$R772/5)</f>
        <v>0</v>
      </c>
    </row>
    <row r="773" customFormat="false" ht="15" hidden="false" customHeight="false" outlineLevel="0" collapsed="false">
      <c r="A773" s="31" t="s">
        <v>4689</v>
      </c>
      <c r="B773" s="31" t="n">
        <v>39</v>
      </c>
      <c r="C773" s="32" t="n">
        <f aca="false">SETTINGS!$C$3+$B773-1</f>
        <v>46338</v>
      </c>
      <c r="D773" s="40" t="s">
        <v>3692</v>
      </c>
      <c r="E773" s="34" t="s">
        <v>4632</v>
      </c>
      <c r="F773" s="34" t="s">
        <v>3656</v>
      </c>
      <c r="G773" s="34" t="s">
        <v>4690</v>
      </c>
      <c r="H773" s="35" t="s">
        <v>4691</v>
      </c>
      <c r="I773" s="36" t="s">
        <v>4692</v>
      </c>
      <c r="J773" s="34" t="s">
        <v>4693</v>
      </c>
      <c r="K773" s="34" t="s">
        <v>4694</v>
      </c>
      <c r="L773" s="37"/>
      <c r="M773" s="37"/>
      <c r="N773" s="37"/>
      <c r="O773" s="37"/>
      <c r="P773" s="37"/>
      <c r="Q773" s="37"/>
      <c r="R773" s="31" t="n">
        <f aca="false">COUNT($M773:$Q773)</f>
        <v>0</v>
      </c>
      <c r="S773" s="32" t="str">
        <f aca="false">IF($L773="","",IF($R773&gt;=5,"",MAX($L773:$Q773)+CHOOSE($R773+1,SETTINGS!$C$9,SETTINGS!$C$10,SETTINGS!$C$11,SETTINGS!$C$12,SETTINGS!$C$13)))</f>
        <v/>
      </c>
      <c r="T773" s="34" t="str">
        <f aca="true">IF($H773="","(chưa có nội dung)",IF($L773="",IF($C773&lt;TODAY(),"⚠ TRỄ HỌC",IF($C773=TODAY(),"★ HỌC HÔM NAY","• Chưa tới")),IF($R773&gt;=5,"✔ MASTER",IF($S773&lt;TODAY(),"⚠ TRỄ ÔN",IF($S773=TODAY(),"◆ ÔN HÔM NAY","✔ Đúng tiến độ")))))</f>
        <v>• Chưa tới</v>
      </c>
      <c r="U773" s="38" t="n">
        <f aca="false">IF($H773="","",$R773/5)</f>
        <v>0</v>
      </c>
    </row>
    <row r="774" customFormat="false" ht="26.85" hidden="false" customHeight="false" outlineLevel="0" collapsed="false">
      <c r="A774" s="31" t="s">
        <v>4695</v>
      </c>
      <c r="B774" s="31" t="n">
        <v>39</v>
      </c>
      <c r="C774" s="32" t="n">
        <f aca="false">SETTINGS!$C$3+$B774-1</f>
        <v>46338</v>
      </c>
      <c r="D774" s="40" t="s">
        <v>3692</v>
      </c>
      <c r="E774" s="34" t="s">
        <v>4632</v>
      </c>
      <c r="F774" s="34" t="s">
        <v>3656</v>
      </c>
      <c r="G774" s="34" t="s">
        <v>4696</v>
      </c>
      <c r="H774" s="35" t="s">
        <v>4697</v>
      </c>
      <c r="I774" s="36" t="s">
        <v>4698</v>
      </c>
      <c r="J774" s="34" t="s">
        <v>4699</v>
      </c>
      <c r="K774" s="34" t="s">
        <v>4700</v>
      </c>
      <c r="L774" s="37"/>
      <c r="M774" s="37"/>
      <c r="N774" s="37"/>
      <c r="O774" s="37"/>
      <c r="P774" s="37"/>
      <c r="Q774" s="37"/>
      <c r="R774" s="31" t="n">
        <f aca="false">COUNT($M774:$Q774)</f>
        <v>0</v>
      </c>
      <c r="S774" s="32" t="str">
        <f aca="false">IF($L774="","",IF($R774&gt;=5,"",MAX($L774:$Q774)+CHOOSE($R774+1,SETTINGS!$C$9,SETTINGS!$C$10,SETTINGS!$C$11,SETTINGS!$C$12,SETTINGS!$C$13)))</f>
        <v/>
      </c>
      <c r="T774" s="34" t="str">
        <f aca="true">IF($H774="","(chưa có nội dung)",IF($L774="",IF($C774&lt;TODAY(),"⚠ TRỄ HỌC",IF($C774=TODAY(),"★ HỌC HÔM NAY","• Chưa tới")),IF($R774&gt;=5,"✔ MASTER",IF($S774&lt;TODAY(),"⚠ TRỄ ÔN",IF($S774=TODAY(),"◆ ÔN HÔM NAY","✔ Đúng tiến độ")))))</f>
        <v>• Chưa tới</v>
      </c>
      <c r="U774" s="38" t="n">
        <f aca="false">IF($H774="","",$R774/5)</f>
        <v>0</v>
      </c>
    </row>
    <row r="775" customFormat="false" ht="15" hidden="false" customHeight="false" outlineLevel="0" collapsed="false">
      <c r="A775" s="31" t="s">
        <v>4701</v>
      </c>
      <c r="B775" s="31" t="n">
        <v>39</v>
      </c>
      <c r="C775" s="32" t="n">
        <f aca="false">SETTINGS!$C$3+$B775-1</f>
        <v>46338</v>
      </c>
      <c r="D775" s="40" t="s">
        <v>3692</v>
      </c>
      <c r="E775" s="34" t="s">
        <v>4632</v>
      </c>
      <c r="F775" s="34" t="s">
        <v>3656</v>
      </c>
      <c r="G775" s="34" t="s">
        <v>4702</v>
      </c>
      <c r="H775" s="35" t="s">
        <v>4703</v>
      </c>
      <c r="I775" s="36" t="s">
        <v>4704</v>
      </c>
      <c r="J775" s="34" t="s">
        <v>4705</v>
      </c>
      <c r="K775" s="34" t="s">
        <v>4706</v>
      </c>
      <c r="L775" s="37"/>
      <c r="M775" s="37"/>
      <c r="N775" s="37"/>
      <c r="O775" s="37"/>
      <c r="P775" s="37"/>
      <c r="Q775" s="37"/>
      <c r="R775" s="31" t="n">
        <f aca="false">COUNT($M775:$Q775)</f>
        <v>0</v>
      </c>
      <c r="S775" s="32" t="str">
        <f aca="false">IF($L775="","",IF($R775&gt;=5,"",MAX($L775:$Q775)+CHOOSE($R775+1,SETTINGS!$C$9,SETTINGS!$C$10,SETTINGS!$C$11,SETTINGS!$C$12,SETTINGS!$C$13)))</f>
        <v/>
      </c>
      <c r="T775" s="34" t="str">
        <f aca="true">IF($H775="","(chưa có nội dung)",IF($L775="",IF($C775&lt;TODAY(),"⚠ TRỄ HỌC",IF($C775=TODAY(),"★ HỌC HÔM NAY","• Chưa tới")),IF($R775&gt;=5,"✔ MASTER",IF($S775&lt;TODAY(),"⚠ TRỄ ÔN",IF($S775=TODAY(),"◆ ÔN HÔM NAY","✔ Đúng tiến độ")))))</f>
        <v>• Chưa tới</v>
      </c>
      <c r="U775" s="38" t="n">
        <f aca="false">IF($H775="","",$R775/5)</f>
        <v>0</v>
      </c>
    </row>
    <row r="776" customFormat="false" ht="15" hidden="false" customHeight="false" outlineLevel="0" collapsed="false">
      <c r="A776" s="31" t="s">
        <v>4707</v>
      </c>
      <c r="B776" s="31" t="n">
        <v>39</v>
      </c>
      <c r="C776" s="32" t="n">
        <f aca="false">SETTINGS!$C$3+$B776-1</f>
        <v>46338</v>
      </c>
      <c r="D776" s="40" t="s">
        <v>3692</v>
      </c>
      <c r="E776" s="34" t="s">
        <v>4632</v>
      </c>
      <c r="F776" s="34" t="s">
        <v>3656</v>
      </c>
      <c r="G776" s="34" t="s">
        <v>4708</v>
      </c>
      <c r="H776" s="35" t="s">
        <v>4709</v>
      </c>
      <c r="I776" s="36" t="s">
        <v>4710</v>
      </c>
      <c r="J776" s="34" t="s">
        <v>4711</v>
      </c>
      <c r="K776" s="34" t="s">
        <v>1959</v>
      </c>
      <c r="L776" s="37"/>
      <c r="M776" s="37"/>
      <c r="N776" s="37"/>
      <c r="O776" s="37"/>
      <c r="P776" s="37"/>
      <c r="Q776" s="37"/>
      <c r="R776" s="31" t="n">
        <f aca="false">COUNT($M776:$Q776)</f>
        <v>0</v>
      </c>
      <c r="S776" s="32" t="str">
        <f aca="false">IF($L776="","",IF($R776&gt;=5,"",MAX($L776:$Q776)+CHOOSE($R776+1,SETTINGS!$C$9,SETTINGS!$C$10,SETTINGS!$C$11,SETTINGS!$C$12,SETTINGS!$C$13)))</f>
        <v/>
      </c>
      <c r="T776" s="34" t="str">
        <f aca="true">IF($H776="","(chưa có nội dung)",IF($L776="",IF($C776&lt;TODAY(),"⚠ TRỄ HỌC",IF($C776=TODAY(),"★ HỌC HÔM NAY","• Chưa tới")),IF($R776&gt;=5,"✔ MASTER",IF($S776&lt;TODAY(),"⚠ TRỄ ÔN",IF($S776=TODAY(),"◆ ÔN HÔM NAY","✔ Đúng tiến độ")))))</f>
        <v>• Chưa tới</v>
      </c>
      <c r="U776" s="38" t="n">
        <f aca="false">IF($H776="","",$R776/5)</f>
        <v>0</v>
      </c>
    </row>
    <row r="777" customFormat="false" ht="15" hidden="false" customHeight="false" outlineLevel="0" collapsed="false">
      <c r="A777" s="31" t="s">
        <v>4712</v>
      </c>
      <c r="B777" s="31" t="n">
        <v>39</v>
      </c>
      <c r="C777" s="32" t="n">
        <f aca="false">SETTINGS!$C$3+$B777-1</f>
        <v>46338</v>
      </c>
      <c r="D777" s="40" t="s">
        <v>3692</v>
      </c>
      <c r="E777" s="34" t="s">
        <v>4632</v>
      </c>
      <c r="F777" s="34" t="s">
        <v>3656</v>
      </c>
      <c r="G777" s="34" t="s">
        <v>4713</v>
      </c>
      <c r="H777" s="35" t="s">
        <v>4714</v>
      </c>
      <c r="I777" s="36" t="s">
        <v>4715</v>
      </c>
      <c r="J777" s="34" t="s">
        <v>4716</v>
      </c>
      <c r="K777" s="34" t="s">
        <v>4713</v>
      </c>
      <c r="L777" s="37"/>
      <c r="M777" s="37"/>
      <c r="N777" s="37"/>
      <c r="O777" s="37"/>
      <c r="P777" s="37"/>
      <c r="Q777" s="37"/>
      <c r="R777" s="31" t="n">
        <f aca="false">COUNT($M777:$Q777)</f>
        <v>0</v>
      </c>
      <c r="S777" s="32" t="str">
        <f aca="false">IF($L777="","",IF($R777&gt;=5,"",MAX($L777:$Q777)+CHOOSE($R777+1,SETTINGS!$C$9,SETTINGS!$C$10,SETTINGS!$C$11,SETTINGS!$C$12,SETTINGS!$C$13)))</f>
        <v/>
      </c>
      <c r="T777" s="34" t="str">
        <f aca="true">IF($H777="","(chưa có nội dung)",IF($L777="",IF($C777&lt;TODAY(),"⚠ TRỄ HỌC",IF($C777=TODAY(),"★ HỌC HÔM NAY","• Chưa tới")),IF($R777&gt;=5,"✔ MASTER",IF($S777&lt;TODAY(),"⚠ TRỄ ÔN",IF($S777=TODAY(),"◆ ÔN HÔM NAY","✔ Đúng tiến độ")))))</f>
        <v>• Chưa tới</v>
      </c>
      <c r="U777" s="38" t="n">
        <f aca="false">IF($H777="","",$R777/5)</f>
        <v>0</v>
      </c>
    </row>
    <row r="778" customFormat="false" ht="15" hidden="false" customHeight="false" outlineLevel="0" collapsed="false">
      <c r="A778" s="31" t="s">
        <v>4717</v>
      </c>
      <c r="B778" s="31" t="n">
        <v>39</v>
      </c>
      <c r="C778" s="32" t="n">
        <f aca="false">SETTINGS!$C$3+$B778-1</f>
        <v>46338</v>
      </c>
      <c r="D778" s="40" t="s">
        <v>3692</v>
      </c>
      <c r="E778" s="34" t="s">
        <v>4632</v>
      </c>
      <c r="F778" s="34" t="s">
        <v>3656</v>
      </c>
      <c r="G778" s="34" t="s">
        <v>4718</v>
      </c>
      <c r="H778" s="35" t="s">
        <v>4719</v>
      </c>
      <c r="I778" s="36" t="s">
        <v>4720</v>
      </c>
      <c r="J778" s="34" t="s">
        <v>4721</v>
      </c>
      <c r="K778" s="34" t="s">
        <v>4718</v>
      </c>
      <c r="L778" s="37"/>
      <c r="M778" s="37"/>
      <c r="N778" s="37"/>
      <c r="O778" s="37"/>
      <c r="P778" s="37"/>
      <c r="Q778" s="37"/>
      <c r="R778" s="31" t="n">
        <f aca="false">COUNT($M778:$Q778)</f>
        <v>0</v>
      </c>
      <c r="S778" s="32" t="str">
        <f aca="false">IF($L778="","",IF($R778&gt;=5,"",MAX($L778:$Q778)+CHOOSE($R778+1,SETTINGS!$C$9,SETTINGS!$C$10,SETTINGS!$C$11,SETTINGS!$C$12,SETTINGS!$C$13)))</f>
        <v/>
      </c>
      <c r="T778" s="34" t="str">
        <f aca="true">IF($H778="","(chưa có nội dung)",IF($L778="",IF($C778&lt;TODAY(),"⚠ TRỄ HỌC",IF($C778=TODAY(),"★ HỌC HÔM NAY","• Chưa tới")),IF($R778&gt;=5,"✔ MASTER",IF($S778&lt;TODAY(),"⚠ TRỄ ÔN",IF($S778=TODAY(),"◆ ÔN HÔM NAY","✔ Đúng tiến độ")))))</f>
        <v>• Chưa tới</v>
      </c>
      <c r="U778" s="38" t="n">
        <f aca="false">IF($H778="","",$R778/5)</f>
        <v>0</v>
      </c>
    </row>
    <row r="779" customFormat="false" ht="15" hidden="false" customHeight="false" outlineLevel="0" collapsed="false">
      <c r="A779" s="31" t="s">
        <v>4722</v>
      </c>
      <c r="B779" s="31" t="n">
        <v>39</v>
      </c>
      <c r="C779" s="32" t="n">
        <f aca="false">SETTINGS!$C$3+$B779-1</f>
        <v>46338</v>
      </c>
      <c r="D779" s="40" t="s">
        <v>3692</v>
      </c>
      <c r="E779" s="34" t="s">
        <v>4632</v>
      </c>
      <c r="F779" s="34" t="s">
        <v>3656</v>
      </c>
      <c r="G779" s="34" t="s">
        <v>4723</v>
      </c>
      <c r="H779" s="35" t="s">
        <v>4724</v>
      </c>
      <c r="I779" s="36" t="s">
        <v>4725</v>
      </c>
      <c r="J779" s="34" t="s">
        <v>4726</v>
      </c>
      <c r="K779" s="34" t="s">
        <v>4727</v>
      </c>
      <c r="L779" s="37"/>
      <c r="M779" s="37"/>
      <c r="N779" s="37"/>
      <c r="O779" s="37"/>
      <c r="P779" s="37"/>
      <c r="Q779" s="37"/>
      <c r="R779" s="31" t="n">
        <f aca="false">COUNT($M779:$Q779)</f>
        <v>0</v>
      </c>
      <c r="S779" s="32" t="str">
        <f aca="false">IF($L779="","",IF($R779&gt;=5,"",MAX($L779:$Q779)+CHOOSE($R779+1,SETTINGS!$C$9,SETTINGS!$C$10,SETTINGS!$C$11,SETTINGS!$C$12,SETTINGS!$C$13)))</f>
        <v/>
      </c>
      <c r="T779" s="34" t="str">
        <f aca="true">IF($H779="","(chưa có nội dung)",IF($L779="",IF($C779&lt;TODAY(),"⚠ TRỄ HỌC",IF($C779=TODAY(),"★ HỌC HÔM NAY","• Chưa tới")),IF($R779&gt;=5,"✔ MASTER",IF($S779&lt;TODAY(),"⚠ TRỄ ÔN",IF($S779=TODAY(),"◆ ÔN HÔM NAY","✔ Đúng tiến độ")))))</f>
        <v>• Chưa tới</v>
      </c>
      <c r="U779" s="38" t="n">
        <f aca="false">IF($H779="","",$R779/5)</f>
        <v>0</v>
      </c>
    </row>
    <row r="780" customFormat="false" ht="26.85" hidden="false" customHeight="false" outlineLevel="0" collapsed="false">
      <c r="A780" s="31" t="s">
        <v>4728</v>
      </c>
      <c r="B780" s="31" t="n">
        <v>39</v>
      </c>
      <c r="C780" s="32" t="n">
        <f aca="false">SETTINGS!$C$3+$B780-1</f>
        <v>46338</v>
      </c>
      <c r="D780" s="40" t="s">
        <v>3692</v>
      </c>
      <c r="E780" s="34" t="s">
        <v>4632</v>
      </c>
      <c r="F780" s="34" t="s">
        <v>3656</v>
      </c>
      <c r="G780" s="34" t="s">
        <v>4729</v>
      </c>
      <c r="H780" s="35" t="s">
        <v>4730</v>
      </c>
      <c r="I780" s="36" t="s">
        <v>4731</v>
      </c>
      <c r="J780" s="34" t="s">
        <v>4732</v>
      </c>
      <c r="K780" s="34" t="s">
        <v>4733</v>
      </c>
      <c r="L780" s="37"/>
      <c r="M780" s="37"/>
      <c r="N780" s="37"/>
      <c r="O780" s="37"/>
      <c r="P780" s="37"/>
      <c r="Q780" s="37"/>
      <c r="R780" s="31" t="n">
        <f aca="false">COUNT($M780:$Q780)</f>
        <v>0</v>
      </c>
      <c r="S780" s="32" t="str">
        <f aca="false">IF($L780="","",IF($R780&gt;=5,"",MAX($L780:$Q780)+CHOOSE($R780+1,SETTINGS!$C$9,SETTINGS!$C$10,SETTINGS!$C$11,SETTINGS!$C$12,SETTINGS!$C$13)))</f>
        <v/>
      </c>
      <c r="T780" s="34" t="str">
        <f aca="true">IF($H780="","(chưa có nội dung)",IF($L780="",IF($C780&lt;TODAY(),"⚠ TRỄ HỌC",IF($C780=TODAY(),"★ HỌC HÔM NAY","• Chưa tới")),IF($R780&gt;=5,"✔ MASTER",IF($S780&lt;TODAY(),"⚠ TRỄ ÔN",IF($S780=TODAY(),"◆ ÔN HÔM NAY","✔ Đúng tiến độ")))))</f>
        <v>• Chưa tới</v>
      </c>
      <c r="U780" s="38" t="n">
        <f aca="false">IF($H780="","",$R780/5)</f>
        <v>0</v>
      </c>
    </row>
    <row r="781" customFormat="false" ht="15" hidden="false" customHeight="false" outlineLevel="0" collapsed="false">
      <c r="A781" s="31" t="s">
        <v>4734</v>
      </c>
      <c r="B781" s="31" t="n">
        <v>39</v>
      </c>
      <c r="C781" s="32" t="n">
        <f aca="false">SETTINGS!$C$3+$B781-1</f>
        <v>46338</v>
      </c>
      <c r="D781" s="40" t="s">
        <v>3692</v>
      </c>
      <c r="E781" s="34" t="s">
        <v>4632</v>
      </c>
      <c r="F781" s="34" t="s">
        <v>3656</v>
      </c>
      <c r="G781" s="34" t="s">
        <v>4735</v>
      </c>
      <c r="H781" s="35" t="s">
        <v>4736</v>
      </c>
      <c r="I781" s="36" t="s">
        <v>4737</v>
      </c>
      <c r="J781" s="34" t="s">
        <v>4738</v>
      </c>
      <c r="K781" s="34" t="s">
        <v>4739</v>
      </c>
      <c r="L781" s="37"/>
      <c r="M781" s="37"/>
      <c r="N781" s="37"/>
      <c r="O781" s="37"/>
      <c r="P781" s="37"/>
      <c r="Q781" s="37"/>
      <c r="R781" s="31" t="n">
        <f aca="false">COUNT($M781:$Q781)</f>
        <v>0</v>
      </c>
      <c r="S781" s="32" t="str">
        <f aca="false">IF($L781="","",IF($R781&gt;=5,"",MAX($L781:$Q781)+CHOOSE($R781+1,SETTINGS!$C$9,SETTINGS!$C$10,SETTINGS!$C$11,SETTINGS!$C$12,SETTINGS!$C$13)))</f>
        <v/>
      </c>
      <c r="T781" s="34" t="str">
        <f aca="true">IF($H781="","(chưa có nội dung)",IF($L781="",IF($C781&lt;TODAY(),"⚠ TRỄ HỌC",IF($C781=TODAY(),"★ HỌC HÔM NAY","• Chưa tới")),IF($R781&gt;=5,"✔ MASTER",IF($S781&lt;TODAY(),"⚠ TRỄ ÔN",IF($S781=TODAY(),"◆ ÔN HÔM NAY","✔ Đúng tiến độ")))))</f>
        <v>• Chưa tới</v>
      </c>
      <c r="U781" s="38" t="n">
        <f aca="false">IF($H781="","",$R781/5)</f>
        <v>0</v>
      </c>
    </row>
    <row r="782" customFormat="false" ht="15" hidden="false" customHeight="false" outlineLevel="0" collapsed="false">
      <c r="A782" s="31" t="s">
        <v>4740</v>
      </c>
      <c r="B782" s="31" t="n">
        <v>39</v>
      </c>
      <c r="C782" s="32" t="n">
        <f aca="false">SETTINGS!$C$3+$B782-1</f>
        <v>46338</v>
      </c>
      <c r="D782" s="40" t="s">
        <v>3692</v>
      </c>
      <c r="E782" s="34" t="s">
        <v>4632</v>
      </c>
      <c r="F782" s="34" t="s">
        <v>163</v>
      </c>
      <c r="G782" s="34" t="s">
        <v>4741</v>
      </c>
      <c r="H782" s="35" t="s">
        <v>4742</v>
      </c>
      <c r="I782" s="36" t="s">
        <v>4743</v>
      </c>
      <c r="J782" s="34" t="s">
        <v>4744</v>
      </c>
      <c r="K782" s="34" t="s">
        <v>4745</v>
      </c>
      <c r="L782" s="37"/>
      <c r="M782" s="37"/>
      <c r="N782" s="37"/>
      <c r="O782" s="37"/>
      <c r="P782" s="37"/>
      <c r="Q782" s="37"/>
      <c r="R782" s="31" t="n">
        <f aca="false">COUNT($M782:$Q782)</f>
        <v>0</v>
      </c>
      <c r="S782" s="32" t="str">
        <f aca="false">IF($L782="","",IF($R782&gt;=5,"",MAX($L782:$Q782)+CHOOSE($R782+1,SETTINGS!$C$9,SETTINGS!$C$10,SETTINGS!$C$11,SETTINGS!$C$12,SETTINGS!$C$13)))</f>
        <v/>
      </c>
      <c r="T782" s="34" t="str">
        <f aca="true">IF($H782="","(chưa có nội dung)",IF($L782="",IF($C782&lt;TODAY(),"⚠ TRỄ HỌC",IF($C782=TODAY(),"★ HỌC HÔM NAY","• Chưa tới")),IF($R782&gt;=5,"✔ MASTER",IF($S782&lt;TODAY(),"⚠ TRỄ ÔN",IF($S782=TODAY(),"◆ ÔN HÔM NAY","✔ Đúng tiến độ")))))</f>
        <v>• Chưa tới</v>
      </c>
      <c r="U782" s="38" t="n">
        <f aca="false">IF($H782="","",$R782/5)</f>
        <v>0</v>
      </c>
    </row>
    <row r="783" customFormat="false" ht="23.85" hidden="false" customHeight="false" outlineLevel="0" collapsed="false">
      <c r="A783" s="31" t="s">
        <v>4746</v>
      </c>
      <c r="B783" s="31" t="n">
        <v>40</v>
      </c>
      <c r="C783" s="32" t="n">
        <f aca="false">SETTINGS!$C$3+$B783-1</f>
        <v>46339</v>
      </c>
      <c r="D783" s="40" t="s">
        <v>3692</v>
      </c>
      <c r="E783" s="34" t="s">
        <v>4747</v>
      </c>
      <c r="F783" s="34" t="s">
        <v>3656</v>
      </c>
      <c r="G783" s="34" t="s">
        <v>4748</v>
      </c>
      <c r="H783" s="35" t="s">
        <v>4749</v>
      </c>
      <c r="I783" s="36" t="s">
        <v>4750</v>
      </c>
      <c r="J783" s="34" t="s">
        <v>4751</v>
      </c>
      <c r="K783" s="34" t="s">
        <v>4752</v>
      </c>
      <c r="L783" s="37"/>
      <c r="M783" s="37"/>
      <c r="N783" s="37"/>
      <c r="O783" s="37"/>
      <c r="P783" s="37"/>
      <c r="Q783" s="37"/>
      <c r="R783" s="31" t="n">
        <f aca="false">COUNT($M783:$Q783)</f>
        <v>0</v>
      </c>
      <c r="S783" s="32" t="str">
        <f aca="false">IF($L783="","",IF($R783&gt;=5,"",MAX($L783:$Q783)+CHOOSE($R783+1,SETTINGS!$C$9,SETTINGS!$C$10,SETTINGS!$C$11,SETTINGS!$C$12,SETTINGS!$C$13)))</f>
        <v/>
      </c>
      <c r="T783" s="34" t="str">
        <f aca="true">IF($H783="","(chưa có nội dung)",IF($L783="",IF($C783&lt;TODAY(),"⚠ TRỄ HỌC",IF($C783=TODAY(),"★ HỌC HÔM NAY","• Chưa tới")),IF($R783&gt;=5,"✔ MASTER",IF($S783&lt;TODAY(),"⚠ TRỄ ÔN",IF($S783=TODAY(),"◆ ÔN HÔM NAY","✔ Đúng tiến độ")))))</f>
        <v>• Chưa tới</v>
      </c>
      <c r="U783" s="38" t="n">
        <f aca="false">IF($H783="","",$R783/5)</f>
        <v>0</v>
      </c>
    </row>
    <row r="784" customFormat="false" ht="23.85" hidden="false" customHeight="false" outlineLevel="0" collapsed="false">
      <c r="A784" s="31" t="s">
        <v>4753</v>
      </c>
      <c r="B784" s="31" t="n">
        <v>40</v>
      </c>
      <c r="C784" s="32" t="n">
        <f aca="false">SETTINGS!$C$3+$B784-1</f>
        <v>46339</v>
      </c>
      <c r="D784" s="40" t="s">
        <v>3692</v>
      </c>
      <c r="E784" s="34" t="s">
        <v>4747</v>
      </c>
      <c r="F784" s="34" t="s">
        <v>3656</v>
      </c>
      <c r="G784" s="34" t="s">
        <v>4754</v>
      </c>
      <c r="H784" s="35" t="s">
        <v>4755</v>
      </c>
      <c r="I784" s="36" t="s">
        <v>4756</v>
      </c>
      <c r="J784" s="34" t="s">
        <v>4757</v>
      </c>
      <c r="K784" s="34" t="s">
        <v>4758</v>
      </c>
      <c r="L784" s="37"/>
      <c r="M784" s="37"/>
      <c r="N784" s="37"/>
      <c r="O784" s="37"/>
      <c r="P784" s="37"/>
      <c r="Q784" s="37"/>
      <c r="R784" s="31" t="n">
        <f aca="false">COUNT($M784:$Q784)</f>
        <v>0</v>
      </c>
      <c r="S784" s="32" t="str">
        <f aca="false">IF($L784="","",IF($R784&gt;=5,"",MAX($L784:$Q784)+CHOOSE($R784+1,SETTINGS!$C$9,SETTINGS!$C$10,SETTINGS!$C$11,SETTINGS!$C$12,SETTINGS!$C$13)))</f>
        <v/>
      </c>
      <c r="T784" s="34" t="str">
        <f aca="true">IF($H784="","(chưa có nội dung)",IF($L784="",IF($C784&lt;TODAY(),"⚠ TRỄ HỌC",IF($C784=TODAY(),"★ HỌC HÔM NAY","• Chưa tới")),IF($R784&gt;=5,"✔ MASTER",IF($S784&lt;TODAY(),"⚠ TRỄ ÔN",IF($S784=TODAY(),"◆ ÔN HÔM NAY","✔ Đúng tiến độ")))))</f>
        <v>• Chưa tới</v>
      </c>
      <c r="U784" s="38" t="n">
        <f aca="false">IF($H784="","",$R784/5)</f>
        <v>0</v>
      </c>
    </row>
    <row r="785" customFormat="false" ht="23.85" hidden="false" customHeight="false" outlineLevel="0" collapsed="false">
      <c r="A785" s="31" t="s">
        <v>4759</v>
      </c>
      <c r="B785" s="31" t="n">
        <v>40</v>
      </c>
      <c r="C785" s="32" t="n">
        <f aca="false">SETTINGS!$C$3+$B785-1</f>
        <v>46339</v>
      </c>
      <c r="D785" s="40" t="s">
        <v>3692</v>
      </c>
      <c r="E785" s="34" t="s">
        <v>4747</v>
      </c>
      <c r="F785" s="34" t="s">
        <v>3656</v>
      </c>
      <c r="G785" s="34" t="s">
        <v>4760</v>
      </c>
      <c r="H785" s="35" t="s">
        <v>4761</v>
      </c>
      <c r="I785" s="36" t="s">
        <v>4762</v>
      </c>
      <c r="J785" s="34" t="s">
        <v>4763</v>
      </c>
      <c r="K785" s="34" t="s">
        <v>4764</v>
      </c>
      <c r="L785" s="37"/>
      <c r="M785" s="37"/>
      <c r="N785" s="37"/>
      <c r="O785" s="37"/>
      <c r="P785" s="37"/>
      <c r="Q785" s="37"/>
      <c r="R785" s="31" t="n">
        <f aca="false">COUNT($M785:$Q785)</f>
        <v>0</v>
      </c>
      <c r="S785" s="32" t="str">
        <f aca="false">IF($L785="","",IF($R785&gt;=5,"",MAX($L785:$Q785)+CHOOSE($R785+1,SETTINGS!$C$9,SETTINGS!$C$10,SETTINGS!$C$11,SETTINGS!$C$12,SETTINGS!$C$13)))</f>
        <v/>
      </c>
      <c r="T785" s="34" t="str">
        <f aca="true">IF($H785="","(chưa có nội dung)",IF($L785="",IF($C785&lt;TODAY(),"⚠ TRỄ HỌC",IF($C785=TODAY(),"★ HỌC HÔM NAY","• Chưa tới")),IF($R785&gt;=5,"✔ MASTER",IF($S785&lt;TODAY(),"⚠ TRỄ ÔN",IF($S785=TODAY(),"◆ ÔN HÔM NAY","✔ Đúng tiến độ")))))</f>
        <v>• Chưa tới</v>
      </c>
      <c r="U785" s="38" t="n">
        <f aca="false">IF($H785="","",$R785/5)</f>
        <v>0</v>
      </c>
    </row>
    <row r="786" customFormat="false" ht="23.85" hidden="false" customHeight="false" outlineLevel="0" collapsed="false">
      <c r="A786" s="31" t="s">
        <v>4765</v>
      </c>
      <c r="B786" s="31" t="n">
        <v>40</v>
      </c>
      <c r="C786" s="32" t="n">
        <f aca="false">SETTINGS!$C$3+$B786-1</f>
        <v>46339</v>
      </c>
      <c r="D786" s="40" t="s">
        <v>3692</v>
      </c>
      <c r="E786" s="34" t="s">
        <v>4747</v>
      </c>
      <c r="F786" s="34" t="s">
        <v>3656</v>
      </c>
      <c r="G786" s="34" t="s">
        <v>4766</v>
      </c>
      <c r="H786" s="35" t="s">
        <v>4767</v>
      </c>
      <c r="I786" s="36" t="s">
        <v>4768</v>
      </c>
      <c r="J786" s="34" t="s">
        <v>4769</v>
      </c>
      <c r="K786" s="34" t="s">
        <v>4770</v>
      </c>
      <c r="L786" s="37"/>
      <c r="M786" s="37"/>
      <c r="N786" s="37"/>
      <c r="O786" s="37"/>
      <c r="P786" s="37"/>
      <c r="Q786" s="37"/>
      <c r="R786" s="31" t="n">
        <f aca="false">COUNT($M786:$Q786)</f>
        <v>0</v>
      </c>
      <c r="S786" s="32" t="str">
        <f aca="false">IF($L786="","",IF($R786&gt;=5,"",MAX($L786:$Q786)+CHOOSE($R786+1,SETTINGS!$C$9,SETTINGS!$C$10,SETTINGS!$C$11,SETTINGS!$C$12,SETTINGS!$C$13)))</f>
        <v/>
      </c>
      <c r="T786" s="34" t="str">
        <f aca="true">IF($H786="","(chưa có nội dung)",IF($L786="",IF($C786&lt;TODAY(),"⚠ TRỄ HỌC",IF($C786=TODAY(),"★ HỌC HÔM NAY","• Chưa tới")),IF($R786&gt;=5,"✔ MASTER",IF($S786&lt;TODAY(),"⚠ TRỄ ÔN",IF($S786=TODAY(),"◆ ÔN HÔM NAY","✔ Đúng tiến độ")))))</f>
        <v>• Chưa tới</v>
      </c>
      <c r="U786" s="38" t="n">
        <f aca="false">IF($H786="","",$R786/5)</f>
        <v>0</v>
      </c>
    </row>
    <row r="787" customFormat="false" ht="23.85" hidden="false" customHeight="false" outlineLevel="0" collapsed="false">
      <c r="A787" s="31" t="s">
        <v>4771</v>
      </c>
      <c r="B787" s="31" t="n">
        <v>40</v>
      </c>
      <c r="C787" s="32" t="n">
        <f aca="false">SETTINGS!$C$3+$B787-1</f>
        <v>46339</v>
      </c>
      <c r="D787" s="40" t="s">
        <v>3692</v>
      </c>
      <c r="E787" s="34" t="s">
        <v>4747</v>
      </c>
      <c r="F787" s="34" t="s">
        <v>3656</v>
      </c>
      <c r="G787" s="34" t="s">
        <v>4772</v>
      </c>
      <c r="H787" s="35" t="s">
        <v>4773</v>
      </c>
      <c r="I787" s="36" t="s">
        <v>4774</v>
      </c>
      <c r="J787" s="34" t="s">
        <v>4775</v>
      </c>
      <c r="K787" s="34" t="s">
        <v>4776</v>
      </c>
      <c r="L787" s="37"/>
      <c r="M787" s="37"/>
      <c r="N787" s="37"/>
      <c r="O787" s="37"/>
      <c r="P787" s="37"/>
      <c r="Q787" s="37"/>
      <c r="R787" s="31" t="n">
        <f aca="false">COUNT($M787:$Q787)</f>
        <v>0</v>
      </c>
      <c r="S787" s="32" t="str">
        <f aca="false">IF($L787="","",IF($R787&gt;=5,"",MAX($L787:$Q787)+CHOOSE($R787+1,SETTINGS!$C$9,SETTINGS!$C$10,SETTINGS!$C$11,SETTINGS!$C$12,SETTINGS!$C$13)))</f>
        <v/>
      </c>
      <c r="T787" s="34" t="str">
        <f aca="true">IF($H787="","(chưa có nội dung)",IF($L787="",IF($C787&lt;TODAY(),"⚠ TRỄ HỌC",IF($C787=TODAY(),"★ HỌC HÔM NAY","• Chưa tới")),IF($R787&gt;=5,"✔ MASTER",IF($S787&lt;TODAY(),"⚠ TRỄ ÔN",IF($S787=TODAY(),"◆ ÔN HÔM NAY","✔ Đúng tiến độ")))))</f>
        <v>• Chưa tới</v>
      </c>
      <c r="U787" s="38" t="n">
        <f aca="false">IF($H787="","",$R787/5)</f>
        <v>0</v>
      </c>
    </row>
    <row r="788" customFormat="false" ht="23.85" hidden="false" customHeight="false" outlineLevel="0" collapsed="false">
      <c r="A788" s="31" t="s">
        <v>4777</v>
      </c>
      <c r="B788" s="31" t="n">
        <v>40</v>
      </c>
      <c r="C788" s="32" t="n">
        <f aca="false">SETTINGS!$C$3+$B788-1</f>
        <v>46339</v>
      </c>
      <c r="D788" s="40" t="s">
        <v>3692</v>
      </c>
      <c r="E788" s="34" t="s">
        <v>4747</v>
      </c>
      <c r="F788" s="34" t="s">
        <v>3656</v>
      </c>
      <c r="G788" s="34" t="s">
        <v>4778</v>
      </c>
      <c r="H788" s="35" t="s">
        <v>4779</v>
      </c>
      <c r="I788" s="36" t="s">
        <v>4780</v>
      </c>
      <c r="J788" s="34" t="s">
        <v>4781</v>
      </c>
      <c r="K788" s="34" t="s">
        <v>4782</v>
      </c>
      <c r="L788" s="37"/>
      <c r="M788" s="37"/>
      <c r="N788" s="37"/>
      <c r="O788" s="37"/>
      <c r="P788" s="37"/>
      <c r="Q788" s="37"/>
      <c r="R788" s="31" t="n">
        <f aca="false">COUNT($M788:$Q788)</f>
        <v>0</v>
      </c>
      <c r="S788" s="32" t="str">
        <f aca="false">IF($L788="","",IF($R788&gt;=5,"",MAX($L788:$Q788)+CHOOSE($R788+1,SETTINGS!$C$9,SETTINGS!$C$10,SETTINGS!$C$11,SETTINGS!$C$12,SETTINGS!$C$13)))</f>
        <v/>
      </c>
      <c r="T788" s="34" t="str">
        <f aca="true">IF($H788="","(chưa có nội dung)",IF($L788="",IF($C788&lt;TODAY(),"⚠ TRỄ HỌC",IF($C788=TODAY(),"★ HỌC HÔM NAY","• Chưa tới")),IF($R788&gt;=5,"✔ MASTER",IF($S788&lt;TODAY(),"⚠ TRỄ ÔN",IF($S788=TODAY(),"◆ ÔN HÔM NAY","✔ Đúng tiến độ")))))</f>
        <v>• Chưa tới</v>
      </c>
      <c r="U788" s="38" t="n">
        <f aca="false">IF($H788="","",$R788/5)</f>
        <v>0</v>
      </c>
    </row>
    <row r="789" customFormat="false" ht="23.85" hidden="false" customHeight="false" outlineLevel="0" collapsed="false">
      <c r="A789" s="31" t="s">
        <v>4783</v>
      </c>
      <c r="B789" s="31" t="n">
        <v>40</v>
      </c>
      <c r="C789" s="32" t="n">
        <f aca="false">SETTINGS!$C$3+$B789-1</f>
        <v>46339</v>
      </c>
      <c r="D789" s="40" t="s">
        <v>3692</v>
      </c>
      <c r="E789" s="34" t="s">
        <v>4747</v>
      </c>
      <c r="F789" s="34" t="s">
        <v>3656</v>
      </c>
      <c r="G789" s="34" t="s">
        <v>4784</v>
      </c>
      <c r="H789" s="35" t="s">
        <v>4785</v>
      </c>
      <c r="I789" s="36" t="s">
        <v>4786</v>
      </c>
      <c r="J789" s="34" t="s">
        <v>4787</v>
      </c>
      <c r="K789" s="34" t="s">
        <v>4788</v>
      </c>
      <c r="L789" s="37"/>
      <c r="M789" s="37"/>
      <c r="N789" s="37"/>
      <c r="O789" s="37"/>
      <c r="P789" s="37"/>
      <c r="Q789" s="37"/>
      <c r="R789" s="31" t="n">
        <f aca="false">COUNT($M789:$Q789)</f>
        <v>0</v>
      </c>
      <c r="S789" s="32" t="str">
        <f aca="false">IF($L789="","",IF($R789&gt;=5,"",MAX($L789:$Q789)+CHOOSE($R789+1,SETTINGS!$C$9,SETTINGS!$C$10,SETTINGS!$C$11,SETTINGS!$C$12,SETTINGS!$C$13)))</f>
        <v/>
      </c>
      <c r="T789" s="34" t="str">
        <f aca="true">IF($H789="","(chưa có nội dung)",IF($L789="",IF($C789&lt;TODAY(),"⚠ TRỄ HỌC",IF($C789=TODAY(),"★ HỌC HÔM NAY","• Chưa tới")),IF($R789&gt;=5,"✔ MASTER",IF($S789&lt;TODAY(),"⚠ TRỄ ÔN",IF($S789=TODAY(),"◆ ÔN HÔM NAY","✔ Đúng tiến độ")))))</f>
        <v>• Chưa tới</v>
      </c>
      <c r="U789" s="38" t="n">
        <f aca="false">IF($H789="","",$R789/5)</f>
        <v>0</v>
      </c>
    </row>
    <row r="790" customFormat="false" ht="23.85" hidden="false" customHeight="false" outlineLevel="0" collapsed="false">
      <c r="A790" s="31" t="s">
        <v>4789</v>
      </c>
      <c r="B790" s="31" t="n">
        <v>40</v>
      </c>
      <c r="C790" s="32" t="n">
        <f aca="false">SETTINGS!$C$3+$B790-1</f>
        <v>46339</v>
      </c>
      <c r="D790" s="40" t="s">
        <v>3692</v>
      </c>
      <c r="E790" s="34" t="s">
        <v>4747</v>
      </c>
      <c r="F790" s="34" t="s">
        <v>3656</v>
      </c>
      <c r="G790" s="34" t="s">
        <v>4790</v>
      </c>
      <c r="H790" s="35" t="s">
        <v>4791</v>
      </c>
      <c r="I790" s="36" t="s">
        <v>4792</v>
      </c>
      <c r="J790" s="34" t="s">
        <v>4793</v>
      </c>
      <c r="K790" s="34" t="s">
        <v>4794</v>
      </c>
      <c r="L790" s="37"/>
      <c r="M790" s="37"/>
      <c r="N790" s="37"/>
      <c r="O790" s="37"/>
      <c r="P790" s="37"/>
      <c r="Q790" s="37"/>
      <c r="R790" s="31" t="n">
        <f aca="false">COUNT($M790:$Q790)</f>
        <v>0</v>
      </c>
      <c r="S790" s="32" t="str">
        <f aca="false">IF($L790="","",IF($R790&gt;=5,"",MAX($L790:$Q790)+CHOOSE($R790+1,SETTINGS!$C$9,SETTINGS!$C$10,SETTINGS!$C$11,SETTINGS!$C$12,SETTINGS!$C$13)))</f>
        <v/>
      </c>
      <c r="T790" s="34" t="str">
        <f aca="true">IF($H790="","(chưa có nội dung)",IF($L790="",IF($C790&lt;TODAY(),"⚠ TRỄ HỌC",IF($C790=TODAY(),"★ HỌC HÔM NAY","• Chưa tới")),IF($R790&gt;=5,"✔ MASTER",IF($S790&lt;TODAY(),"⚠ TRỄ ÔN",IF($S790=TODAY(),"◆ ÔN HÔM NAY","✔ Đúng tiến độ")))))</f>
        <v>• Chưa tới</v>
      </c>
      <c r="U790" s="38" t="n">
        <f aca="false">IF($H790="","",$R790/5)</f>
        <v>0</v>
      </c>
    </row>
    <row r="791" customFormat="false" ht="23.85" hidden="false" customHeight="false" outlineLevel="0" collapsed="false">
      <c r="A791" s="31" t="s">
        <v>4795</v>
      </c>
      <c r="B791" s="31" t="n">
        <v>40</v>
      </c>
      <c r="C791" s="32" t="n">
        <f aca="false">SETTINGS!$C$3+$B791-1</f>
        <v>46339</v>
      </c>
      <c r="D791" s="40" t="s">
        <v>3692</v>
      </c>
      <c r="E791" s="34" t="s">
        <v>4747</v>
      </c>
      <c r="F791" s="34" t="s">
        <v>3656</v>
      </c>
      <c r="G791" s="34" t="s">
        <v>4796</v>
      </c>
      <c r="H791" s="35" t="s">
        <v>4797</v>
      </c>
      <c r="I791" s="36" t="s">
        <v>4798</v>
      </c>
      <c r="J791" s="34" t="s">
        <v>4799</v>
      </c>
      <c r="K791" s="34" t="s">
        <v>4800</v>
      </c>
      <c r="L791" s="37"/>
      <c r="M791" s="37"/>
      <c r="N791" s="37"/>
      <c r="O791" s="37"/>
      <c r="P791" s="37"/>
      <c r="Q791" s="37"/>
      <c r="R791" s="31" t="n">
        <f aca="false">COUNT($M791:$Q791)</f>
        <v>0</v>
      </c>
      <c r="S791" s="32" t="str">
        <f aca="false">IF($L791="","",IF($R791&gt;=5,"",MAX($L791:$Q791)+CHOOSE($R791+1,SETTINGS!$C$9,SETTINGS!$C$10,SETTINGS!$C$11,SETTINGS!$C$12,SETTINGS!$C$13)))</f>
        <v/>
      </c>
      <c r="T791" s="34" t="str">
        <f aca="true">IF($H791="","(chưa có nội dung)",IF($L791="",IF($C791&lt;TODAY(),"⚠ TRỄ HỌC",IF($C791=TODAY(),"★ HỌC HÔM NAY","• Chưa tới")),IF($R791&gt;=5,"✔ MASTER",IF($S791&lt;TODAY(),"⚠ TRỄ ÔN",IF($S791=TODAY(),"◆ ÔN HÔM NAY","✔ Đúng tiến độ")))))</f>
        <v>• Chưa tới</v>
      </c>
      <c r="U791" s="38" t="n">
        <f aca="false">IF($H791="","",$R791/5)</f>
        <v>0</v>
      </c>
    </row>
    <row r="792" customFormat="false" ht="23.85" hidden="false" customHeight="false" outlineLevel="0" collapsed="false">
      <c r="A792" s="31" t="s">
        <v>4801</v>
      </c>
      <c r="B792" s="31" t="n">
        <v>40</v>
      </c>
      <c r="C792" s="32" t="n">
        <f aca="false">SETTINGS!$C$3+$B792-1</f>
        <v>46339</v>
      </c>
      <c r="D792" s="40" t="s">
        <v>3692</v>
      </c>
      <c r="E792" s="34" t="s">
        <v>4747</v>
      </c>
      <c r="F792" s="34" t="s">
        <v>3656</v>
      </c>
      <c r="G792" s="34" t="s">
        <v>4802</v>
      </c>
      <c r="H792" s="35" t="s">
        <v>4803</v>
      </c>
      <c r="I792" s="36" t="s">
        <v>4804</v>
      </c>
      <c r="J792" s="34" t="s">
        <v>4805</v>
      </c>
      <c r="K792" s="34" t="s">
        <v>4806</v>
      </c>
      <c r="L792" s="37"/>
      <c r="M792" s="37"/>
      <c r="N792" s="37"/>
      <c r="O792" s="37"/>
      <c r="P792" s="37"/>
      <c r="Q792" s="37"/>
      <c r="R792" s="31" t="n">
        <f aca="false">COUNT($M792:$Q792)</f>
        <v>0</v>
      </c>
      <c r="S792" s="32" t="str">
        <f aca="false">IF($L792="","",IF($R792&gt;=5,"",MAX($L792:$Q792)+CHOOSE($R792+1,SETTINGS!$C$9,SETTINGS!$C$10,SETTINGS!$C$11,SETTINGS!$C$12,SETTINGS!$C$13)))</f>
        <v/>
      </c>
      <c r="T792" s="34" t="str">
        <f aca="true">IF($H792="","(chưa có nội dung)",IF($L792="",IF($C792&lt;TODAY(),"⚠ TRỄ HỌC",IF($C792=TODAY(),"★ HỌC HÔM NAY","• Chưa tới")),IF($R792&gt;=5,"✔ MASTER",IF($S792&lt;TODAY(),"⚠ TRỄ ÔN",IF($S792=TODAY(),"◆ ÔN HÔM NAY","✔ Đúng tiến độ")))))</f>
        <v>• Chưa tới</v>
      </c>
      <c r="U792" s="38" t="n">
        <f aca="false">IF($H792="","",$R792/5)</f>
        <v>0</v>
      </c>
    </row>
    <row r="793" customFormat="false" ht="23.85" hidden="false" customHeight="false" outlineLevel="0" collapsed="false">
      <c r="A793" s="31" t="s">
        <v>4807</v>
      </c>
      <c r="B793" s="31" t="n">
        <v>40</v>
      </c>
      <c r="C793" s="32" t="n">
        <f aca="false">SETTINGS!$C$3+$B793-1</f>
        <v>46339</v>
      </c>
      <c r="D793" s="40" t="s">
        <v>3692</v>
      </c>
      <c r="E793" s="34" t="s">
        <v>4747</v>
      </c>
      <c r="F793" s="34" t="s">
        <v>3656</v>
      </c>
      <c r="G793" s="34" t="s">
        <v>4808</v>
      </c>
      <c r="H793" s="35" t="s">
        <v>4809</v>
      </c>
      <c r="I793" s="36" t="s">
        <v>4810</v>
      </c>
      <c r="J793" s="34" t="s">
        <v>4811</v>
      </c>
      <c r="K793" s="34" t="s">
        <v>4812</v>
      </c>
      <c r="L793" s="37"/>
      <c r="M793" s="37"/>
      <c r="N793" s="37"/>
      <c r="O793" s="37"/>
      <c r="P793" s="37"/>
      <c r="Q793" s="37"/>
      <c r="R793" s="31" t="n">
        <f aca="false">COUNT($M793:$Q793)</f>
        <v>0</v>
      </c>
      <c r="S793" s="32" t="str">
        <f aca="false">IF($L793="","",IF($R793&gt;=5,"",MAX($L793:$Q793)+CHOOSE($R793+1,SETTINGS!$C$9,SETTINGS!$C$10,SETTINGS!$C$11,SETTINGS!$C$12,SETTINGS!$C$13)))</f>
        <v/>
      </c>
      <c r="T793" s="34" t="str">
        <f aca="true">IF($H793="","(chưa có nội dung)",IF($L793="",IF($C793&lt;TODAY(),"⚠ TRỄ HỌC",IF($C793=TODAY(),"★ HỌC HÔM NAY","• Chưa tới")),IF($R793&gt;=5,"✔ MASTER",IF($S793&lt;TODAY(),"⚠ TRỄ ÔN",IF($S793=TODAY(),"◆ ÔN HÔM NAY","✔ Đúng tiến độ")))))</f>
        <v>• Chưa tới</v>
      </c>
      <c r="U793" s="38" t="n">
        <f aca="false">IF($H793="","",$R793/5)</f>
        <v>0</v>
      </c>
    </row>
    <row r="794" customFormat="false" ht="23.85" hidden="false" customHeight="false" outlineLevel="0" collapsed="false">
      <c r="A794" s="31" t="s">
        <v>4813</v>
      </c>
      <c r="B794" s="31" t="n">
        <v>40</v>
      </c>
      <c r="C794" s="32" t="n">
        <f aca="false">SETTINGS!$C$3+$B794-1</f>
        <v>46339</v>
      </c>
      <c r="D794" s="40" t="s">
        <v>3692</v>
      </c>
      <c r="E794" s="34" t="s">
        <v>4747</v>
      </c>
      <c r="F794" s="34" t="s">
        <v>3656</v>
      </c>
      <c r="G794" s="34" t="s">
        <v>4814</v>
      </c>
      <c r="H794" s="35" t="s">
        <v>4815</v>
      </c>
      <c r="I794" s="36" t="s">
        <v>4816</v>
      </c>
      <c r="J794" s="34" t="s">
        <v>4817</v>
      </c>
      <c r="K794" s="34" t="s">
        <v>4818</v>
      </c>
      <c r="L794" s="37"/>
      <c r="M794" s="37"/>
      <c r="N794" s="37"/>
      <c r="O794" s="37"/>
      <c r="P794" s="37"/>
      <c r="Q794" s="37"/>
      <c r="R794" s="31" t="n">
        <f aca="false">COUNT($M794:$Q794)</f>
        <v>0</v>
      </c>
      <c r="S794" s="32" t="str">
        <f aca="false">IF($L794="","",IF($R794&gt;=5,"",MAX($L794:$Q794)+CHOOSE($R794+1,SETTINGS!$C$9,SETTINGS!$C$10,SETTINGS!$C$11,SETTINGS!$C$12,SETTINGS!$C$13)))</f>
        <v/>
      </c>
      <c r="T794" s="34" t="str">
        <f aca="true">IF($H794="","(chưa có nội dung)",IF($L794="",IF($C794&lt;TODAY(),"⚠ TRỄ HỌC",IF($C794=TODAY(),"★ HỌC HÔM NAY","• Chưa tới")),IF($R794&gt;=5,"✔ MASTER",IF($S794&lt;TODAY(),"⚠ TRỄ ÔN",IF($S794=TODAY(),"◆ ÔN HÔM NAY","✔ Đúng tiến độ")))))</f>
        <v>• Chưa tới</v>
      </c>
      <c r="U794" s="38" t="n">
        <f aca="false">IF($H794="","",$R794/5)</f>
        <v>0</v>
      </c>
    </row>
    <row r="795" customFormat="false" ht="23.85" hidden="false" customHeight="false" outlineLevel="0" collapsed="false">
      <c r="A795" s="31" t="s">
        <v>4819</v>
      </c>
      <c r="B795" s="31" t="n">
        <v>40</v>
      </c>
      <c r="C795" s="32" t="n">
        <f aca="false">SETTINGS!$C$3+$B795-1</f>
        <v>46339</v>
      </c>
      <c r="D795" s="40" t="s">
        <v>3692</v>
      </c>
      <c r="E795" s="34" t="s">
        <v>4747</v>
      </c>
      <c r="F795" s="34" t="s">
        <v>3656</v>
      </c>
      <c r="G795" s="34" t="s">
        <v>4820</v>
      </c>
      <c r="H795" s="35" t="s">
        <v>4821</v>
      </c>
      <c r="I795" s="36" t="s">
        <v>4822</v>
      </c>
      <c r="J795" s="34" t="s">
        <v>4823</v>
      </c>
      <c r="K795" s="34" t="s">
        <v>3679</v>
      </c>
      <c r="L795" s="37"/>
      <c r="M795" s="37"/>
      <c r="N795" s="37"/>
      <c r="O795" s="37"/>
      <c r="P795" s="37"/>
      <c r="Q795" s="37"/>
      <c r="R795" s="31" t="n">
        <f aca="false">COUNT($M795:$Q795)</f>
        <v>0</v>
      </c>
      <c r="S795" s="32" t="str">
        <f aca="false">IF($L795="","",IF($R795&gt;=5,"",MAX($L795:$Q795)+CHOOSE($R795+1,SETTINGS!$C$9,SETTINGS!$C$10,SETTINGS!$C$11,SETTINGS!$C$12,SETTINGS!$C$13)))</f>
        <v/>
      </c>
      <c r="T795" s="34" t="str">
        <f aca="true">IF($H795="","(chưa có nội dung)",IF($L795="",IF($C795&lt;TODAY(),"⚠ TRỄ HỌC",IF($C795=TODAY(),"★ HỌC HÔM NAY","• Chưa tới")),IF($R795&gt;=5,"✔ MASTER",IF($S795&lt;TODAY(),"⚠ TRỄ ÔN",IF($S795=TODAY(),"◆ ÔN HÔM NAY","✔ Đúng tiến độ")))))</f>
        <v>• Chưa tới</v>
      </c>
      <c r="U795" s="38" t="n">
        <f aca="false">IF($H795="","",$R795/5)</f>
        <v>0</v>
      </c>
    </row>
    <row r="796" customFormat="false" ht="23.85" hidden="false" customHeight="false" outlineLevel="0" collapsed="false">
      <c r="A796" s="31" t="s">
        <v>4824</v>
      </c>
      <c r="B796" s="31" t="n">
        <v>40</v>
      </c>
      <c r="C796" s="32" t="n">
        <f aca="false">SETTINGS!$C$3+$B796-1</f>
        <v>46339</v>
      </c>
      <c r="D796" s="40" t="s">
        <v>3692</v>
      </c>
      <c r="E796" s="34" t="s">
        <v>4747</v>
      </c>
      <c r="F796" s="34" t="s">
        <v>3656</v>
      </c>
      <c r="G796" s="34" t="s">
        <v>4825</v>
      </c>
      <c r="H796" s="35" t="s">
        <v>4826</v>
      </c>
      <c r="I796" s="36" t="s">
        <v>4827</v>
      </c>
      <c r="J796" s="34" t="s">
        <v>4828</v>
      </c>
      <c r="K796" s="34" t="s">
        <v>4829</v>
      </c>
      <c r="L796" s="37"/>
      <c r="M796" s="37"/>
      <c r="N796" s="37"/>
      <c r="O796" s="37"/>
      <c r="P796" s="37"/>
      <c r="Q796" s="37"/>
      <c r="R796" s="31" t="n">
        <f aca="false">COUNT($M796:$Q796)</f>
        <v>0</v>
      </c>
      <c r="S796" s="32" t="str">
        <f aca="false">IF($L796="","",IF($R796&gt;=5,"",MAX($L796:$Q796)+CHOOSE($R796+1,SETTINGS!$C$9,SETTINGS!$C$10,SETTINGS!$C$11,SETTINGS!$C$12,SETTINGS!$C$13)))</f>
        <v/>
      </c>
      <c r="T796" s="34" t="str">
        <f aca="true">IF($H796="","(chưa có nội dung)",IF($L796="",IF($C796&lt;TODAY(),"⚠ TRỄ HỌC",IF($C796=TODAY(),"★ HỌC HÔM NAY","• Chưa tới")),IF($R796&gt;=5,"✔ MASTER",IF($S796&lt;TODAY(),"⚠ TRỄ ÔN",IF($S796=TODAY(),"◆ ÔN HÔM NAY","✔ Đúng tiến độ")))))</f>
        <v>• Chưa tới</v>
      </c>
      <c r="U796" s="38" t="n">
        <f aca="false">IF($H796="","",$R796/5)</f>
        <v>0</v>
      </c>
    </row>
    <row r="797" customFormat="false" ht="26.85" hidden="false" customHeight="false" outlineLevel="0" collapsed="false">
      <c r="A797" s="31" t="s">
        <v>4830</v>
      </c>
      <c r="B797" s="31" t="n">
        <v>40</v>
      </c>
      <c r="C797" s="32" t="n">
        <f aca="false">SETTINGS!$C$3+$B797-1</f>
        <v>46339</v>
      </c>
      <c r="D797" s="40" t="s">
        <v>3692</v>
      </c>
      <c r="E797" s="34" t="s">
        <v>4747</v>
      </c>
      <c r="F797" s="34" t="s">
        <v>3656</v>
      </c>
      <c r="G797" s="34" t="s">
        <v>4831</v>
      </c>
      <c r="H797" s="35" t="s">
        <v>4832</v>
      </c>
      <c r="I797" s="36" t="s">
        <v>4833</v>
      </c>
      <c r="J797" s="34" t="s">
        <v>4834</v>
      </c>
      <c r="K797" s="34" t="s">
        <v>4831</v>
      </c>
      <c r="L797" s="37"/>
      <c r="M797" s="37"/>
      <c r="N797" s="37"/>
      <c r="O797" s="37"/>
      <c r="P797" s="37"/>
      <c r="Q797" s="37"/>
      <c r="R797" s="31" t="n">
        <f aca="false">COUNT($M797:$Q797)</f>
        <v>0</v>
      </c>
      <c r="S797" s="32" t="str">
        <f aca="false">IF($L797="","",IF($R797&gt;=5,"",MAX($L797:$Q797)+CHOOSE($R797+1,SETTINGS!$C$9,SETTINGS!$C$10,SETTINGS!$C$11,SETTINGS!$C$12,SETTINGS!$C$13)))</f>
        <v/>
      </c>
      <c r="T797" s="34" t="str">
        <f aca="true">IF($H797="","(chưa có nội dung)",IF($L797="",IF($C797&lt;TODAY(),"⚠ TRỄ HỌC",IF($C797=TODAY(),"★ HỌC HÔM NAY","• Chưa tới")),IF($R797&gt;=5,"✔ MASTER",IF($S797&lt;TODAY(),"⚠ TRỄ ÔN",IF($S797=TODAY(),"◆ ÔN HÔM NAY","✔ Đúng tiến độ")))))</f>
        <v>• Chưa tới</v>
      </c>
      <c r="U797" s="38" t="n">
        <f aca="false">IF($H797="","",$R797/5)</f>
        <v>0</v>
      </c>
    </row>
    <row r="798" customFormat="false" ht="23.85" hidden="false" customHeight="false" outlineLevel="0" collapsed="false">
      <c r="A798" s="31" t="s">
        <v>4835</v>
      </c>
      <c r="B798" s="31" t="n">
        <v>40</v>
      </c>
      <c r="C798" s="32" t="n">
        <f aca="false">SETTINGS!$C$3+$B798-1</f>
        <v>46339</v>
      </c>
      <c r="D798" s="40" t="s">
        <v>3692</v>
      </c>
      <c r="E798" s="34" t="s">
        <v>4747</v>
      </c>
      <c r="F798" s="34" t="s">
        <v>3656</v>
      </c>
      <c r="G798" s="34" t="s">
        <v>4836</v>
      </c>
      <c r="H798" s="35" t="s">
        <v>4837</v>
      </c>
      <c r="I798" s="36" t="s">
        <v>4838</v>
      </c>
      <c r="J798" s="34" t="s">
        <v>4839</v>
      </c>
      <c r="K798" s="34" t="s">
        <v>4840</v>
      </c>
      <c r="L798" s="37"/>
      <c r="M798" s="37"/>
      <c r="N798" s="37"/>
      <c r="O798" s="37"/>
      <c r="P798" s="37"/>
      <c r="Q798" s="37"/>
      <c r="R798" s="31" t="n">
        <f aca="false">COUNT($M798:$Q798)</f>
        <v>0</v>
      </c>
      <c r="S798" s="32" t="str">
        <f aca="false">IF($L798="","",IF($R798&gt;=5,"",MAX($L798:$Q798)+CHOOSE($R798+1,SETTINGS!$C$9,SETTINGS!$C$10,SETTINGS!$C$11,SETTINGS!$C$12,SETTINGS!$C$13)))</f>
        <v/>
      </c>
      <c r="T798" s="34" t="str">
        <f aca="true">IF($H798="","(chưa có nội dung)",IF($L798="",IF($C798&lt;TODAY(),"⚠ TRỄ HỌC",IF($C798=TODAY(),"★ HỌC HÔM NAY","• Chưa tới")),IF($R798&gt;=5,"✔ MASTER",IF($S798&lt;TODAY(),"⚠ TRỄ ÔN",IF($S798=TODAY(),"◆ ÔN HÔM NAY","✔ Đúng tiến độ")))))</f>
        <v>• Chưa tới</v>
      </c>
      <c r="U798" s="38" t="n">
        <f aca="false">IF($H798="","",$R798/5)</f>
        <v>0</v>
      </c>
    </row>
    <row r="799" customFormat="false" ht="23.85" hidden="false" customHeight="false" outlineLevel="0" collapsed="false">
      <c r="A799" s="31" t="s">
        <v>4841</v>
      </c>
      <c r="B799" s="31" t="n">
        <v>40</v>
      </c>
      <c r="C799" s="32" t="n">
        <f aca="false">SETTINGS!$C$3+$B799-1</f>
        <v>46339</v>
      </c>
      <c r="D799" s="40" t="s">
        <v>3692</v>
      </c>
      <c r="E799" s="34" t="s">
        <v>4747</v>
      </c>
      <c r="F799" s="34" t="s">
        <v>3656</v>
      </c>
      <c r="G799" s="34" t="s">
        <v>4814</v>
      </c>
      <c r="H799" s="35" t="s">
        <v>4842</v>
      </c>
      <c r="I799" s="36" t="s">
        <v>4843</v>
      </c>
      <c r="J799" s="34" t="s">
        <v>4844</v>
      </c>
      <c r="K799" s="34" t="s">
        <v>4845</v>
      </c>
      <c r="L799" s="37"/>
      <c r="M799" s="37"/>
      <c r="N799" s="37"/>
      <c r="O799" s="37"/>
      <c r="P799" s="37"/>
      <c r="Q799" s="37"/>
      <c r="R799" s="31" t="n">
        <f aca="false">COUNT($M799:$Q799)</f>
        <v>0</v>
      </c>
      <c r="S799" s="32" t="str">
        <f aca="false">IF($L799="","",IF($R799&gt;=5,"",MAX($L799:$Q799)+CHOOSE($R799+1,SETTINGS!$C$9,SETTINGS!$C$10,SETTINGS!$C$11,SETTINGS!$C$12,SETTINGS!$C$13)))</f>
        <v/>
      </c>
      <c r="T799" s="34" t="str">
        <f aca="true">IF($H799="","(chưa có nội dung)",IF($L799="",IF($C799&lt;TODAY(),"⚠ TRỄ HỌC",IF($C799=TODAY(),"★ HỌC HÔM NAY","• Chưa tới")),IF($R799&gt;=5,"✔ MASTER",IF($S799&lt;TODAY(),"⚠ TRỄ ÔN",IF($S799=TODAY(),"◆ ÔN HÔM NAY","✔ Đúng tiến độ")))))</f>
        <v>• Chưa tới</v>
      </c>
      <c r="U799" s="38" t="n">
        <f aca="false">IF($H799="","",$R799/5)</f>
        <v>0</v>
      </c>
    </row>
    <row r="800" customFormat="false" ht="23.85" hidden="false" customHeight="false" outlineLevel="0" collapsed="false">
      <c r="A800" s="31" t="s">
        <v>4846</v>
      </c>
      <c r="B800" s="31" t="n">
        <v>40</v>
      </c>
      <c r="C800" s="32" t="n">
        <f aca="false">SETTINGS!$C$3+$B800-1</f>
        <v>46339</v>
      </c>
      <c r="D800" s="40" t="s">
        <v>3692</v>
      </c>
      <c r="E800" s="34" t="s">
        <v>4747</v>
      </c>
      <c r="F800" s="34" t="s">
        <v>3656</v>
      </c>
      <c r="G800" s="34" t="s">
        <v>4847</v>
      </c>
      <c r="H800" s="35" t="s">
        <v>4848</v>
      </c>
      <c r="I800" s="36" t="s">
        <v>4849</v>
      </c>
      <c r="J800" s="34" t="s">
        <v>4850</v>
      </c>
      <c r="K800" s="34" t="s">
        <v>4851</v>
      </c>
      <c r="L800" s="37"/>
      <c r="M800" s="37"/>
      <c r="N800" s="37"/>
      <c r="O800" s="37"/>
      <c r="P800" s="37"/>
      <c r="Q800" s="37"/>
      <c r="R800" s="31" t="n">
        <f aca="false">COUNT($M800:$Q800)</f>
        <v>0</v>
      </c>
      <c r="S800" s="32" t="str">
        <f aca="false">IF($L800="","",IF($R800&gt;=5,"",MAX($L800:$Q800)+CHOOSE($R800+1,SETTINGS!$C$9,SETTINGS!$C$10,SETTINGS!$C$11,SETTINGS!$C$12,SETTINGS!$C$13)))</f>
        <v/>
      </c>
      <c r="T800" s="34" t="str">
        <f aca="true">IF($H800="","(chưa có nội dung)",IF($L800="",IF($C800&lt;TODAY(),"⚠ TRỄ HỌC",IF($C800=TODAY(),"★ HỌC HÔM NAY","• Chưa tới")),IF($R800&gt;=5,"✔ MASTER",IF($S800&lt;TODAY(),"⚠ TRỄ ÔN",IF($S800=TODAY(),"◆ ÔN HÔM NAY","✔ Đúng tiến độ")))))</f>
        <v>• Chưa tới</v>
      </c>
      <c r="U800" s="38" t="n">
        <f aca="false">IF($H800="","",$R800/5)</f>
        <v>0</v>
      </c>
    </row>
    <row r="801" customFormat="false" ht="23.85" hidden="false" customHeight="false" outlineLevel="0" collapsed="false">
      <c r="A801" s="31" t="s">
        <v>4852</v>
      </c>
      <c r="B801" s="31" t="n">
        <v>40</v>
      </c>
      <c r="C801" s="32" t="n">
        <f aca="false">SETTINGS!$C$3+$B801-1</f>
        <v>46339</v>
      </c>
      <c r="D801" s="40" t="s">
        <v>3692</v>
      </c>
      <c r="E801" s="34" t="s">
        <v>4747</v>
      </c>
      <c r="F801" s="34" t="s">
        <v>3656</v>
      </c>
      <c r="G801" s="34" t="s">
        <v>4853</v>
      </c>
      <c r="H801" s="35" t="s">
        <v>4854</v>
      </c>
      <c r="I801" s="36" t="s">
        <v>4855</v>
      </c>
      <c r="J801" s="34" t="s">
        <v>4856</v>
      </c>
      <c r="K801" s="34" t="s">
        <v>4857</v>
      </c>
      <c r="L801" s="37"/>
      <c r="M801" s="37"/>
      <c r="N801" s="37"/>
      <c r="O801" s="37"/>
      <c r="P801" s="37"/>
      <c r="Q801" s="37"/>
      <c r="R801" s="31" t="n">
        <f aca="false">COUNT($M801:$Q801)</f>
        <v>0</v>
      </c>
      <c r="S801" s="32" t="str">
        <f aca="false">IF($L801="","",IF($R801&gt;=5,"",MAX($L801:$Q801)+CHOOSE($R801+1,SETTINGS!$C$9,SETTINGS!$C$10,SETTINGS!$C$11,SETTINGS!$C$12,SETTINGS!$C$13)))</f>
        <v/>
      </c>
      <c r="T801" s="34" t="str">
        <f aca="true">IF($H801="","(chưa có nội dung)",IF($L801="",IF($C801&lt;TODAY(),"⚠ TRỄ HỌC",IF($C801=TODAY(),"★ HỌC HÔM NAY","• Chưa tới")),IF($R801&gt;=5,"✔ MASTER",IF($S801&lt;TODAY(),"⚠ TRỄ ÔN",IF($S801=TODAY(),"◆ ÔN HÔM NAY","✔ Đúng tiến độ")))))</f>
        <v>• Chưa tới</v>
      </c>
      <c r="U801" s="38" t="n">
        <f aca="false">IF($H801="","",$R801/5)</f>
        <v>0</v>
      </c>
    </row>
    <row r="802" customFormat="false" ht="23.85" hidden="false" customHeight="false" outlineLevel="0" collapsed="false">
      <c r="A802" s="31" t="s">
        <v>4858</v>
      </c>
      <c r="B802" s="31" t="n">
        <v>40</v>
      </c>
      <c r="C802" s="32" t="n">
        <f aca="false">SETTINGS!$C$3+$B802-1</f>
        <v>46339</v>
      </c>
      <c r="D802" s="40" t="s">
        <v>3692</v>
      </c>
      <c r="E802" s="34" t="s">
        <v>4747</v>
      </c>
      <c r="F802" s="34" t="s">
        <v>3656</v>
      </c>
      <c r="G802" s="34" t="s">
        <v>4859</v>
      </c>
      <c r="H802" s="35" t="s">
        <v>4860</v>
      </c>
      <c r="I802" s="36" t="s">
        <v>4861</v>
      </c>
      <c r="J802" s="34" t="s">
        <v>4862</v>
      </c>
      <c r="K802" s="34" t="s">
        <v>4863</v>
      </c>
      <c r="L802" s="37"/>
      <c r="M802" s="37"/>
      <c r="N802" s="37"/>
      <c r="O802" s="37"/>
      <c r="P802" s="37"/>
      <c r="Q802" s="37"/>
      <c r="R802" s="31" t="n">
        <f aca="false">COUNT($M802:$Q802)</f>
        <v>0</v>
      </c>
      <c r="S802" s="32" t="str">
        <f aca="false">IF($L802="","",IF($R802&gt;=5,"",MAX($L802:$Q802)+CHOOSE($R802+1,SETTINGS!$C$9,SETTINGS!$C$10,SETTINGS!$C$11,SETTINGS!$C$12,SETTINGS!$C$13)))</f>
        <v/>
      </c>
      <c r="T802" s="34" t="str">
        <f aca="true">IF($H802="","(chưa có nội dung)",IF($L802="",IF($C802&lt;TODAY(),"⚠ TRỄ HỌC",IF($C802=TODAY(),"★ HỌC HÔM NAY","• Chưa tới")),IF($R802&gt;=5,"✔ MASTER",IF($S802&lt;TODAY(),"⚠ TRỄ ÔN",IF($S802=TODAY(),"◆ ÔN HÔM NAY","✔ Đúng tiến độ")))))</f>
        <v>• Chưa tới</v>
      </c>
      <c r="U802" s="38" t="n">
        <f aca="false">IF($H802="","",$R802/5)</f>
        <v>0</v>
      </c>
    </row>
    <row r="803" customFormat="false" ht="15" hidden="false" customHeight="false" outlineLevel="0" collapsed="false">
      <c r="A803" s="31" t="s">
        <v>4864</v>
      </c>
      <c r="B803" s="31" t="n">
        <v>41</v>
      </c>
      <c r="C803" s="32" t="n">
        <f aca="false">SETTINGS!$C$3+$B803-1</f>
        <v>46340</v>
      </c>
      <c r="D803" s="40" t="s">
        <v>3692</v>
      </c>
      <c r="E803" s="34" t="s">
        <v>4865</v>
      </c>
      <c r="F803" s="34" t="s">
        <v>3694</v>
      </c>
      <c r="G803" s="34" t="s">
        <v>4866</v>
      </c>
      <c r="H803" s="35" t="s">
        <v>4867</v>
      </c>
      <c r="I803" s="36" t="s">
        <v>4868</v>
      </c>
      <c r="J803" s="34" t="s">
        <v>4869</v>
      </c>
      <c r="K803" s="34" t="s">
        <v>4870</v>
      </c>
      <c r="L803" s="37"/>
      <c r="M803" s="37"/>
      <c r="N803" s="37"/>
      <c r="O803" s="37"/>
      <c r="P803" s="37"/>
      <c r="Q803" s="37"/>
      <c r="R803" s="31" t="n">
        <f aca="false">COUNT($M803:$Q803)</f>
        <v>0</v>
      </c>
      <c r="S803" s="32" t="str">
        <f aca="false">IF($L803="","",IF($R803&gt;=5,"",MAX($L803:$Q803)+CHOOSE($R803+1,SETTINGS!$C$9,SETTINGS!$C$10,SETTINGS!$C$11,SETTINGS!$C$12,SETTINGS!$C$13)))</f>
        <v/>
      </c>
      <c r="T803" s="34" t="str">
        <f aca="true">IF($H803="","(chưa có nội dung)",IF($L803="",IF($C803&lt;TODAY(),"⚠ TRỄ HỌC",IF($C803=TODAY(),"★ HỌC HÔM NAY","• Chưa tới")),IF($R803&gt;=5,"✔ MASTER",IF($S803&lt;TODAY(),"⚠ TRỄ ÔN",IF($S803=TODAY(),"◆ ÔN HÔM NAY","✔ Đúng tiến độ")))))</f>
        <v>• Chưa tới</v>
      </c>
      <c r="U803" s="38" t="n">
        <f aca="false">IF($H803="","",$R803/5)</f>
        <v>0</v>
      </c>
    </row>
    <row r="804" customFormat="false" ht="15" hidden="false" customHeight="false" outlineLevel="0" collapsed="false">
      <c r="A804" s="31" t="s">
        <v>4871</v>
      </c>
      <c r="B804" s="31" t="n">
        <v>41</v>
      </c>
      <c r="C804" s="32" t="n">
        <f aca="false">SETTINGS!$C$3+$B804-1</f>
        <v>46340</v>
      </c>
      <c r="D804" s="40" t="s">
        <v>3692</v>
      </c>
      <c r="E804" s="34" t="s">
        <v>4865</v>
      </c>
      <c r="F804" s="34" t="s">
        <v>280</v>
      </c>
      <c r="G804" s="34" t="s">
        <v>4872</v>
      </c>
      <c r="H804" s="35" t="s">
        <v>4873</v>
      </c>
      <c r="I804" s="36" t="s">
        <v>4874</v>
      </c>
      <c r="J804" s="34" t="s">
        <v>4875</v>
      </c>
      <c r="K804" s="34" t="s">
        <v>4876</v>
      </c>
      <c r="L804" s="37"/>
      <c r="M804" s="37"/>
      <c r="N804" s="37"/>
      <c r="O804" s="37"/>
      <c r="P804" s="37"/>
      <c r="Q804" s="37"/>
      <c r="R804" s="31" t="n">
        <f aca="false">COUNT($M804:$Q804)</f>
        <v>0</v>
      </c>
      <c r="S804" s="32" t="str">
        <f aca="false">IF($L804="","",IF($R804&gt;=5,"",MAX($L804:$Q804)+CHOOSE($R804+1,SETTINGS!$C$9,SETTINGS!$C$10,SETTINGS!$C$11,SETTINGS!$C$12,SETTINGS!$C$13)))</f>
        <v/>
      </c>
      <c r="T804" s="34" t="str">
        <f aca="true">IF($H804="","(chưa có nội dung)",IF($L804="",IF($C804&lt;TODAY(),"⚠ TRỄ HỌC",IF($C804=TODAY(),"★ HỌC HÔM NAY","• Chưa tới")),IF($R804&gt;=5,"✔ MASTER",IF($S804&lt;TODAY(),"⚠ TRỄ ÔN",IF($S804=TODAY(),"◆ ÔN HÔM NAY","✔ Đúng tiến độ")))))</f>
        <v>• Chưa tới</v>
      </c>
      <c r="U804" s="38" t="n">
        <f aca="false">IF($H804="","",$R804/5)</f>
        <v>0</v>
      </c>
    </row>
    <row r="805" customFormat="false" ht="15" hidden="false" customHeight="false" outlineLevel="0" collapsed="false">
      <c r="A805" s="31" t="s">
        <v>4877</v>
      </c>
      <c r="B805" s="31" t="n">
        <v>41</v>
      </c>
      <c r="C805" s="32" t="n">
        <f aca="false">SETTINGS!$C$3+$B805-1</f>
        <v>46340</v>
      </c>
      <c r="D805" s="40" t="s">
        <v>3692</v>
      </c>
      <c r="E805" s="34" t="s">
        <v>4865</v>
      </c>
      <c r="F805" s="34" t="s">
        <v>280</v>
      </c>
      <c r="G805" s="34" t="s">
        <v>4878</v>
      </c>
      <c r="H805" s="35" t="s">
        <v>4879</v>
      </c>
      <c r="I805" s="36" t="s">
        <v>4880</v>
      </c>
      <c r="J805" s="34" t="s">
        <v>4881</v>
      </c>
      <c r="K805" s="34" t="s">
        <v>4882</v>
      </c>
      <c r="L805" s="37"/>
      <c r="M805" s="37"/>
      <c r="N805" s="37"/>
      <c r="O805" s="37"/>
      <c r="P805" s="37"/>
      <c r="Q805" s="37"/>
      <c r="R805" s="31" t="n">
        <f aca="false">COUNT($M805:$Q805)</f>
        <v>0</v>
      </c>
      <c r="S805" s="32" t="str">
        <f aca="false">IF($L805="","",IF($R805&gt;=5,"",MAX($L805:$Q805)+CHOOSE($R805+1,SETTINGS!$C$9,SETTINGS!$C$10,SETTINGS!$C$11,SETTINGS!$C$12,SETTINGS!$C$13)))</f>
        <v/>
      </c>
      <c r="T805" s="34" t="str">
        <f aca="true">IF($H805="","(chưa có nội dung)",IF($L805="",IF($C805&lt;TODAY(),"⚠ TRỄ HỌC",IF($C805=TODAY(),"★ HỌC HÔM NAY","• Chưa tới")),IF($R805&gt;=5,"✔ MASTER",IF($S805&lt;TODAY(),"⚠ TRỄ ÔN",IF($S805=TODAY(),"◆ ÔN HÔM NAY","✔ Đúng tiến độ")))))</f>
        <v>• Chưa tới</v>
      </c>
      <c r="U805" s="38" t="n">
        <f aca="false">IF($H805="","",$R805/5)</f>
        <v>0</v>
      </c>
    </row>
    <row r="806" customFormat="false" ht="26.85" hidden="false" customHeight="false" outlineLevel="0" collapsed="false">
      <c r="A806" s="31" t="s">
        <v>4883</v>
      </c>
      <c r="B806" s="31" t="n">
        <v>41</v>
      </c>
      <c r="C806" s="32" t="n">
        <f aca="false">SETTINGS!$C$3+$B806-1</f>
        <v>46340</v>
      </c>
      <c r="D806" s="40" t="s">
        <v>3692</v>
      </c>
      <c r="E806" s="34" t="s">
        <v>4865</v>
      </c>
      <c r="F806" s="34" t="s">
        <v>3694</v>
      </c>
      <c r="G806" s="34" t="s">
        <v>4884</v>
      </c>
      <c r="H806" s="35" t="s">
        <v>4885</v>
      </c>
      <c r="I806" s="36" t="s">
        <v>4886</v>
      </c>
      <c r="J806" s="34" t="s">
        <v>4887</v>
      </c>
      <c r="K806" s="34" t="s">
        <v>4888</v>
      </c>
      <c r="L806" s="37"/>
      <c r="M806" s="37"/>
      <c r="N806" s="37"/>
      <c r="O806" s="37"/>
      <c r="P806" s="37"/>
      <c r="Q806" s="37"/>
      <c r="R806" s="31" t="n">
        <f aca="false">COUNT($M806:$Q806)</f>
        <v>0</v>
      </c>
      <c r="S806" s="32" t="str">
        <f aca="false">IF($L806="","",IF($R806&gt;=5,"",MAX($L806:$Q806)+CHOOSE($R806+1,SETTINGS!$C$9,SETTINGS!$C$10,SETTINGS!$C$11,SETTINGS!$C$12,SETTINGS!$C$13)))</f>
        <v/>
      </c>
      <c r="T806" s="34" t="str">
        <f aca="true">IF($H806="","(chưa có nội dung)",IF($L806="",IF($C806&lt;TODAY(),"⚠ TRỄ HỌC",IF($C806=TODAY(),"★ HỌC HÔM NAY","• Chưa tới")),IF($R806&gt;=5,"✔ MASTER",IF($S806&lt;TODAY(),"⚠ TRỄ ÔN",IF($S806=TODAY(),"◆ ÔN HÔM NAY","✔ Đúng tiến độ")))))</f>
        <v>• Chưa tới</v>
      </c>
      <c r="U806" s="38" t="n">
        <f aca="false">IF($H806="","",$R806/5)</f>
        <v>0</v>
      </c>
    </row>
    <row r="807" customFormat="false" ht="15" hidden="false" customHeight="false" outlineLevel="0" collapsed="false">
      <c r="A807" s="31" t="s">
        <v>4889</v>
      </c>
      <c r="B807" s="31" t="n">
        <v>41</v>
      </c>
      <c r="C807" s="32" t="n">
        <f aca="false">SETTINGS!$C$3+$B807-1</f>
        <v>46340</v>
      </c>
      <c r="D807" s="40" t="s">
        <v>3692</v>
      </c>
      <c r="E807" s="34" t="s">
        <v>4865</v>
      </c>
      <c r="F807" s="34" t="s">
        <v>3694</v>
      </c>
      <c r="G807" s="34" t="s">
        <v>4890</v>
      </c>
      <c r="H807" s="35" t="s">
        <v>4891</v>
      </c>
      <c r="I807" s="36" t="s">
        <v>4892</v>
      </c>
      <c r="J807" s="34" t="s">
        <v>4893</v>
      </c>
      <c r="K807" s="34" t="s">
        <v>4894</v>
      </c>
      <c r="L807" s="37"/>
      <c r="M807" s="37"/>
      <c r="N807" s="37"/>
      <c r="O807" s="37"/>
      <c r="P807" s="37"/>
      <c r="Q807" s="37"/>
      <c r="R807" s="31" t="n">
        <f aca="false">COUNT($M807:$Q807)</f>
        <v>0</v>
      </c>
      <c r="S807" s="32" t="str">
        <f aca="false">IF($L807="","",IF($R807&gt;=5,"",MAX($L807:$Q807)+CHOOSE($R807+1,SETTINGS!$C$9,SETTINGS!$C$10,SETTINGS!$C$11,SETTINGS!$C$12,SETTINGS!$C$13)))</f>
        <v/>
      </c>
      <c r="T807" s="34" t="str">
        <f aca="true">IF($H807="","(chưa có nội dung)",IF($L807="",IF($C807&lt;TODAY(),"⚠ TRỄ HỌC",IF($C807=TODAY(),"★ HỌC HÔM NAY","• Chưa tới")),IF($R807&gt;=5,"✔ MASTER",IF($S807&lt;TODAY(),"⚠ TRỄ ÔN",IF($S807=TODAY(),"◆ ÔN HÔM NAY","✔ Đúng tiến độ")))))</f>
        <v>• Chưa tới</v>
      </c>
      <c r="U807" s="38" t="n">
        <f aca="false">IF($H807="","",$R807/5)</f>
        <v>0</v>
      </c>
    </row>
    <row r="808" customFormat="false" ht="15" hidden="false" customHeight="false" outlineLevel="0" collapsed="false">
      <c r="A808" s="31" t="s">
        <v>4895</v>
      </c>
      <c r="B808" s="31" t="n">
        <v>41</v>
      </c>
      <c r="C808" s="32" t="n">
        <f aca="false">SETTINGS!$C$3+$B808-1</f>
        <v>46340</v>
      </c>
      <c r="D808" s="40" t="s">
        <v>3692</v>
      </c>
      <c r="E808" s="34" t="s">
        <v>4865</v>
      </c>
      <c r="F808" s="34" t="s">
        <v>280</v>
      </c>
      <c r="G808" s="34" t="s">
        <v>4896</v>
      </c>
      <c r="H808" s="35" t="s">
        <v>4897</v>
      </c>
      <c r="I808" s="36" t="s">
        <v>4898</v>
      </c>
      <c r="J808" s="34" t="s">
        <v>4899</v>
      </c>
      <c r="K808" s="34" t="s">
        <v>4900</v>
      </c>
      <c r="L808" s="37"/>
      <c r="M808" s="37"/>
      <c r="N808" s="37"/>
      <c r="O808" s="37"/>
      <c r="P808" s="37"/>
      <c r="Q808" s="37"/>
      <c r="R808" s="31" t="n">
        <f aca="false">COUNT($M808:$Q808)</f>
        <v>0</v>
      </c>
      <c r="S808" s="32" t="str">
        <f aca="false">IF($L808="","",IF($R808&gt;=5,"",MAX($L808:$Q808)+CHOOSE($R808+1,SETTINGS!$C$9,SETTINGS!$C$10,SETTINGS!$C$11,SETTINGS!$C$12,SETTINGS!$C$13)))</f>
        <v/>
      </c>
      <c r="T808" s="34" t="str">
        <f aca="true">IF($H808="","(chưa có nội dung)",IF($L808="",IF($C808&lt;TODAY(),"⚠ TRỄ HỌC",IF($C808=TODAY(),"★ HỌC HÔM NAY","• Chưa tới")),IF($R808&gt;=5,"✔ MASTER",IF($S808&lt;TODAY(),"⚠ TRỄ ÔN",IF($S808=TODAY(),"◆ ÔN HÔM NAY","✔ Đúng tiến độ")))))</f>
        <v>• Chưa tới</v>
      </c>
      <c r="U808" s="38" t="n">
        <f aca="false">IF($H808="","",$R808/5)</f>
        <v>0</v>
      </c>
    </row>
    <row r="809" customFormat="false" ht="26.85" hidden="false" customHeight="false" outlineLevel="0" collapsed="false">
      <c r="A809" s="31" t="s">
        <v>4901</v>
      </c>
      <c r="B809" s="31" t="n">
        <v>41</v>
      </c>
      <c r="C809" s="32" t="n">
        <f aca="false">SETTINGS!$C$3+$B809-1</f>
        <v>46340</v>
      </c>
      <c r="D809" s="40" t="s">
        <v>3692</v>
      </c>
      <c r="E809" s="34" t="s">
        <v>4865</v>
      </c>
      <c r="F809" s="34" t="s">
        <v>3694</v>
      </c>
      <c r="G809" s="34" t="s">
        <v>4902</v>
      </c>
      <c r="H809" s="35" t="s">
        <v>4903</v>
      </c>
      <c r="I809" s="36" t="s">
        <v>4904</v>
      </c>
      <c r="J809" s="34" t="s">
        <v>4905</v>
      </c>
      <c r="K809" s="34" t="s">
        <v>1733</v>
      </c>
      <c r="L809" s="37"/>
      <c r="M809" s="37"/>
      <c r="N809" s="37"/>
      <c r="O809" s="37"/>
      <c r="P809" s="37"/>
      <c r="Q809" s="37"/>
      <c r="R809" s="31" t="n">
        <f aca="false">COUNT($M809:$Q809)</f>
        <v>0</v>
      </c>
      <c r="S809" s="32" t="str">
        <f aca="false">IF($L809="","",IF($R809&gt;=5,"",MAX($L809:$Q809)+CHOOSE($R809+1,SETTINGS!$C$9,SETTINGS!$C$10,SETTINGS!$C$11,SETTINGS!$C$12,SETTINGS!$C$13)))</f>
        <v/>
      </c>
      <c r="T809" s="34" t="str">
        <f aca="true">IF($H809="","(chưa có nội dung)",IF($L809="",IF($C809&lt;TODAY(),"⚠ TRỄ HỌC",IF($C809=TODAY(),"★ HỌC HÔM NAY","• Chưa tới")),IF($R809&gt;=5,"✔ MASTER",IF($S809&lt;TODAY(),"⚠ TRỄ ÔN",IF($S809=TODAY(),"◆ ÔN HÔM NAY","✔ Đúng tiến độ")))))</f>
        <v>• Chưa tới</v>
      </c>
      <c r="U809" s="38" t="n">
        <f aca="false">IF($H809="","",$R809/5)</f>
        <v>0</v>
      </c>
    </row>
    <row r="810" customFormat="false" ht="15" hidden="false" customHeight="false" outlineLevel="0" collapsed="false">
      <c r="A810" s="31" t="s">
        <v>4906</v>
      </c>
      <c r="B810" s="31" t="n">
        <v>41</v>
      </c>
      <c r="C810" s="32" t="n">
        <f aca="false">SETTINGS!$C$3+$B810-1</f>
        <v>46340</v>
      </c>
      <c r="D810" s="40" t="s">
        <v>3692</v>
      </c>
      <c r="E810" s="34" t="s">
        <v>4865</v>
      </c>
      <c r="F810" s="34" t="s">
        <v>280</v>
      </c>
      <c r="G810" s="34" t="s">
        <v>4907</v>
      </c>
      <c r="H810" s="35" t="s">
        <v>4908</v>
      </c>
      <c r="I810" s="36" t="s">
        <v>4909</v>
      </c>
      <c r="J810" s="34" t="s">
        <v>4910</v>
      </c>
      <c r="K810" s="34" t="s">
        <v>4911</v>
      </c>
      <c r="L810" s="37"/>
      <c r="M810" s="37"/>
      <c r="N810" s="37"/>
      <c r="O810" s="37"/>
      <c r="P810" s="37"/>
      <c r="Q810" s="37"/>
      <c r="R810" s="31" t="n">
        <f aca="false">COUNT($M810:$Q810)</f>
        <v>0</v>
      </c>
      <c r="S810" s="32" t="str">
        <f aca="false">IF($L810="","",IF($R810&gt;=5,"",MAX($L810:$Q810)+CHOOSE($R810+1,SETTINGS!$C$9,SETTINGS!$C$10,SETTINGS!$C$11,SETTINGS!$C$12,SETTINGS!$C$13)))</f>
        <v/>
      </c>
      <c r="T810" s="34" t="str">
        <f aca="true">IF($H810="","(chưa có nội dung)",IF($L810="",IF($C810&lt;TODAY(),"⚠ TRỄ HỌC",IF($C810=TODAY(),"★ HỌC HÔM NAY","• Chưa tới")),IF($R810&gt;=5,"✔ MASTER",IF($S810&lt;TODAY(),"⚠ TRỄ ÔN",IF($S810=TODAY(),"◆ ÔN HÔM NAY","✔ Đúng tiến độ")))))</f>
        <v>• Chưa tới</v>
      </c>
      <c r="U810" s="38" t="n">
        <f aca="false">IF($H810="","",$R810/5)</f>
        <v>0</v>
      </c>
    </row>
    <row r="811" customFormat="false" ht="15" hidden="false" customHeight="false" outlineLevel="0" collapsed="false">
      <c r="A811" s="31" t="s">
        <v>4912</v>
      </c>
      <c r="B811" s="31" t="n">
        <v>41</v>
      </c>
      <c r="C811" s="32" t="n">
        <f aca="false">SETTINGS!$C$3+$B811-1</f>
        <v>46340</v>
      </c>
      <c r="D811" s="40" t="s">
        <v>3692</v>
      </c>
      <c r="E811" s="34" t="s">
        <v>4865</v>
      </c>
      <c r="F811" s="34" t="s">
        <v>280</v>
      </c>
      <c r="G811" s="34" t="s">
        <v>4913</v>
      </c>
      <c r="H811" s="35" t="s">
        <v>4914</v>
      </c>
      <c r="I811" s="36" t="s">
        <v>4915</v>
      </c>
      <c r="J811" s="34" t="s">
        <v>4916</v>
      </c>
      <c r="K811" s="34" t="s">
        <v>3729</v>
      </c>
      <c r="L811" s="37"/>
      <c r="M811" s="37"/>
      <c r="N811" s="37"/>
      <c r="O811" s="37"/>
      <c r="P811" s="37"/>
      <c r="Q811" s="37"/>
      <c r="R811" s="31" t="n">
        <f aca="false">COUNT($M811:$Q811)</f>
        <v>0</v>
      </c>
      <c r="S811" s="32" t="str">
        <f aca="false">IF($L811="","",IF($R811&gt;=5,"",MAX($L811:$Q811)+CHOOSE($R811+1,SETTINGS!$C$9,SETTINGS!$C$10,SETTINGS!$C$11,SETTINGS!$C$12,SETTINGS!$C$13)))</f>
        <v/>
      </c>
      <c r="T811" s="34" t="str">
        <f aca="true">IF($H811="","(chưa có nội dung)",IF($L811="",IF($C811&lt;TODAY(),"⚠ TRỄ HỌC",IF($C811=TODAY(),"★ HỌC HÔM NAY","• Chưa tới")),IF($R811&gt;=5,"✔ MASTER",IF($S811&lt;TODAY(),"⚠ TRỄ ÔN",IF($S811=TODAY(),"◆ ÔN HÔM NAY","✔ Đúng tiến độ")))))</f>
        <v>• Chưa tới</v>
      </c>
      <c r="U811" s="38" t="n">
        <f aca="false">IF($H811="","",$R811/5)</f>
        <v>0</v>
      </c>
    </row>
    <row r="812" customFormat="false" ht="15" hidden="false" customHeight="false" outlineLevel="0" collapsed="false">
      <c r="A812" s="31" t="s">
        <v>4917</v>
      </c>
      <c r="B812" s="31" t="n">
        <v>41</v>
      </c>
      <c r="C812" s="32" t="n">
        <f aca="false">SETTINGS!$C$3+$B812-1</f>
        <v>46340</v>
      </c>
      <c r="D812" s="40" t="s">
        <v>3692</v>
      </c>
      <c r="E812" s="34" t="s">
        <v>4865</v>
      </c>
      <c r="F812" s="34" t="s">
        <v>3694</v>
      </c>
      <c r="G812" s="34" t="s">
        <v>4918</v>
      </c>
      <c r="H812" s="35" t="s">
        <v>4919</v>
      </c>
      <c r="I812" s="36" t="s">
        <v>4920</v>
      </c>
      <c r="J812" s="34" t="s">
        <v>4921</v>
      </c>
      <c r="K812" s="34" t="s">
        <v>4922</v>
      </c>
      <c r="L812" s="37"/>
      <c r="M812" s="37"/>
      <c r="N812" s="37"/>
      <c r="O812" s="37"/>
      <c r="P812" s="37"/>
      <c r="Q812" s="37"/>
      <c r="R812" s="31" t="n">
        <f aca="false">COUNT($M812:$Q812)</f>
        <v>0</v>
      </c>
      <c r="S812" s="32" t="str">
        <f aca="false">IF($L812="","",IF($R812&gt;=5,"",MAX($L812:$Q812)+CHOOSE($R812+1,SETTINGS!$C$9,SETTINGS!$C$10,SETTINGS!$C$11,SETTINGS!$C$12,SETTINGS!$C$13)))</f>
        <v/>
      </c>
      <c r="T812" s="34" t="str">
        <f aca="true">IF($H812="","(chưa có nội dung)",IF($L812="",IF($C812&lt;TODAY(),"⚠ TRỄ HỌC",IF($C812=TODAY(),"★ HỌC HÔM NAY","• Chưa tới")),IF($R812&gt;=5,"✔ MASTER",IF($S812&lt;TODAY(),"⚠ TRỄ ÔN",IF($S812=TODAY(),"◆ ÔN HÔM NAY","✔ Đúng tiến độ")))))</f>
        <v>• Chưa tới</v>
      </c>
      <c r="U812" s="38" t="n">
        <f aca="false">IF($H812="","",$R812/5)</f>
        <v>0</v>
      </c>
    </row>
    <row r="813" customFormat="false" ht="15" hidden="false" customHeight="false" outlineLevel="0" collapsed="false">
      <c r="A813" s="31" t="s">
        <v>4923</v>
      </c>
      <c r="B813" s="31" t="n">
        <v>41</v>
      </c>
      <c r="C813" s="32" t="n">
        <f aca="false">SETTINGS!$C$3+$B813-1</f>
        <v>46340</v>
      </c>
      <c r="D813" s="40" t="s">
        <v>3692</v>
      </c>
      <c r="E813" s="34" t="s">
        <v>4865</v>
      </c>
      <c r="F813" s="34" t="s">
        <v>3694</v>
      </c>
      <c r="G813" s="34" t="s">
        <v>4924</v>
      </c>
      <c r="H813" s="35" t="s">
        <v>4925</v>
      </c>
      <c r="I813" s="36" t="s">
        <v>4926</v>
      </c>
      <c r="J813" s="34" t="s">
        <v>4927</v>
      </c>
      <c r="K813" s="34" t="s">
        <v>4467</v>
      </c>
      <c r="L813" s="37"/>
      <c r="M813" s="37"/>
      <c r="N813" s="37"/>
      <c r="O813" s="37"/>
      <c r="P813" s="37"/>
      <c r="Q813" s="37"/>
      <c r="R813" s="31" t="n">
        <f aca="false">COUNT($M813:$Q813)</f>
        <v>0</v>
      </c>
      <c r="S813" s="32" t="str">
        <f aca="false">IF($L813="","",IF($R813&gt;=5,"",MAX($L813:$Q813)+CHOOSE($R813+1,SETTINGS!$C$9,SETTINGS!$C$10,SETTINGS!$C$11,SETTINGS!$C$12,SETTINGS!$C$13)))</f>
        <v/>
      </c>
      <c r="T813" s="34" t="str">
        <f aca="true">IF($H813="","(chưa có nội dung)",IF($L813="",IF($C813&lt;TODAY(),"⚠ TRỄ HỌC",IF($C813=TODAY(),"★ HỌC HÔM NAY","• Chưa tới")),IF($R813&gt;=5,"✔ MASTER",IF($S813&lt;TODAY(),"⚠ TRỄ ÔN",IF($S813=TODAY(),"◆ ÔN HÔM NAY","✔ Đúng tiến độ")))))</f>
        <v>• Chưa tới</v>
      </c>
      <c r="U813" s="38" t="n">
        <f aca="false">IF($H813="","",$R813/5)</f>
        <v>0</v>
      </c>
    </row>
    <row r="814" customFormat="false" ht="15" hidden="false" customHeight="false" outlineLevel="0" collapsed="false">
      <c r="A814" s="31" t="s">
        <v>4928</v>
      </c>
      <c r="B814" s="31" t="n">
        <v>41</v>
      </c>
      <c r="C814" s="32" t="n">
        <f aca="false">SETTINGS!$C$3+$B814-1</f>
        <v>46340</v>
      </c>
      <c r="D814" s="40" t="s">
        <v>3692</v>
      </c>
      <c r="E814" s="34" t="s">
        <v>4865</v>
      </c>
      <c r="F814" s="34" t="s">
        <v>280</v>
      </c>
      <c r="G814" s="34" t="s">
        <v>4929</v>
      </c>
      <c r="H814" s="35" t="s">
        <v>4930</v>
      </c>
      <c r="I814" s="36" t="s">
        <v>4931</v>
      </c>
      <c r="J814" s="34" t="s">
        <v>4932</v>
      </c>
      <c r="K814" s="34" t="s">
        <v>4933</v>
      </c>
      <c r="L814" s="37"/>
      <c r="M814" s="37"/>
      <c r="N814" s="37"/>
      <c r="O814" s="37"/>
      <c r="P814" s="37"/>
      <c r="Q814" s="37"/>
      <c r="R814" s="31" t="n">
        <f aca="false">COUNT($M814:$Q814)</f>
        <v>0</v>
      </c>
      <c r="S814" s="32" t="str">
        <f aca="false">IF($L814="","",IF($R814&gt;=5,"",MAX($L814:$Q814)+CHOOSE($R814+1,SETTINGS!$C$9,SETTINGS!$C$10,SETTINGS!$C$11,SETTINGS!$C$12,SETTINGS!$C$13)))</f>
        <v/>
      </c>
      <c r="T814" s="34" t="str">
        <f aca="true">IF($H814="","(chưa có nội dung)",IF($L814="",IF($C814&lt;TODAY(),"⚠ TRỄ HỌC",IF($C814=TODAY(),"★ HỌC HÔM NAY","• Chưa tới")),IF($R814&gt;=5,"✔ MASTER",IF($S814&lt;TODAY(),"⚠ TRỄ ÔN",IF($S814=TODAY(),"◆ ÔN HÔM NAY","✔ Đúng tiến độ")))))</f>
        <v>• Chưa tới</v>
      </c>
      <c r="U814" s="38" t="n">
        <f aca="false">IF($H814="","",$R814/5)</f>
        <v>0</v>
      </c>
    </row>
    <row r="815" customFormat="false" ht="15" hidden="false" customHeight="false" outlineLevel="0" collapsed="false">
      <c r="A815" s="31" t="s">
        <v>4934</v>
      </c>
      <c r="B815" s="31" t="n">
        <v>41</v>
      </c>
      <c r="C815" s="32" t="n">
        <f aca="false">SETTINGS!$C$3+$B815-1</f>
        <v>46340</v>
      </c>
      <c r="D815" s="40" t="s">
        <v>3692</v>
      </c>
      <c r="E815" s="34" t="s">
        <v>4865</v>
      </c>
      <c r="F815" s="34" t="s">
        <v>280</v>
      </c>
      <c r="G815" s="34" t="s">
        <v>4935</v>
      </c>
      <c r="H815" s="35" t="s">
        <v>4936</v>
      </c>
      <c r="I815" s="36" t="s">
        <v>4937</v>
      </c>
      <c r="J815" s="34" t="s">
        <v>4938</v>
      </c>
      <c r="K815" s="34" t="s">
        <v>4939</v>
      </c>
      <c r="L815" s="37"/>
      <c r="M815" s="37"/>
      <c r="N815" s="37"/>
      <c r="O815" s="37"/>
      <c r="P815" s="37"/>
      <c r="Q815" s="37"/>
      <c r="R815" s="31" t="n">
        <f aca="false">COUNT($M815:$Q815)</f>
        <v>0</v>
      </c>
      <c r="S815" s="32" t="str">
        <f aca="false">IF($L815="","",IF($R815&gt;=5,"",MAX($L815:$Q815)+CHOOSE($R815+1,SETTINGS!$C$9,SETTINGS!$C$10,SETTINGS!$C$11,SETTINGS!$C$12,SETTINGS!$C$13)))</f>
        <v/>
      </c>
      <c r="T815" s="34" t="str">
        <f aca="true">IF($H815="","(chưa có nội dung)",IF($L815="",IF($C815&lt;TODAY(),"⚠ TRỄ HỌC",IF($C815=TODAY(),"★ HỌC HÔM NAY","• Chưa tới")),IF($R815&gt;=5,"✔ MASTER",IF($S815&lt;TODAY(),"⚠ TRỄ ÔN",IF($S815=TODAY(),"◆ ÔN HÔM NAY","✔ Đúng tiến độ")))))</f>
        <v>• Chưa tới</v>
      </c>
      <c r="U815" s="38" t="n">
        <f aca="false">IF($H815="","",$R815/5)</f>
        <v>0</v>
      </c>
    </row>
    <row r="816" customFormat="false" ht="26.85" hidden="false" customHeight="false" outlineLevel="0" collapsed="false">
      <c r="A816" s="31" t="s">
        <v>4940</v>
      </c>
      <c r="B816" s="31" t="n">
        <v>41</v>
      </c>
      <c r="C816" s="32" t="n">
        <f aca="false">SETTINGS!$C$3+$B816-1</f>
        <v>46340</v>
      </c>
      <c r="D816" s="40" t="s">
        <v>3692</v>
      </c>
      <c r="E816" s="34" t="s">
        <v>4865</v>
      </c>
      <c r="F816" s="34" t="s">
        <v>3694</v>
      </c>
      <c r="G816" s="34" t="s">
        <v>4941</v>
      </c>
      <c r="H816" s="35" t="s">
        <v>4942</v>
      </c>
      <c r="I816" s="36" t="s">
        <v>4943</v>
      </c>
      <c r="J816" s="34" t="s">
        <v>4944</v>
      </c>
      <c r="K816" s="34" t="s">
        <v>1414</v>
      </c>
      <c r="L816" s="37"/>
      <c r="M816" s="37"/>
      <c r="N816" s="37"/>
      <c r="O816" s="37"/>
      <c r="P816" s="37"/>
      <c r="Q816" s="37"/>
      <c r="R816" s="31" t="n">
        <f aca="false">COUNT($M816:$Q816)</f>
        <v>0</v>
      </c>
      <c r="S816" s="32" t="str">
        <f aca="false">IF($L816="","",IF($R816&gt;=5,"",MAX($L816:$Q816)+CHOOSE($R816+1,SETTINGS!$C$9,SETTINGS!$C$10,SETTINGS!$C$11,SETTINGS!$C$12,SETTINGS!$C$13)))</f>
        <v/>
      </c>
      <c r="T816" s="34" t="str">
        <f aca="true">IF($H816="","(chưa có nội dung)",IF($L816="",IF($C816&lt;TODAY(),"⚠ TRỄ HỌC",IF($C816=TODAY(),"★ HỌC HÔM NAY","• Chưa tới")),IF($R816&gt;=5,"✔ MASTER",IF($S816&lt;TODAY(),"⚠ TRỄ ÔN",IF($S816=TODAY(),"◆ ÔN HÔM NAY","✔ Đúng tiến độ")))))</f>
        <v>• Chưa tới</v>
      </c>
      <c r="U816" s="38" t="n">
        <f aca="false">IF($H816="","",$R816/5)</f>
        <v>0</v>
      </c>
    </row>
    <row r="817" customFormat="false" ht="15" hidden="false" customHeight="false" outlineLevel="0" collapsed="false">
      <c r="A817" s="31" t="s">
        <v>4945</v>
      </c>
      <c r="B817" s="31" t="n">
        <v>41</v>
      </c>
      <c r="C817" s="32" t="n">
        <f aca="false">SETTINGS!$C$3+$B817-1</f>
        <v>46340</v>
      </c>
      <c r="D817" s="40" t="s">
        <v>3692</v>
      </c>
      <c r="E817" s="34" t="s">
        <v>4865</v>
      </c>
      <c r="F817" s="34" t="s">
        <v>280</v>
      </c>
      <c r="G817" s="34" t="s">
        <v>4946</v>
      </c>
      <c r="H817" s="35" t="s">
        <v>4947</v>
      </c>
      <c r="I817" s="36" t="s">
        <v>4948</v>
      </c>
      <c r="J817" s="34" t="s">
        <v>4949</v>
      </c>
      <c r="K817" s="34" t="s">
        <v>4950</v>
      </c>
      <c r="L817" s="37"/>
      <c r="M817" s="37"/>
      <c r="N817" s="37"/>
      <c r="O817" s="37"/>
      <c r="P817" s="37"/>
      <c r="Q817" s="37"/>
      <c r="R817" s="31" t="n">
        <f aca="false">COUNT($M817:$Q817)</f>
        <v>0</v>
      </c>
      <c r="S817" s="32" t="str">
        <f aca="false">IF($L817="","",IF($R817&gt;=5,"",MAX($L817:$Q817)+CHOOSE($R817+1,SETTINGS!$C$9,SETTINGS!$C$10,SETTINGS!$C$11,SETTINGS!$C$12,SETTINGS!$C$13)))</f>
        <v/>
      </c>
      <c r="T817" s="34" t="str">
        <f aca="true">IF($H817="","(chưa có nội dung)",IF($L817="",IF($C817&lt;TODAY(),"⚠ TRỄ HỌC",IF($C817=TODAY(),"★ HỌC HÔM NAY","• Chưa tới")),IF($R817&gt;=5,"✔ MASTER",IF($S817&lt;TODAY(),"⚠ TRỄ ÔN",IF($S817=TODAY(),"◆ ÔN HÔM NAY","✔ Đúng tiến độ")))))</f>
        <v>• Chưa tới</v>
      </c>
      <c r="U817" s="38" t="n">
        <f aca="false">IF($H817="","",$R817/5)</f>
        <v>0</v>
      </c>
    </row>
    <row r="818" customFormat="false" ht="15" hidden="false" customHeight="false" outlineLevel="0" collapsed="false">
      <c r="A818" s="31" t="s">
        <v>4951</v>
      </c>
      <c r="B818" s="31" t="n">
        <v>41</v>
      </c>
      <c r="C818" s="32" t="n">
        <f aca="false">SETTINGS!$C$3+$B818-1</f>
        <v>46340</v>
      </c>
      <c r="D818" s="40" t="s">
        <v>3692</v>
      </c>
      <c r="E818" s="34" t="s">
        <v>4865</v>
      </c>
      <c r="F818" s="34" t="s">
        <v>3694</v>
      </c>
      <c r="G818" s="34" t="s">
        <v>4952</v>
      </c>
      <c r="H818" s="35" t="s">
        <v>4953</v>
      </c>
      <c r="I818" s="36" t="s">
        <v>4954</v>
      </c>
      <c r="J818" s="34" t="s">
        <v>4955</v>
      </c>
      <c r="K818" s="34" t="s">
        <v>4956</v>
      </c>
      <c r="L818" s="37"/>
      <c r="M818" s="37"/>
      <c r="N818" s="37"/>
      <c r="O818" s="37"/>
      <c r="P818" s="37"/>
      <c r="Q818" s="37"/>
      <c r="R818" s="31" t="n">
        <f aca="false">COUNT($M818:$Q818)</f>
        <v>0</v>
      </c>
      <c r="S818" s="32" t="str">
        <f aca="false">IF($L818="","",IF($R818&gt;=5,"",MAX($L818:$Q818)+CHOOSE($R818+1,SETTINGS!$C$9,SETTINGS!$C$10,SETTINGS!$C$11,SETTINGS!$C$12,SETTINGS!$C$13)))</f>
        <v/>
      </c>
      <c r="T818" s="34" t="str">
        <f aca="true">IF($H818="","(chưa có nội dung)",IF($L818="",IF($C818&lt;TODAY(),"⚠ TRỄ HỌC",IF($C818=TODAY(),"★ HỌC HÔM NAY","• Chưa tới")),IF($R818&gt;=5,"✔ MASTER",IF($S818&lt;TODAY(),"⚠ TRỄ ÔN",IF($S818=TODAY(),"◆ ÔN HÔM NAY","✔ Đúng tiến độ")))))</f>
        <v>• Chưa tới</v>
      </c>
      <c r="U818" s="38" t="n">
        <f aca="false">IF($H818="","",$R818/5)</f>
        <v>0</v>
      </c>
    </row>
    <row r="819" customFormat="false" ht="15" hidden="false" customHeight="false" outlineLevel="0" collapsed="false">
      <c r="A819" s="31" t="s">
        <v>4957</v>
      </c>
      <c r="B819" s="31" t="n">
        <v>41</v>
      </c>
      <c r="C819" s="32" t="n">
        <f aca="false">SETTINGS!$C$3+$B819-1</f>
        <v>46340</v>
      </c>
      <c r="D819" s="40" t="s">
        <v>3692</v>
      </c>
      <c r="E819" s="34" t="s">
        <v>4865</v>
      </c>
      <c r="F819" s="34" t="s">
        <v>280</v>
      </c>
      <c r="G819" s="34" t="s">
        <v>1694</v>
      </c>
      <c r="H819" s="35" t="s">
        <v>4958</v>
      </c>
      <c r="I819" s="36" t="s">
        <v>4959</v>
      </c>
      <c r="J819" s="34" t="s">
        <v>4960</v>
      </c>
      <c r="K819" s="34" t="s">
        <v>4961</v>
      </c>
      <c r="L819" s="37"/>
      <c r="M819" s="37"/>
      <c r="N819" s="37"/>
      <c r="O819" s="37"/>
      <c r="P819" s="37"/>
      <c r="Q819" s="37"/>
      <c r="R819" s="31" t="n">
        <f aca="false">COUNT($M819:$Q819)</f>
        <v>0</v>
      </c>
      <c r="S819" s="32" t="str">
        <f aca="false">IF($L819="","",IF($R819&gt;=5,"",MAX($L819:$Q819)+CHOOSE($R819+1,SETTINGS!$C$9,SETTINGS!$C$10,SETTINGS!$C$11,SETTINGS!$C$12,SETTINGS!$C$13)))</f>
        <v/>
      </c>
      <c r="T819" s="34" t="str">
        <f aca="true">IF($H819="","(chưa có nội dung)",IF($L819="",IF($C819&lt;TODAY(),"⚠ TRỄ HỌC",IF($C819=TODAY(),"★ HỌC HÔM NAY","• Chưa tới")),IF($R819&gt;=5,"✔ MASTER",IF($S819&lt;TODAY(),"⚠ TRỄ ÔN",IF($S819=TODAY(),"◆ ÔN HÔM NAY","✔ Đúng tiến độ")))))</f>
        <v>• Chưa tới</v>
      </c>
      <c r="U819" s="38" t="n">
        <f aca="false">IF($H819="","",$R819/5)</f>
        <v>0</v>
      </c>
    </row>
    <row r="820" customFormat="false" ht="15" hidden="false" customHeight="false" outlineLevel="0" collapsed="false">
      <c r="A820" s="31" t="s">
        <v>4962</v>
      </c>
      <c r="B820" s="31" t="n">
        <v>41</v>
      </c>
      <c r="C820" s="32" t="n">
        <f aca="false">SETTINGS!$C$3+$B820-1</f>
        <v>46340</v>
      </c>
      <c r="D820" s="40" t="s">
        <v>3692</v>
      </c>
      <c r="E820" s="34" t="s">
        <v>4865</v>
      </c>
      <c r="F820" s="34" t="s">
        <v>280</v>
      </c>
      <c r="G820" s="34" t="s">
        <v>4963</v>
      </c>
      <c r="H820" s="35" t="s">
        <v>4964</v>
      </c>
      <c r="I820" s="36" t="s">
        <v>4965</v>
      </c>
      <c r="J820" s="34" t="s">
        <v>4966</v>
      </c>
      <c r="K820" s="34" t="s">
        <v>4967</v>
      </c>
      <c r="L820" s="37"/>
      <c r="M820" s="37"/>
      <c r="N820" s="37"/>
      <c r="O820" s="37"/>
      <c r="P820" s="37"/>
      <c r="Q820" s="37"/>
      <c r="R820" s="31" t="n">
        <f aca="false">COUNT($M820:$Q820)</f>
        <v>0</v>
      </c>
      <c r="S820" s="32" t="str">
        <f aca="false">IF($L820="","",IF($R820&gt;=5,"",MAX($L820:$Q820)+CHOOSE($R820+1,SETTINGS!$C$9,SETTINGS!$C$10,SETTINGS!$C$11,SETTINGS!$C$12,SETTINGS!$C$13)))</f>
        <v/>
      </c>
      <c r="T820" s="34" t="str">
        <f aca="true">IF($H820="","(chưa có nội dung)",IF($L820="",IF($C820&lt;TODAY(),"⚠ TRỄ HỌC",IF($C820=TODAY(),"★ HỌC HÔM NAY","• Chưa tới")),IF($R820&gt;=5,"✔ MASTER",IF($S820&lt;TODAY(),"⚠ TRỄ ÔN",IF($S820=TODAY(),"◆ ÔN HÔM NAY","✔ Đúng tiến độ")))))</f>
        <v>• Chưa tới</v>
      </c>
      <c r="U820" s="38" t="n">
        <f aca="false">IF($H820="","",$R820/5)</f>
        <v>0</v>
      </c>
    </row>
    <row r="821" customFormat="false" ht="15" hidden="false" customHeight="false" outlineLevel="0" collapsed="false">
      <c r="A821" s="31" t="s">
        <v>4968</v>
      </c>
      <c r="B821" s="31" t="n">
        <v>41</v>
      </c>
      <c r="C821" s="32" t="n">
        <f aca="false">SETTINGS!$C$3+$B821-1</f>
        <v>46340</v>
      </c>
      <c r="D821" s="40" t="s">
        <v>3692</v>
      </c>
      <c r="E821" s="34" t="s">
        <v>4865</v>
      </c>
      <c r="F821" s="34" t="s">
        <v>3694</v>
      </c>
      <c r="G821" s="34" t="s">
        <v>4969</v>
      </c>
      <c r="H821" s="35" t="s">
        <v>4970</v>
      </c>
      <c r="I821" s="36" t="s">
        <v>4971</v>
      </c>
      <c r="J821" s="34" t="s">
        <v>4972</v>
      </c>
      <c r="K821" s="34" t="s">
        <v>4973</v>
      </c>
      <c r="L821" s="37"/>
      <c r="M821" s="37"/>
      <c r="N821" s="37"/>
      <c r="O821" s="37"/>
      <c r="P821" s="37"/>
      <c r="Q821" s="37"/>
      <c r="R821" s="31" t="n">
        <f aca="false">COUNT($M821:$Q821)</f>
        <v>0</v>
      </c>
      <c r="S821" s="32" t="str">
        <f aca="false">IF($L821="","",IF($R821&gt;=5,"",MAX($L821:$Q821)+CHOOSE($R821+1,SETTINGS!$C$9,SETTINGS!$C$10,SETTINGS!$C$11,SETTINGS!$C$12,SETTINGS!$C$13)))</f>
        <v/>
      </c>
      <c r="T821" s="34" t="str">
        <f aca="true">IF($H821="","(chưa có nội dung)",IF($L821="",IF($C821&lt;TODAY(),"⚠ TRỄ HỌC",IF($C821=TODAY(),"★ HỌC HÔM NAY","• Chưa tới")),IF($R821&gt;=5,"✔ MASTER",IF($S821&lt;TODAY(),"⚠ TRỄ ÔN",IF($S821=TODAY(),"◆ ÔN HÔM NAY","✔ Đúng tiến độ")))))</f>
        <v>• Chưa tới</v>
      </c>
      <c r="U821" s="38" t="n">
        <f aca="false">IF($H821="","",$R821/5)</f>
        <v>0</v>
      </c>
    </row>
    <row r="822" customFormat="false" ht="15" hidden="false" customHeight="false" outlineLevel="0" collapsed="false">
      <c r="A822" s="31" t="s">
        <v>4974</v>
      </c>
      <c r="B822" s="31" t="n">
        <v>41</v>
      </c>
      <c r="C822" s="32" t="n">
        <f aca="false">SETTINGS!$C$3+$B822-1</f>
        <v>46340</v>
      </c>
      <c r="D822" s="40" t="s">
        <v>3692</v>
      </c>
      <c r="E822" s="34" t="s">
        <v>4865</v>
      </c>
      <c r="F822" s="34" t="s">
        <v>280</v>
      </c>
      <c r="G822" s="34" t="s">
        <v>4975</v>
      </c>
      <c r="H822" s="35" t="s">
        <v>4976</v>
      </c>
      <c r="I822" s="36" t="s">
        <v>4977</v>
      </c>
      <c r="J822" s="34" t="s">
        <v>4978</v>
      </c>
      <c r="K822" s="34" t="s">
        <v>2113</v>
      </c>
      <c r="L822" s="37"/>
      <c r="M822" s="37"/>
      <c r="N822" s="37"/>
      <c r="O822" s="37"/>
      <c r="P822" s="37"/>
      <c r="Q822" s="37"/>
      <c r="R822" s="31" t="n">
        <f aca="false">COUNT($M822:$Q822)</f>
        <v>0</v>
      </c>
      <c r="S822" s="32" t="str">
        <f aca="false">IF($L822="","",IF($R822&gt;=5,"",MAX($L822:$Q822)+CHOOSE($R822+1,SETTINGS!$C$9,SETTINGS!$C$10,SETTINGS!$C$11,SETTINGS!$C$12,SETTINGS!$C$13)))</f>
        <v/>
      </c>
      <c r="T822" s="34" t="str">
        <f aca="true">IF($H822="","(chưa có nội dung)",IF($L822="",IF($C822&lt;TODAY(),"⚠ TRỄ HỌC",IF($C822=TODAY(),"★ HỌC HÔM NAY","• Chưa tới")),IF($R822&gt;=5,"✔ MASTER",IF($S822&lt;TODAY(),"⚠ TRỄ ÔN",IF($S822=TODAY(),"◆ ÔN HÔM NAY","✔ Đúng tiến độ")))))</f>
        <v>• Chưa tới</v>
      </c>
      <c r="U822" s="38" t="n">
        <f aca="false">IF($H822="","",$R822/5)</f>
        <v>0</v>
      </c>
    </row>
    <row r="823" customFormat="false" ht="15" hidden="false" customHeight="false" outlineLevel="0" collapsed="false">
      <c r="A823" s="31" t="s">
        <v>4979</v>
      </c>
      <c r="B823" s="31" t="n">
        <v>42</v>
      </c>
      <c r="C823" s="32" t="n">
        <f aca="false">SETTINGS!$C$3+$B823-1</f>
        <v>46341</v>
      </c>
      <c r="D823" s="40" t="s">
        <v>3692</v>
      </c>
      <c r="E823" s="34" t="s">
        <v>4980</v>
      </c>
      <c r="F823" s="34" t="s">
        <v>163</v>
      </c>
      <c r="G823" s="34" t="s">
        <v>4981</v>
      </c>
      <c r="H823" s="35" t="s">
        <v>4982</v>
      </c>
      <c r="I823" s="36" t="s">
        <v>4983</v>
      </c>
      <c r="J823" s="34" t="s">
        <v>4984</v>
      </c>
      <c r="K823" s="34" t="s">
        <v>4985</v>
      </c>
      <c r="L823" s="37"/>
      <c r="M823" s="37"/>
      <c r="N823" s="37"/>
      <c r="O823" s="37"/>
      <c r="P823" s="37"/>
      <c r="Q823" s="37"/>
      <c r="R823" s="31" t="n">
        <f aca="false">COUNT($M823:$Q823)</f>
        <v>0</v>
      </c>
      <c r="S823" s="32" t="str">
        <f aca="false">IF($L823="","",IF($R823&gt;=5,"",MAX($L823:$Q823)+CHOOSE($R823+1,SETTINGS!$C$9,SETTINGS!$C$10,SETTINGS!$C$11,SETTINGS!$C$12,SETTINGS!$C$13)))</f>
        <v/>
      </c>
      <c r="T823" s="34" t="str">
        <f aca="true">IF($H823="","(chưa có nội dung)",IF($L823="",IF($C823&lt;TODAY(),"⚠ TRỄ HỌC",IF($C823=TODAY(),"★ HỌC HÔM NAY","• Chưa tới")),IF($R823&gt;=5,"✔ MASTER",IF($S823&lt;TODAY(),"⚠ TRỄ ÔN",IF($S823=TODAY(),"◆ ÔN HÔM NAY","✔ Đúng tiến độ")))))</f>
        <v>• Chưa tới</v>
      </c>
      <c r="U823" s="38" t="n">
        <f aca="false">IF($H823="","",$R823/5)</f>
        <v>0</v>
      </c>
    </row>
    <row r="824" customFormat="false" ht="15" hidden="false" customHeight="false" outlineLevel="0" collapsed="false">
      <c r="A824" s="31" t="s">
        <v>4986</v>
      </c>
      <c r="B824" s="31" t="n">
        <v>42</v>
      </c>
      <c r="C824" s="32" t="n">
        <f aca="false">SETTINGS!$C$3+$B824-1</f>
        <v>46341</v>
      </c>
      <c r="D824" s="40" t="s">
        <v>3692</v>
      </c>
      <c r="E824" s="34" t="s">
        <v>4980</v>
      </c>
      <c r="F824" s="34" t="s">
        <v>280</v>
      </c>
      <c r="G824" s="34" t="s">
        <v>4987</v>
      </c>
      <c r="H824" s="35" t="s">
        <v>4988</v>
      </c>
      <c r="I824" s="36" t="s">
        <v>4989</v>
      </c>
      <c r="J824" s="34" t="s">
        <v>4990</v>
      </c>
      <c r="K824" s="34" t="s">
        <v>2050</v>
      </c>
      <c r="L824" s="37"/>
      <c r="M824" s="37"/>
      <c r="N824" s="37"/>
      <c r="O824" s="37"/>
      <c r="P824" s="37"/>
      <c r="Q824" s="37"/>
      <c r="R824" s="31" t="n">
        <f aca="false">COUNT($M824:$Q824)</f>
        <v>0</v>
      </c>
      <c r="S824" s="32" t="str">
        <f aca="false">IF($L824="","",IF($R824&gt;=5,"",MAX($L824:$Q824)+CHOOSE($R824+1,SETTINGS!$C$9,SETTINGS!$C$10,SETTINGS!$C$11,SETTINGS!$C$12,SETTINGS!$C$13)))</f>
        <v/>
      </c>
      <c r="T824" s="34" t="str">
        <f aca="true">IF($H824="","(chưa có nội dung)",IF($L824="",IF($C824&lt;TODAY(),"⚠ TRỄ HỌC",IF($C824=TODAY(),"★ HỌC HÔM NAY","• Chưa tới")),IF($R824&gt;=5,"✔ MASTER",IF($S824&lt;TODAY(),"⚠ TRỄ ÔN",IF($S824=TODAY(),"◆ ÔN HÔM NAY","✔ Đúng tiến độ")))))</f>
        <v>• Chưa tới</v>
      </c>
      <c r="U824" s="38" t="n">
        <f aca="false">IF($H824="","",$R824/5)</f>
        <v>0</v>
      </c>
    </row>
    <row r="825" customFormat="false" ht="15" hidden="false" customHeight="false" outlineLevel="0" collapsed="false">
      <c r="A825" s="31" t="s">
        <v>4991</v>
      </c>
      <c r="B825" s="31" t="n">
        <v>42</v>
      </c>
      <c r="C825" s="32" t="n">
        <f aca="false">SETTINGS!$C$3+$B825-1</f>
        <v>46341</v>
      </c>
      <c r="D825" s="40" t="s">
        <v>3692</v>
      </c>
      <c r="E825" s="34" t="s">
        <v>4980</v>
      </c>
      <c r="F825" s="34" t="s">
        <v>163</v>
      </c>
      <c r="G825" s="34" t="s">
        <v>4992</v>
      </c>
      <c r="H825" s="35" t="s">
        <v>4993</v>
      </c>
      <c r="I825" s="36" t="s">
        <v>4994</v>
      </c>
      <c r="J825" s="34" t="s">
        <v>4995</v>
      </c>
      <c r="K825" s="34" t="s">
        <v>4996</v>
      </c>
      <c r="L825" s="37"/>
      <c r="M825" s="37"/>
      <c r="N825" s="37"/>
      <c r="O825" s="37"/>
      <c r="P825" s="37"/>
      <c r="Q825" s="37"/>
      <c r="R825" s="31" t="n">
        <f aca="false">COUNT($M825:$Q825)</f>
        <v>0</v>
      </c>
      <c r="S825" s="32" t="str">
        <f aca="false">IF($L825="","",IF($R825&gt;=5,"",MAX($L825:$Q825)+CHOOSE($R825+1,SETTINGS!$C$9,SETTINGS!$C$10,SETTINGS!$C$11,SETTINGS!$C$12,SETTINGS!$C$13)))</f>
        <v/>
      </c>
      <c r="T825" s="34" t="str">
        <f aca="true">IF($H825="","(chưa có nội dung)",IF($L825="",IF($C825&lt;TODAY(),"⚠ TRỄ HỌC",IF($C825=TODAY(),"★ HỌC HÔM NAY","• Chưa tới")),IF($R825&gt;=5,"✔ MASTER",IF($S825&lt;TODAY(),"⚠ TRỄ ÔN",IF($S825=TODAY(),"◆ ÔN HÔM NAY","✔ Đúng tiến độ")))))</f>
        <v>• Chưa tới</v>
      </c>
      <c r="U825" s="38" t="n">
        <f aca="false">IF($H825="","",$R825/5)</f>
        <v>0</v>
      </c>
    </row>
    <row r="826" customFormat="false" ht="15" hidden="false" customHeight="false" outlineLevel="0" collapsed="false">
      <c r="A826" s="31" t="s">
        <v>4997</v>
      </c>
      <c r="B826" s="31" t="n">
        <v>42</v>
      </c>
      <c r="C826" s="32" t="n">
        <f aca="false">SETTINGS!$C$3+$B826-1</f>
        <v>46341</v>
      </c>
      <c r="D826" s="40" t="s">
        <v>3692</v>
      </c>
      <c r="E826" s="34" t="s">
        <v>4980</v>
      </c>
      <c r="F826" s="34" t="s">
        <v>280</v>
      </c>
      <c r="G826" s="34" t="s">
        <v>4998</v>
      </c>
      <c r="H826" s="35" t="s">
        <v>4999</v>
      </c>
      <c r="I826" s="36" t="s">
        <v>5000</v>
      </c>
      <c r="J826" s="34" t="s">
        <v>5001</v>
      </c>
      <c r="K826" s="34" t="s">
        <v>5002</v>
      </c>
      <c r="L826" s="37"/>
      <c r="M826" s="37"/>
      <c r="N826" s="37"/>
      <c r="O826" s="37"/>
      <c r="P826" s="37"/>
      <c r="Q826" s="37"/>
      <c r="R826" s="31" t="n">
        <f aca="false">COUNT($M826:$Q826)</f>
        <v>0</v>
      </c>
      <c r="S826" s="32" t="str">
        <f aca="false">IF($L826="","",IF($R826&gt;=5,"",MAX($L826:$Q826)+CHOOSE($R826+1,SETTINGS!$C$9,SETTINGS!$C$10,SETTINGS!$C$11,SETTINGS!$C$12,SETTINGS!$C$13)))</f>
        <v/>
      </c>
      <c r="T826" s="34" t="str">
        <f aca="true">IF($H826="","(chưa có nội dung)",IF($L826="",IF($C826&lt;TODAY(),"⚠ TRỄ HỌC",IF($C826=TODAY(),"★ HỌC HÔM NAY","• Chưa tới")),IF($R826&gt;=5,"✔ MASTER",IF($S826&lt;TODAY(),"⚠ TRỄ ÔN",IF($S826=TODAY(),"◆ ÔN HÔM NAY","✔ Đúng tiến độ")))))</f>
        <v>• Chưa tới</v>
      </c>
      <c r="U826" s="38" t="n">
        <f aca="false">IF($H826="","",$R826/5)</f>
        <v>0</v>
      </c>
    </row>
    <row r="827" customFormat="false" ht="15" hidden="false" customHeight="false" outlineLevel="0" collapsed="false">
      <c r="A827" s="31" t="s">
        <v>5003</v>
      </c>
      <c r="B827" s="31" t="n">
        <v>42</v>
      </c>
      <c r="C827" s="32" t="n">
        <f aca="false">SETTINGS!$C$3+$B827-1</f>
        <v>46341</v>
      </c>
      <c r="D827" s="40" t="s">
        <v>3692</v>
      </c>
      <c r="E827" s="34" t="s">
        <v>4980</v>
      </c>
      <c r="F827" s="34" t="s">
        <v>163</v>
      </c>
      <c r="G827" s="34" t="s">
        <v>5004</v>
      </c>
      <c r="H827" s="35" t="s">
        <v>5005</v>
      </c>
      <c r="I827" s="36" t="s">
        <v>5006</v>
      </c>
      <c r="J827" s="34" t="s">
        <v>5007</v>
      </c>
      <c r="K827" s="34" t="s">
        <v>5008</v>
      </c>
      <c r="L827" s="37"/>
      <c r="M827" s="37"/>
      <c r="N827" s="37"/>
      <c r="O827" s="37"/>
      <c r="P827" s="37"/>
      <c r="Q827" s="37"/>
      <c r="R827" s="31" t="n">
        <f aca="false">COUNT($M827:$Q827)</f>
        <v>0</v>
      </c>
      <c r="S827" s="32" t="str">
        <f aca="false">IF($L827="","",IF($R827&gt;=5,"",MAX($L827:$Q827)+CHOOSE($R827+1,SETTINGS!$C$9,SETTINGS!$C$10,SETTINGS!$C$11,SETTINGS!$C$12,SETTINGS!$C$13)))</f>
        <v/>
      </c>
      <c r="T827" s="34" t="str">
        <f aca="true">IF($H827="","(chưa có nội dung)",IF($L827="",IF($C827&lt;TODAY(),"⚠ TRỄ HỌC",IF($C827=TODAY(),"★ HỌC HÔM NAY","• Chưa tới")),IF($R827&gt;=5,"✔ MASTER",IF($S827&lt;TODAY(),"⚠ TRỄ ÔN",IF($S827=TODAY(),"◆ ÔN HÔM NAY","✔ Đúng tiến độ")))))</f>
        <v>• Chưa tới</v>
      </c>
      <c r="U827" s="38" t="n">
        <f aca="false">IF($H827="","",$R827/5)</f>
        <v>0</v>
      </c>
    </row>
    <row r="828" customFormat="false" ht="15" hidden="false" customHeight="false" outlineLevel="0" collapsed="false">
      <c r="A828" s="31" t="s">
        <v>5009</v>
      </c>
      <c r="B828" s="31" t="n">
        <v>42</v>
      </c>
      <c r="C828" s="32" t="n">
        <f aca="false">SETTINGS!$C$3+$B828-1</f>
        <v>46341</v>
      </c>
      <c r="D828" s="40" t="s">
        <v>3692</v>
      </c>
      <c r="E828" s="34" t="s">
        <v>4980</v>
      </c>
      <c r="F828" s="34" t="s">
        <v>163</v>
      </c>
      <c r="G828" s="34" t="s">
        <v>5010</v>
      </c>
      <c r="H828" s="35" t="s">
        <v>5011</v>
      </c>
      <c r="I828" s="36" t="s">
        <v>5012</v>
      </c>
      <c r="J828" s="34" t="s">
        <v>5013</v>
      </c>
      <c r="K828" s="34" t="s">
        <v>5014</v>
      </c>
      <c r="L828" s="37"/>
      <c r="M828" s="37"/>
      <c r="N828" s="37"/>
      <c r="O828" s="37"/>
      <c r="P828" s="37"/>
      <c r="Q828" s="37"/>
      <c r="R828" s="31" t="n">
        <f aca="false">COUNT($M828:$Q828)</f>
        <v>0</v>
      </c>
      <c r="S828" s="32" t="str">
        <f aca="false">IF($L828="","",IF($R828&gt;=5,"",MAX($L828:$Q828)+CHOOSE($R828+1,SETTINGS!$C$9,SETTINGS!$C$10,SETTINGS!$C$11,SETTINGS!$C$12,SETTINGS!$C$13)))</f>
        <v/>
      </c>
      <c r="T828" s="34" t="str">
        <f aca="true">IF($H828="","(chưa có nội dung)",IF($L828="",IF($C828&lt;TODAY(),"⚠ TRỄ HỌC",IF($C828=TODAY(),"★ HỌC HÔM NAY","• Chưa tới")),IF($R828&gt;=5,"✔ MASTER",IF($S828&lt;TODAY(),"⚠ TRỄ ÔN",IF($S828=TODAY(),"◆ ÔN HÔM NAY","✔ Đúng tiến độ")))))</f>
        <v>• Chưa tới</v>
      </c>
      <c r="U828" s="38" t="n">
        <f aca="false">IF($H828="","",$R828/5)</f>
        <v>0</v>
      </c>
    </row>
    <row r="829" customFormat="false" ht="15" hidden="false" customHeight="false" outlineLevel="0" collapsed="false">
      <c r="A829" s="31" t="s">
        <v>5015</v>
      </c>
      <c r="B829" s="31" t="n">
        <v>42</v>
      </c>
      <c r="C829" s="32" t="n">
        <f aca="false">SETTINGS!$C$3+$B829-1</f>
        <v>46341</v>
      </c>
      <c r="D829" s="40" t="s">
        <v>3692</v>
      </c>
      <c r="E829" s="34" t="s">
        <v>4980</v>
      </c>
      <c r="F829" s="34" t="s">
        <v>280</v>
      </c>
      <c r="G829" s="34" t="s">
        <v>5016</v>
      </c>
      <c r="H829" s="35" t="s">
        <v>5017</v>
      </c>
      <c r="I829" s="36" t="s">
        <v>5018</v>
      </c>
      <c r="J829" s="34" t="s">
        <v>5019</v>
      </c>
      <c r="K829" s="34" t="s">
        <v>5020</v>
      </c>
      <c r="L829" s="37"/>
      <c r="M829" s="37"/>
      <c r="N829" s="37"/>
      <c r="O829" s="37"/>
      <c r="P829" s="37"/>
      <c r="Q829" s="37"/>
      <c r="R829" s="31" t="n">
        <f aca="false">COUNT($M829:$Q829)</f>
        <v>0</v>
      </c>
      <c r="S829" s="32" t="str">
        <f aca="false">IF($L829="","",IF($R829&gt;=5,"",MAX($L829:$Q829)+CHOOSE($R829+1,SETTINGS!$C$9,SETTINGS!$C$10,SETTINGS!$C$11,SETTINGS!$C$12,SETTINGS!$C$13)))</f>
        <v/>
      </c>
      <c r="T829" s="34" t="str">
        <f aca="true">IF($H829="","(chưa có nội dung)",IF($L829="",IF($C829&lt;TODAY(),"⚠ TRỄ HỌC",IF($C829=TODAY(),"★ HỌC HÔM NAY","• Chưa tới")),IF($R829&gt;=5,"✔ MASTER",IF($S829&lt;TODAY(),"⚠ TRỄ ÔN",IF($S829=TODAY(),"◆ ÔN HÔM NAY","✔ Đúng tiến độ")))))</f>
        <v>• Chưa tới</v>
      </c>
      <c r="U829" s="38" t="n">
        <f aca="false">IF($H829="","",$R829/5)</f>
        <v>0</v>
      </c>
    </row>
    <row r="830" customFormat="false" ht="15" hidden="false" customHeight="false" outlineLevel="0" collapsed="false">
      <c r="A830" s="31" t="s">
        <v>5021</v>
      </c>
      <c r="B830" s="31" t="n">
        <v>42</v>
      </c>
      <c r="C830" s="32" t="n">
        <f aca="false">SETTINGS!$C$3+$B830-1</f>
        <v>46341</v>
      </c>
      <c r="D830" s="40" t="s">
        <v>3692</v>
      </c>
      <c r="E830" s="34" t="s">
        <v>4980</v>
      </c>
      <c r="F830" s="34" t="s">
        <v>280</v>
      </c>
      <c r="G830" s="34" t="s">
        <v>5022</v>
      </c>
      <c r="H830" s="35" t="s">
        <v>5023</v>
      </c>
      <c r="I830" s="36" t="s">
        <v>5024</v>
      </c>
      <c r="J830" s="34" t="s">
        <v>5025</v>
      </c>
      <c r="K830" s="34" t="s">
        <v>5026</v>
      </c>
      <c r="L830" s="37"/>
      <c r="M830" s="37"/>
      <c r="N830" s="37"/>
      <c r="O830" s="37"/>
      <c r="P830" s="37"/>
      <c r="Q830" s="37"/>
      <c r="R830" s="31" t="n">
        <f aca="false">COUNT($M830:$Q830)</f>
        <v>0</v>
      </c>
      <c r="S830" s="32" t="str">
        <f aca="false">IF($L830="","",IF($R830&gt;=5,"",MAX($L830:$Q830)+CHOOSE($R830+1,SETTINGS!$C$9,SETTINGS!$C$10,SETTINGS!$C$11,SETTINGS!$C$12,SETTINGS!$C$13)))</f>
        <v/>
      </c>
      <c r="T830" s="34" t="str">
        <f aca="true">IF($H830="","(chưa có nội dung)",IF($L830="",IF($C830&lt;TODAY(),"⚠ TRỄ HỌC",IF($C830=TODAY(),"★ HỌC HÔM NAY","• Chưa tới")),IF($R830&gt;=5,"✔ MASTER",IF($S830&lt;TODAY(),"⚠ TRỄ ÔN",IF($S830=TODAY(),"◆ ÔN HÔM NAY","✔ Đúng tiến độ")))))</f>
        <v>• Chưa tới</v>
      </c>
      <c r="U830" s="38" t="n">
        <f aca="false">IF($H830="","",$R830/5)</f>
        <v>0</v>
      </c>
    </row>
    <row r="831" customFormat="false" ht="26.85" hidden="false" customHeight="false" outlineLevel="0" collapsed="false">
      <c r="A831" s="31" t="s">
        <v>5027</v>
      </c>
      <c r="B831" s="31" t="n">
        <v>42</v>
      </c>
      <c r="C831" s="32" t="n">
        <f aca="false">SETTINGS!$C$3+$B831-1</f>
        <v>46341</v>
      </c>
      <c r="D831" s="40" t="s">
        <v>3692</v>
      </c>
      <c r="E831" s="34" t="s">
        <v>4980</v>
      </c>
      <c r="F831" s="34" t="s">
        <v>3694</v>
      </c>
      <c r="G831" s="34" t="s">
        <v>5028</v>
      </c>
      <c r="H831" s="35" t="s">
        <v>5029</v>
      </c>
      <c r="I831" s="36" t="s">
        <v>5030</v>
      </c>
      <c r="J831" s="34" t="s">
        <v>5031</v>
      </c>
      <c r="K831" s="34" t="s">
        <v>5032</v>
      </c>
      <c r="L831" s="37"/>
      <c r="M831" s="37"/>
      <c r="N831" s="37"/>
      <c r="O831" s="37"/>
      <c r="P831" s="37"/>
      <c r="Q831" s="37"/>
      <c r="R831" s="31" t="n">
        <f aca="false">COUNT($M831:$Q831)</f>
        <v>0</v>
      </c>
      <c r="S831" s="32" t="str">
        <f aca="false">IF($L831="","",IF($R831&gt;=5,"",MAX($L831:$Q831)+CHOOSE($R831+1,SETTINGS!$C$9,SETTINGS!$C$10,SETTINGS!$C$11,SETTINGS!$C$12,SETTINGS!$C$13)))</f>
        <v/>
      </c>
      <c r="T831" s="34" t="str">
        <f aca="true">IF($H831="","(chưa có nội dung)",IF($L831="",IF($C831&lt;TODAY(),"⚠ TRỄ HỌC",IF($C831=TODAY(),"★ HỌC HÔM NAY","• Chưa tới")),IF($R831&gt;=5,"✔ MASTER",IF($S831&lt;TODAY(),"⚠ TRỄ ÔN",IF($S831=TODAY(),"◆ ÔN HÔM NAY","✔ Đúng tiến độ")))))</f>
        <v>• Chưa tới</v>
      </c>
      <c r="U831" s="38" t="n">
        <f aca="false">IF($H831="","",$R831/5)</f>
        <v>0</v>
      </c>
    </row>
    <row r="832" customFormat="false" ht="15" hidden="false" customHeight="false" outlineLevel="0" collapsed="false">
      <c r="A832" s="31" t="s">
        <v>5033</v>
      </c>
      <c r="B832" s="31" t="n">
        <v>42</v>
      </c>
      <c r="C832" s="32" t="n">
        <f aca="false">SETTINGS!$C$3+$B832-1</f>
        <v>46341</v>
      </c>
      <c r="D832" s="40" t="s">
        <v>3692</v>
      </c>
      <c r="E832" s="34" t="s">
        <v>4980</v>
      </c>
      <c r="F832" s="34" t="s">
        <v>163</v>
      </c>
      <c r="G832" s="34" t="s">
        <v>5034</v>
      </c>
      <c r="H832" s="35" t="s">
        <v>5035</v>
      </c>
      <c r="I832" s="36" t="s">
        <v>5036</v>
      </c>
      <c r="J832" s="34" t="s">
        <v>5037</v>
      </c>
      <c r="K832" s="34" t="s">
        <v>5038</v>
      </c>
      <c r="L832" s="37"/>
      <c r="M832" s="37"/>
      <c r="N832" s="37"/>
      <c r="O832" s="37"/>
      <c r="P832" s="37"/>
      <c r="Q832" s="37"/>
      <c r="R832" s="31" t="n">
        <f aca="false">COUNT($M832:$Q832)</f>
        <v>0</v>
      </c>
      <c r="S832" s="32" t="str">
        <f aca="false">IF($L832="","",IF($R832&gt;=5,"",MAX($L832:$Q832)+CHOOSE($R832+1,SETTINGS!$C$9,SETTINGS!$C$10,SETTINGS!$C$11,SETTINGS!$C$12,SETTINGS!$C$13)))</f>
        <v/>
      </c>
      <c r="T832" s="34" t="str">
        <f aca="true">IF($H832="","(chưa có nội dung)",IF($L832="",IF($C832&lt;TODAY(),"⚠ TRỄ HỌC",IF($C832=TODAY(),"★ HỌC HÔM NAY","• Chưa tới")),IF($R832&gt;=5,"✔ MASTER",IF($S832&lt;TODAY(),"⚠ TRỄ ÔN",IF($S832=TODAY(),"◆ ÔN HÔM NAY","✔ Đúng tiến độ")))))</f>
        <v>• Chưa tới</v>
      </c>
      <c r="U832" s="38" t="n">
        <f aca="false">IF($H832="","",$R832/5)</f>
        <v>0</v>
      </c>
    </row>
    <row r="833" customFormat="false" ht="15" hidden="false" customHeight="false" outlineLevel="0" collapsed="false">
      <c r="A833" s="31" t="s">
        <v>5039</v>
      </c>
      <c r="B833" s="31" t="n">
        <v>42</v>
      </c>
      <c r="C833" s="32" t="n">
        <f aca="false">SETTINGS!$C$3+$B833-1</f>
        <v>46341</v>
      </c>
      <c r="D833" s="40" t="s">
        <v>3692</v>
      </c>
      <c r="E833" s="34" t="s">
        <v>4980</v>
      </c>
      <c r="F833" s="34" t="s">
        <v>280</v>
      </c>
      <c r="G833" s="34" t="s">
        <v>5040</v>
      </c>
      <c r="H833" s="35" t="s">
        <v>5041</v>
      </c>
      <c r="I833" s="36" t="s">
        <v>5042</v>
      </c>
      <c r="J833" s="34" t="s">
        <v>5043</v>
      </c>
      <c r="K833" s="34" t="s">
        <v>5044</v>
      </c>
      <c r="L833" s="37"/>
      <c r="M833" s="37"/>
      <c r="N833" s="37"/>
      <c r="O833" s="37"/>
      <c r="P833" s="37"/>
      <c r="Q833" s="37"/>
      <c r="R833" s="31" t="n">
        <f aca="false">COUNT($M833:$Q833)</f>
        <v>0</v>
      </c>
      <c r="S833" s="32" t="str">
        <f aca="false">IF($L833="","",IF($R833&gt;=5,"",MAX($L833:$Q833)+CHOOSE($R833+1,SETTINGS!$C$9,SETTINGS!$C$10,SETTINGS!$C$11,SETTINGS!$C$12,SETTINGS!$C$13)))</f>
        <v/>
      </c>
      <c r="T833" s="34" t="str">
        <f aca="true">IF($H833="","(chưa có nội dung)",IF($L833="",IF($C833&lt;TODAY(),"⚠ TRỄ HỌC",IF($C833=TODAY(),"★ HỌC HÔM NAY","• Chưa tới")),IF($R833&gt;=5,"✔ MASTER",IF($S833&lt;TODAY(),"⚠ TRỄ ÔN",IF($S833=TODAY(),"◆ ÔN HÔM NAY","✔ Đúng tiến độ")))))</f>
        <v>• Chưa tới</v>
      </c>
      <c r="U833" s="38" t="n">
        <f aca="false">IF($H833="","",$R833/5)</f>
        <v>0</v>
      </c>
    </row>
    <row r="834" customFormat="false" ht="15" hidden="false" customHeight="false" outlineLevel="0" collapsed="false">
      <c r="A834" s="31" t="s">
        <v>5045</v>
      </c>
      <c r="B834" s="31" t="n">
        <v>42</v>
      </c>
      <c r="C834" s="32" t="n">
        <f aca="false">SETTINGS!$C$3+$B834-1</f>
        <v>46341</v>
      </c>
      <c r="D834" s="40" t="s">
        <v>3692</v>
      </c>
      <c r="E834" s="34" t="s">
        <v>4980</v>
      </c>
      <c r="F834" s="34" t="s">
        <v>163</v>
      </c>
      <c r="G834" s="34" t="s">
        <v>5046</v>
      </c>
      <c r="H834" s="35" t="s">
        <v>5047</v>
      </c>
      <c r="I834" s="36" t="s">
        <v>5048</v>
      </c>
      <c r="J834" s="34" t="s">
        <v>5049</v>
      </c>
      <c r="K834" s="34" t="s">
        <v>1650</v>
      </c>
      <c r="L834" s="37"/>
      <c r="M834" s="37"/>
      <c r="N834" s="37"/>
      <c r="O834" s="37"/>
      <c r="P834" s="37"/>
      <c r="Q834" s="37"/>
      <c r="R834" s="31" t="n">
        <f aca="false">COUNT($M834:$Q834)</f>
        <v>0</v>
      </c>
      <c r="S834" s="32" t="str">
        <f aca="false">IF($L834="","",IF($R834&gt;=5,"",MAX($L834:$Q834)+CHOOSE($R834+1,SETTINGS!$C$9,SETTINGS!$C$10,SETTINGS!$C$11,SETTINGS!$C$12,SETTINGS!$C$13)))</f>
        <v/>
      </c>
      <c r="T834" s="34" t="str">
        <f aca="true">IF($H834="","(chưa có nội dung)",IF($L834="",IF($C834&lt;TODAY(),"⚠ TRỄ HỌC",IF($C834=TODAY(),"★ HỌC HÔM NAY","• Chưa tới")),IF($R834&gt;=5,"✔ MASTER",IF($S834&lt;TODAY(),"⚠ TRỄ ÔN",IF($S834=TODAY(),"◆ ÔN HÔM NAY","✔ Đúng tiến độ")))))</f>
        <v>• Chưa tới</v>
      </c>
      <c r="U834" s="38" t="n">
        <f aca="false">IF($H834="","",$R834/5)</f>
        <v>0</v>
      </c>
    </row>
    <row r="835" customFormat="false" ht="15" hidden="false" customHeight="false" outlineLevel="0" collapsed="false">
      <c r="A835" s="31" t="s">
        <v>5050</v>
      </c>
      <c r="B835" s="31" t="n">
        <v>42</v>
      </c>
      <c r="C835" s="32" t="n">
        <f aca="false">SETTINGS!$C$3+$B835-1</f>
        <v>46341</v>
      </c>
      <c r="D835" s="40" t="s">
        <v>3692</v>
      </c>
      <c r="E835" s="34" t="s">
        <v>4980</v>
      </c>
      <c r="F835" s="34" t="s">
        <v>280</v>
      </c>
      <c r="G835" s="34" t="s">
        <v>4584</v>
      </c>
      <c r="H835" s="35" t="s">
        <v>5051</v>
      </c>
      <c r="I835" s="36" t="s">
        <v>5052</v>
      </c>
      <c r="J835" s="34" t="s">
        <v>5053</v>
      </c>
      <c r="K835" s="34" t="s">
        <v>5054</v>
      </c>
      <c r="L835" s="37"/>
      <c r="M835" s="37"/>
      <c r="N835" s="37"/>
      <c r="O835" s="37"/>
      <c r="P835" s="37"/>
      <c r="Q835" s="37"/>
      <c r="R835" s="31" t="n">
        <f aca="false">COUNT($M835:$Q835)</f>
        <v>0</v>
      </c>
      <c r="S835" s="32" t="str">
        <f aca="false">IF($L835="","",IF($R835&gt;=5,"",MAX($L835:$Q835)+CHOOSE($R835+1,SETTINGS!$C$9,SETTINGS!$C$10,SETTINGS!$C$11,SETTINGS!$C$12,SETTINGS!$C$13)))</f>
        <v/>
      </c>
      <c r="T835" s="34" t="str">
        <f aca="true">IF($H835="","(chưa có nội dung)",IF($L835="",IF($C835&lt;TODAY(),"⚠ TRỄ HỌC",IF($C835=TODAY(),"★ HỌC HÔM NAY","• Chưa tới")),IF($R835&gt;=5,"✔ MASTER",IF($S835&lt;TODAY(),"⚠ TRỄ ÔN",IF($S835=TODAY(),"◆ ÔN HÔM NAY","✔ Đúng tiến độ")))))</f>
        <v>• Chưa tới</v>
      </c>
      <c r="U835" s="38" t="n">
        <f aca="false">IF($H835="","",$R835/5)</f>
        <v>0</v>
      </c>
    </row>
    <row r="836" customFormat="false" ht="23.85" hidden="false" customHeight="false" outlineLevel="0" collapsed="false">
      <c r="A836" s="31" t="s">
        <v>5055</v>
      </c>
      <c r="B836" s="31" t="n">
        <v>42</v>
      </c>
      <c r="C836" s="32" t="n">
        <f aca="false">SETTINGS!$C$3+$B836-1</f>
        <v>46341</v>
      </c>
      <c r="D836" s="40" t="s">
        <v>3692</v>
      </c>
      <c r="E836" s="34" t="s">
        <v>4980</v>
      </c>
      <c r="F836" s="34" t="s">
        <v>280</v>
      </c>
      <c r="G836" s="34" t="s">
        <v>5056</v>
      </c>
      <c r="H836" s="35" t="s">
        <v>5057</v>
      </c>
      <c r="I836" s="36" t="s">
        <v>5058</v>
      </c>
      <c r="J836" s="34" t="s">
        <v>5059</v>
      </c>
      <c r="K836" s="34" t="s">
        <v>5060</v>
      </c>
      <c r="L836" s="37"/>
      <c r="M836" s="37"/>
      <c r="N836" s="37"/>
      <c r="O836" s="37"/>
      <c r="P836" s="37"/>
      <c r="Q836" s="37"/>
      <c r="R836" s="31" t="n">
        <f aca="false">COUNT($M836:$Q836)</f>
        <v>0</v>
      </c>
      <c r="S836" s="32" t="str">
        <f aca="false">IF($L836="","",IF($R836&gt;=5,"",MAX($L836:$Q836)+CHOOSE($R836+1,SETTINGS!$C$9,SETTINGS!$C$10,SETTINGS!$C$11,SETTINGS!$C$12,SETTINGS!$C$13)))</f>
        <v/>
      </c>
      <c r="T836" s="34" t="str">
        <f aca="true">IF($H836="","(chưa có nội dung)",IF($L836="",IF($C836&lt;TODAY(),"⚠ TRỄ HỌC",IF($C836=TODAY(),"★ HỌC HÔM NAY","• Chưa tới")),IF($R836&gt;=5,"✔ MASTER",IF($S836&lt;TODAY(),"⚠ TRỄ ÔN",IF($S836=TODAY(),"◆ ÔN HÔM NAY","✔ Đúng tiến độ")))))</f>
        <v>• Chưa tới</v>
      </c>
      <c r="U836" s="38" t="n">
        <f aca="false">IF($H836="","",$R836/5)</f>
        <v>0</v>
      </c>
    </row>
    <row r="837" customFormat="false" ht="26.85" hidden="false" customHeight="false" outlineLevel="0" collapsed="false">
      <c r="A837" s="31" t="s">
        <v>5061</v>
      </c>
      <c r="B837" s="31" t="n">
        <v>42</v>
      </c>
      <c r="C837" s="32" t="n">
        <f aca="false">SETTINGS!$C$3+$B837-1</f>
        <v>46341</v>
      </c>
      <c r="D837" s="40" t="s">
        <v>3692</v>
      </c>
      <c r="E837" s="34" t="s">
        <v>4980</v>
      </c>
      <c r="F837" s="34" t="s">
        <v>3694</v>
      </c>
      <c r="G837" s="34" t="s">
        <v>5062</v>
      </c>
      <c r="H837" s="35" t="s">
        <v>5063</v>
      </c>
      <c r="I837" s="36" t="s">
        <v>5064</v>
      </c>
      <c r="J837" s="34" t="s">
        <v>5065</v>
      </c>
      <c r="K837" s="34" t="s">
        <v>5066</v>
      </c>
      <c r="L837" s="37"/>
      <c r="M837" s="37"/>
      <c r="N837" s="37"/>
      <c r="O837" s="37"/>
      <c r="P837" s="37"/>
      <c r="Q837" s="37"/>
      <c r="R837" s="31" t="n">
        <f aca="false">COUNT($M837:$Q837)</f>
        <v>0</v>
      </c>
      <c r="S837" s="32" t="str">
        <f aca="false">IF($L837="","",IF($R837&gt;=5,"",MAX($L837:$Q837)+CHOOSE($R837+1,SETTINGS!$C$9,SETTINGS!$C$10,SETTINGS!$C$11,SETTINGS!$C$12,SETTINGS!$C$13)))</f>
        <v/>
      </c>
      <c r="T837" s="34" t="str">
        <f aca="true">IF($H837="","(chưa có nội dung)",IF($L837="",IF($C837&lt;TODAY(),"⚠ TRỄ HỌC",IF($C837=TODAY(),"★ HỌC HÔM NAY","• Chưa tới")),IF($R837&gt;=5,"✔ MASTER",IF($S837&lt;TODAY(),"⚠ TRỄ ÔN",IF($S837=TODAY(),"◆ ÔN HÔM NAY","✔ Đúng tiến độ")))))</f>
        <v>• Chưa tới</v>
      </c>
      <c r="U837" s="38" t="n">
        <f aca="false">IF($H837="","",$R837/5)</f>
        <v>0</v>
      </c>
    </row>
    <row r="838" customFormat="false" ht="15" hidden="false" customHeight="false" outlineLevel="0" collapsed="false">
      <c r="A838" s="31" t="s">
        <v>5067</v>
      </c>
      <c r="B838" s="31" t="n">
        <v>42</v>
      </c>
      <c r="C838" s="32" t="n">
        <f aca="false">SETTINGS!$C$3+$B838-1</f>
        <v>46341</v>
      </c>
      <c r="D838" s="40" t="s">
        <v>3692</v>
      </c>
      <c r="E838" s="34" t="s">
        <v>4980</v>
      </c>
      <c r="F838" s="34" t="s">
        <v>280</v>
      </c>
      <c r="G838" s="34" t="s">
        <v>5068</v>
      </c>
      <c r="H838" s="35" t="s">
        <v>5069</v>
      </c>
      <c r="I838" s="36" t="s">
        <v>5070</v>
      </c>
      <c r="J838" s="34" t="s">
        <v>5071</v>
      </c>
      <c r="K838" s="34" t="s">
        <v>5072</v>
      </c>
      <c r="L838" s="37"/>
      <c r="M838" s="37"/>
      <c r="N838" s="37"/>
      <c r="O838" s="37"/>
      <c r="P838" s="37"/>
      <c r="Q838" s="37"/>
      <c r="R838" s="31" t="n">
        <f aca="false">COUNT($M838:$Q838)</f>
        <v>0</v>
      </c>
      <c r="S838" s="32" t="str">
        <f aca="false">IF($L838="","",IF($R838&gt;=5,"",MAX($L838:$Q838)+CHOOSE($R838+1,SETTINGS!$C$9,SETTINGS!$C$10,SETTINGS!$C$11,SETTINGS!$C$12,SETTINGS!$C$13)))</f>
        <v/>
      </c>
      <c r="T838" s="34" t="str">
        <f aca="true">IF($H838="","(chưa có nội dung)",IF($L838="",IF($C838&lt;TODAY(),"⚠ TRỄ HỌC",IF($C838=TODAY(),"★ HỌC HÔM NAY","• Chưa tới")),IF($R838&gt;=5,"✔ MASTER",IF($S838&lt;TODAY(),"⚠ TRỄ ÔN",IF($S838=TODAY(),"◆ ÔN HÔM NAY","✔ Đúng tiến độ")))))</f>
        <v>• Chưa tới</v>
      </c>
      <c r="U838" s="38" t="n">
        <f aca="false">IF($H838="","",$R838/5)</f>
        <v>0</v>
      </c>
    </row>
    <row r="839" customFormat="false" ht="15" hidden="false" customHeight="false" outlineLevel="0" collapsed="false">
      <c r="A839" s="31" t="s">
        <v>5073</v>
      </c>
      <c r="B839" s="31" t="n">
        <v>42</v>
      </c>
      <c r="C839" s="32" t="n">
        <f aca="false">SETTINGS!$C$3+$B839-1</f>
        <v>46341</v>
      </c>
      <c r="D839" s="40" t="s">
        <v>3692</v>
      </c>
      <c r="E839" s="34" t="s">
        <v>4980</v>
      </c>
      <c r="F839" s="34" t="s">
        <v>280</v>
      </c>
      <c r="G839" s="34" t="s">
        <v>5074</v>
      </c>
      <c r="H839" s="35" t="s">
        <v>5075</v>
      </c>
      <c r="I839" s="36" t="s">
        <v>5076</v>
      </c>
      <c r="J839" s="34" t="s">
        <v>5077</v>
      </c>
      <c r="K839" s="34" t="s">
        <v>5078</v>
      </c>
      <c r="L839" s="37"/>
      <c r="M839" s="37"/>
      <c r="N839" s="37"/>
      <c r="O839" s="37"/>
      <c r="P839" s="37"/>
      <c r="Q839" s="37"/>
      <c r="R839" s="31" t="n">
        <f aca="false">COUNT($M839:$Q839)</f>
        <v>0</v>
      </c>
      <c r="S839" s="32" t="str">
        <f aca="false">IF($L839="","",IF($R839&gt;=5,"",MAX($L839:$Q839)+CHOOSE($R839+1,SETTINGS!$C$9,SETTINGS!$C$10,SETTINGS!$C$11,SETTINGS!$C$12,SETTINGS!$C$13)))</f>
        <v/>
      </c>
      <c r="T839" s="34" t="str">
        <f aca="true">IF($H839="","(chưa có nội dung)",IF($L839="",IF($C839&lt;TODAY(),"⚠ TRỄ HỌC",IF($C839=TODAY(),"★ HỌC HÔM NAY","• Chưa tới")),IF($R839&gt;=5,"✔ MASTER",IF($S839&lt;TODAY(),"⚠ TRỄ ÔN",IF($S839=TODAY(),"◆ ÔN HÔM NAY","✔ Đúng tiến độ")))))</f>
        <v>• Chưa tới</v>
      </c>
      <c r="U839" s="38" t="n">
        <f aca="false">IF($H839="","",$R839/5)</f>
        <v>0</v>
      </c>
    </row>
    <row r="840" customFormat="false" ht="15" hidden="false" customHeight="false" outlineLevel="0" collapsed="false">
      <c r="A840" s="31" t="s">
        <v>5079</v>
      </c>
      <c r="B840" s="31" t="n">
        <v>42</v>
      </c>
      <c r="C840" s="32" t="n">
        <f aca="false">SETTINGS!$C$3+$B840-1</f>
        <v>46341</v>
      </c>
      <c r="D840" s="40" t="s">
        <v>3692</v>
      </c>
      <c r="E840" s="34" t="s">
        <v>4980</v>
      </c>
      <c r="F840" s="34" t="s">
        <v>163</v>
      </c>
      <c r="G840" s="34" t="s">
        <v>5080</v>
      </c>
      <c r="H840" s="35" t="s">
        <v>5081</v>
      </c>
      <c r="I840" s="36" t="s">
        <v>5082</v>
      </c>
      <c r="J840" s="34" t="s">
        <v>5083</v>
      </c>
      <c r="K840" s="34" t="s">
        <v>5084</v>
      </c>
      <c r="L840" s="37"/>
      <c r="M840" s="37"/>
      <c r="N840" s="37"/>
      <c r="O840" s="37"/>
      <c r="P840" s="37"/>
      <c r="Q840" s="37"/>
      <c r="R840" s="31" t="n">
        <f aca="false">COUNT($M840:$Q840)</f>
        <v>0</v>
      </c>
      <c r="S840" s="32" t="str">
        <f aca="false">IF($L840="","",IF($R840&gt;=5,"",MAX($L840:$Q840)+CHOOSE($R840+1,SETTINGS!$C$9,SETTINGS!$C$10,SETTINGS!$C$11,SETTINGS!$C$12,SETTINGS!$C$13)))</f>
        <v/>
      </c>
      <c r="T840" s="34" t="str">
        <f aca="true">IF($H840="","(chưa có nội dung)",IF($L840="",IF($C840&lt;TODAY(),"⚠ TRỄ HỌC",IF($C840=TODAY(),"★ HỌC HÔM NAY","• Chưa tới")),IF($R840&gt;=5,"✔ MASTER",IF($S840&lt;TODAY(),"⚠ TRỄ ÔN",IF($S840=TODAY(),"◆ ÔN HÔM NAY","✔ Đúng tiến độ")))))</f>
        <v>• Chưa tới</v>
      </c>
      <c r="U840" s="38" t="n">
        <f aca="false">IF($H840="","",$R840/5)</f>
        <v>0</v>
      </c>
    </row>
    <row r="841" customFormat="false" ht="26.85" hidden="false" customHeight="false" outlineLevel="0" collapsed="false">
      <c r="A841" s="31" t="s">
        <v>5085</v>
      </c>
      <c r="B841" s="31" t="n">
        <v>42</v>
      </c>
      <c r="C841" s="32" t="n">
        <f aca="false">SETTINGS!$C$3+$B841-1</f>
        <v>46341</v>
      </c>
      <c r="D841" s="40" t="s">
        <v>3692</v>
      </c>
      <c r="E841" s="34" t="s">
        <v>4980</v>
      </c>
      <c r="F841" s="34" t="s">
        <v>3694</v>
      </c>
      <c r="G841" s="34" t="s">
        <v>5086</v>
      </c>
      <c r="H841" s="35" t="s">
        <v>5087</v>
      </c>
      <c r="I841" s="36" t="s">
        <v>5088</v>
      </c>
      <c r="J841" s="34" t="s">
        <v>5089</v>
      </c>
      <c r="K841" s="34" t="s">
        <v>5090</v>
      </c>
      <c r="L841" s="37"/>
      <c r="M841" s="37"/>
      <c r="N841" s="37"/>
      <c r="O841" s="37"/>
      <c r="P841" s="37"/>
      <c r="Q841" s="37"/>
      <c r="R841" s="31" t="n">
        <f aca="false">COUNT($M841:$Q841)</f>
        <v>0</v>
      </c>
      <c r="S841" s="32" t="str">
        <f aca="false">IF($L841="","",IF($R841&gt;=5,"",MAX($L841:$Q841)+CHOOSE($R841+1,SETTINGS!$C$9,SETTINGS!$C$10,SETTINGS!$C$11,SETTINGS!$C$12,SETTINGS!$C$13)))</f>
        <v/>
      </c>
      <c r="T841" s="34" t="str">
        <f aca="true">IF($H841="","(chưa có nội dung)",IF($L841="",IF($C841&lt;TODAY(),"⚠ TRỄ HỌC",IF($C841=TODAY(),"★ HỌC HÔM NAY","• Chưa tới")),IF($R841&gt;=5,"✔ MASTER",IF($S841&lt;TODAY(),"⚠ TRỄ ÔN",IF($S841=TODAY(),"◆ ÔN HÔM NAY","✔ Đúng tiến độ")))))</f>
        <v>• Chưa tới</v>
      </c>
      <c r="U841" s="38" t="n">
        <f aca="false">IF($H841="","",$R841/5)</f>
        <v>0</v>
      </c>
    </row>
    <row r="842" customFormat="false" ht="15" hidden="false" customHeight="false" outlineLevel="0" collapsed="false">
      <c r="A842" s="31" t="s">
        <v>5091</v>
      </c>
      <c r="B842" s="31" t="n">
        <v>42</v>
      </c>
      <c r="C842" s="32" t="n">
        <f aca="false">SETTINGS!$C$3+$B842-1</f>
        <v>46341</v>
      </c>
      <c r="D842" s="40" t="s">
        <v>3692</v>
      </c>
      <c r="E842" s="34" t="s">
        <v>4980</v>
      </c>
      <c r="F842" s="34" t="s">
        <v>163</v>
      </c>
      <c r="G842" s="34" t="s">
        <v>5092</v>
      </c>
      <c r="H842" s="35" t="s">
        <v>5093</v>
      </c>
      <c r="I842" s="36" t="s">
        <v>5094</v>
      </c>
      <c r="J842" s="34" t="s">
        <v>5095</v>
      </c>
      <c r="K842" s="34" t="s">
        <v>4946</v>
      </c>
      <c r="L842" s="37"/>
      <c r="M842" s="37"/>
      <c r="N842" s="37"/>
      <c r="O842" s="37"/>
      <c r="P842" s="37"/>
      <c r="Q842" s="37"/>
      <c r="R842" s="31" t="n">
        <f aca="false">COUNT($M842:$Q842)</f>
        <v>0</v>
      </c>
      <c r="S842" s="32" t="str">
        <f aca="false">IF($L842="","",IF($R842&gt;=5,"",MAX($L842:$Q842)+CHOOSE($R842+1,SETTINGS!$C$9,SETTINGS!$C$10,SETTINGS!$C$11,SETTINGS!$C$12,SETTINGS!$C$13)))</f>
        <v/>
      </c>
      <c r="T842" s="34" t="str">
        <f aca="true">IF($H842="","(chưa có nội dung)",IF($L842="",IF($C842&lt;TODAY(),"⚠ TRỄ HỌC",IF($C842=TODAY(),"★ HỌC HÔM NAY","• Chưa tới")),IF($R842&gt;=5,"✔ MASTER",IF($S842&lt;TODAY(),"⚠ TRỄ ÔN",IF($S842=TODAY(),"◆ ÔN HÔM NAY","✔ Đúng tiến độ")))))</f>
        <v>• Chưa tới</v>
      </c>
      <c r="U842" s="38" t="n">
        <f aca="false">IF($H842="","",$R842/5)</f>
        <v>0</v>
      </c>
    </row>
    <row r="843" customFormat="false" ht="23.85" hidden="false" customHeight="false" outlineLevel="0" collapsed="false">
      <c r="A843" s="31" t="s">
        <v>5096</v>
      </c>
      <c r="B843" s="31" t="n">
        <v>43</v>
      </c>
      <c r="C843" s="32" t="n">
        <f aca="false">SETTINGS!$C$3+$B843-1</f>
        <v>46342</v>
      </c>
      <c r="D843" s="40" t="s">
        <v>3692</v>
      </c>
      <c r="E843" s="34" t="s">
        <v>5097</v>
      </c>
      <c r="F843" s="34" t="s">
        <v>280</v>
      </c>
      <c r="G843" s="34" t="s">
        <v>5098</v>
      </c>
      <c r="H843" s="35" t="s">
        <v>5099</v>
      </c>
      <c r="I843" s="36" t="s">
        <v>5100</v>
      </c>
      <c r="J843" s="34" t="s">
        <v>5101</v>
      </c>
      <c r="K843" s="34" t="s">
        <v>5102</v>
      </c>
      <c r="L843" s="37"/>
      <c r="M843" s="37"/>
      <c r="N843" s="37"/>
      <c r="O843" s="37"/>
      <c r="P843" s="37"/>
      <c r="Q843" s="37"/>
      <c r="R843" s="31" t="n">
        <f aca="false">COUNT($M843:$Q843)</f>
        <v>0</v>
      </c>
      <c r="S843" s="32" t="str">
        <f aca="false">IF($L843="","",IF($R843&gt;=5,"",MAX($L843:$Q843)+CHOOSE($R843+1,SETTINGS!$C$9,SETTINGS!$C$10,SETTINGS!$C$11,SETTINGS!$C$12,SETTINGS!$C$13)))</f>
        <v/>
      </c>
      <c r="T843" s="34" t="str">
        <f aca="true">IF($H843="","(chưa có nội dung)",IF($L843="",IF($C843&lt;TODAY(),"⚠ TRỄ HỌC",IF($C843=TODAY(),"★ HỌC HÔM NAY","• Chưa tới")),IF($R843&gt;=5,"✔ MASTER",IF($S843&lt;TODAY(),"⚠ TRỄ ÔN",IF($S843=TODAY(),"◆ ÔN HÔM NAY","✔ Đúng tiến độ")))))</f>
        <v>• Chưa tới</v>
      </c>
      <c r="U843" s="38" t="n">
        <f aca="false">IF($H843="","",$R843/5)</f>
        <v>0</v>
      </c>
    </row>
    <row r="844" customFormat="false" ht="23.85" hidden="false" customHeight="false" outlineLevel="0" collapsed="false">
      <c r="A844" s="31" t="s">
        <v>5103</v>
      </c>
      <c r="B844" s="31" t="n">
        <v>43</v>
      </c>
      <c r="C844" s="32" t="n">
        <f aca="false">SETTINGS!$C$3+$B844-1</f>
        <v>46342</v>
      </c>
      <c r="D844" s="40" t="s">
        <v>3692</v>
      </c>
      <c r="E844" s="34" t="s">
        <v>5097</v>
      </c>
      <c r="F844" s="34" t="s">
        <v>280</v>
      </c>
      <c r="G844" s="34" t="s">
        <v>5104</v>
      </c>
      <c r="H844" s="35" t="s">
        <v>5105</v>
      </c>
      <c r="I844" s="36" t="s">
        <v>5106</v>
      </c>
      <c r="J844" s="34" t="s">
        <v>5107</v>
      </c>
      <c r="K844" s="34" t="s">
        <v>5108</v>
      </c>
      <c r="L844" s="37"/>
      <c r="M844" s="37"/>
      <c r="N844" s="37"/>
      <c r="O844" s="37"/>
      <c r="P844" s="37"/>
      <c r="Q844" s="37"/>
      <c r="R844" s="31" t="n">
        <f aca="false">COUNT($M844:$Q844)</f>
        <v>0</v>
      </c>
      <c r="S844" s="32" t="str">
        <f aca="false">IF($L844="","",IF($R844&gt;=5,"",MAX($L844:$Q844)+CHOOSE($R844+1,SETTINGS!$C$9,SETTINGS!$C$10,SETTINGS!$C$11,SETTINGS!$C$12,SETTINGS!$C$13)))</f>
        <v/>
      </c>
      <c r="T844" s="34" t="str">
        <f aca="true">IF($H844="","(chưa có nội dung)",IF($L844="",IF($C844&lt;TODAY(),"⚠ TRỄ HỌC",IF($C844=TODAY(),"★ HỌC HÔM NAY","• Chưa tới")),IF($R844&gt;=5,"✔ MASTER",IF($S844&lt;TODAY(),"⚠ TRỄ ÔN",IF($S844=TODAY(),"◆ ÔN HÔM NAY","✔ Đúng tiến độ")))))</f>
        <v>• Chưa tới</v>
      </c>
      <c r="U844" s="38" t="n">
        <f aca="false">IF($H844="","",$R844/5)</f>
        <v>0</v>
      </c>
    </row>
    <row r="845" customFormat="false" ht="23.85" hidden="false" customHeight="false" outlineLevel="0" collapsed="false">
      <c r="A845" s="31" t="s">
        <v>5109</v>
      </c>
      <c r="B845" s="31" t="n">
        <v>43</v>
      </c>
      <c r="C845" s="32" t="n">
        <f aca="false">SETTINGS!$C$3+$B845-1</f>
        <v>46342</v>
      </c>
      <c r="D845" s="40" t="s">
        <v>3692</v>
      </c>
      <c r="E845" s="34" t="s">
        <v>5097</v>
      </c>
      <c r="F845" s="34" t="s">
        <v>280</v>
      </c>
      <c r="G845" s="34" t="s">
        <v>5110</v>
      </c>
      <c r="H845" s="35" t="s">
        <v>5111</v>
      </c>
      <c r="I845" s="36" t="s">
        <v>5112</v>
      </c>
      <c r="J845" s="34" t="s">
        <v>5113</v>
      </c>
      <c r="K845" s="34" t="s">
        <v>5114</v>
      </c>
      <c r="L845" s="37"/>
      <c r="M845" s="37"/>
      <c r="N845" s="37"/>
      <c r="O845" s="37"/>
      <c r="P845" s="37"/>
      <c r="Q845" s="37"/>
      <c r="R845" s="31" t="n">
        <f aca="false">COUNT($M845:$Q845)</f>
        <v>0</v>
      </c>
      <c r="S845" s="32" t="str">
        <f aca="false">IF($L845="","",IF($R845&gt;=5,"",MAX($L845:$Q845)+CHOOSE($R845+1,SETTINGS!$C$9,SETTINGS!$C$10,SETTINGS!$C$11,SETTINGS!$C$12,SETTINGS!$C$13)))</f>
        <v/>
      </c>
      <c r="T845" s="34" t="str">
        <f aca="true">IF($H845="","(chưa có nội dung)",IF($L845="",IF($C845&lt;TODAY(),"⚠ TRỄ HỌC",IF($C845=TODAY(),"★ HỌC HÔM NAY","• Chưa tới")),IF($R845&gt;=5,"✔ MASTER",IF($S845&lt;TODAY(),"⚠ TRỄ ÔN",IF($S845=TODAY(),"◆ ÔN HÔM NAY","✔ Đúng tiến độ")))))</f>
        <v>• Chưa tới</v>
      </c>
      <c r="U845" s="38" t="n">
        <f aca="false">IF($H845="","",$R845/5)</f>
        <v>0</v>
      </c>
    </row>
    <row r="846" customFormat="false" ht="23.85" hidden="false" customHeight="false" outlineLevel="0" collapsed="false">
      <c r="A846" s="31" t="s">
        <v>5115</v>
      </c>
      <c r="B846" s="31" t="n">
        <v>43</v>
      </c>
      <c r="C846" s="32" t="n">
        <f aca="false">SETTINGS!$C$3+$B846-1</f>
        <v>46342</v>
      </c>
      <c r="D846" s="40" t="s">
        <v>3692</v>
      </c>
      <c r="E846" s="34" t="s">
        <v>5097</v>
      </c>
      <c r="F846" s="34" t="s">
        <v>280</v>
      </c>
      <c r="G846" s="34" t="s">
        <v>5116</v>
      </c>
      <c r="H846" s="35" t="s">
        <v>5117</v>
      </c>
      <c r="I846" s="36" t="s">
        <v>5118</v>
      </c>
      <c r="J846" s="34" t="s">
        <v>5119</v>
      </c>
      <c r="K846" s="34" t="s">
        <v>5120</v>
      </c>
      <c r="L846" s="37"/>
      <c r="M846" s="37"/>
      <c r="N846" s="37"/>
      <c r="O846" s="37"/>
      <c r="P846" s="37"/>
      <c r="Q846" s="37"/>
      <c r="R846" s="31" t="n">
        <f aca="false">COUNT($M846:$Q846)</f>
        <v>0</v>
      </c>
      <c r="S846" s="32" t="str">
        <f aca="false">IF($L846="","",IF($R846&gt;=5,"",MAX($L846:$Q846)+CHOOSE($R846+1,SETTINGS!$C$9,SETTINGS!$C$10,SETTINGS!$C$11,SETTINGS!$C$12,SETTINGS!$C$13)))</f>
        <v/>
      </c>
      <c r="T846" s="34" t="str">
        <f aca="true">IF($H846="","(chưa có nội dung)",IF($L846="",IF($C846&lt;TODAY(),"⚠ TRỄ HỌC",IF($C846=TODAY(),"★ HỌC HÔM NAY","• Chưa tới")),IF($R846&gt;=5,"✔ MASTER",IF($S846&lt;TODAY(),"⚠ TRỄ ÔN",IF($S846=TODAY(),"◆ ÔN HÔM NAY","✔ Đúng tiến độ")))))</f>
        <v>• Chưa tới</v>
      </c>
      <c r="U846" s="38" t="n">
        <f aca="false">IF($H846="","",$R846/5)</f>
        <v>0</v>
      </c>
    </row>
    <row r="847" customFormat="false" ht="23.85" hidden="false" customHeight="false" outlineLevel="0" collapsed="false">
      <c r="A847" s="31" t="s">
        <v>5121</v>
      </c>
      <c r="B847" s="31" t="n">
        <v>43</v>
      </c>
      <c r="C847" s="32" t="n">
        <f aca="false">SETTINGS!$C$3+$B847-1</f>
        <v>46342</v>
      </c>
      <c r="D847" s="40" t="s">
        <v>3692</v>
      </c>
      <c r="E847" s="34" t="s">
        <v>5097</v>
      </c>
      <c r="F847" s="34" t="s">
        <v>280</v>
      </c>
      <c r="G847" s="34" t="s">
        <v>5122</v>
      </c>
      <c r="H847" s="35" t="s">
        <v>5123</v>
      </c>
      <c r="I847" s="36" t="s">
        <v>5124</v>
      </c>
      <c r="J847" s="34" t="s">
        <v>5125</v>
      </c>
      <c r="K847" s="34" t="s">
        <v>5126</v>
      </c>
      <c r="L847" s="37"/>
      <c r="M847" s="37"/>
      <c r="N847" s="37"/>
      <c r="O847" s="37"/>
      <c r="P847" s="37"/>
      <c r="Q847" s="37"/>
      <c r="R847" s="31" t="n">
        <f aca="false">COUNT($M847:$Q847)</f>
        <v>0</v>
      </c>
      <c r="S847" s="32" t="str">
        <f aca="false">IF($L847="","",IF($R847&gt;=5,"",MAX($L847:$Q847)+CHOOSE($R847+1,SETTINGS!$C$9,SETTINGS!$C$10,SETTINGS!$C$11,SETTINGS!$C$12,SETTINGS!$C$13)))</f>
        <v/>
      </c>
      <c r="T847" s="34" t="str">
        <f aca="true">IF($H847="","(chưa có nội dung)",IF($L847="",IF($C847&lt;TODAY(),"⚠ TRỄ HỌC",IF($C847=TODAY(),"★ HỌC HÔM NAY","• Chưa tới")),IF($R847&gt;=5,"✔ MASTER",IF($S847&lt;TODAY(),"⚠ TRỄ ÔN",IF($S847=TODAY(),"◆ ÔN HÔM NAY","✔ Đúng tiến độ")))))</f>
        <v>• Chưa tới</v>
      </c>
      <c r="U847" s="38" t="n">
        <f aca="false">IF($H847="","",$R847/5)</f>
        <v>0</v>
      </c>
    </row>
    <row r="848" customFormat="false" ht="23.85" hidden="false" customHeight="false" outlineLevel="0" collapsed="false">
      <c r="A848" s="31" t="s">
        <v>5127</v>
      </c>
      <c r="B848" s="31" t="n">
        <v>43</v>
      </c>
      <c r="C848" s="32" t="n">
        <f aca="false">SETTINGS!$C$3+$B848-1</f>
        <v>46342</v>
      </c>
      <c r="D848" s="40" t="s">
        <v>3692</v>
      </c>
      <c r="E848" s="34" t="s">
        <v>5097</v>
      </c>
      <c r="F848" s="34" t="s">
        <v>280</v>
      </c>
      <c r="G848" s="34" t="s">
        <v>5128</v>
      </c>
      <c r="H848" s="35" t="s">
        <v>5129</v>
      </c>
      <c r="I848" s="36" t="s">
        <v>5130</v>
      </c>
      <c r="J848" s="34" t="s">
        <v>5131</v>
      </c>
      <c r="K848" s="34" t="s">
        <v>1157</v>
      </c>
      <c r="L848" s="37"/>
      <c r="M848" s="37"/>
      <c r="N848" s="37"/>
      <c r="O848" s="37"/>
      <c r="P848" s="37"/>
      <c r="Q848" s="37"/>
      <c r="R848" s="31" t="n">
        <f aca="false">COUNT($M848:$Q848)</f>
        <v>0</v>
      </c>
      <c r="S848" s="32" t="str">
        <f aca="false">IF($L848="","",IF($R848&gt;=5,"",MAX($L848:$Q848)+CHOOSE($R848+1,SETTINGS!$C$9,SETTINGS!$C$10,SETTINGS!$C$11,SETTINGS!$C$12,SETTINGS!$C$13)))</f>
        <v/>
      </c>
      <c r="T848" s="34" t="str">
        <f aca="true">IF($H848="","(chưa có nội dung)",IF($L848="",IF($C848&lt;TODAY(),"⚠ TRỄ HỌC",IF($C848=TODAY(),"★ HỌC HÔM NAY","• Chưa tới")),IF($R848&gt;=5,"✔ MASTER",IF($S848&lt;TODAY(),"⚠ TRỄ ÔN",IF($S848=TODAY(),"◆ ÔN HÔM NAY","✔ Đúng tiến độ")))))</f>
        <v>• Chưa tới</v>
      </c>
      <c r="U848" s="38" t="n">
        <f aca="false">IF($H848="","",$R848/5)</f>
        <v>0</v>
      </c>
    </row>
    <row r="849" customFormat="false" ht="23.85" hidden="false" customHeight="false" outlineLevel="0" collapsed="false">
      <c r="A849" s="31" t="s">
        <v>5132</v>
      </c>
      <c r="B849" s="31" t="n">
        <v>43</v>
      </c>
      <c r="C849" s="32" t="n">
        <f aca="false">SETTINGS!$C$3+$B849-1</f>
        <v>46342</v>
      </c>
      <c r="D849" s="40" t="s">
        <v>3692</v>
      </c>
      <c r="E849" s="34" t="s">
        <v>5097</v>
      </c>
      <c r="F849" s="34" t="s">
        <v>156</v>
      </c>
      <c r="G849" s="34" t="s">
        <v>5133</v>
      </c>
      <c r="H849" s="35" t="s">
        <v>5134</v>
      </c>
      <c r="I849" s="36" t="s">
        <v>5135</v>
      </c>
      <c r="J849" s="34" t="s">
        <v>5136</v>
      </c>
      <c r="K849" s="34" t="s">
        <v>5137</v>
      </c>
      <c r="L849" s="37"/>
      <c r="M849" s="37"/>
      <c r="N849" s="37"/>
      <c r="O849" s="37"/>
      <c r="P849" s="37"/>
      <c r="Q849" s="37"/>
      <c r="R849" s="31" t="n">
        <f aca="false">COUNT($M849:$Q849)</f>
        <v>0</v>
      </c>
      <c r="S849" s="32" t="str">
        <f aca="false">IF($L849="","",IF($R849&gt;=5,"",MAX($L849:$Q849)+CHOOSE($R849+1,SETTINGS!$C$9,SETTINGS!$C$10,SETTINGS!$C$11,SETTINGS!$C$12,SETTINGS!$C$13)))</f>
        <v/>
      </c>
      <c r="T849" s="34" t="str">
        <f aca="true">IF($H849="","(chưa có nội dung)",IF($L849="",IF($C849&lt;TODAY(),"⚠ TRỄ HỌC",IF($C849=TODAY(),"★ HỌC HÔM NAY","• Chưa tới")),IF($R849&gt;=5,"✔ MASTER",IF($S849&lt;TODAY(),"⚠ TRỄ ÔN",IF($S849=TODAY(),"◆ ÔN HÔM NAY","✔ Đúng tiến độ")))))</f>
        <v>• Chưa tới</v>
      </c>
      <c r="U849" s="38" t="n">
        <f aca="false">IF($H849="","",$R849/5)</f>
        <v>0</v>
      </c>
    </row>
    <row r="850" customFormat="false" ht="23.85" hidden="false" customHeight="false" outlineLevel="0" collapsed="false">
      <c r="A850" s="31" t="s">
        <v>5138</v>
      </c>
      <c r="B850" s="31" t="n">
        <v>43</v>
      </c>
      <c r="C850" s="32" t="n">
        <f aca="false">SETTINGS!$C$3+$B850-1</f>
        <v>46342</v>
      </c>
      <c r="D850" s="40" t="s">
        <v>3692</v>
      </c>
      <c r="E850" s="34" t="s">
        <v>5097</v>
      </c>
      <c r="F850" s="34" t="s">
        <v>280</v>
      </c>
      <c r="G850" s="34" t="s">
        <v>5139</v>
      </c>
      <c r="H850" s="35" t="s">
        <v>5140</v>
      </c>
      <c r="I850" s="36" t="s">
        <v>5141</v>
      </c>
      <c r="J850" s="34" t="s">
        <v>5142</v>
      </c>
      <c r="K850" s="34" t="s">
        <v>5143</v>
      </c>
      <c r="L850" s="37"/>
      <c r="M850" s="37"/>
      <c r="N850" s="37"/>
      <c r="O850" s="37"/>
      <c r="P850" s="37"/>
      <c r="Q850" s="37"/>
      <c r="R850" s="31" t="n">
        <f aca="false">COUNT($M850:$Q850)</f>
        <v>0</v>
      </c>
      <c r="S850" s="32" t="str">
        <f aca="false">IF($L850="","",IF($R850&gt;=5,"",MAX($L850:$Q850)+CHOOSE($R850+1,SETTINGS!$C$9,SETTINGS!$C$10,SETTINGS!$C$11,SETTINGS!$C$12,SETTINGS!$C$13)))</f>
        <v/>
      </c>
      <c r="T850" s="34" t="str">
        <f aca="true">IF($H850="","(chưa có nội dung)",IF($L850="",IF($C850&lt;TODAY(),"⚠ TRỄ HỌC",IF($C850=TODAY(),"★ HỌC HÔM NAY","• Chưa tới")),IF($R850&gt;=5,"✔ MASTER",IF($S850&lt;TODAY(),"⚠ TRỄ ÔN",IF($S850=TODAY(),"◆ ÔN HÔM NAY","✔ Đúng tiến độ")))))</f>
        <v>• Chưa tới</v>
      </c>
      <c r="U850" s="38" t="n">
        <f aca="false">IF($H850="","",$R850/5)</f>
        <v>0</v>
      </c>
    </row>
    <row r="851" customFormat="false" ht="23.85" hidden="false" customHeight="false" outlineLevel="0" collapsed="false">
      <c r="A851" s="31" t="s">
        <v>5144</v>
      </c>
      <c r="B851" s="31" t="n">
        <v>43</v>
      </c>
      <c r="C851" s="32" t="n">
        <f aca="false">SETTINGS!$C$3+$B851-1</f>
        <v>46342</v>
      </c>
      <c r="D851" s="40" t="s">
        <v>3692</v>
      </c>
      <c r="E851" s="34" t="s">
        <v>5097</v>
      </c>
      <c r="F851" s="34" t="s">
        <v>183</v>
      </c>
      <c r="G851" s="34" t="s">
        <v>5145</v>
      </c>
      <c r="H851" s="35" t="s">
        <v>5146</v>
      </c>
      <c r="I851" s="36" t="s">
        <v>5147</v>
      </c>
      <c r="J851" s="34" t="s">
        <v>5148</v>
      </c>
      <c r="K851" s="34" t="s">
        <v>5149</v>
      </c>
      <c r="L851" s="37"/>
      <c r="M851" s="37"/>
      <c r="N851" s="37"/>
      <c r="O851" s="37"/>
      <c r="P851" s="37"/>
      <c r="Q851" s="37"/>
      <c r="R851" s="31" t="n">
        <f aca="false">COUNT($M851:$Q851)</f>
        <v>0</v>
      </c>
      <c r="S851" s="32" t="str">
        <f aca="false">IF($L851="","",IF($R851&gt;=5,"",MAX($L851:$Q851)+CHOOSE($R851+1,SETTINGS!$C$9,SETTINGS!$C$10,SETTINGS!$C$11,SETTINGS!$C$12,SETTINGS!$C$13)))</f>
        <v/>
      </c>
      <c r="T851" s="34" t="str">
        <f aca="true">IF($H851="","(chưa có nội dung)",IF($L851="",IF($C851&lt;TODAY(),"⚠ TRỄ HỌC",IF($C851=TODAY(),"★ HỌC HÔM NAY","• Chưa tới")),IF($R851&gt;=5,"✔ MASTER",IF($S851&lt;TODAY(),"⚠ TRỄ ÔN",IF($S851=TODAY(),"◆ ÔN HÔM NAY","✔ Đúng tiến độ")))))</f>
        <v>• Chưa tới</v>
      </c>
      <c r="U851" s="38" t="n">
        <f aca="false">IF($H851="","",$R851/5)</f>
        <v>0</v>
      </c>
    </row>
    <row r="852" customFormat="false" ht="26.85" hidden="false" customHeight="false" outlineLevel="0" collapsed="false">
      <c r="A852" s="31" t="s">
        <v>5150</v>
      </c>
      <c r="B852" s="31" t="n">
        <v>43</v>
      </c>
      <c r="C852" s="32" t="n">
        <f aca="false">SETTINGS!$C$3+$B852-1</f>
        <v>46342</v>
      </c>
      <c r="D852" s="40" t="s">
        <v>3692</v>
      </c>
      <c r="E852" s="34" t="s">
        <v>5097</v>
      </c>
      <c r="F852" s="34" t="s">
        <v>280</v>
      </c>
      <c r="G852" s="34" t="s">
        <v>5151</v>
      </c>
      <c r="H852" s="35" t="s">
        <v>5152</v>
      </c>
      <c r="I852" s="36" t="s">
        <v>5153</v>
      </c>
      <c r="J852" s="34" t="s">
        <v>5154</v>
      </c>
      <c r="K852" s="34" t="s">
        <v>4063</v>
      </c>
      <c r="L852" s="37"/>
      <c r="M852" s="37"/>
      <c r="N852" s="37"/>
      <c r="O852" s="37"/>
      <c r="P852" s="37"/>
      <c r="Q852" s="37"/>
      <c r="R852" s="31" t="n">
        <f aca="false">COUNT($M852:$Q852)</f>
        <v>0</v>
      </c>
      <c r="S852" s="32" t="str">
        <f aca="false">IF($L852="","",IF($R852&gt;=5,"",MAX($L852:$Q852)+CHOOSE($R852+1,SETTINGS!$C$9,SETTINGS!$C$10,SETTINGS!$C$11,SETTINGS!$C$12,SETTINGS!$C$13)))</f>
        <v/>
      </c>
      <c r="T852" s="34" t="str">
        <f aca="true">IF($H852="","(chưa có nội dung)",IF($L852="",IF($C852&lt;TODAY(),"⚠ TRỄ HỌC",IF($C852=TODAY(),"★ HỌC HÔM NAY","• Chưa tới")),IF($R852&gt;=5,"✔ MASTER",IF($S852&lt;TODAY(),"⚠ TRỄ ÔN",IF($S852=TODAY(),"◆ ÔN HÔM NAY","✔ Đúng tiến độ")))))</f>
        <v>• Chưa tới</v>
      </c>
      <c r="U852" s="38" t="n">
        <f aca="false">IF($H852="","",$R852/5)</f>
        <v>0</v>
      </c>
    </row>
    <row r="853" customFormat="false" ht="23.85" hidden="false" customHeight="false" outlineLevel="0" collapsed="false">
      <c r="A853" s="31" t="s">
        <v>5155</v>
      </c>
      <c r="B853" s="31" t="n">
        <v>43</v>
      </c>
      <c r="C853" s="32" t="n">
        <f aca="false">SETTINGS!$C$3+$B853-1</f>
        <v>46342</v>
      </c>
      <c r="D853" s="40" t="s">
        <v>3692</v>
      </c>
      <c r="E853" s="34" t="s">
        <v>5097</v>
      </c>
      <c r="F853" s="34" t="s">
        <v>280</v>
      </c>
      <c r="G853" s="34" t="s">
        <v>5156</v>
      </c>
      <c r="H853" s="35" t="s">
        <v>5157</v>
      </c>
      <c r="I853" s="36" t="s">
        <v>5158</v>
      </c>
      <c r="J853" s="34" t="s">
        <v>5159</v>
      </c>
      <c r="K853" s="34" t="s">
        <v>5160</v>
      </c>
      <c r="L853" s="37"/>
      <c r="M853" s="37"/>
      <c r="N853" s="37"/>
      <c r="O853" s="37"/>
      <c r="P853" s="37"/>
      <c r="Q853" s="37"/>
      <c r="R853" s="31" t="n">
        <f aca="false">COUNT($M853:$Q853)</f>
        <v>0</v>
      </c>
      <c r="S853" s="32" t="str">
        <f aca="false">IF($L853="","",IF($R853&gt;=5,"",MAX($L853:$Q853)+CHOOSE($R853+1,SETTINGS!$C$9,SETTINGS!$C$10,SETTINGS!$C$11,SETTINGS!$C$12,SETTINGS!$C$13)))</f>
        <v/>
      </c>
      <c r="T853" s="34" t="str">
        <f aca="true">IF($H853="","(chưa có nội dung)",IF($L853="",IF($C853&lt;TODAY(),"⚠ TRỄ HỌC",IF($C853=TODAY(),"★ HỌC HÔM NAY","• Chưa tới")),IF($R853&gt;=5,"✔ MASTER",IF($S853&lt;TODAY(),"⚠ TRỄ ÔN",IF($S853=TODAY(),"◆ ÔN HÔM NAY","✔ Đúng tiến độ")))))</f>
        <v>• Chưa tới</v>
      </c>
      <c r="U853" s="38" t="n">
        <f aca="false">IF($H853="","",$R853/5)</f>
        <v>0</v>
      </c>
    </row>
    <row r="854" customFormat="false" ht="26.85" hidden="false" customHeight="false" outlineLevel="0" collapsed="false">
      <c r="A854" s="31" t="s">
        <v>5161</v>
      </c>
      <c r="B854" s="31" t="n">
        <v>43</v>
      </c>
      <c r="C854" s="32" t="n">
        <f aca="false">SETTINGS!$C$3+$B854-1</f>
        <v>46342</v>
      </c>
      <c r="D854" s="40" t="s">
        <v>3692</v>
      </c>
      <c r="E854" s="34" t="s">
        <v>5097</v>
      </c>
      <c r="F854" s="34" t="s">
        <v>280</v>
      </c>
      <c r="G854" s="34" t="s">
        <v>5162</v>
      </c>
      <c r="H854" s="35" t="s">
        <v>5163</v>
      </c>
      <c r="I854" s="36" t="s">
        <v>5164</v>
      </c>
      <c r="J854" s="34" t="s">
        <v>5165</v>
      </c>
      <c r="K854" s="34" t="s">
        <v>5166</v>
      </c>
      <c r="L854" s="37"/>
      <c r="M854" s="37"/>
      <c r="N854" s="37"/>
      <c r="O854" s="37"/>
      <c r="P854" s="37"/>
      <c r="Q854" s="37"/>
      <c r="R854" s="31" t="n">
        <f aca="false">COUNT($M854:$Q854)</f>
        <v>0</v>
      </c>
      <c r="S854" s="32" t="str">
        <f aca="false">IF($L854="","",IF($R854&gt;=5,"",MAX($L854:$Q854)+CHOOSE($R854+1,SETTINGS!$C$9,SETTINGS!$C$10,SETTINGS!$C$11,SETTINGS!$C$12,SETTINGS!$C$13)))</f>
        <v/>
      </c>
      <c r="T854" s="34" t="str">
        <f aca="true">IF($H854="","(chưa có nội dung)",IF($L854="",IF($C854&lt;TODAY(),"⚠ TRỄ HỌC",IF($C854=TODAY(),"★ HỌC HÔM NAY","• Chưa tới")),IF($R854&gt;=5,"✔ MASTER",IF($S854&lt;TODAY(),"⚠ TRỄ ÔN",IF($S854=TODAY(),"◆ ÔN HÔM NAY","✔ Đúng tiến độ")))))</f>
        <v>• Chưa tới</v>
      </c>
      <c r="U854" s="38" t="n">
        <f aca="false">IF($H854="","",$R854/5)</f>
        <v>0</v>
      </c>
    </row>
    <row r="855" customFormat="false" ht="23.85" hidden="false" customHeight="false" outlineLevel="0" collapsed="false">
      <c r="A855" s="31" t="s">
        <v>5167</v>
      </c>
      <c r="B855" s="31" t="n">
        <v>43</v>
      </c>
      <c r="C855" s="32" t="n">
        <f aca="false">SETTINGS!$C$3+$B855-1</f>
        <v>46342</v>
      </c>
      <c r="D855" s="40" t="s">
        <v>3692</v>
      </c>
      <c r="E855" s="34" t="s">
        <v>5097</v>
      </c>
      <c r="F855" s="34" t="s">
        <v>280</v>
      </c>
      <c r="G855" s="34" t="s">
        <v>5168</v>
      </c>
      <c r="H855" s="35" t="s">
        <v>5169</v>
      </c>
      <c r="I855" s="36" t="s">
        <v>5170</v>
      </c>
      <c r="J855" s="34" t="s">
        <v>5171</v>
      </c>
      <c r="K855" s="34" t="s">
        <v>5172</v>
      </c>
      <c r="L855" s="37"/>
      <c r="M855" s="37"/>
      <c r="N855" s="37"/>
      <c r="O855" s="37"/>
      <c r="P855" s="37"/>
      <c r="Q855" s="37"/>
      <c r="R855" s="31" t="n">
        <f aca="false">COUNT($M855:$Q855)</f>
        <v>0</v>
      </c>
      <c r="S855" s="32" t="str">
        <f aca="false">IF($L855="","",IF($R855&gt;=5,"",MAX($L855:$Q855)+CHOOSE($R855+1,SETTINGS!$C$9,SETTINGS!$C$10,SETTINGS!$C$11,SETTINGS!$C$12,SETTINGS!$C$13)))</f>
        <v/>
      </c>
      <c r="T855" s="34" t="str">
        <f aca="true">IF($H855="","(chưa có nội dung)",IF($L855="",IF($C855&lt;TODAY(),"⚠ TRỄ HỌC",IF($C855=TODAY(),"★ HỌC HÔM NAY","• Chưa tới")),IF($R855&gt;=5,"✔ MASTER",IF($S855&lt;TODAY(),"⚠ TRỄ ÔN",IF($S855=TODAY(),"◆ ÔN HÔM NAY","✔ Đúng tiến độ")))))</f>
        <v>• Chưa tới</v>
      </c>
      <c r="U855" s="38" t="n">
        <f aca="false">IF($H855="","",$R855/5)</f>
        <v>0</v>
      </c>
    </row>
    <row r="856" customFormat="false" ht="23.85" hidden="false" customHeight="false" outlineLevel="0" collapsed="false">
      <c r="A856" s="31" t="s">
        <v>5173</v>
      </c>
      <c r="B856" s="31" t="n">
        <v>43</v>
      </c>
      <c r="C856" s="32" t="n">
        <f aca="false">SETTINGS!$C$3+$B856-1</f>
        <v>46342</v>
      </c>
      <c r="D856" s="40" t="s">
        <v>3692</v>
      </c>
      <c r="E856" s="34" t="s">
        <v>5097</v>
      </c>
      <c r="F856" s="34" t="s">
        <v>280</v>
      </c>
      <c r="G856" s="34" t="s">
        <v>5174</v>
      </c>
      <c r="H856" s="35" t="s">
        <v>5175</v>
      </c>
      <c r="I856" s="36" t="s">
        <v>5176</v>
      </c>
      <c r="J856" s="34" t="s">
        <v>5177</v>
      </c>
      <c r="K856" s="34" t="s">
        <v>5178</v>
      </c>
      <c r="L856" s="37"/>
      <c r="M856" s="37"/>
      <c r="N856" s="37"/>
      <c r="O856" s="37"/>
      <c r="P856" s="37"/>
      <c r="Q856" s="37"/>
      <c r="R856" s="31" t="n">
        <f aca="false">COUNT($M856:$Q856)</f>
        <v>0</v>
      </c>
      <c r="S856" s="32" t="str">
        <f aca="false">IF($L856="","",IF($R856&gt;=5,"",MAX($L856:$Q856)+CHOOSE($R856+1,SETTINGS!$C$9,SETTINGS!$C$10,SETTINGS!$C$11,SETTINGS!$C$12,SETTINGS!$C$13)))</f>
        <v/>
      </c>
      <c r="T856" s="34" t="str">
        <f aca="true">IF($H856="","(chưa có nội dung)",IF($L856="",IF($C856&lt;TODAY(),"⚠ TRỄ HỌC",IF($C856=TODAY(),"★ HỌC HÔM NAY","• Chưa tới")),IF($R856&gt;=5,"✔ MASTER",IF($S856&lt;TODAY(),"⚠ TRỄ ÔN",IF($S856=TODAY(),"◆ ÔN HÔM NAY","✔ Đúng tiến độ")))))</f>
        <v>• Chưa tới</v>
      </c>
      <c r="U856" s="38" t="n">
        <f aca="false">IF($H856="","",$R856/5)</f>
        <v>0</v>
      </c>
    </row>
    <row r="857" customFormat="false" ht="23.85" hidden="false" customHeight="false" outlineLevel="0" collapsed="false">
      <c r="A857" s="31" t="s">
        <v>5179</v>
      </c>
      <c r="B857" s="31" t="n">
        <v>43</v>
      </c>
      <c r="C857" s="32" t="n">
        <f aca="false">SETTINGS!$C$3+$B857-1</f>
        <v>46342</v>
      </c>
      <c r="D857" s="40" t="s">
        <v>3692</v>
      </c>
      <c r="E857" s="34" t="s">
        <v>5097</v>
      </c>
      <c r="F857" s="34" t="s">
        <v>280</v>
      </c>
      <c r="G857" s="34" t="s">
        <v>5180</v>
      </c>
      <c r="H857" s="35" t="s">
        <v>5181</v>
      </c>
      <c r="I857" s="36" t="s">
        <v>5182</v>
      </c>
      <c r="J857" s="34" t="s">
        <v>5183</v>
      </c>
      <c r="K857" s="34" t="s">
        <v>5184</v>
      </c>
      <c r="L857" s="37"/>
      <c r="M857" s="37"/>
      <c r="N857" s="37"/>
      <c r="O857" s="37"/>
      <c r="P857" s="37"/>
      <c r="Q857" s="37"/>
      <c r="R857" s="31" t="n">
        <f aca="false">COUNT($M857:$Q857)</f>
        <v>0</v>
      </c>
      <c r="S857" s="32" t="str">
        <f aca="false">IF($L857="","",IF($R857&gt;=5,"",MAX($L857:$Q857)+CHOOSE($R857+1,SETTINGS!$C$9,SETTINGS!$C$10,SETTINGS!$C$11,SETTINGS!$C$12,SETTINGS!$C$13)))</f>
        <v/>
      </c>
      <c r="T857" s="34" t="str">
        <f aca="true">IF($H857="","(chưa có nội dung)",IF($L857="",IF($C857&lt;TODAY(),"⚠ TRỄ HỌC",IF($C857=TODAY(),"★ HỌC HÔM NAY","• Chưa tới")),IF($R857&gt;=5,"✔ MASTER",IF($S857&lt;TODAY(),"⚠ TRỄ ÔN",IF($S857=TODAY(),"◆ ÔN HÔM NAY","✔ Đúng tiến độ")))))</f>
        <v>• Chưa tới</v>
      </c>
      <c r="U857" s="38" t="n">
        <f aca="false">IF($H857="","",$R857/5)</f>
        <v>0</v>
      </c>
    </row>
    <row r="858" customFormat="false" ht="23.85" hidden="false" customHeight="false" outlineLevel="0" collapsed="false">
      <c r="A858" s="31" t="s">
        <v>5185</v>
      </c>
      <c r="B858" s="31" t="n">
        <v>43</v>
      </c>
      <c r="C858" s="32" t="n">
        <f aca="false">SETTINGS!$C$3+$B858-1</f>
        <v>46342</v>
      </c>
      <c r="D858" s="40" t="s">
        <v>3692</v>
      </c>
      <c r="E858" s="34" t="s">
        <v>5097</v>
      </c>
      <c r="F858" s="34" t="s">
        <v>280</v>
      </c>
      <c r="G858" s="34" t="s">
        <v>5186</v>
      </c>
      <c r="H858" s="35" t="s">
        <v>5187</v>
      </c>
      <c r="I858" s="36" t="s">
        <v>5188</v>
      </c>
      <c r="J858" s="34" t="s">
        <v>5189</v>
      </c>
      <c r="K858" s="34" t="s">
        <v>5190</v>
      </c>
      <c r="L858" s="37"/>
      <c r="M858" s="37"/>
      <c r="N858" s="37"/>
      <c r="O858" s="37"/>
      <c r="P858" s="37"/>
      <c r="Q858" s="37"/>
      <c r="R858" s="31" t="n">
        <f aca="false">COUNT($M858:$Q858)</f>
        <v>0</v>
      </c>
      <c r="S858" s="32" t="str">
        <f aca="false">IF($L858="","",IF($R858&gt;=5,"",MAX($L858:$Q858)+CHOOSE($R858+1,SETTINGS!$C$9,SETTINGS!$C$10,SETTINGS!$C$11,SETTINGS!$C$12,SETTINGS!$C$13)))</f>
        <v/>
      </c>
      <c r="T858" s="34" t="str">
        <f aca="true">IF($H858="","(chưa có nội dung)",IF($L858="",IF($C858&lt;TODAY(),"⚠ TRỄ HỌC",IF($C858=TODAY(),"★ HỌC HÔM NAY","• Chưa tới")),IF($R858&gt;=5,"✔ MASTER",IF($S858&lt;TODAY(),"⚠ TRỄ ÔN",IF($S858=TODAY(),"◆ ÔN HÔM NAY","✔ Đúng tiến độ")))))</f>
        <v>• Chưa tới</v>
      </c>
      <c r="U858" s="38" t="n">
        <f aca="false">IF($H858="","",$R858/5)</f>
        <v>0</v>
      </c>
    </row>
    <row r="859" customFormat="false" ht="23.85" hidden="false" customHeight="false" outlineLevel="0" collapsed="false">
      <c r="A859" s="31" t="s">
        <v>5191</v>
      </c>
      <c r="B859" s="31" t="n">
        <v>43</v>
      </c>
      <c r="C859" s="32" t="n">
        <f aca="false">SETTINGS!$C$3+$B859-1</f>
        <v>46342</v>
      </c>
      <c r="D859" s="40" t="s">
        <v>3692</v>
      </c>
      <c r="E859" s="34" t="s">
        <v>5097</v>
      </c>
      <c r="F859" s="34" t="s">
        <v>156</v>
      </c>
      <c r="G859" s="34" t="s">
        <v>1824</v>
      </c>
      <c r="H859" s="35" t="s">
        <v>5192</v>
      </c>
      <c r="I859" s="36" t="s">
        <v>5193</v>
      </c>
      <c r="J859" s="34" t="s">
        <v>5194</v>
      </c>
      <c r="K859" s="34" t="s">
        <v>1598</v>
      </c>
      <c r="L859" s="37"/>
      <c r="M859" s="37"/>
      <c r="N859" s="37"/>
      <c r="O859" s="37"/>
      <c r="P859" s="37"/>
      <c r="Q859" s="37"/>
      <c r="R859" s="31" t="n">
        <f aca="false">COUNT($M859:$Q859)</f>
        <v>0</v>
      </c>
      <c r="S859" s="32" t="str">
        <f aca="false">IF($L859="","",IF($R859&gt;=5,"",MAX($L859:$Q859)+CHOOSE($R859+1,SETTINGS!$C$9,SETTINGS!$C$10,SETTINGS!$C$11,SETTINGS!$C$12,SETTINGS!$C$13)))</f>
        <v/>
      </c>
      <c r="T859" s="34" t="str">
        <f aca="true">IF($H859="","(chưa có nội dung)",IF($L859="",IF($C859&lt;TODAY(),"⚠ TRỄ HỌC",IF($C859=TODAY(),"★ HỌC HÔM NAY","• Chưa tới")),IF($R859&gt;=5,"✔ MASTER",IF($S859&lt;TODAY(),"⚠ TRỄ ÔN",IF($S859=TODAY(),"◆ ÔN HÔM NAY","✔ Đúng tiến độ")))))</f>
        <v>• Chưa tới</v>
      </c>
      <c r="U859" s="38" t="n">
        <f aca="false">IF($H859="","",$R859/5)</f>
        <v>0</v>
      </c>
    </row>
    <row r="860" customFormat="false" ht="26.85" hidden="false" customHeight="false" outlineLevel="0" collapsed="false">
      <c r="A860" s="31" t="s">
        <v>5195</v>
      </c>
      <c r="B860" s="31" t="n">
        <v>43</v>
      </c>
      <c r="C860" s="32" t="n">
        <f aca="false">SETTINGS!$C$3+$B860-1</f>
        <v>46342</v>
      </c>
      <c r="D860" s="40" t="s">
        <v>3692</v>
      </c>
      <c r="E860" s="34" t="s">
        <v>5097</v>
      </c>
      <c r="F860" s="34" t="s">
        <v>280</v>
      </c>
      <c r="G860" s="34" t="s">
        <v>5196</v>
      </c>
      <c r="H860" s="35" t="s">
        <v>5197</v>
      </c>
      <c r="I860" s="36" t="s">
        <v>5198</v>
      </c>
      <c r="J860" s="34" t="s">
        <v>5199</v>
      </c>
      <c r="K860" s="34" t="s">
        <v>5200</v>
      </c>
      <c r="L860" s="37"/>
      <c r="M860" s="37"/>
      <c r="N860" s="37"/>
      <c r="O860" s="37"/>
      <c r="P860" s="37"/>
      <c r="Q860" s="37"/>
      <c r="R860" s="31" t="n">
        <f aca="false">COUNT($M860:$Q860)</f>
        <v>0</v>
      </c>
      <c r="S860" s="32" t="str">
        <f aca="false">IF($L860="","",IF($R860&gt;=5,"",MAX($L860:$Q860)+CHOOSE($R860+1,SETTINGS!$C$9,SETTINGS!$C$10,SETTINGS!$C$11,SETTINGS!$C$12,SETTINGS!$C$13)))</f>
        <v/>
      </c>
      <c r="T860" s="34" t="str">
        <f aca="true">IF($H860="","(chưa có nội dung)",IF($L860="",IF($C860&lt;TODAY(),"⚠ TRỄ HỌC",IF($C860=TODAY(),"★ HỌC HÔM NAY","• Chưa tới")),IF($R860&gt;=5,"✔ MASTER",IF($S860&lt;TODAY(),"⚠ TRỄ ÔN",IF($S860=TODAY(),"◆ ÔN HÔM NAY","✔ Đúng tiến độ")))))</f>
        <v>• Chưa tới</v>
      </c>
      <c r="U860" s="38" t="n">
        <f aca="false">IF($H860="","",$R860/5)</f>
        <v>0</v>
      </c>
    </row>
    <row r="861" customFormat="false" ht="23.85" hidden="false" customHeight="false" outlineLevel="0" collapsed="false">
      <c r="A861" s="31" t="s">
        <v>5201</v>
      </c>
      <c r="B861" s="31" t="n">
        <v>43</v>
      </c>
      <c r="C861" s="32" t="n">
        <f aca="false">SETTINGS!$C$3+$B861-1</f>
        <v>46342</v>
      </c>
      <c r="D861" s="40" t="s">
        <v>3692</v>
      </c>
      <c r="E861" s="34" t="s">
        <v>5097</v>
      </c>
      <c r="F861" s="34" t="s">
        <v>280</v>
      </c>
      <c r="G861" s="34" t="s">
        <v>5202</v>
      </c>
      <c r="H861" s="35" t="s">
        <v>5203</v>
      </c>
      <c r="I861" s="36" t="s">
        <v>5204</v>
      </c>
      <c r="J861" s="34" t="s">
        <v>5205</v>
      </c>
      <c r="K861" s="34" t="s">
        <v>5206</v>
      </c>
      <c r="L861" s="37"/>
      <c r="M861" s="37"/>
      <c r="N861" s="37"/>
      <c r="O861" s="37"/>
      <c r="P861" s="37"/>
      <c r="Q861" s="37"/>
      <c r="R861" s="31" t="n">
        <f aca="false">COUNT($M861:$Q861)</f>
        <v>0</v>
      </c>
      <c r="S861" s="32" t="str">
        <f aca="false">IF($L861="","",IF($R861&gt;=5,"",MAX($L861:$Q861)+CHOOSE($R861+1,SETTINGS!$C$9,SETTINGS!$C$10,SETTINGS!$C$11,SETTINGS!$C$12,SETTINGS!$C$13)))</f>
        <v/>
      </c>
      <c r="T861" s="34" t="str">
        <f aca="true">IF($H861="","(chưa có nội dung)",IF($L861="",IF($C861&lt;TODAY(),"⚠ TRỄ HỌC",IF($C861=TODAY(),"★ HỌC HÔM NAY","• Chưa tới")),IF($R861&gt;=5,"✔ MASTER",IF($S861&lt;TODAY(),"⚠ TRỄ ÔN",IF($S861=TODAY(),"◆ ÔN HÔM NAY","✔ Đúng tiến độ")))))</f>
        <v>• Chưa tới</v>
      </c>
      <c r="U861" s="38" t="n">
        <f aca="false">IF($H861="","",$R861/5)</f>
        <v>0</v>
      </c>
    </row>
    <row r="862" customFormat="false" ht="23.85" hidden="false" customHeight="false" outlineLevel="0" collapsed="false">
      <c r="A862" s="31" t="s">
        <v>5207</v>
      </c>
      <c r="B862" s="31" t="n">
        <v>43</v>
      </c>
      <c r="C862" s="32" t="n">
        <f aca="false">SETTINGS!$C$3+$B862-1</f>
        <v>46342</v>
      </c>
      <c r="D862" s="40" t="s">
        <v>3692</v>
      </c>
      <c r="E862" s="34" t="s">
        <v>5097</v>
      </c>
      <c r="F862" s="34" t="s">
        <v>280</v>
      </c>
      <c r="G862" s="34" t="s">
        <v>5208</v>
      </c>
      <c r="H862" s="35" t="s">
        <v>5209</v>
      </c>
      <c r="I862" s="36" t="s">
        <v>5210</v>
      </c>
      <c r="J862" s="34" t="s">
        <v>5211</v>
      </c>
      <c r="K862" s="34" t="s">
        <v>4375</v>
      </c>
      <c r="L862" s="37"/>
      <c r="M862" s="37"/>
      <c r="N862" s="37"/>
      <c r="O862" s="37"/>
      <c r="P862" s="37"/>
      <c r="Q862" s="37"/>
      <c r="R862" s="31" t="n">
        <f aca="false">COUNT($M862:$Q862)</f>
        <v>0</v>
      </c>
      <c r="S862" s="32" t="str">
        <f aca="false">IF($L862="","",IF($R862&gt;=5,"",MAX($L862:$Q862)+CHOOSE($R862+1,SETTINGS!$C$9,SETTINGS!$C$10,SETTINGS!$C$11,SETTINGS!$C$12,SETTINGS!$C$13)))</f>
        <v/>
      </c>
      <c r="T862" s="34" t="str">
        <f aca="true">IF($H862="","(chưa có nội dung)",IF($L862="",IF($C862&lt;TODAY(),"⚠ TRỄ HỌC",IF($C862=TODAY(),"★ HỌC HÔM NAY","• Chưa tới")),IF($R862&gt;=5,"✔ MASTER",IF($S862&lt;TODAY(),"⚠ TRỄ ÔN",IF($S862=TODAY(),"◆ ÔN HÔM NAY","✔ Đúng tiến độ")))))</f>
        <v>• Chưa tới</v>
      </c>
      <c r="U862" s="38" t="n">
        <f aca="false">IF($H862="","",$R862/5)</f>
        <v>0</v>
      </c>
    </row>
    <row r="863" customFormat="false" ht="15" hidden="false" customHeight="false" outlineLevel="0" collapsed="false">
      <c r="A863" s="31" t="s">
        <v>5212</v>
      </c>
      <c r="B863" s="31" t="n">
        <v>44</v>
      </c>
      <c r="C863" s="32" t="n">
        <f aca="false">SETTINGS!$C$3+$B863-1</f>
        <v>46343</v>
      </c>
      <c r="D863" s="40" t="s">
        <v>3692</v>
      </c>
      <c r="E863" s="34" t="s">
        <v>5213</v>
      </c>
      <c r="F863" s="34" t="s">
        <v>280</v>
      </c>
      <c r="G863" s="34" t="s">
        <v>5214</v>
      </c>
      <c r="H863" s="35" t="s">
        <v>5215</v>
      </c>
      <c r="I863" s="36" t="s">
        <v>5216</v>
      </c>
      <c r="J863" s="34" t="s">
        <v>5217</v>
      </c>
      <c r="K863" s="34" t="s">
        <v>5218</v>
      </c>
      <c r="L863" s="37"/>
      <c r="M863" s="37"/>
      <c r="N863" s="37"/>
      <c r="O863" s="37"/>
      <c r="P863" s="37"/>
      <c r="Q863" s="37"/>
      <c r="R863" s="31" t="n">
        <f aca="false">COUNT($M863:$Q863)</f>
        <v>0</v>
      </c>
      <c r="S863" s="32" t="str">
        <f aca="false">IF($L863="","",IF($R863&gt;=5,"",MAX($L863:$Q863)+CHOOSE($R863+1,SETTINGS!$C$9,SETTINGS!$C$10,SETTINGS!$C$11,SETTINGS!$C$12,SETTINGS!$C$13)))</f>
        <v/>
      </c>
      <c r="T863" s="34" t="str">
        <f aca="true">IF($H863="","(chưa có nội dung)",IF($L863="",IF($C863&lt;TODAY(),"⚠ TRỄ HỌC",IF($C863=TODAY(),"★ HỌC HÔM NAY","• Chưa tới")),IF($R863&gt;=5,"✔ MASTER",IF($S863&lt;TODAY(),"⚠ TRỄ ÔN",IF($S863=TODAY(),"◆ ÔN HÔM NAY","✔ Đúng tiến độ")))))</f>
        <v>• Chưa tới</v>
      </c>
      <c r="U863" s="38" t="n">
        <f aca="false">IF($H863="","",$R863/5)</f>
        <v>0</v>
      </c>
    </row>
    <row r="864" customFormat="false" ht="15" hidden="false" customHeight="false" outlineLevel="0" collapsed="false">
      <c r="A864" s="31" t="s">
        <v>5219</v>
      </c>
      <c r="B864" s="31" t="n">
        <v>44</v>
      </c>
      <c r="C864" s="32" t="n">
        <f aca="false">SETTINGS!$C$3+$B864-1</f>
        <v>46343</v>
      </c>
      <c r="D864" s="40" t="s">
        <v>3692</v>
      </c>
      <c r="E864" s="34" t="s">
        <v>5213</v>
      </c>
      <c r="F864" s="34" t="s">
        <v>280</v>
      </c>
      <c r="G864" s="34" t="s">
        <v>5220</v>
      </c>
      <c r="H864" s="35" t="s">
        <v>5221</v>
      </c>
      <c r="I864" s="36" t="s">
        <v>5222</v>
      </c>
      <c r="J864" s="34" t="s">
        <v>5223</v>
      </c>
      <c r="K864" s="34" t="s">
        <v>5224</v>
      </c>
      <c r="L864" s="37"/>
      <c r="M864" s="37"/>
      <c r="N864" s="37"/>
      <c r="O864" s="37"/>
      <c r="P864" s="37"/>
      <c r="Q864" s="37"/>
      <c r="R864" s="31" t="n">
        <f aca="false">COUNT($M864:$Q864)</f>
        <v>0</v>
      </c>
      <c r="S864" s="32" t="str">
        <f aca="false">IF($L864="","",IF($R864&gt;=5,"",MAX($L864:$Q864)+CHOOSE($R864+1,SETTINGS!$C$9,SETTINGS!$C$10,SETTINGS!$C$11,SETTINGS!$C$12,SETTINGS!$C$13)))</f>
        <v/>
      </c>
      <c r="T864" s="34" t="str">
        <f aca="true">IF($H864="","(chưa có nội dung)",IF($L864="",IF($C864&lt;TODAY(),"⚠ TRỄ HỌC",IF($C864=TODAY(),"★ HỌC HÔM NAY","• Chưa tới")),IF($R864&gt;=5,"✔ MASTER",IF($S864&lt;TODAY(),"⚠ TRỄ ÔN",IF($S864=TODAY(),"◆ ÔN HÔM NAY","✔ Đúng tiến độ")))))</f>
        <v>• Chưa tới</v>
      </c>
      <c r="U864" s="38" t="n">
        <f aca="false">IF($H864="","",$R864/5)</f>
        <v>0</v>
      </c>
    </row>
    <row r="865" customFormat="false" ht="15" hidden="false" customHeight="false" outlineLevel="0" collapsed="false">
      <c r="A865" s="31" t="s">
        <v>5225</v>
      </c>
      <c r="B865" s="31" t="n">
        <v>44</v>
      </c>
      <c r="C865" s="32" t="n">
        <f aca="false">SETTINGS!$C$3+$B865-1</f>
        <v>46343</v>
      </c>
      <c r="D865" s="40" t="s">
        <v>3692</v>
      </c>
      <c r="E865" s="34" t="s">
        <v>5213</v>
      </c>
      <c r="F865" s="34" t="s">
        <v>3694</v>
      </c>
      <c r="G865" s="34" t="s">
        <v>5226</v>
      </c>
      <c r="H865" s="35" t="s">
        <v>5227</v>
      </c>
      <c r="I865" s="36" t="s">
        <v>5228</v>
      </c>
      <c r="J865" s="34" t="s">
        <v>5229</v>
      </c>
      <c r="K865" s="34" t="s">
        <v>5230</v>
      </c>
      <c r="L865" s="37"/>
      <c r="M865" s="37"/>
      <c r="N865" s="37"/>
      <c r="O865" s="37"/>
      <c r="P865" s="37"/>
      <c r="Q865" s="37"/>
      <c r="R865" s="31" t="n">
        <f aca="false">COUNT($M865:$Q865)</f>
        <v>0</v>
      </c>
      <c r="S865" s="32" t="str">
        <f aca="false">IF($L865="","",IF($R865&gt;=5,"",MAX($L865:$Q865)+CHOOSE($R865+1,SETTINGS!$C$9,SETTINGS!$C$10,SETTINGS!$C$11,SETTINGS!$C$12,SETTINGS!$C$13)))</f>
        <v/>
      </c>
      <c r="T865" s="34" t="str">
        <f aca="true">IF($H865="","(chưa có nội dung)",IF($L865="",IF($C865&lt;TODAY(),"⚠ TRỄ HỌC",IF($C865=TODAY(),"★ HỌC HÔM NAY","• Chưa tới")),IF($R865&gt;=5,"✔ MASTER",IF($S865&lt;TODAY(),"⚠ TRỄ ÔN",IF($S865=TODAY(),"◆ ÔN HÔM NAY","✔ Đúng tiến độ")))))</f>
        <v>• Chưa tới</v>
      </c>
      <c r="U865" s="38" t="n">
        <f aca="false">IF($H865="","",$R865/5)</f>
        <v>0</v>
      </c>
    </row>
    <row r="866" customFormat="false" ht="15" hidden="false" customHeight="false" outlineLevel="0" collapsed="false">
      <c r="A866" s="31" t="s">
        <v>5231</v>
      </c>
      <c r="B866" s="31" t="n">
        <v>44</v>
      </c>
      <c r="C866" s="32" t="n">
        <f aca="false">SETTINGS!$C$3+$B866-1</f>
        <v>46343</v>
      </c>
      <c r="D866" s="40" t="s">
        <v>3692</v>
      </c>
      <c r="E866" s="34" t="s">
        <v>5213</v>
      </c>
      <c r="F866" s="34" t="s">
        <v>3694</v>
      </c>
      <c r="G866" s="34" t="s">
        <v>5232</v>
      </c>
      <c r="H866" s="35" t="s">
        <v>5233</v>
      </c>
      <c r="I866" s="36" t="s">
        <v>5234</v>
      </c>
      <c r="J866" s="34" t="s">
        <v>5235</v>
      </c>
      <c r="K866" s="34" t="s">
        <v>5236</v>
      </c>
      <c r="L866" s="37"/>
      <c r="M866" s="37"/>
      <c r="N866" s="37"/>
      <c r="O866" s="37"/>
      <c r="P866" s="37"/>
      <c r="Q866" s="37"/>
      <c r="R866" s="31" t="n">
        <f aca="false">COUNT($M866:$Q866)</f>
        <v>0</v>
      </c>
      <c r="S866" s="32" t="str">
        <f aca="false">IF($L866="","",IF($R866&gt;=5,"",MAX($L866:$Q866)+CHOOSE($R866+1,SETTINGS!$C$9,SETTINGS!$C$10,SETTINGS!$C$11,SETTINGS!$C$12,SETTINGS!$C$13)))</f>
        <v/>
      </c>
      <c r="T866" s="34" t="str">
        <f aca="true">IF($H866="","(chưa có nội dung)",IF($L866="",IF($C866&lt;TODAY(),"⚠ TRỄ HỌC",IF($C866=TODAY(),"★ HỌC HÔM NAY","• Chưa tới")),IF($R866&gt;=5,"✔ MASTER",IF($S866&lt;TODAY(),"⚠ TRỄ ÔN",IF($S866=TODAY(),"◆ ÔN HÔM NAY","✔ Đúng tiến độ")))))</f>
        <v>• Chưa tới</v>
      </c>
      <c r="U866" s="38" t="n">
        <f aca="false">IF($H866="","",$R866/5)</f>
        <v>0</v>
      </c>
    </row>
    <row r="867" customFormat="false" ht="15" hidden="false" customHeight="false" outlineLevel="0" collapsed="false">
      <c r="A867" s="31" t="s">
        <v>5237</v>
      </c>
      <c r="B867" s="31" t="n">
        <v>44</v>
      </c>
      <c r="C867" s="32" t="n">
        <f aca="false">SETTINGS!$C$3+$B867-1</f>
        <v>46343</v>
      </c>
      <c r="D867" s="40" t="s">
        <v>3692</v>
      </c>
      <c r="E867" s="34" t="s">
        <v>5213</v>
      </c>
      <c r="F867" s="34" t="s">
        <v>280</v>
      </c>
      <c r="G867" s="34" t="s">
        <v>5238</v>
      </c>
      <c r="H867" s="35" t="s">
        <v>5239</v>
      </c>
      <c r="I867" s="36" t="s">
        <v>5240</v>
      </c>
      <c r="J867" s="34" t="s">
        <v>5241</v>
      </c>
      <c r="K867" s="34" t="s">
        <v>5242</v>
      </c>
      <c r="L867" s="37"/>
      <c r="M867" s="37"/>
      <c r="N867" s="37"/>
      <c r="O867" s="37"/>
      <c r="P867" s="37"/>
      <c r="Q867" s="37"/>
      <c r="R867" s="31" t="n">
        <f aca="false">COUNT($M867:$Q867)</f>
        <v>0</v>
      </c>
      <c r="S867" s="32" t="str">
        <f aca="false">IF($L867="","",IF($R867&gt;=5,"",MAX($L867:$Q867)+CHOOSE($R867+1,SETTINGS!$C$9,SETTINGS!$C$10,SETTINGS!$C$11,SETTINGS!$C$12,SETTINGS!$C$13)))</f>
        <v/>
      </c>
      <c r="T867" s="34" t="str">
        <f aca="true">IF($H867="","(chưa có nội dung)",IF($L867="",IF($C867&lt;TODAY(),"⚠ TRỄ HỌC",IF($C867=TODAY(),"★ HỌC HÔM NAY","• Chưa tới")),IF($R867&gt;=5,"✔ MASTER",IF($S867&lt;TODAY(),"⚠ TRỄ ÔN",IF($S867=TODAY(),"◆ ÔN HÔM NAY","✔ Đúng tiến độ")))))</f>
        <v>• Chưa tới</v>
      </c>
      <c r="U867" s="38" t="n">
        <f aca="false">IF($H867="","",$R867/5)</f>
        <v>0</v>
      </c>
    </row>
    <row r="868" customFormat="false" ht="15" hidden="false" customHeight="false" outlineLevel="0" collapsed="false">
      <c r="A868" s="31" t="s">
        <v>5243</v>
      </c>
      <c r="B868" s="31" t="n">
        <v>44</v>
      </c>
      <c r="C868" s="32" t="n">
        <f aca="false">SETTINGS!$C$3+$B868-1</f>
        <v>46343</v>
      </c>
      <c r="D868" s="40" t="s">
        <v>3692</v>
      </c>
      <c r="E868" s="34" t="s">
        <v>5213</v>
      </c>
      <c r="F868" s="34" t="s">
        <v>280</v>
      </c>
      <c r="G868" s="34" t="s">
        <v>5244</v>
      </c>
      <c r="H868" s="35" t="s">
        <v>5245</v>
      </c>
      <c r="I868" s="36" t="s">
        <v>5246</v>
      </c>
      <c r="J868" s="34" t="s">
        <v>5247</v>
      </c>
      <c r="K868" s="34" t="s">
        <v>5248</v>
      </c>
      <c r="L868" s="37"/>
      <c r="M868" s="37"/>
      <c r="N868" s="37"/>
      <c r="O868" s="37"/>
      <c r="P868" s="37"/>
      <c r="Q868" s="37"/>
      <c r="R868" s="31" t="n">
        <f aca="false">COUNT($M868:$Q868)</f>
        <v>0</v>
      </c>
      <c r="S868" s="32" t="str">
        <f aca="false">IF($L868="","",IF($R868&gt;=5,"",MAX($L868:$Q868)+CHOOSE($R868+1,SETTINGS!$C$9,SETTINGS!$C$10,SETTINGS!$C$11,SETTINGS!$C$12,SETTINGS!$C$13)))</f>
        <v/>
      </c>
      <c r="T868" s="34" t="str">
        <f aca="true">IF($H868="","(chưa có nội dung)",IF($L868="",IF($C868&lt;TODAY(),"⚠ TRỄ HỌC",IF($C868=TODAY(),"★ HỌC HÔM NAY","• Chưa tới")),IF($R868&gt;=5,"✔ MASTER",IF($S868&lt;TODAY(),"⚠ TRỄ ÔN",IF($S868=TODAY(),"◆ ÔN HÔM NAY","✔ Đúng tiến độ")))))</f>
        <v>• Chưa tới</v>
      </c>
      <c r="U868" s="38" t="n">
        <f aca="false">IF($H868="","",$R868/5)</f>
        <v>0</v>
      </c>
    </row>
    <row r="869" customFormat="false" ht="26.85" hidden="false" customHeight="false" outlineLevel="0" collapsed="false">
      <c r="A869" s="31" t="s">
        <v>5249</v>
      </c>
      <c r="B869" s="31" t="n">
        <v>44</v>
      </c>
      <c r="C869" s="32" t="n">
        <f aca="false">SETTINGS!$C$3+$B869-1</f>
        <v>46343</v>
      </c>
      <c r="D869" s="40" t="s">
        <v>3692</v>
      </c>
      <c r="E869" s="34" t="s">
        <v>5213</v>
      </c>
      <c r="F869" s="34" t="s">
        <v>3694</v>
      </c>
      <c r="G869" s="34" t="s">
        <v>5250</v>
      </c>
      <c r="H869" s="35" t="s">
        <v>5251</v>
      </c>
      <c r="I869" s="36" t="s">
        <v>5252</v>
      </c>
      <c r="J869" s="34" t="s">
        <v>5253</v>
      </c>
      <c r="K869" s="34" t="s">
        <v>5250</v>
      </c>
      <c r="L869" s="37"/>
      <c r="M869" s="37"/>
      <c r="N869" s="37"/>
      <c r="O869" s="37"/>
      <c r="P869" s="37"/>
      <c r="Q869" s="37"/>
      <c r="R869" s="31" t="n">
        <f aca="false">COUNT($M869:$Q869)</f>
        <v>0</v>
      </c>
      <c r="S869" s="32" t="str">
        <f aca="false">IF($L869="","",IF($R869&gt;=5,"",MAX($L869:$Q869)+CHOOSE($R869+1,SETTINGS!$C$9,SETTINGS!$C$10,SETTINGS!$C$11,SETTINGS!$C$12,SETTINGS!$C$13)))</f>
        <v/>
      </c>
      <c r="T869" s="34" t="str">
        <f aca="true">IF($H869="","(chưa có nội dung)",IF($L869="",IF($C869&lt;TODAY(),"⚠ TRỄ HỌC",IF($C869=TODAY(),"★ HỌC HÔM NAY","• Chưa tới")),IF($R869&gt;=5,"✔ MASTER",IF($S869&lt;TODAY(),"⚠ TRỄ ÔN",IF($S869=TODAY(),"◆ ÔN HÔM NAY","✔ Đúng tiến độ")))))</f>
        <v>• Chưa tới</v>
      </c>
      <c r="U869" s="38" t="n">
        <f aca="false">IF($H869="","",$R869/5)</f>
        <v>0</v>
      </c>
    </row>
    <row r="870" customFormat="false" ht="15" hidden="false" customHeight="false" outlineLevel="0" collapsed="false">
      <c r="A870" s="31" t="s">
        <v>5254</v>
      </c>
      <c r="B870" s="31" t="n">
        <v>44</v>
      </c>
      <c r="C870" s="32" t="n">
        <f aca="false">SETTINGS!$C$3+$B870-1</f>
        <v>46343</v>
      </c>
      <c r="D870" s="40" t="s">
        <v>3692</v>
      </c>
      <c r="E870" s="34" t="s">
        <v>5213</v>
      </c>
      <c r="F870" s="34" t="s">
        <v>280</v>
      </c>
      <c r="G870" s="34" t="s">
        <v>5255</v>
      </c>
      <c r="H870" s="35" t="s">
        <v>5256</v>
      </c>
      <c r="I870" s="36" t="s">
        <v>5257</v>
      </c>
      <c r="J870" s="34" t="s">
        <v>5258</v>
      </c>
      <c r="K870" s="34" t="s">
        <v>5259</v>
      </c>
      <c r="L870" s="37"/>
      <c r="M870" s="37"/>
      <c r="N870" s="37"/>
      <c r="O870" s="37"/>
      <c r="P870" s="37"/>
      <c r="Q870" s="37"/>
      <c r="R870" s="31" t="n">
        <f aca="false">COUNT($M870:$Q870)</f>
        <v>0</v>
      </c>
      <c r="S870" s="32" t="str">
        <f aca="false">IF($L870="","",IF($R870&gt;=5,"",MAX($L870:$Q870)+CHOOSE($R870+1,SETTINGS!$C$9,SETTINGS!$C$10,SETTINGS!$C$11,SETTINGS!$C$12,SETTINGS!$C$13)))</f>
        <v/>
      </c>
      <c r="T870" s="34" t="str">
        <f aca="true">IF($H870="","(chưa có nội dung)",IF($L870="",IF($C870&lt;TODAY(),"⚠ TRỄ HỌC",IF($C870=TODAY(),"★ HỌC HÔM NAY","• Chưa tới")),IF($R870&gt;=5,"✔ MASTER",IF($S870&lt;TODAY(),"⚠ TRỄ ÔN",IF($S870=TODAY(),"◆ ÔN HÔM NAY","✔ Đúng tiến độ")))))</f>
        <v>• Chưa tới</v>
      </c>
      <c r="U870" s="38" t="n">
        <f aca="false">IF($H870="","",$R870/5)</f>
        <v>0</v>
      </c>
    </row>
    <row r="871" customFormat="false" ht="15" hidden="false" customHeight="false" outlineLevel="0" collapsed="false">
      <c r="A871" s="31" t="s">
        <v>5260</v>
      </c>
      <c r="B871" s="31" t="n">
        <v>44</v>
      </c>
      <c r="C871" s="32" t="n">
        <f aca="false">SETTINGS!$C$3+$B871-1</f>
        <v>46343</v>
      </c>
      <c r="D871" s="40" t="s">
        <v>3692</v>
      </c>
      <c r="E871" s="34" t="s">
        <v>5213</v>
      </c>
      <c r="F871" s="34" t="s">
        <v>280</v>
      </c>
      <c r="G871" s="34" t="s">
        <v>5261</v>
      </c>
      <c r="H871" s="35" t="s">
        <v>5262</v>
      </c>
      <c r="I871" s="36" t="s">
        <v>5263</v>
      </c>
      <c r="J871" s="34" t="s">
        <v>5264</v>
      </c>
      <c r="K871" s="34" t="s">
        <v>5265</v>
      </c>
      <c r="L871" s="37"/>
      <c r="M871" s="37"/>
      <c r="N871" s="37"/>
      <c r="O871" s="37"/>
      <c r="P871" s="37"/>
      <c r="Q871" s="37"/>
      <c r="R871" s="31" t="n">
        <f aca="false">COUNT($M871:$Q871)</f>
        <v>0</v>
      </c>
      <c r="S871" s="32" t="str">
        <f aca="false">IF($L871="","",IF($R871&gt;=5,"",MAX($L871:$Q871)+CHOOSE($R871+1,SETTINGS!$C$9,SETTINGS!$C$10,SETTINGS!$C$11,SETTINGS!$C$12,SETTINGS!$C$13)))</f>
        <v/>
      </c>
      <c r="T871" s="34" t="str">
        <f aca="true">IF($H871="","(chưa có nội dung)",IF($L871="",IF($C871&lt;TODAY(),"⚠ TRỄ HỌC",IF($C871=TODAY(),"★ HỌC HÔM NAY","• Chưa tới")),IF($R871&gt;=5,"✔ MASTER",IF($S871&lt;TODAY(),"⚠ TRỄ ÔN",IF($S871=TODAY(),"◆ ÔN HÔM NAY","✔ Đúng tiến độ")))))</f>
        <v>• Chưa tới</v>
      </c>
      <c r="U871" s="38" t="n">
        <f aca="false">IF($H871="","",$R871/5)</f>
        <v>0</v>
      </c>
    </row>
    <row r="872" customFormat="false" ht="15" hidden="false" customHeight="false" outlineLevel="0" collapsed="false">
      <c r="A872" s="31" t="s">
        <v>5266</v>
      </c>
      <c r="B872" s="31" t="n">
        <v>44</v>
      </c>
      <c r="C872" s="32" t="n">
        <f aca="false">SETTINGS!$C$3+$B872-1</f>
        <v>46343</v>
      </c>
      <c r="D872" s="40" t="s">
        <v>3692</v>
      </c>
      <c r="E872" s="34" t="s">
        <v>5213</v>
      </c>
      <c r="F872" s="34" t="s">
        <v>280</v>
      </c>
      <c r="G872" s="34" t="s">
        <v>5267</v>
      </c>
      <c r="H872" s="35" t="s">
        <v>5268</v>
      </c>
      <c r="I872" s="36" t="s">
        <v>5269</v>
      </c>
      <c r="J872" s="34" t="s">
        <v>5270</v>
      </c>
      <c r="K872" s="34" t="s">
        <v>3275</v>
      </c>
      <c r="L872" s="37"/>
      <c r="M872" s="37"/>
      <c r="N872" s="37"/>
      <c r="O872" s="37"/>
      <c r="P872" s="37"/>
      <c r="Q872" s="37"/>
      <c r="R872" s="31" t="n">
        <f aca="false">COUNT($M872:$Q872)</f>
        <v>0</v>
      </c>
      <c r="S872" s="32" t="str">
        <f aca="false">IF($L872="","",IF($R872&gt;=5,"",MAX($L872:$Q872)+CHOOSE($R872+1,SETTINGS!$C$9,SETTINGS!$C$10,SETTINGS!$C$11,SETTINGS!$C$12,SETTINGS!$C$13)))</f>
        <v/>
      </c>
      <c r="T872" s="34" t="str">
        <f aca="true">IF($H872="","(chưa có nội dung)",IF($L872="",IF($C872&lt;TODAY(),"⚠ TRỄ HỌC",IF($C872=TODAY(),"★ HỌC HÔM NAY","• Chưa tới")),IF($R872&gt;=5,"✔ MASTER",IF($S872&lt;TODAY(),"⚠ TRỄ ÔN",IF($S872=TODAY(),"◆ ÔN HÔM NAY","✔ Đúng tiến độ")))))</f>
        <v>• Chưa tới</v>
      </c>
      <c r="U872" s="38" t="n">
        <f aca="false">IF($H872="","",$R872/5)</f>
        <v>0</v>
      </c>
    </row>
    <row r="873" customFormat="false" ht="15" hidden="false" customHeight="false" outlineLevel="0" collapsed="false">
      <c r="A873" s="31" t="s">
        <v>5271</v>
      </c>
      <c r="B873" s="31" t="n">
        <v>44</v>
      </c>
      <c r="C873" s="32" t="n">
        <f aca="false">SETTINGS!$C$3+$B873-1</f>
        <v>46343</v>
      </c>
      <c r="D873" s="40" t="s">
        <v>3692</v>
      </c>
      <c r="E873" s="34" t="s">
        <v>5213</v>
      </c>
      <c r="F873" s="34" t="s">
        <v>280</v>
      </c>
      <c r="G873" s="34" t="s">
        <v>5272</v>
      </c>
      <c r="H873" s="35" t="s">
        <v>5273</v>
      </c>
      <c r="I873" s="36" t="s">
        <v>5274</v>
      </c>
      <c r="J873" s="34" t="s">
        <v>5275</v>
      </c>
      <c r="K873" s="34" t="s">
        <v>1733</v>
      </c>
      <c r="L873" s="37"/>
      <c r="M873" s="37"/>
      <c r="N873" s="37"/>
      <c r="O873" s="37"/>
      <c r="P873" s="37"/>
      <c r="Q873" s="37"/>
      <c r="R873" s="31" t="n">
        <f aca="false">COUNT($M873:$Q873)</f>
        <v>0</v>
      </c>
      <c r="S873" s="32" t="str">
        <f aca="false">IF($L873="","",IF($R873&gt;=5,"",MAX($L873:$Q873)+CHOOSE($R873+1,SETTINGS!$C$9,SETTINGS!$C$10,SETTINGS!$C$11,SETTINGS!$C$12,SETTINGS!$C$13)))</f>
        <v/>
      </c>
      <c r="T873" s="34" t="str">
        <f aca="true">IF($H873="","(chưa có nội dung)",IF($L873="",IF($C873&lt;TODAY(),"⚠ TRỄ HỌC",IF($C873=TODAY(),"★ HỌC HÔM NAY","• Chưa tới")),IF($R873&gt;=5,"✔ MASTER",IF($S873&lt;TODAY(),"⚠ TRỄ ÔN",IF($S873=TODAY(),"◆ ÔN HÔM NAY","✔ Đúng tiến độ")))))</f>
        <v>• Chưa tới</v>
      </c>
      <c r="U873" s="38" t="n">
        <f aca="false">IF($H873="","",$R873/5)</f>
        <v>0</v>
      </c>
    </row>
    <row r="874" customFormat="false" ht="15" hidden="false" customHeight="false" outlineLevel="0" collapsed="false">
      <c r="A874" s="31" t="s">
        <v>5276</v>
      </c>
      <c r="B874" s="31" t="n">
        <v>44</v>
      </c>
      <c r="C874" s="32" t="n">
        <f aca="false">SETTINGS!$C$3+$B874-1</f>
        <v>46343</v>
      </c>
      <c r="D874" s="40" t="s">
        <v>3692</v>
      </c>
      <c r="E874" s="34" t="s">
        <v>5213</v>
      </c>
      <c r="F874" s="34" t="s">
        <v>280</v>
      </c>
      <c r="G874" s="34" t="s">
        <v>5277</v>
      </c>
      <c r="H874" s="35" t="s">
        <v>5278</v>
      </c>
      <c r="I874" s="36" t="s">
        <v>5279</v>
      </c>
      <c r="J874" s="34" t="s">
        <v>5280</v>
      </c>
      <c r="K874" s="34" t="s">
        <v>5281</v>
      </c>
      <c r="L874" s="37"/>
      <c r="M874" s="37"/>
      <c r="N874" s="37"/>
      <c r="O874" s="37"/>
      <c r="P874" s="37"/>
      <c r="Q874" s="37"/>
      <c r="R874" s="31" t="n">
        <f aca="false">COUNT($M874:$Q874)</f>
        <v>0</v>
      </c>
      <c r="S874" s="32" t="str">
        <f aca="false">IF($L874="","",IF($R874&gt;=5,"",MAX($L874:$Q874)+CHOOSE($R874+1,SETTINGS!$C$9,SETTINGS!$C$10,SETTINGS!$C$11,SETTINGS!$C$12,SETTINGS!$C$13)))</f>
        <v/>
      </c>
      <c r="T874" s="34" t="str">
        <f aca="true">IF($H874="","(chưa có nội dung)",IF($L874="",IF($C874&lt;TODAY(),"⚠ TRỄ HỌC",IF($C874=TODAY(),"★ HỌC HÔM NAY","• Chưa tới")),IF($R874&gt;=5,"✔ MASTER",IF($S874&lt;TODAY(),"⚠ TRỄ ÔN",IF($S874=TODAY(),"◆ ÔN HÔM NAY","✔ Đúng tiến độ")))))</f>
        <v>• Chưa tới</v>
      </c>
      <c r="U874" s="38" t="n">
        <f aca="false">IF($H874="","",$R874/5)</f>
        <v>0</v>
      </c>
    </row>
    <row r="875" customFormat="false" ht="15" hidden="false" customHeight="false" outlineLevel="0" collapsed="false">
      <c r="A875" s="31" t="s">
        <v>5282</v>
      </c>
      <c r="B875" s="31" t="n">
        <v>44</v>
      </c>
      <c r="C875" s="32" t="n">
        <f aca="false">SETTINGS!$C$3+$B875-1</f>
        <v>46343</v>
      </c>
      <c r="D875" s="40" t="s">
        <v>3692</v>
      </c>
      <c r="E875" s="34" t="s">
        <v>5213</v>
      </c>
      <c r="F875" s="34" t="s">
        <v>280</v>
      </c>
      <c r="G875" s="34" t="s">
        <v>5283</v>
      </c>
      <c r="H875" s="35" t="s">
        <v>5284</v>
      </c>
      <c r="I875" s="36" t="s">
        <v>5285</v>
      </c>
      <c r="J875" s="34" t="s">
        <v>5286</v>
      </c>
      <c r="K875" s="34" t="s">
        <v>1796</v>
      </c>
      <c r="L875" s="37"/>
      <c r="M875" s="37"/>
      <c r="N875" s="37"/>
      <c r="O875" s="37"/>
      <c r="P875" s="37"/>
      <c r="Q875" s="37"/>
      <c r="R875" s="31" t="n">
        <f aca="false">COUNT($M875:$Q875)</f>
        <v>0</v>
      </c>
      <c r="S875" s="32" t="str">
        <f aca="false">IF($L875="","",IF($R875&gt;=5,"",MAX($L875:$Q875)+CHOOSE($R875+1,SETTINGS!$C$9,SETTINGS!$C$10,SETTINGS!$C$11,SETTINGS!$C$12,SETTINGS!$C$13)))</f>
        <v/>
      </c>
      <c r="T875" s="34" t="str">
        <f aca="true">IF($H875="","(chưa có nội dung)",IF($L875="",IF($C875&lt;TODAY(),"⚠ TRỄ HỌC",IF($C875=TODAY(),"★ HỌC HÔM NAY","• Chưa tới")),IF($R875&gt;=5,"✔ MASTER",IF($S875&lt;TODAY(),"⚠ TRỄ ÔN",IF($S875=TODAY(),"◆ ÔN HÔM NAY","✔ Đúng tiến độ")))))</f>
        <v>• Chưa tới</v>
      </c>
      <c r="U875" s="38" t="n">
        <f aca="false">IF($H875="","",$R875/5)</f>
        <v>0</v>
      </c>
    </row>
    <row r="876" customFormat="false" ht="15" hidden="false" customHeight="false" outlineLevel="0" collapsed="false">
      <c r="A876" s="31" t="s">
        <v>5287</v>
      </c>
      <c r="B876" s="31" t="n">
        <v>44</v>
      </c>
      <c r="C876" s="32" t="n">
        <f aca="false">SETTINGS!$C$3+$B876-1</f>
        <v>46343</v>
      </c>
      <c r="D876" s="40" t="s">
        <v>3692</v>
      </c>
      <c r="E876" s="34" t="s">
        <v>5213</v>
      </c>
      <c r="F876" s="34" t="s">
        <v>280</v>
      </c>
      <c r="G876" s="34" t="s">
        <v>5288</v>
      </c>
      <c r="H876" s="35" t="s">
        <v>5289</v>
      </c>
      <c r="I876" s="36" t="s">
        <v>5290</v>
      </c>
      <c r="J876" s="34" t="s">
        <v>5291</v>
      </c>
      <c r="K876" s="34" t="s">
        <v>1870</v>
      </c>
      <c r="L876" s="37"/>
      <c r="M876" s="37"/>
      <c r="N876" s="37"/>
      <c r="O876" s="37"/>
      <c r="P876" s="37"/>
      <c r="Q876" s="37"/>
      <c r="R876" s="31" t="n">
        <f aca="false">COUNT($M876:$Q876)</f>
        <v>0</v>
      </c>
      <c r="S876" s="32" t="str">
        <f aca="false">IF($L876="","",IF($R876&gt;=5,"",MAX($L876:$Q876)+CHOOSE($R876+1,SETTINGS!$C$9,SETTINGS!$C$10,SETTINGS!$C$11,SETTINGS!$C$12,SETTINGS!$C$13)))</f>
        <v/>
      </c>
      <c r="T876" s="34" t="str">
        <f aca="true">IF($H876="","(chưa có nội dung)",IF($L876="",IF($C876&lt;TODAY(),"⚠ TRỄ HỌC",IF($C876=TODAY(),"★ HỌC HÔM NAY","• Chưa tới")),IF($R876&gt;=5,"✔ MASTER",IF($S876&lt;TODAY(),"⚠ TRỄ ÔN",IF($S876=TODAY(),"◆ ÔN HÔM NAY","✔ Đúng tiến độ")))))</f>
        <v>• Chưa tới</v>
      </c>
      <c r="U876" s="38" t="n">
        <f aca="false">IF($H876="","",$R876/5)</f>
        <v>0</v>
      </c>
    </row>
    <row r="877" customFormat="false" ht="15" hidden="false" customHeight="false" outlineLevel="0" collapsed="false">
      <c r="A877" s="31" t="s">
        <v>5292</v>
      </c>
      <c r="B877" s="31" t="n">
        <v>44</v>
      </c>
      <c r="C877" s="32" t="n">
        <f aca="false">SETTINGS!$C$3+$B877-1</f>
        <v>46343</v>
      </c>
      <c r="D877" s="40" t="s">
        <v>3692</v>
      </c>
      <c r="E877" s="34" t="s">
        <v>5213</v>
      </c>
      <c r="F877" s="34" t="s">
        <v>472</v>
      </c>
      <c r="G877" s="34" t="s">
        <v>5293</v>
      </c>
      <c r="H877" s="35" t="s">
        <v>5294</v>
      </c>
      <c r="I877" s="36" t="s">
        <v>5295</v>
      </c>
      <c r="J877" s="34" t="s">
        <v>5296</v>
      </c>
      <c r="K877" s="34" t="s">
        <v>5297</v>
      </c>
      <c r="L877" s="37"/>
      <c r="M877" s="37"/>
      <c r="N877" s="37"/>
      <c r="O877" s="37"/>
      <c r="P877" s="37"/>
      <c r="Q877" s="37"/>
      <c r="R877" s="31" t="n">
        <f aca="false">COUNT($M877:$Q877)</f>
        <v>0</v>
      </c>
      <c r="S877" s="32" t="str">
        <f aca="false">IF($L877="","",IF($R877&gt;=5,"",MAX($L877:$Q877)+CHOOSE($R877+1,SETTINGS!$C$9,SETTINGS!$C$10,SETTINGS!$C$11,SETTINGS!$C$12,SETTINGS!$C$13)))</f>
        <v/>
      </c>
      <c r="T877" s="34" t="str">
        <f aca="true">IF($H877="","(chưa có nội dung)",IF($L877="",IF($C877&lt;TODAY(),"⚠ TRỄ HỌC",IF($C877=TODAY(),"★ HỌC HÔM NAY","• Chưa tới")),IF($R877&gt;=5,"✔ MASTER",IF($S877&lt;TODAY(),"⚠ TRỄ ÔN",IF($S877=TODAY(),"◆ ÔN HÔM NAY","✔ Đúng tiến độ")))))</f>
        <v>• Chưa tới</v>
      </c>
      <c r="U877" s="38" t="n">
        <f aca="false">IF($H877="","",$R877/5)</f>
        <v>0</v>
      </c>
    </row>
    <row r="878" customFormat="false" ht="26.85" hidden="false" customHeight="false" outlineLevel="0" collapsed="false">
      <c r="A878" s="31" t="s">
        <v>5298</v>
      </c>
      <c r="B878" s="31" t="n">
        <v>44</v>
      </c>
      <c r="C878" s="32" t="n">
        <f aca="false">SETTINGS!$C$3+$B878-1</f>
        <v>46343</v>
      </c>
      <c r="D878" s="40" t="s">
        <v>3692</v>
      </c>
      <c r="E878" s="34" t="s">
        <v>5213</v>
      </c>
      <c r="F878" s="34" t="s">
        <v>3694</v>
      </c>
      <c r="G878" s="34" t="s">
        <v>5299</v>
      </c>
      <c r="H878" s="35" t="s">
        <v>5300</v>
      </c>
      <c r="I878" s="36" t="s">
        <v>5301</v>
      </c>
      <c r="J878" s="34" t="s">
        <v>5302</v>
      </c>
      <c r="K878" s="34" t="s">
        <v>2973</v>
      </c>
      <c r="L878" s="37"/>
      <c r="M878" s="37"/>
      <c r="N878" s="37"/>
      <c r="O878" s="37"/>
      <c r="P878" s="37"/>
      <c r="Q878" s="37"/>
      <c r="R878" s="31" t="n">
        <f aca="false">COUNT($M878:$Q878)</f>
        <v>0</v>
      </c>
      <c r="S878" s="32" t="str">
        <f aca="false">IF($L878="","",IF($R878&gt;=5,"",MAX($L878:$Q878)+CHOOSE($R878+1,SETTINGS!$C$9,SETTINGS!$C$10,SETTINGS!$C$11,SETTINGS!$C$12,SETTINGS!$C$13)))</f>
        <v/>
      </c>
      <c r="T878" s="34" t="str">
        <f aca="true">IF($H878="","(chưa có nội dung)",IF($L878="",IF($C878&lt;TODAY(),"⚠ TRỄ HỌC",IF($C878=TODAY(),"★ HỌC HÔM NAY","• Chưa tới")),IF($R878&gt;=5,"✔ MASTER",IF($S878&lt;TODAY(),"⚠ TRỄ ÔN",IF($S878=TODAY(),"◆ ÔN HÔM NAY","✔ Đúng tiến độ")))))</f>
        <v>• Chưa tới</v>
      </c>
      <c r="U878" s="38" t="n">
        <f aca="false">IF($H878="","",$R878/5)</f>
        <v>0</v>
      </c>
    </row>
    <row r="879" customFormat="false" ht="15" hidden="false" customHeight="false" outlineLevel="0" collapsed="false">
      <c r="A879" s="31" t="s">
        <v>5303</v>
      </c>
      <c r="B879" s="31" t="n">
        <v>44</v>
      </c>
      <c r="C879" s="32" t="n">
        <f aca="false">SETTINGS!$C$3+$B879-1</f>
        <v>46343</v>
      </c>
      <c r="D879" s="40" t="s">
        <v>3692</v>
      </c>
      <c r="E879" s="34" t="s">
        <v>5213</v>
      </c>
      <c r="F879" s="34" t="s">
        <v>280</v>
      </c>
      <c r="G879" s="34" t="s">
        <v>5304</v>
      </c>
      <c r="H879" s="35" t="s">
        <v>5305</v>
      </c>
      <c r="I879" s="36" t="s">
        <v>5306</v>
      </c>
      <c r="J879" s="34" t="s">
        <v>5307</v>
      </c>
      <c r="K879" s="34" t="s">
        <v>5308</v>
      </c>
      <c r="L879" s="37"/>
      <c r="M879" s="37"/>
      <c r="N879" s="37"/>
      <c r="O879" s="37"/>
      <c r="P879" s="37"/>
      <c r="Q879" s="37"/>
      <c r="R879" s="31" t="n">
        <f aca="false">COUNT($M879:$Q879)</f>
        <v>0</v>
      </c>
      <c r="S879" s="32" t="str">
        <f aca="false">IF($L879="","",IF($R879&gt;=5,"",MAX($L879:$Q879)+CHOOSE($R879+1,SETTINGS!$C$9,SETTINGS!$C$10,SETTINGS!$C$11,SETTINGS!$C$12,SETTINGS!$C$13)))</f>
        <v/>
      </c>
      <c r="T879" s="34" t="str">
        <f aca="true">IF($H879="","(chưa có nội dung)",IF($L879="",IF($C879&lt;TODAY(),"⚠ TRỄ HỌC",IF($C879=TODAY(),"★ HỌC HÔM NAY","• Chưa tới")),IF($R879&gt;=5,"✔ MASTER",IF($S879&lt;TODAY(),"⚠ TRỄ ÔN",IF($S879=TODAY(),"◆ ÔN HÔM NAY","✔ Đúng tiến độ")))))</f>
        <v>• Chưa tới</v>
      </c>
      <c r="U879" s="38" t="n">
        <f aca="false">IF($H879="","",$R879/5)</f>
        <v>0</v>
      </c>
    </row>
    <row r="880" customFormat="false" ht="26.85" hidden="false" customHeight="false" outlineLevel="0" collapsed="false">
      <c r="A880" s="31" t="s">
        <v>5309</v>
      </c>
      <c r="B880" s="31" t="n">
        <v>44</v>
      </c>
      <c r="C880" s="32" t="n">
        <f aca="false">SETTINGS!$C$3+$B880-1</f>
        <v>46343</v>
      </c>
      <c r="D880" s="40" t="s">
        <v>3692</v>
      </c>
      <c r="E880" s="34" t="s">
        <v>5213</v>
      </c>
      <c r="F880" s="34" t="s">
        <v>280</v>
      </c>
      <c r="G880" s="34" t="s">
        <v>5310</v>
      </c>
      <c r="H880" s="35" t="s">
        <v>5311</v>
      </c>
      <c r="I880" s="36" t="s">
        <v>5312</v>
      </c>
      <c r="J880" s="34" t="s">
        <v>5313</v>
      </c>
      <c r="K880" s="34" t="s">
        <v>2461</v>
      </c>
      <c r="L880" s="37"/>
      <c r="M880" s="37"/>
      <c r="N880" s="37"/>
      <c r="O880" s="37"/>
      <c r="P880" s="37"/>
      <c r="Q880" s="37"/>
      <c r="R880" s="31" t="n">
        <f aca="false">COUNT($M880:$Q880)</f>
        <v>0</v>
      </c>
      <c r="S880" s="32" t="str">
        <f aca="false">IF($L880="","",IF($R880&gt;=5,"",MAX($L880:$Q880)+CHOOSE($R880+1,SETTINGS!$C$9,SETTINGS!$C$10,SETTINGS!$C$11,SETTINGS!$C$12,SETTINGS!$C$13)))</f>
        <v/>
      </c>
      <c r="T880" s="34" t="str">
        <f aca="true">IF($H880="","(chưa có nội dung)",IF($L880="",IF($C880&lt;TODAY(),"⚠ TRỄ HỌC",IF($C880=TODAY(),"★ HỌC HÔM NAY","• Chưa tới")),IF($R880&gt;=5,"✔ MASTER",IF($S880&lt;TODAY(),"⚠ TRỄ ÔN",IF($S880=TODAY(),"◆ ÔN HÔM NAY","✔ Đúng tiến độ")))))</f>
        <v>• Chưa tới</v>
      </c>
      <c r="U880" s="38" t="n">
        <f aca="false">IF($H880="","",$R880/5)</f>
        <v>0</v>
      </c>
    </row>
    <row r="881" customFormat="false" ht="23.85" hidden="false" customHeight="false" outlineLevel="0" collapsed="false">
      <c r="A881" s="31" t="s">
        <v>5314</v>
      </c>
      <c r="B881" s="31" t="n">
        <v>44</v>
      </c>
      <c r="C881" s="32" t="n">
        <f aca="false">SETTINGS!$C$3+$B881-1</f>
        <v>46343</v>
      </c>
      <c r="D881" s="40" t="s">
        <v>3692</v>
      </c>
      <c r="E881" s="34" t="s">
        <v>5213</v>
      </c>
      <c r="F881" s="34" t="s">
        <v>280</v>
      </c>
      <c r="G881" s="34" t="s">
        <v>5315</v>
      </c>
      <c r="H881" s="35" t="s">
        <v>5316</v>
      </c>
      <c r="I881" s="36" t="s">
        <v>5317</v>
      </c>
      <c r="J881" s="34" t="s">
        <v>5318</v>
      </c>
      <c r="K881" s="34" t="s">
        <v>5319</v>
      </c>
      <c r="L881" s="37"/>
      <c r="M881" s="37"/>
      <c r="N881" s="37"/>
      <c r="O881" s="37"/>
      <c r="P881" s="37"/>
      <c r="Q881" s="37"/>
      <c r="R881" s="31" t="n">
        <f aca="false">COUNT($M881:$Q881)</f>
        <v>0</v>
      </c>
      <c r="S881" s="32" t="str">
        <f aca="false">IF($L881="","",IF($R881&gt;=5,"",MAX($L881:$Q881)+CHOOSE($R881+1,SETTINGS!$C$9,SETTINGS!$C$10,SETTINGS!$C$11,SETTINGS!$C$12,SETTINGS!$C$13)))</f>
        <v/>
      </c>
      <c r="T881" s="34" t="str">
        <f aca="true">IF($H881="","(chưa có nội dung)",IF($L881="",IF($C881&lt;TODAY(),"⚠ TRỄ HỌC",IF($C881=TODAY(),"★ HỌC HÔM NAY","• Chưa tới")),IF($R881&gt;=5,"✔ MASTER",IF($S881&lt;TODAY(),"⚠ TRỄ ÔN",IF($S881=TODAY(),"◆ ÔN HÔM NAY","✔ Đúng tiến độ")))))</f>
        <v>• Chưa tới</v>
      </c>
      <c r="U881" s="38" t="n">
        <f aca="false">IF($H881="","",$R881/5)</f>
        <v>0</v>
      </c>
    </row>
    <row r="882" customFormat="false" ht="15" hidden="false" customHeight="false" outlineLevel="0" collapsed="false">
      <c r="A882" s="31" t="s">
        <v>5320</v>
      </c>
      <c r="B882" s="31" t="n">
        <v>44</v>
      </c>
      <c r="C882" s="32" t="n">
        <f aca="false">SETTINGS!$C$3+$B882-1</f>
        <v>46343</v>
      </c>
      <c r="D882" s="40" t="s">
        <v>3692</v>
      </c>
      <c r="E882" s="34" t="s">
        <v>5213</v>
      </c>
      <c r="F882" s="34" t="s">
        <v>280</v>
      </c>
      <c r="G882" s="34" t="s">
        <v>5321</v>
      </c>
      <c r="H882" s="35" t="s">
        <v>5322</v>
      </c>
      <c r="I882" s="36" t="s">
        <v>5323</v>
      </c>
      <c r="J882" s="34" t="s">
        <v>5324</v>
      </c>
      <c r="K882" s="34" t="s">
        <v>5325</v>
      </c>
      <c r="L882" s="37"/>
      <c r="M882" s="37"/>
      <c r="N882" s="37"/>
      <c r="O882" s="37"/>
      <c r="P882" s="37"/>
      <c r="Q882" s="37"/>
      <c r="R882" s="31" t="n">
        <f aca="false">COUNT($M882:$Q882)</f>
        <v>0</v>
      </c>
      <c r="S882" s="32" t="str">
        <f aca="false">IF($L882="","",IF($R882&gt;=5,"",MAX($L882:$Q882)+CHOOSE($R882+1,SETTINGS!$C$9,SETTINGS!$C$10,SETTINGS!$C$11,SETTINGS!$C$12,SETTINGS!$C$13)))</f>
        <v/>
      </c>
      <c r="T882" s="34" t="str">
        <f aca="true">IF($H882="","(chưa có nội dung)",IF($L882="",IF($C882&lt;TODAY(),"⚠ TRỄ HỌC",IF($C882=TODAY(),"★ HỌC HÔM NAY","• Chưa tới")),IF($R882&gt;=5,"✔ MASTER",IF($S882&lt;TODAY(),"⚠ TRỄ ÔN",IF($S882=TODAY(),"◆ ÔN HÔM NAY","✔ Đúng tiến độ")))))</f>
        <v>• Chưa tới</v>
      </c>
      <c r="U882" s="38" t="n">
        <f aca="false">IF($H882="","",$R882/5)</f>
        <v>0</v>
      </c>
    </row>
    <row r="883" customFormat="false" ht="15" hidden="false" customHeight="false" outlineLevel="0" collapsed="false">
      <c r="A883" s="31" t="s">
        <v>5326</v>
      </c>
      <c r="B883" s="31" t="n">
        <v>45</v>
      </c>
      <c r="C883" s="32" t="n">
        <f aca="false">SETTINGS!$C$3+$B883-1</f>
        <v>46344</v>
      </c>
      <c r="D883" s="40" t="s">
        <v>3692</v>
      </c>
      <c r="E883" s="34" t="s">
        <v>5327</v>
      </c>
      <c r="F883" s="34" t="s">
        <v>280</v>
      </c>
      <c r="G883" s="34" t="s">
        <v>5328</v>
      </c>
      <c r="H883" s="35" t="s">
        <v>5329</v>
      </c>
      <c r="I883" s="36" t="s">
        <v>5330</v>
      </c>
      <c r="J883" s="34" t="s">
        <v>5331</v>
      </c>
      <c r="K883" s="34" t="s">
        <v>5332</v>
      </c>
      <c r="L883" s="37"/>
      <c r="M883" s="37"/>
      <c r="N883" s="37"/>
      <c r="O883" s="37"/>
      <c r="P883" s="37"/>
      <c r="Q883" s="37"/>
      <c r="R883" s="31" t="n">
        <f aca="false">COUNT($M883:$Q883)</f>
        <v>0</v>
      </c>
      <c r="S883" s="32" t="str">
        <f aca="false">IF($L883="","",IF($R883&gt;=5,"",MAX($L883:$Q883)+CHOOSE($R883+1,SETTINGS!$C$9,SETTINGS!$C$10,SETTINGS!$C$11,SETTINGS!$C$12,SETTINGS!$C$13)))</f>
        <v/>
      </c>
      <c r="T883" s="34" t="str">
        <f aca="true">IF($H883="","(chưa có nội dung)",IF($L883="",IF($C883&lt;TODAY(),"⚠ TRỄ HỌC",IF($C883=TODAY(),"★ HỌC HÔM NAY","• Chưa tới")),IF($R883&gt;=5,"✔ MASTER",IF($S883&lt;TODAY(),"⚠ TRỄ ÔN",IF($S883=TODAY(),"◆ ÔN HÔM NAY","✔ Đúng tiến độ")))))</f>
        <v>• Chưa tới</v>
      </c>
      <c r="U883" s="38" t="n">
        <f aca="false">IF($H883="","",$R883/5)</f>
        <v>0</v>
      </c>
    </row>
    <row r="884" customFormat="false" ht="15" hidden="false" customHeight="false" outlineLevel="0" collapsed="false">
      <c r="A884" s="31" t="s">
        <v>5333</v>
      </c>
      <c r="B884" s="31" t="n">
        <v>45</v>
      </c>
      <c r="C884" s="32" t="n">
        <f aca="false">SETTINGS!$C$3+$B884-1</f>
        <v>46344</v>
      </c>
      <c r="D884" s="40" t="s">
        <v>3692</v>
      </c>
      <c r="E884" s="34" t="s">
        <v>5327</v>
      </c>
      <c r="F884" s="34" t="s">
        <v>280</v>
      </c>
      <c r="G884" s="34" t="s">
        <v>1296</v>
      </c>
      <c r="H884" s="35" t="s">
        <v>5334</v>
      </c>
      <c r="I884" s="36" t="s">
        <v>5335</v>
      </c>
      <c r="J884" s="34" t="s">
        <v>5336</v>
      </c>
      <c r="K884" s="34" t="s">
        <v>5337</v>
      </c>
      <c r="L884" s="37"/>
      <c r="M884" s="37"/>
      <c r="N884" s="37"/>
      <c r="O884" s="37"/>
      <c r="P884" s="37"/>
      <c r="Q884" s="37"/>
      <c r="R884" s="31" t="n">
        <f aca="false">COUNT($M884:$Q884)</f>
        <v>0</v>
      </c>
      <c r="S884" s="32" t="str">
        <f aca="false">IF($L884="","",IF($R884&gt;=5,"",MAX($L884:$Q884)+CHOOSE($R884+1,SETTINGS!$C$9,SETTINGS!$C$10,SETTINGS!$C$11,SETTINGS!$C$12,SETTINGS!$C$13)))</f>
        <v/>
      </c>
      <c r="T884" s="34" t="str">
        <f aca="true">IF($H884="","(chưa có nội dung)",IF($L884="",IF($C884&lt;TODAY(),"⚠ TRỄ HỌC",IF($C884=TODAY(),"★ HỌC HÔM NAY","• Chưa tới")),IF($R884&gt;=5,"✔ MASTER",IF($S884&lt;TODAY(),"⚠ TRỄ ÔN",IF($S884=TODAY(),"◆ ÔN HÔM NAY","✔ Đúng tiến độ")))))</f>
        <v>• Chưa tới</v>
      </c>
      <c r="U884" s="38" t="n">
        <f aca="false">IF($H884="","",$R884/5)</f>
        <v>0</v>
      </c>
    </row>
    <row r="885" customFormat="false" ht="15" hidden="false" customHeight="false" outlineLevel="0" collapsed="false">
      <c r="A885" s="31" t="s">
        <v>5338</v>
      </c>
      <c r="B885" s="31" t="n">
        <v>45</v>
      </c>
      <c r="C885" s="32" t="n">
        <f aca="false">SETTINGS!$C$3+$B885-1</f>
        <v>46344</v>
      </c>
      <c r="D885" s="40" t="s">
        <v>3692</v>
      </c>
      <c r="E885" s="34" t="s">
        <v>5327</v>
      </c>
      <c r="F885" s="34" t="s">
        <v>280</v>
      </c>
      <c r="G885" s="34" t="s">
        <v>3850</v>
      </c>
      <c r="H885" s="35" t="s">
        <v>5339</v>
      </c>
      <c r="I885" s="36" t="s">
        <v>5340</v>
      </c>
      <c r="J885" s="34" t="s">
        <v>5341</v>
      </c>
      <c r="K885" s="34" t="s">
        <v>5342</v>
      </c>
      <c r="L885" s="37"/>
      <c r="M885" s="37"/>
      <c r="N885" s="37"/>
      <c r="O885" s="37"/>
      <c r="P885" s="37"/>
      <c r="Q885" s="37"/>
      <c r="R885" s="31" t="n">
        <f aca="false">COUNT($M885:$Q885)</f>
        <v>0</v>
      </c>
      <c r="S885" s="32" t="str">
        <f aca="false">IF($L885="","",IF($R885&gt;=5,"",MAX($L885:$Q885)+CHOOSE($R885+1,SETTINGS!$C$9,SETTINGS!$C$10,SETTINGS!$C$11,SETTINGS!$C$12,SETTINGS!$C$13)))</f>
        <v/>
      </c>
      <c r="T885" s="34" t="str">
        <f aca="true">IF($H885="","(chưa có nội dung)",IF($L885="",IF($C885&lt;TODAY(),"⚠ TRỄ HỌC",IF($C885=TODAY(),"★ HỌC HÔM NAY","• Chưa tới")),IF($R885&gt;=5,"✔ MASTER",IF($S885&lt;TODAY(),"⚠ TRỄ ÔN",IF($S885=TODAY(),"◆ ÔN HÔM NAY","✔ Đúng tiến độ")))))</f>
        <v>• Chưa tới</v>
      </c>
      <c r="U885" s="38" t="n">
        <f aca="false">IF($H885="","",$R885/5)</f>
        <v>0</v>
      </c>
    </row>
    <row r="886" customFormat="false" ht="15" hidden="false" customHeight="false" outlineLevel="0" collapsed="false">
      <c r="A886" s="31" t="s">
        <v>5343</v>
      </c>
      <c r="B886" s="31" t="n">
        <v>45</v>
      </c>
      <c r="C886" s="32" t="n">
        <f aca="false">SETTINGS!$C$3+$B886-1</f>
        <v>46344</v>
      </c>
      <c r="D886" s="40" t="s">
        <v>3692</v>
      </c>
      <c r="E886" s="34" t="s">
        <v>5327</v>
      </c>
      <c r="F886" s="34" t="s">
        <v>280</v>
      </c>
      <c r="G886" s="34" t="s">
        <v>5344</v>
      </c>
      <c r="H886" s="35" t="s">
        <v>5345</v>
      </c>
      <c r="I886" s="36" t="s">
        <v>5346</v>
      </c>
      <c r="J886" s="34" t="s">
        <v>5347</v>
      </c>
      <c r="K886" s="34" t="s">
        <v>5348</v>
      </c>
      <c r="L886" s="37"/>
      <c r="M886" s="37"/>
      <c r="N886" s="37"/>
      <c r="O886" s="37"/>
      <c r="P886" s="37"/>
      <c r="Q886" s="37"/>
      <c r="R886" s="31" t="n">
        <f aca="false">COUNT($M886:$Q886)</f>
        <v>0</v>
      </c>
      <c r="S886" s="32" t="str">
        <f aca="false">IF($L886="","",IF($R886&gt;=5,"",MAX($L886:$Q886)+CHOOSE($R886+1,SETTINGS!$C$9,SETTINGS!$C$10,SETTINGS!$C$11,SETTINGS!$C$12,SETTINGS!$C$13)))</f>
        <v/>
      </c>
      <c r="T886" s="34" t="str">
        <f aca="true">IF($H886="","(chưa có nội dung)",IF($L886="",IF($C886&lt;TODAY(),"⚠ TRỄ HỌC",IF($C886=TODAY(),"★ HỌC HÔM NAY","• Chưa tới")),IF($R886&gt;=5,"✔ MASTER",IF($S886&lt;TODAY(),"⚠ TRỄ ÔN",IF($S886=TODAY(),"◆ ÔN HÔM NAY","✔ Đúng tiến độ")))))</f>
        <v>• Chưa tới</v>
      </c>
      <c r="U886" s="38" t="n">
        <f aca="false">IF($H886="","",$R886/5)</f>
        <v>0</v>
      </c>
    </row>
    <row r="887" customFormat="false" ht="15" hidden="false" customHeight="false" outlineLevel="0" collapsed="false">
      <c r="A887" s="31" t="s">
        <v>5349</v>
      </c>
      <c r="B887" s="31" t="n">
        <v>45</v>
      </c>
      <c r="C887" s="32" t="n">
        <f aca="false">SETTINGS!$C$3+$B887-1</f>
        <v>46344</v>
      </c>
      <c r="D887" s="40" t="s">
        <v>3692</v>
      </c>
      <c r="E887" s="34" t="s">
        <v>5327</v>
      </c>
      <c r="F887" s="34" t="s">
        <v>280</v>
      </c>
      <c r="G887" s="34" t="s">
        <v>3903</v>
      </c>
      <c r="H887" s="35" t="s">
        <v>5350</v>
      </c>
      <c r="I887" s="36" t="s">
        <v>5351</v>
      </c>
      <c r="J887" s="34" t="s">
        <v>5352</v>
      </c>
      <c r="K887" s="34" t="s">
        <v>5353</v>
      </c>
      <c r="L887" s="37"/>
      <c r="M887" s="37"/>
      <c r="N887" s="37"/>
      <c r="O887" s="37"/>
      <c r="P887" s="37"/>
      <c r="Q887" s="37"/>
      <c r="R887" s="31" t="n">
        <f aca="false">COUNT($M887:$Q887)</f>
        <v>0</v>
      </c>
      <c r="S887" s="32" t="str">
        <f aca="false">IF($L887="","",IF($R887&gt;=5,"",MAX($L887:$Q887)+CHOOSE($R887+1,SETTINGS!$C$9,SETTINGS!$C$10,SETTINGS!$C$11,SETTINGS!$C$12,SETTINGS!$C$13)))</f>
        <v/>
      </c>
      <c r="T887" s="34" t="str">
        <f aca="true">IF($H887="","(chưa có nội dung)",IF($L887="",IF($C887&lt;TODAY(),"⚠ TRỄ HỌC",IF($C887=TODAY(),"★ HỌC HÔM NAY","• Chưa tới")),IF($R887&gt;=5,"✔ MASTER",IF($S887&lt;TODAY(),"⚠ TRỄ ÔN",IF($S887=TODAY(),"◆ ÔN HÔM NAY","✔ Đúng tiến độ")))))</f>
        <v>• Chưa tới</v>
      </c>
      <c r="U887" s="38" t="n">
        <f aca="false">IF($H887="","",$R887/5)</f>
        <v>0</v>
      </c>
    </row>
    <row r="888" customFormat="false" ht="15" hidden="false" customHeight="false" outlineLevel="0" collapsed="false">
      <c r="A888" s="31" t="s">
        <v>5354</v>
      </c>
      <c r="B888" s="31" t="n">
        <v>45</v>
      </c>
      <c r="C888" s="32" t="n">
        <f aca="false">SETTINGS!$C$3+$B888-1</f>
        <v>46344</v>
      </c>
      <c r="D888" s="40" t="s">
        <v>3692</v>
      </c>
      <c r="E888" s="34" t="s">
        <v>5327</v>
      </c>
      <c r="F888" s="34" t="s">
        <v>280</v>
      </c>
      <c r="G888" s="34" t="s">
        <v>5355</v>
      </c>
      <c r="H888" s="35" t="s">
        <v>5356</v>
      </c>
      <c r="I888" s="36" t="s">
        <v>5357</v>
      </c>
      <c r="J888" s="34" t="s">
        <v>5358</v>
      </c>
      <c r="K888" s="34" t="s">
        <v>5359</v>
      </c>
      <c r="L888" s="37"/>
      <c r="M888" s="37"/>
      <c r="N888" s="37"/>
      <c r="O888" s="37"/>
      <c r="P888" s="37"/>
      <c r="Q888" s="37"/>
      <c r="R888" s="31" t="n">
        <f aca="false">COUNT($M888:$Q888)</f>
        <v>0</v>
      </c>
      <c r="S888" s="32" t="str">
        <f aca="false">IF($L888="","",IF($R888&gt;=5,"",MAX($L888:$Q888)+CHOOSE($R888+1,SETTINGS!$C$9,SETTINGS!$C$10,SETTINGS!$C$11,SETTINGS!$C$12,SETTINGS!$C$13)))</f>
        <v/>
      </c>
      <c r="T888" s="34" t="str">
        <f aca="true">IF($H888="","(chưa có nội dung)",IF($L888="",IF($C888&lt;TODAY(),"⚠ TRỄ HỌC",IF($C888=TODAY(),"★ HỌC HÔM NAY","• Chưa tới")),IF($R888&gt;=5,"✔ MASTER",IF($S888&lt;TODAY(),"⚠ TRỄ ÔN",IF($S888=TODAY(),"◆ ÔN HÔM NAY","✔ Đúng tiến độ")))))</f>
        <v>• Chưa tới</v>
      </c>
      <c r="U888" s="38" t="n">
        <f aca="false">IF($H888="","",$R888/5)</f>
        <v>0</v>
      </c>
    </row>
    <row r="889" customFormat="false" ht="15" hidden="false" customHeight="false" outlineLevel="0" collapsed="false">
      <c r="A889" s="31" t="s">
        <v>5360</v>
      </c>
      <c r="B889" s="31" t="n">
        <v>45</v>
      </c>
      <c r="C889" s="32" t="n">
        <f aca="false">SETTINGS!$C$3+$B889-1</f>
        <v>46344</v>
      </c>
      <c r="D889" s="40" t="s">
        <v>3692</v>
      </c>
      <c r="E889" s="34" t="s">
        <v>5327</v>
      </c>
      <c r="F889" s="34" t="s">
        <v>280</v>
      </c>
      <c r="G889" s="34" t="s">
        <v>5361</v>
      </c>
      <c r="H889" s="35" t="s">
        <v>5362</v>
      </c>
      <c r="I889" s="36" t="s">
        <v>5363</v>
      </c>
      <c r="J889" s="34" t="s">
        <v>5364</v>
      </c>
      <c r="K889" s="34" t="s">
        <v>5365</v>
      </c>
      <c r="L889" s="37"/>
      <c r="M889" s="37"/>
      <c r="N889" s="37"/>
      <c r="O889" s="37"/>
      <c r="P889" s="37"/>
      <c r="Q889" s="37"/>
      <c r="R889" s="31" t="n">
        <f aca="false">COUNT($M889:$Q889)</f>
        <v>0</v>
      </c>
      <c r="S889" s="32" t="str">
        <f aca="false">IF($L889="","",IF($R889&gt;=5,"",MAX($L889:$Q889)+CHOOSE($R889+1,SETTINGS!$C$9,SETTINGS!$C$10,SETTINGS!$C$11,SETTINGS!$C$12,SETTINGS!$C$13)))</f>
        <v/>
      </c>
      <c r="T889" s="34" t="str">
        <f aca="true">IF($H889="","(chưa có nội dung)",IF($L889="",IF($C889&lt;TODAY(),"⚠ TRỄ HỌC",IF($C889=TODAY(),"★ HỌC HÔM NAY","• Chưa tới")),IF($R889&gt;=5,"✔ MASTER",IF($S889&lt;TODAY(),"⚠ TRỄ ÔN",IF($S889=TODAY(),"◆ ÔN HÔM NAY","✔ Đúng tiến độ")))))</f>
        <v>• Chưa tới</v>
      </c>
      <c r="U889" s="38" t="n">
        <f aca="false">IF($H889="","",$R889/5)</f>
        <v>0</v>
      </c>
    </row>
    <row r="890" customFormat="false" ht="23.85" hidden="false" customHeight="false" outlineLevel="0" collapsed="false">
      <c r="A890" s="31" t="s">
        <v>5366</v>
      </c>
      <c r="B890" s="31" t="n">
        <v>45</v>
      </c>
      <c r="C890" s="32" t="n">
        <f aca="false">SETTINGS!$C$3+$B890-1</f>
        <v>46344</v>
      </c>
      <c r="D890" s="40" t="s">
        <v>3692</v>
      </c>
      <c r="E890" s="34" t="s">
        <v>5327</v>
      </c>
      <c r="F890" s="34" t="s">
        <v>280</v>
      </c>
      <c r="G890" s="34" t="s">
        <v>5367</v>
      </c>
      <c r="H890" s="35" t="s">
        <v>5368</v>
      </c>
      <c r="I890" s="36" t="s">
        <v>5369</v>
      </c>
      <c r="J890" s="34" t="s">
        <v>5370</v>
      </c>
      <c r="K890" s="34" t="s">
        <v>5371</v>
      </c>
      <c r="L890" s="37"/>
      <c r="M890" s="37"/>
      <c r="N890" s="37"/>
      <c r="O890" s="37"/>
      <c r="P890" s="37"/>
      <c r="Q890" s="37"/>
      <c r="R890" s="31" t="n">
        <f aca="false">COUNT($M890:$Q890)</f>
        <v>0</v>
      </c>
      <c r="S890" s="32" t="str">
        <f aca="false">IF($L890="","",IF($R890&gt;=5,"",MAX($L890:$Q890)+CHOOSE($R890+1,SETTINGS!$C$9,SETTINGS!$C$10,SETTINGS!$C$11,SETTINGS!$C$12,SETTINGS!$C$13)))</f>
        <v/>
      </c>
      <c r="T890" s="34" t="str">
        <f aca="true">IF($H890="","(chưa có nội dung)",IF($L890="",IF($C890&lt;TODAY(),"⚠ TRỄ HỌC",IF($C890=TODAY(),"★ HỌC HÔM NAY","• Chưa tới")),IF($R890&gt;=5,"✔ MASTER",IF($S890&lt;TODAY(),"⚠ TRỄ ÔN",IF($S890=TODAY(),"◆ ÔN HÔM NAY","✔ Đúng tiến độ")))))</f>
        <v>• Chưa tới</v>
      </c>
      <c r="U890" s="38" t="n">
        <f aca="false">IF($H890="","",$R890/5)</f>
        <v>0</v>
      </c>
    </row>
    <row r="891" customFormat="false" ht="15" hidden="false" customHeight="false" outlineLevel="0" collapsed="false">
      <c r="A891" s="31" t="s">
        <v>5372</v>
      </c>
      <c r="B891" s="31" t="n">
        <v>45</v>
      </c>
      <c r="C891" s="32" t="n">
        <f aca="false">SETTINGS!$C$3+$B891-1</f>
        <v>46344</v>
      </c>
      <c r="D891" s="40" t="s">
        <v>3692</v>
      </c>
      <c r="E891" s="34" t="s">
        <v>5327</v>
      </c>
      <c r="F891" s="34" t="s">
        <v>280</v>
      </c>
      <c r="G891" s="34" t="s">
        <v>5373</v>
      </c>
      <c r="H891" s="35" t="s">
        <v>5374</v>
      </c>
      <c r="I891" s="36" t="s">
        <v>5375</v>
      </c>
      <c r="J891" s="34" t="s">
        <v>5376</v>
      </c>
      <c r="K891" s="34" t="s">
        <v>5377</v>
      </c>
      <c r="L891" s="37"/>
      <c r="M891" s="37"/>
      <c r="N891" s="37"/>
      <c r="O891" s="37"/>
      <c r="P891" s="37"/>
      <c r="Q891" s="37"/>
      <c r="R891" s="31" t="n">
        <f aca="false">COUNT($M891:$Q891)</f>
        <v>0</v>
      </c>
      <c r="S891" s="32" t="str">
        <f aca="false">IF($L891="","",IF($R891&gt;=5,"",MAX($L891:$Q891)+CHOOSE($R891+1,SETTINGS!$C$9,SETTINGS!$C$10,SETTINGS!$C$11,SETTINGS!$C$12,SETTINGS!$C$13)))</f>
        <v/>
      </c>
      <c r="T891" s="34" t="str">
        <f aca="true">IF($H891="","(chưa có nội dung)",IF($L891="",IF($C891&lt;TODAY(),"⚠ TRỄ HỌC",IF($C891=TODAY(),"★ HỌC HÔM NAY","• Chưa tới")),IF($R891&gt;=5,"✔ MASTER",IF($S891&lt;TODAY(),"⚠ TRỄ ÔN",IF($S891=TODAY(),"◆ ÔN HÔM NAY","✔ Đúng tiến độ")))))</f>
        <v>• Chưa tới</v>
      </c>
      <c r="U891" s="38" t="n">
        <f aca="false">IF($H891="","",$R891/5)</f>
        <v>0</v>
      </c>
    </row>
    <row r="892" customFormat="false" ht="26.85" hidden="false" customHeight="false" outlineLevel="0" collapsed="false">
      <c r="A892" s="31" t="s">
        <v>5378</v>
      </c>
      <c r="B892" s="31" t="n">
        <v>45</v>
      </c>
      <c r="C892" s="32" t="n">
        <f aca="false">SETTINGS!$C$3+$B892-1</f>
        <v>46344</v>
      </c>
      <c r="D892" s="40" t="s">
        <v>3692</v>
      </c>
      <c r="E892" s="34" t="s">
        <v>5327</v>
      </c>
      <c r="F892" s="34" t="s">
        <v>280</v>
      </c>
      <c r="G892" s="34" t="s">
        <v>5379</v>
      </c>
      <c r="H892" s="35" t="s">
        <v>5380</v>
      </c>
      <c r="I892" s="36" t="s">
        <v>5381</v>
      </c>
      <c r="J892" s="34" t="s">
        <v>5382</v>
      </c>
      <c r="K892" s="34" t="s">
        <v>5383</v>
      </c>
      <c r="L892" s="37"/>
      <c r="M892" s="37"/>
      <c r="N892" s="37"/>
      <c r="O892" s="37"/>
      <c r="P892" s="37"/>
      <c r="Q892" s="37"/>
      <c r="R892" s="31" t="n">
        <f aca="false">COUNT($M892:$Q892)</f>
        <v>0</v>
      </c>
      <c r="S892" s="32" t="str">
        <f aca="false">IF($L892="","",IF($R892&gt;=5,"",MAX($L892:$Q892)+CHOOSE($R892+1,SETTINGS!$C$9,SETTINGS!$C$10,SETTINGS!$C$11,SETTINGS!$C$12,SETTINGS!$C$13)))</f>
        <v/>
      </c>
      <c r="T892" s="34" t="str">
        <f aca="true">IF($H892="","(chưa có nội dung)",IF($L892="",IF($C892&lt;TODAY(),"⚠ TRỄ HỌC",IF($C892=TODAY(),"★ HỌC HÔM NAY","• Chưa tới")),IF($R892&gt;=5,"✔ MASTER",IF($S892&lt;TODAY(),"⚠ TRỄ ÔN",IF($S892=TODAY(),"◆ ÔN HÔM NAY","✔ Đúng tiến độ")))))</f>
        <v>• Chưa tới</v>
      </c>
      <c r="U892" s="38" t="n">
        <f aca="false">IF($H892="","",$R892/5)</f>
        <v>0</v>
      </c>
    </row>
    <row r="893" customFormat="false" ht="15" hidden="false" customHeight="false" outlineLevel="0" collapsed="false">
      <c r="A893" s="31" t="s">
        <v>5384</v>
      </c>
      <c r="B893" s="31" t="n">
        <v>45</v>
      </c>
      <c r="C893" s="32" t="n">
        <f aca="false">SETTINGS!$C$3+$B893-1</f>
        <v>46344</v>
      </c>
      <c r="D893" s="40" t="s">
        <v>3692</v>
      </c>
      <c r="E893" s="34" t="s">
        <v>5327</v>
      </c>
      <c r="F893" s="34" t="s">
        <v>280</v>
      </c>
      <c r="G893" s="34" t="s">
        <v>5385</v>
      </c>
      <c r="H893" s="35" t="s">
        <v>5386</v>
      </c>
      <c r="I893" s="36" t="s">
        <v>5387</v>
      </c>
      <c r="J893" s="34" t="s">
        <v>5388</v>
      </c>
      <c r="K893" s="34" t="s">
        <v>5389</v>
      </c>
      <c r="L893" s="37"/>
      <c r="M893" s="37"/>
      <c r="N893" s="37"/>
      <c r="O893" s="37"/>
      <c r="P893" s="37"/>
      <c r="Q893" s="37"/>
      <c r="R893" s="31" t="n">
        <f aca="false">COUNT($M893:$Q893)</f>
        <v>0</v>
      </c>
      <c r="S893" s="32" t="str">
        <f aca="false">IF($L893="","",IF($R893&gt;=5,"",MAX($L893:$Q893)+CHOOSE($R893+1,SETTINGS!$C$9,SETTINGS!$C$10,SETTINGS!$C$11,SETTINGS!$C$12,SETTINGS!$C$13)))</f>
        <v/>
      </c>
      <c r="T893" s="34" t="str">
        <f aca="true">IF($H893="","(chưa có nội dung)",IF($L893="",IF($C893&lt;TODAY(),"⚠ TRỄ HỌC",IF($C893=TODAY(),"★ HỌC HÔM NAY","• Chưa tới")),IF($R893&gt;=5,"✔ MASTER",IF($S893&lt;TODAY(),"⚠ TRỄ ÔN",IF($S893=TODAY(),"◆ ÔN HÔM NAY","✔ Đúng tiến độ")))))</f>
        <v>• Chưa tới</v>
      </c>
      <c r="U893" s="38" t="n">
        <f aca="false">IF($H893="","",$R893/5)</f>
        <v>0</v>
      </c>
    </row>
    <row r="894" customFormat="false" ht="15" hidden="false" customHeight="false" outlineLevel="0" collapsed="false">
      <c r="A894" s="31" t="s">
        <v>5390</v>
      </c>
      <c r="B894" s="31" t="n">
        <v>45</v>
      </c>
      <c r="C894" s="32" t="n">
        <f aca="false">SETTINGS!$C$3+$B894-1</f>
        <v>46344</v>
      </c>
      <c r="D894" s="40" t="s">
        <v>3692</v>
      </c>
      <c r="E894" s="34" t="s">
        <v>5327</v>
      </c>
      <c r="F894" s="34" t="s">
        <v>280</v>
      </c>
      <c r="G894" s="34" t="s">
        <v>5391</v>
      </c>
      <c r="H894" s="35" t="s">
        <v>5392</v>
      </c>
      <c r="I894" s="36" t="s">
        <v>5393</v>
      </c>
      <c r="J894" s="34" t="s">
        <v>5394</v>
      </c>
      <c r="K894" s="34" t="s">
        <v>5395</v>
      </c>
      <c r="L894" s="37"/>
      <c r="M894" s="37"/>
      <c r="N894" s="37"/>
      <c r="O894" s="37"/>
      <c r="P894" s="37"/>
      <c r="Q894" s="37"/>
      <c r="R894" s="31" t="n">
        <f aca="false">COUNT($M894:$Q894)</f>
        <v>0</v>
      </c>
      <c r="S894" s="32" t="str">
        <f aca="false">IF($L894="","",IF($R894&gt;=5,"",MAX($L894:$Q894)+CHOOSE($R894+1,SETTINGS!$C$9,SETTINGS!$C$10,SETTINGS!$C$11,SETTINGS!$C$12,SETTINGS!$C$13)))</f>
        <v/>
      </c>
      <c r="T894" s="34" t="str">
        <f aca="true">IF($H894="","(chưa có nội dung)",IF($L894="",IF($C894&lt;TODAY(),"⚠ TRỄ HỌC",IF($C894=TODAY(),"★ HỌC HÔM NAY","• Chưa tới")),IF($R894&gt;=5,"✔ MASTER",IF($S894&lt;TODAY(),"⚠ TRỄ ÔN",IF($S894=TODAY(),"◆ ÔN HÔM NAY","✔ Đúng tiến độ")))))</f>
        <v>• Chưa tới</v>
      </c>
      <c r="U894" s="38" t="n">
        <f aca="false">IF($H894="","",$R894/5)</f>
        <v>0</v>
      </c>
    </row>
    <row r="895" customFormat="false" ht="15" hidden="false" customHeight="false" outlineLevel="0" collapsed="false">
      <c r="A895" s="31" t="s">
        <v>5396</v>
      </c>
      <c r="B895" s="31" t="n">
        <v>45</v>
      </c>
      <c r="C895" s="32" t="n">
        <f aca="false">SETTINGS!$C$3+$B895-1</f>
        <v>46344</v>
      </c>
      <c r="D895" s="40" t="s">
        <v>3692</v>
      </c>
      <c r="E895" s="34" t="s">
        <v>5327</v>
      </c>
      <c r="F895" s="34" t="s">
        <v>280</v>
      </c>
      <c r="G895" s="34" t="s">
        <v>5397</v>
      </c>
      <c r="H895" s="35" t="s">
        <v>5398</v>
      </c>
      <c r="I895" s="36" t="s">
        <v>5399</v>
      </c>
      <c r="J895" s="34" t="s">
        <v>5400</v>
      </c>
      <c r="K895" s="34" t="s">
        <v>5401</v>
      </c>
      <c r="L895" s="37"/>
      <c r="M895" s="37"/>
      <c r="N895" s="37"/>
      <c r="O895" s="37"/>
      <c r="P895" s="37"/>
      <c r="Q895" s="37"/>
      <c r="R895" s="31" t="n">
        <f aca="false">COUNT($M895:$Q895)</f>
        <v>0</v>
      </c>
      <c r="S895" s="32" t="str">
        <f aca="false">IF($L895="","",IF($R895&gt;=5,"",MAX($L895:$Q895)+CHOOSE($R895+1,SETTINGS!$C$9,SETTINGS!$C$10,SETTINGS!$C$11,SETTINGS!$C$12,SETTINGS!$C$13)))</f>
        <v/>
      </c>
      <c r="T895" s="34" t="str">
        <f aca="true">IF($H895="","(chưa có nội dung)",IF($L895="",IF($C895&lt;TODAY(),"⚠ TRỄ HỌC",IF($C895=TODAY(),"★ HỌC HÔM NAY","• Chưa tới")),IF($R895&gt;=5,"✔ MASTER",IF($S895&lt;TODAY(),"⚠ TRỄ ÔN",IF($S895=TODAY(),"◆ ÔN HÔM NAY","✔ Đúng tiến độ")))))</f>
        <v>• Chưa tới</v>
      </c>
      <c r="U895" s="38" t="n">
        <f aca="false">IF($H895="","",$R895/5)</f>
        <v>0</v>
      </c>
    </row>
    <row r="896" customFormat="false" ht="15" hidden="false" customHeight="false" outlineLevel="0" collapsed="false">
      <c r="A896" s="31" t="s">
        <v>5402</v>
      </c>
      <c r="B896" s="31" t="n">
        <v>45</v>
      </c>
      <c r="C896" s="32" t="n">
        <f aca="false">SETTINGS!$C$3+$B896-1</f>
        <v>46344</v>
      </c>
      <c r="D896" s="40" t="s">
        <v>3692</v>
      </c>
      <c r="E896" s="34" t="s">
        <v>5327</v>
      </c>
      <c r="F896" s="34" t="s">
        <v>280</v>
      </c>
      <c r="G896" s="34" t="s">
        <v>5403</v>
      </c>
      <c r="H896" s="35" t="s">
        <v>5404</v>
      </c>
      <c r="I896" s="36" t="s">
        <v>5405</v>
      </c>
      <c r="J896" s="34" t="s">
        <v>5406</v>
      </c>
      <c r="K896" s="34" t="s">
        <v>5407</v>
      </c>
      <c r="L896" s="37"/>
      <c r="M896" s="37"/>
      <c r="N896" s="37"/>
      <c r="O896" s="37"/>
      <c r="P896" s="37"/>
      <c r="Q896" s="37"/>
      <c r="R896" s="31" t="n">
        <f aca="false">COUNT($M896:$Q896)</f>
        <v>0</v>
      </c>
      <c r="S896" s="32" t="str">
        <f aca="false">IF($L896="","",IF($R896&gt;=5,"",MAX($L896:$Q896)+CHOOSE($R896+1,SETTINGS!$C$9,SETTINGS!$C$10,SETTINGS!$C$11,SETTINGS!$C$12,SETTINGS!$C$13)))</f>
        <v/>
      </c>
      <c r="T896" s="34" t="str">
        <f aca="true">IF($H896="","(chưa có nội dung)",IF($L896="",IF($C896&lt;TODAY(),"⚠ TRỄ HỌC",IF($C896=TODAY(),"★ HỌC HÔM NAY","• Chưa tới")),IF($R896&gt;=5,"✔ MASTER",IF($S896&lt;TODAY(),"⚠ TRỄ ÔN",IF($S896=TODAY(),"◆ ÔN HÔM NAY","✔ Đúng tiến độ")))))</f>
        <v>• Chưa tới</v>
      </c>
      <c r="U896" s="38" t="n">
        <f aca="false">IF($H896="","",$R896/5)</f>
        <v>0</v>
      </c>
    </row>
    <row r="897" customFormat="false" ht="15" hidden="false" customHeight="false" outlineLevel="0" collapsed="false">
      <c r="A897" s="31" t="s">
        <v>5408</v>
      </c>
      <c r="B897" s="31" t="n">
        <v>45</v>
      </c>
      <c r="C897" s="32" t="n">
        <f aca="false">SETTINGS!$C$3+$B897-1</f>
        <v>46344</v>
      </c>
      <c r="D897" s="40" t="s">
        <v>3692</v>
      </c>
      <c r="E897" s="34" t="s">
        <v>5327</v>
      </c>
      <c r="F897" s="34" t="s">
        <v>280</v>
      </c>
      <c r="G897" s="34" t="s">
        <v>5409</v>
      </c>
      <c r="H897" s="35" t="s">
        <v>5410</v>
      </c>
      <c r="I897" s="36" t="s">
        <v>5411</v>
      </c>
      <c r="J897" s="34" t="s">
        <v>5412</v>
      </c>
      <c r="K897" s="34" t="s">
        <v>5413</v>
      </c>
      <c r="L897" s="37"/>
      <c r="M897" s="37"/>
      <c r="N897" s="37"/>
      <c r="O897" s="37"/>
      <c r="P897" s="37"/>
      <c r="Q897" s="37"/>
      <c r="R897" s="31" t="n">
        <f aca="false">COUNT($M897:$Q897)</f>
        <v>0</v>
      </c>
      <c r="S897" s="32" t="str">
        <f aca="false">IF($L897="","",IF($R897&gt;=5,"",MAX($L897:$Q897)+CHOOSE($R897+1,SETTINGS!$C$9,SETTINGS!$C$10,SETTINGS!$C$11,SETTINGS!$C$12,SETTINGS!$C$13)))</f>
        <v/>
      </c>
      <c r="T897" s="34" t="str">
        <f aca="true">IF($H897="","(chưa có nội dung)",IF($L897="",IF($C897&lt;TODAY(),"⚠ TRỄ HỌC",IF($C897=TODAY(),"★ HỌC HÔM NAY","• Chưa tới")),IF($R897&gt;=5,"✔ MASTER",IF($S897&lt;TODAY(),"⚠ TRỄ ÔN",IF($S897=TODAY(),"◆ ÔN HÔM NAY","✔ Đúng tiến độ")))))</f>
        <v>• Chưa tới</v>
      </c>
      <c r="U897" s="38" t="n">
        <f aca="false">IF($H897="","",$R897/5)</f>
        <v>0</v>
      </c>
    </row>
    <row r="898" customFormat="false" ht="15" hidden="false" customHeight="false" outlineLevel="0" collapsed="false">
      <c r="A898" s="31" t="s">
        <v>5414</v>
      </c>
      <c r="B898" s="31" t="n">
        <v>45</v>
      </c>
      <c r="C898" s="32" t="n">
        <f aca="false">SETTINGS!$C$3+$B898-1</f>
        <v>46344</v>
      </c>
      <c r="D898" s="40" t="s">
        <v>3692</v>
      </c>
      <c r="E898" s="34" t="s">
        <v>5327</v>
      </c>
      <c r="F898" s="34" t="s">
        <v>280</v>
      </c>
      <c r="G898" s="34" t="s">
        <v>5415</v>
      </c>
      <c r="H898" s="35" t="s">
        <v>5416</v>
      </c>
      <c r="I898" s="36" t="s">
        <v>5417</v>
      </c>
      <c r="J898" s="34" t="s">
        <v>5418</v>
      </c>
      <c r="K898" s="34" t="s">
        <v>5419</v>
      </c>
      <c r="L898" s="37"/>
      <c r="M898" s="37"/>
      <c r="N898" s="37"/>
      <c r="O898" s="37"/>
      <c r="P898" s="37"/>
      <c r="Q898" s="37"/>
      <c r="R898" s="31" t="n">
        <f aca="false">COUNT($M898:$Q898)</f>
        <v>0</v>
      </c>
      <c r="S898" s="32" t="str">
        <f aca="false">IF($L898="","",IF($R898&gt;=5,"",MAX($L898:$Q898)+CHOOSE($R898+1,SETTINGS!$C$9,SETTINGS!$C$10,SETTINGS!$C$11,SETTINGS!$C$12,SETTINGS!$C$13)))</f>
        <v/>
      </c>
      <c r="T898" s="34" t="str">
        <f aca="true">IF($H898="","(chưa có nội dung)",IF($L898="",IF($C898&lt;TODAY(),"⚠ TRỄ HỌC",IF($C898=TODAY(),"★ HỌC HÔM NAY","• Chưa tới")),IF($R898&gt;=5,"✔ MASTER",IF($S898&lt;TODAY(),"⚠ TRỄ ÔN",IF($S898=TODAY(),"◆ ÔN HÔM NAY","✔ Đúng tiến độ")))))</f>
        <v>• Chưa tới</v>
      </c>
      <c r="U898" s="38" t="n">
        <f aca="false">IF($H898="","",$R898/5)</f>
        <v>0</v>
      </c>
    </row>
    <row r="899" customFormat="false" ht="15" hidden="false" customHeight="false" outlineLevel="0" collapsed="false">
      <c r="A899" s="31" t="s">
        <v>5420</v>
      </c>
      <c r="B899" s="31" t="n">
        <v>45</v>
      </c>
      <c r="C899" s="32" t="n">
        <f aca="false">SETTINGS!$C$3+$B899-1</f>
        <v>46344</v>
      </c>
      <c r="D899" s="40" t="s">
        <v>3692</v>
      </c>
      <c r="E899" s="34" t="s">
        <v>5327</v>
      </c>
      <c r="F899" s="34" t="s">
        <v>280</v>
      </c>
      <c r="G899" s="34" t="s">
        <v>5421</v>
      </c>
      <c r="H899" s="35" t="s">
        <v>5422</v>
      </c>
      <c r="I899" s="36" t="s">
        <v>5423</v>
      </c>
      <c r="J899" s="34" t="s">
        <v>5424</v>
      </c>
      <c r="K899" s="34" t="s">
        <v>5425</v>
      </c>
      <c r="L899" s="37"/>
      <c r="M899" s="37"/>
      <c r="N899" s="37"/>
      <c r="O899" s="37"/>
      <c r="P899" s="37"/>
      <c r="Q899" s="37"/>
      <c r="R899" s="31" t="n">
        <f aca="false">COUNT($M899:$Q899)</f>
        <v>0</v>
      </c>
      <c r="S899" s="32" t="str">
        <f aca="false">IF($L899="","",IF($R899&gt;=5,"",MAX($L899:$Q899)+CHOOSE($R899+1,SETTINGS!$C$9,SETTINGS!$C$10,SETTINGS!$C$11,SETTINGS!$C$12,SETTINGS!$C$13)))</f>
        <v/>
      </c>
      <c r="T899" s="34" t="str">
        <f aca="true">IF($H899="","(chưa có nội dung)",IF($L899="",IF($C899&lt;TODAY(),"⚠ TRỄ HỌC",IF($C899=TODAY(),"★ HỌC HÔM NAY","• Chưa tới")),IF($R899&gt;=5,"✔ MASTER",IF($S899&lt;TODAY(),"⚠ TRỄ ÔN",IF($S899=TODAY(),"◆ ÔN HÔM NAY","✔ Đúng tiến độ")))))</f>
        <v>• Chưa tới</v>
      </c>
      <c r="U899" s="38" t="n">
        <f aca="false">IF($H899="","",$R899/5)</f>
        <v>0</v>
      </c>
    </row>
    <row r="900" customFormat="false" ht="15" hidden="false" customHeight="false" outlineLevel="0" collapsed="false">
      <c r="A900" s="31" t="s">
        <v>5426</v>
      </c>
      <c r="B900" s="31" t="n">
        <v>45</v>
      </c>
      <c r="C900" s="32" t="n">
        <f aca="false">SETTINGS!$C$3+$B900-1</f>
        <v>46344</v>
      </c>
      <c r="D900" s="40" t="s">
        <v>3692</v>
      </c>
      <c r="E900" s="34" t="s">
        <v>5327</v>
      </c>
      <c r="F900" s="34" t="s">
        <v>280</v>
      </c>
      <c r="G900" s="34" t="s">
        <v>5427</v>
      </c>
      <c r="H900" s="35" t="s">
        <v>5428</v>
      </c>
      <c r="I900" s="36" t="s">
        <v>5429</v>
      </c>
      <c r="J900" s="34" t="s">
        <v>5430</v>
      </c>
      <c r="K900" s="34" t="s">
        <v>5431</v>
      </c>
      <c r="L900" s="37"/>
      <c r="M900" s="37"/>
      <c r="N900" s="37"/>
      <c r="O900" s="37"/>
      <c r="P900" s="37"/>
      <c r="Q900" s="37"/>
      <c r="R900" s="31" t="n">
        <f aca="false">COUNT($M900:$Q900)</f>
        <v>0</v>
      </c>
      <c r="S900" s="32" t="str">
        <f aca="false">IF($L900="","",IF($R900&gt;=5,"",MAX($L900:$Q900)+CHOOSE($R900+1,SETTINGS!$C$9,SETTINGS!$C$10,SETTINGS!$C$11,SETTINGS!$C$12,SETTINGS!$C$13)))</f>
        <v/>
      </c>
      <c r="T900" s="34" t="str">
        <f aca="true">IF($H900="","(chưa có nội dung)",IF($L900="",IF($C900&lt;TODAY(),"⚠ TRỄ HỌC",IF($C900=TODAY(),"★ HỌC HÔM NAY","• Chưa tới")),IF($R900&gt;=5,"✔ MASTER",IF($S900&lt;TODAY(),"⚠ TRỄ ÔN",IF($S900=TODAY(),"◆ ÔN HÔM NAY","✔ Đúng tiến độ")))))</f>
        <v>• Chưa tới</v>
      </c>
      <c r="U900" s="38" t="n">
        <f aca="false">IF($H900="","",$R900/5)</f>
        <v>0</v>
      </c>
    </row>
    <row r="901" customFormat="false" ht="15" hidden="false" customHeight="false" outlineLevel="0" collapsed="false">
      <c r="A901" s="31" t="s">
        <v>5432</v>
      </c>
      <c r="B901" s="31" t="n">
        <v>45</v>
      </c>
      <c r="C901" s="32" t="n">
        <f aca="false">SETTINGS!$C$3+$B901-1</f>
        <v>46344</v>
      </c>
      <c r="D901" s="40" t="s">
        <v>3692</v>
      </c>
      <c r="E901" s="34" t="s">
        <v>5327</v>
      </c>
      <c r="F901" s="34" t="s">
        <v>280</v>
      </c>
      <c r="G901" s="34" t="s">
        <v>5433</v>
      </c>
      <c r="H901" s="35" t="s">
        <v>5434</v>
      </c>
      <c r="I901" s="36" t="s">
        <v>5435</v>
      </c>
      <c r="J901" s="34" t="s">
        <v>5436</v>
      </c>
      <c r="K901" s="34" t="s">
        <v>5437</v>
      </c>
      <c r="L901" s="37"/>
      <c r="M901" s="37"/>
      <c r="N901" s="37"/>
      <c r="O901" s="37"/>
      <c r="P901" s="37"/>
      <c r="Q901" s="37"/>
      <c r="R901" s="31" t="n">
        <f aca="false">COUNT($M901:$Q901)</f>
        <v>0</v>
      </c>
      <c r="S901" s="32" t="str">
        <f aca="false">IF($L901="","",IF($R901&gt;=5,"",MAX($L901:$Q901)+CHOOSE($R901+1,SETTINGS!$C$9,SETTINGS!$C$10,SETTINGS!$C$11,SETTINGS!$C$12,SETTINGS!$C$13)))</f>
        <v/>
      </c>
      <c r="T901" s="34" t="str">
        <f aca="true">IF($H901="","(chưa có nội dung)",IF($L901="",IF($C901&lt;TODAY(),"⚠ TRỄ HỌC",IF($C901=TODAY(),"★ HỌC HÔM NAY","• Chưa tới")),IF($R901&gt;=5,"✔ MASTER",IF($S901&lt;TODAY(),"⚠ TRỄ ÔN",IF($S901=TODAY(),"◆ ÔN HÔM NAY","✔ Đúng tiến độ")))))</f>
        <v>• Chưa tới</v>
      </c>
      <c r="U901" s="38" t="n">
        <f aca="false">IF($H901="","",$R901/5)</f>
        <v>0</v>
      </c>
    </row>
    <row r="902" customFormat="false" ht="15" hidden="false" customHeight="false" outlineLevel="0" collapsed="false">
      <c r="A902" s="31" t="s">
        <v>5438</v>
      </c>
      <c r="B902" s="31" t="n">
        <v>45</v>
      </c>
      <c r="C902" s="32" t="n">
        <f aca="false">SETTINGS!$C$3+$B902-1</f>
        <v>46344</v>
      </c>
      <c r="D902" s="40" t="s">
        <v>3692</v>
      </c>
      <c r="E902" s="34" t="s">
        <v>5327</v>
      </c>
      <c r="F902" s="34" t="s">
        <v>280</v>
      </c>
      <c r="G902" s="34" t="s">
        <v>5439</v>
      </c>
      <c r="H902" s="35" t="s">
        <v>5440</v>
      </c>
      <c r="I902" s="36" t="s">
        <v>5441</v>
      </c>
      <c r="J902" s="34" t="s">
        <v>5442</v>
      </c>
      <c r="K902" s="34" t="s">
        <v>5443</v>
      </c>
      <c r="L902" s="37"/>
      <c r="M902" s="37"/>
      <c r="N902" s="37"/>
      <c r="O902" s="37"/>
      <c r="P902" s="37"/>
      <c r="Q902" s="37"/>
      <c r="R902" s="31" t="n">
        <f aca="false">COUNT($M902:$Q902)</f>
        <v>0</v>
      </c>
      <c r="S902" s="32" t="str">
        <f aca="false">IF($L902="","",IF($R902&gt;=5,"",MAX($L902:$Q902)+CHOOSE($R902+1,SETTINGS!$C$9,SETTINGS!$C$10,SETTINGS!$C$11,SETTINGS!$C$12,SETTINGS!$C$13)))</f>
        <v/>
      </c>
      <c r="T902" s="34" t="str">
        <f aca="true">IF($H902="","(chưa có nội dung)",IF($L902="",IF($C902&lt;TODAY(),"⚠ TRỄ HỌC",IF($C902=TODAY(),"★ HỌC HÔM NAY","• Chưa tới")),IF($R902&gt;=5,"✔ MASTER",IF($S902&lt;TODAY(),"⚠ TRỄ ÔN",IF($S902=TODAY(),"◆ ÔN HÔM NAY","✔ Đúng tiến độ")))))</f>
        <v>• Chưa tới</v>
      </c>
      <c r="U902" s="38" t="n">
        <f aca="false">IF($H902="","",$R902/5)</f>
        <v>0</v>
      </c>
    </row>
    <row r="903" customFormat="false" ht="15" hidden="false" customHeight="false" outlineLevel="0" collapsed="false">
      <c r="A903" s="31" t="s">
        <v>5444</v>
      </c>
      <c r="B903" s="31" t="n">
        <v>46</v>
      </c>
      <c r="C903" s="32" t="n">
        <f aca="false">SETTINGS!$C$3+$B903-1</f>
        <v>46345</v>
      </c>
      <c r="D903" s="40" t="s">
        <v>3692</v>
      </c>
      <c r="E903" s="34" t="s">
        <v>5445</v>
      </c>
      <c r="F903" s="34" t="s">
        <v>280</v>
      </c>
      <c r="G903" s="34" t="s">
        <v>5446</v>
      </c>
      <c r="H903" s="35" t="s">
        <v>5447</v>
      </c>
      <c r="I903" s="36" t="s">
        <v>5448</v>
      </c>
      <c r="J903" s="34" t="s">
        <v>5449</v>
      </c>
      <c r="K903" s="34" t="s">
        <v>5450</v>
      </c>
      <c r="L903" s="37"/>
      <c r="M903" s="37"/>
      <c r="N903" s="37"/>
      <c r="O903" s="37"/>
      <c r="P903" s="37"/>
      <c r="Q903" s="37"/>
      <c r="R903" s="31" t="n">
        <f aca="false">COUNT($M903:$Q903)</f>
        <v>0</v>
      </c>
      <c r="S903" s="32" t="str">
        <f aca="false">IF($L903="","",IF($R903&gt;=5,"",MAX($L903:$Q903)+CHOOSE($R903+1,SETTINGS!$C$9,SETTINGS!$C$10,SETTINGS!$C$11,SETTINGS!$C$12,SETTINGS!$C$13)))</f>
        <v/>
      </c>
      <c r="T903" s="34" t="str">
        <f aca="true">IF($H903="","(chưa có nội dung)",IF($L903="",IF($C903&lt;TODAY(),"⚠ TRỄ HỌC",IF($C903=TODAY(),"★ HỌC HÔM NAY","• Chưa tới")),IF($R903&gt;=5,"✔ MASTER",IF($S903&lt;TODAY(),"⚠ TRỄ ÔN",IF($S903=TODAY(),"◆ ÔN HÔM NAY","✔ Đúng tiến độ")))))</f>
        <v>• Chưa tới</v>
      </c>
      <c r="U903" s="38" t="n">
        <f aca="false">IF($H903="","",$R903/5)</f>
        <v>0</v>
      </c>
    </row>
    <row r="904" customFormat="false" ht="15" hidden="false" customHeight="false" outlineLevel="0" collapsed="false">
      <c r="A904" s="31" t="s">
        <v>5451</v>
      </c>
      <c r="B904" s="31" t="n">
        <v>46</v>
      </c>
      <c r="C904" s="32" t="n">
        <f aca="false">SETTINGS!$C$3+$B904-1</f>
        <v>46345</v>
      </c>
      <c r="D904" s="40" t="s">
        <v>3692</v>
      </c>
      <c r="E904" s="34" t="s">
        <v>5445</v>
      </c>
      <c r="F904" s="34" t="s">
        <v>202</v>
      </c>
      <c r="G904" s="34" t="s">
        <v>5452</v>
      </c>
      <c r="H904" s="35" t="s">
        <v>5453</v>
      </c>
      <c r="I904" s="36" t="s">
        <v>5454</v>
      </c>
      <c r="J904" s="34" t="s">
        <v>5455</v>
      </c>
      <c r="K904" s="34" t="s">
        <v>1980</v>
      </c>
      <c r="L904" s="37"/>
      <c r="M904" s="37"/>
      <c r="N904" s="37"/>
      <c r="O904" s="37"/>
      <c r="P904" s="37"/>
      <c r="Q904" s="37"/>
      <c r="R904" s="31" t="n">
        <f aca="false">COUNT($M904:$Q904)</f>
        <v>0</v>
      </c>
      <c r="S904" s="32" t="str">
        <f aca="false">IF($L904="","",IF($R904&gt;=5,"",MAX($L904:$Q904)+CHOOSE($R904+1,SETTINGS!$C$9,SETTINGS!$C$10,SETTINGS!$C$11,SETTINGS!$C$12,SETTINGS!$C$13)))</f>
        <v/>
      </c>
      <c r="T904" s="34" t="str">
        <f aca="true">IF($H904="","(chưa có nội dung)",IF($L904="",IF($C904&lt;TODAY(),"⚠ TRỄ HỌC",IF($C904=TODAY(),"★ HỌC HÔM NAY","• Chưa tới")),IF($R904&gt;=5,"✔ MASTER",IF($S904&lt;TODAY(),"⚠ TRỄ ÔN",IF($S904=TODAY(),"◆ ÔN HÔM NAY","✔ Đúng tiến độ")))))</f>
        <v>• Chưa tới</v>
      </c>
      <c r="U904" s="38" t="n">
        <f aca="false">IF($H904="","",$R904/5)</f>
        <v>0</v>
      </c>
    </row>
    <row r="905" customFormat="false" ht="15" hidden="false" customHeight="false" outlineLevel="0" collapsed="false">
      <c r="A905" s="31" t="s">
        <v>5456</v>
      </c>
      <c r="B905" s="31" t="n">
        <v>46</v>
      </c>
      <c r="C905" s="32" t="n">
        <f aca="false">SETTINGS!$C$3+$B905-1</f>
        <v>46345</v>
      </c>
      <c r="D905" s="40" t="s">
        <v>3692</v>
      </c>
      <c r="E905" s="34" t="s">
        <v>5445</v>
      </c>
      <c r="F905" s="34" t="s">
        <v>280</v>
      </c>
      <c r="G905" s="34" t="s">
        <v>5457</v>
      </c>
      <c r="H905" s="35" t="s">
        <v>5458</v>
      </c>
      <c r="I905" s="36" t="s">
        <v>5459</v>
      </c>
      <c r="J905" s="34" t="s">
        <v>5460</v>
      </c>
      <c r="K905" s="34" t="s">
        <v>3514</v>
      </c>
      <c r="L905" s="37"/>
      <c r="M905" s="37"/>
      <c r="N905" s="37"/>
      <c r="O905" s="37"/>
      <c r="P905" s="37"/>
      <c r="Q905" s="37"/>
      <c r="R905" s="31" t="n">
        <f aca="false">COUNT($M905:$Q905)</f>
        <v>0</v>
      </c>
      <c r="S905" s="32" t="str">
        <f aca="false">IF($L905="","",IF($R905&gt;=5,"",MAX($L905:$Q905)+CHOOSE($R905+1,SETTINGS!$C$9,SETTINGS!$C$10,SETTINGS!$C$11,SETTINGS!$C$12,SETTINGS!$C$13)))</f>
        <v/>
      </c>
      <c r="T905" s="34" t="str">
        <f aca="true">IF($H905="","(chưa có nội dung)",IF($L905="",IF($C905&lt;TODAY(),"⚠ TRỄ HỌC",IF($C905=TODAY(),"★ HỌC HÔM NAY","• Chưa tới")),IF($R905&gt;=5,"✔ MASTER",IF($S905&lt;TODAY(),"⚠ TRỄ ÔN",IF($S905=TODAY(),"◆ ÔN HÔM NAY","✔ Đúng tiến độ")))))</f>
        <v>• Chưa tới</v>
      </c>
      <c r="U905" s="38" t="n">
        <f aca="false">IF($H905="","",$R905/5)</f>
        <v>0</v>
      </c>
    </row>
    <row r="906" customFormat="false" ht="15" hidden="false" customHeight="false" outlineLevel="0" collapsed="false">
      <c r="A906" s="31" t="s">
        <v>5461</v>
      </c>
      <c r="B906" s="31" t="n">
        <v>46</v>
      </c>
      <c r="C906" s="32" t="n">
        <f aca="false">SETTINGS!$C$3+$B906-1</f>
        <v>46345</v>
      </c>
      <c r="D906" s="40" t="s">
        <v>3692</v>
      </c>
      <c r="E906" s="34" t="s">
        <v>5445</v>
      </c>
      <c r="F906" s="34" t="s">
        <v>280</v>
      </c>
      <c r="G906" s="34" t="s">
        <v>5462</v>
      </c>
      <c r="H906" s="35" t="s">
        <v>5463</v>
      </c>
      <c r="I906" s="36" t="s">
        <v>5464</v>
      </c>
      <c r="J906" s="34" t="s">
        <v>5465</v>
      </c>
      <c r="K906" s="34" t="s">
        <v>5466</v>
      </c>
      <c r="L906" s="37"/>
      <c r="M906" s="37"/>
      <c r="N906" s="37"/>
      <c r="O906" s="37"/>
      <c r="P906" s="37"/>
      <c r="Q906" s="37"/>
      <c r="R906" s="31" t="n">
        <f aca="false">COUNT($M906:$Q906)</f>
        <v>0</v>
      </c>
      <c r="S906" s="32" t="str">
        <f aca="false">IF($L906="","",IF($R906&gt;=5,"",MAX($L906:$Q906)+CHOOSE($R906+1,SETTINGS!$C$9,SETTINGS!$C$10,SETTINGS!$C$11,SETTINGS!$C$12,SETTINGS!$C$13)))</f>
        <v/>
      </c>
      <c r="T906" s="34" t="str">
        <f aca="true">IF($H906="","(chưa có nội dung)",IF($L906="",IF($C906&lt;TODAY(),"⚠ TRỄ HỌC",IF($C906=TODAY(),"★ HỌC HÔM NAY","• Chưa tới")),IF($R906&gt;=5,"✔ MASTER",IF($S906&lt;TODAY(),"⚠ TRỄ ÔN",IF($S906=TODAY(),"◆ ÔN HÔM NAY","✔ Đúng tiến độ")))))</f>
        <v>• Chưa tới</v>
      </c>
      <c r="U906" s="38" t="n">
        <f aca="false">IF($H906="","",$R906/5)</f>
        <v>0</v>
      </c>
    </row>
    <row r="907" customFormat="false" ht="15" hidden="false" customHeight="false" outlineLevel="0" collapsed="false">
      <c r="A907" s="31" t="s">
        <v>5467</v>
      </c>
      <c r="B907" s="31" t="n">
        <v>46</v>
      </c>
      <c r="C907" s="32" t="n">
        <f aca="false">SETTINGS!$C$3+$B907-1</f>
        <v>46345</v>
      </c>
      <c r="D907" s="40" t="s">
        <v>3692</v>
      </c>
      <c r="E907" s="34" t="s">
        <v>5445</v>
      </c>
      <c r="F907" s="34" t="s">
        <v>280</v>
      </c>
      <c r="G907" s="34" t="s">
        <v>5468</v>
      </c>
      <c r="H907" s="35" t="s">
        <v>5469</v>
      </c>
      <c r="I907" s="36" t="s">
        <v>5470</v>
      </c>
      <c r="J907" s="34" t="s">
        <v>5471</v>
      </c>
      <c r="K907" s="34" t="s">
        <v>3667</v>
      </c>
      <c r="L907" s="37"/>
      <c r="M907" s="37"/>
      <c r="N907" s="37"/>
      <c r="O907" s="37"/>
      <c r="P907" s="37"/>
      <c r="Q907" s="37"/>
      <c r="R907" s="31" t="n">
        <f aca="false">COUNT($M907:$Q907)</f>
        <v>0</v>
      </c>
      <c r="S907" s="32" t="str">
        <f aca="false">IF($L907="","",IF($R907&gt;=5,"",MAX($L907:$Q907)+CHOOSE($R907+1,SETTINGS!$C$9,SETTINGS!$C$10,SETTINGS!$C$11,SETTINGS!$C$12,SETTINGS!$C$13)))</f>
        <v/>
      </c>
      <c r="T907" s="34" t="str">
        <f aca="true">IF($H907="","(chưa có nội dung)",IF($L907="",IF($C907&lt;TODAY(),"⚠ TRỄ HỌC",IF($C907=TODAY(),"★ HỌC HÔM NAY","• Chưa tới")),IF($R907&gt;=5,"✔ MASTER",IF($S907&lt;TODAY(),"⚠ TRỄ ÔN",IF($S907=TODAY(),"◆ ÔN HÔM NAY","✔ Đúng tiến độ")))))</f>
        <v>• Chưa tới</v>
      </c>
      <c r="U907" s="38" t="n">
        <f aca="false">IF($H907="","",$R907/5)</f>
        <v>0</v>
      </c>
    </row>
    <row r="908" customFormat="false" ht="15" hidden="false" customHeight="false" outlineLevel="0" collapsed="false">
      <c r="A908" s="31" t="s">
        <v>5472</v>
      </c>
      <c r="B908" s="31" t="n">
        <v>46</v>
      </c>
      <c r="C908" s="32" t="n">
        <f aca="false">SETTINGS!$C$3+$B908-1</f>
        <v>46345</v>
      </c>
      <c r="D908" s="40" t="s">
        <v>3692</v>
      </c>
      <c r="E908" s="34" t="s">
        <v>5445</v>
      </c>
      <c r="F908" s="34" t="s">
        <v>280</v>
      </c>
      <c r="G908" s="34" t="s">
        <v>3573</v>
      </c>
      <c r="H908" s="35" t="s">
        <v>5473</v>
      </c>
      <c r="I908" s="36" t="s">
        <v>5474</v>
      </c>
      <c r="J908" s="34" t="s">
        <v>5475</v>
      </c>
      <c r="K908" s="34" t="s">
        <v>5476</v>
      </c>
      <c r="L908" s="37"/>
      <c r="M908" s="37"/>
      <c r="N908" s="37"/>
      <c r="O908" s="37"/>
      <c r="P908" s="37"/>
      <c r="Q908" s="37"/>
      <c r="R908" s="31" t="n">
        <f aca="false">COUNT($M908:$Q908)</f>
        <v>0</v>
      </c>
      <c r="S908" s="32" t="str">
        <f aca="false">IF($L908="","",IF($R908&gt;=5,"",MAX($L908:$Q908)+CHOOSE($R908+1,SETTINGS!$C$9,SETTINGS!$C$10,SETTINGS!$C$11,SETTINGS!$C$12,SETTINGS!$C$13)))</f>
        <v/>
      </c>
      <c r="T908" s="34" t="str">
        <f aca="true">IF($H908="","(chưa có nội dung)",IF($L908="",IF($C908&lt;TODAY(),"⚠ TRỄ HỌC",IF($C908=TODAY(),"★ HỌC HÔM NAY","• Chưa tới")),IF($R908&gt;=5,"✔ MASTER",IF($S908&lt;TODAY(),"⚠ TRỄ ÔN",IF($S908=TODAY(),"◆ ÔN HÔM NAY","✔ Đúng tiến độ")))))</f>
        <v>• Chưa tới</v>
      </c>
      <c r="U908" s="38" t="n">
        <f aca="false">IF($H908="","",$R908/5)</f>
        <v>0</v>
      </c>
    </row>
    <row r="909" customFormat="false" ht="15" hidden="false" customHeight="false" outlineLevel="0" collapsed="false">
      <c r="A909" s="31" t="s">
        <v>5477</v>
      </c>
      <c r="B909" s="31" t="n">
        <v>46</v>
      </c>
      <c r="C909" s="32" t="n">
        <f aca="false">SETTINGS!$C$3+$B909-1</f>
        <v>46345</v>
      </c>
      <c r="D909" s="40" t="s">
        <v>3692</v>
      </c>
      <c r="E909" s="34" t="s">
        <v>5445</v>
      </c>
      <c r="F909" s="34" t="s">
        <v>280</v>
      </c>
      <c r="G909" s="34" t="s">
        <v>5478</v>
      </c>
      <c r="H909" s="35" t="s">
        <v>5479</v>
      </c>
      <c r="I909" s="36" t="s">
        <v>5480</v>
      </c>
      <c r="J909" s="34" t="s">
        <v>5481</v>
      </c>
      <c r="K909" s="34" t="s">
        <v>5482</v>
      </c>
      <c r="L909" s="37"/>
      <c r="M909" s="37"/>
      <c r="N909" s="37"/>
      <c r="O909" s="37"/>
      <c r="P909" s="37"/>
      <c r="Q909" s="37"/>
      <c r="R909" s="31" t="n">
        <f aca="false">COUNT($M909:$Q909)</f>
        <v>0</v>
      </c>
      <c r="S909" s="32" t="str">
        <f aca="false">IF($L909="","",IF($R909&gt;=5,"",MAX($L909:$Q909)+CHOOSE($R909+1,SETTINGS!$C$9,SETTINGS!$C$10,SETTINGS!$C$11,SETTINGS!$C$12,SETTINGS!$C$13)))</f>
        <v/>
      </c>
      <c r="T909" s="34" t="str">
        <f aca="true">IF($H909="","(chưa có nội dung)",IF($L909="",IF($C909&lt;TODAY(),"⚠ TRỄ HỌC",IF($C909=TODAY(),"★ HỌC HÔM NAY","• Chưa tới")),IF($R909&gt;=5,"✔ MASTER",IF($S909&lt;TODAY(),"⚠ TRỄ ÔN",IF($S909=TODAY(),"◆ ÔN HÔM NAY","✔ Đúng tiến độ")))))</f>
        <v>• Chưa tới</v>
      </c>
      <c r="U909" s="38" t="n">
        <f aca="false">IF($H909="","",$R909/5)</f>
        <v>0</v>
      </c>
    </row>
    <row r="910" customFormat="false" ht="15" hidden="false" customHeight="false" outlineLevel="0" collapsed="false">
      <c r="A910" s="31" t="s">
        <v>5483</v>
      </c>
      <c r="B910" s="31" t="n">
        <v>46</v>
      </c>
      <c r="C910" s="32" t="n">
        <f aca="false">SETTINGS!$C$3+$B910-1</f>
        <v>46345</v>
      </c>
      <c r="D910" s="40" t="s">
        <v>3692</v>
      </c>
      <c r="E910" s="34" t="s">
        <v>5445</v>
      </c>
      <c r="F910" s="34" t="s">
        <v>202</v>
      </c>
      <c r="G910" s="34" t="s">
        <v>5484</v>
      </c>
      <c r="H910" s="35" t="s">
        <v>5485</v>
      </c>
      <c r="I910" s="36" t="s">
        <v>5486</v>
      </c>
      <c r="J910" s="34" t="s">
        <v>5487</v>
      </c>
      <c r="K910" s="34" t="s">
        <v>5488</v>
      </c>
      <c r="L910" s="37"/>
      <c r="M910" s="37"/>
      <c r="N910" s="37"/>
      <c r="O910" s="37"/>
      <c r="P910" s="37"/>
      <c r="Q910" s="37"/>
      <c r="R910" s="31" t="n">
        <f aca="false">COUNT($M910:$Q910)</f>
        <v>0</v>
      </c>
      <c r="S910" s="32" t="str">
        <f aca="false">IF($L910="","",IF($R910&gt;=5,"",MAX($L910:$Q910)+CHOOSE($R910+1,SETTINGS!$C$9,SETTINGS!$C$10,SETTINGS!$C$11,SETTINGS!$C$12,SETTINGS!$C$13)))</f>
        <v/>
      </c>
      <c r="T910" s="34" t="str">
        <f aca="true">IF($H910="","(chưa có nội dung)",IF($L910="",IF($C910&lt;TODAY(),"⚠ TRỄ HỌC",IF($C910=TODAY(),"★ HỌC HÔM NAY","• Chưa tới")),IF($R910&gt;=5,"✔ MASTER",IF($S910&lt;TODAY(),"⚠ TRỄ ÔN",IF($S910=TODAY(),"◆ ÔN HÔM NAY","✔ Đúng tiến độ")))))</f>
        <v>• Chưa tới</v>
      </c>
      <c r="U910" s="38" t="n">
        <f aca="false">IF($H910="","",$R910/5)</f>
        <v>0</v>
      </c>
    </row>
    <row r="911" customFormat="false" ht="15" hidden="false" customHeight="false" outlineLevel="0" collapsed="false">
      <c r="A911" s="31" t="s">
        <v>5489</v>
      </c>
      <c r="B911" s="31" t="n">
        <v>46</v>
      </c>
      <c r="C911" s="32" t="n">
        <f aca="false">SETTINGS!$C$3+$B911-1</f>
        <v>46345</v>
      </c>
      <c r="D911" s="40" t="s">
        <v>3692</v>
      </c>
      <c r="E911" s="34" t="s">
        <v>5445</v>
      </c>
      <c r="F911" s="34" t="s">
        <v>183</v>
      </c>
      <c r="G911" s="34" t="s">
        <v>5490</v>
      </c>
      <c r="H911" s="35" t="s">
        <v>5491</v>
      </c>
      <c r="I911" s="36" t="s">
        <v>5492</v>
      </c>
      <c r="J911" s="34" t="s">
        <v>5493</v>
      </c>
      <c r="K911" s="34" t="s">
        <v>5494</v>
      </c>
      <c r="L911" s="37"/>
      <c r="M911" s="37"/>
      <c r="N911" s="37"/>
      <c r="O911" s="37"/>
      <c r="P911" s="37"/>
      <c r="Q911" s="37"/>
      <c r="R911" s="31" t="n">
        <f aca="false">COUNT($M911:$Q911)</f>
        <v>0</v>
      </c>
      <c r="S911" s="32" t="str">
        <f aca="false">IF($L911="","",IF($R911&gt;=5,"",MAX($L911:$Q911)+CHOOSE($R911+1,SETTINGS!$C$9,SETTINGS!$C$10,SETTINGS!$C$11,SETTINGS!$C$12,SETTINGS!$C$13)))</f>
        <v/>
      </c>
      <c r="T911" s="34" t="str">
        <f aca="true">IF($H911="","(chưa có nội dung)",IF($L911="",IF($C911&lt;TODAY(),"⚠ TRỄ HỌC",IF($C911=TODAY(),"★ HỌC HÔM NAY","• Chưa tới")),IF($R911&gt;=5,"✔ MASTER",IF($S911&lt;TODAY(),"⚠ TRỄ ÔN",IF($S911=TODAY(),"◆ ÔN HÔM NAY","✔ Đúng tiến độ")))))</f>
        <v>• Chưa tới</v>
      </c>
      <c r="U911" s="38" t="n">
        <f aca="false">IF($H911="","",$R911/5)</f>
        <v>0</v>
      </c>
    </row>
    <row r="912" customFormat="false" ht="15" hidden="false" customHeight="false" outlineLevel="0" collapsed="false">
      <c r="A912" s="31" t="s">
        <v>5495</v>
      </c>
      <c r="B912" s="31" t="n">
        <v>46</v>
      </c>
      <c r="C912" s="32" t="n">
        <f aca="false">SETTINGS!$C$3+$B912-1</f>
        <v>46345</v>
      </c>
      <c r="D912" s="40" t="s">
        <v>3692</v>
      </c>
      <c r="E912" s="34" t="s">
        <v>5445</v>
      </c>
      <c r="F912" s="34" t="s">
        <v>280</v>
      </c>
      <c r="G912" s="34" t="s">
        <v>5496</v>
      </c>
      <c r="H912" s="35" t="s">
        <v>5497</v>
      </c>
      <c r="I912" s="36" t="s">
        <v>5498</v>
      </c>
      <c r="J912" s="34" t="s">
        <v>5499</v>
      </c>
      <c r="K912" s="34" t="s">
        <v>3776</v>
      </c>
      <c r="L912" s="37"/>
      <c r="M912" s="37"/>
      <c r="N912" s="37"/>
      <c r="O912" s="37"/>
      <c r="P912" s="37"/>
      <c r="Q912" s="37"/>
      <c r="R912" s="31" t="n">
        <f aca="false">COUNT($M912:$Q912)</f>
        <v>0</v>
      </c>
      <c r="S912" s="32" t="str">
        <f aca="false">IF($L912="","",IF($R912&gt;=5,"",MAX($L912:$Q912)+CHOOSE($R912+1,SETTINGS!$C$9,SETTINGS!$C$10,SETTINGS!$C$11,SETTINGS!$C$12,SETTINGS!$C$13)))</f>
        <v/>
      </c>
      <c r="T912" s="34" t="str">
        <f aca="true">IF($H912="","(chưa có nội dung)",IF($L912="",IF($C912&lt;TODAY(),"⚠ TRỄ HỌC",IF($C912=TODAY(),"★ HỌC HÔM NAY","• Chưa tới")),IF($R912&gt;=5,"✔ MASTER",IF($S912&lt;TODAY(),"⚠ TRỄ ÔN",IF($S912=TODAY(),"◆ ÔN HÔM NAY","✔ Đúng tiến độ")))))</f>
        <v>• Chưa tới</v>
      </c>
      <c r="U912" s="38" t="n">
        <f aca="false">IF($H912="","",$R912/5)</f>
        <v>0</v>
      </c>
    </row>
    <row r="913" customFormat="false" ht="15" hidden="false" customHeight="false" outlineLevel="0" collapsed="false">
      <c r="A913" s="31" t="s">
        <v>5500</v>
      </c>
      <c r="B913" s="31" t="n">
        <v>46</v>
      </c>
      <c r="C913" s="32" t="n">
        <f aca="false">SETTINGS!$C$3+$B913-1</f>
        <v>46345</v>
      </c>
      <c r="D913" s="40" t="s">
        <v>3692</v>
      </c>
      <c r="E913" s="34" t="s">
        <v>5445</v>
      </c>
      <c r="F913" s="34" t="s">
        <v>183</v>
      </c>
      <c r="G913" s="34" t="s">
        <v>5501</v>
      </c>
      <c r="H913" s="35" t="s">
        <v>5502</v>
      </c>
      <c r="I913" s="36" t="s">
        <v>5503</v>
      </c>
      <c r="J913" s="34" t="s">
        <v>5504</v>
      </c>
      <c r="K913" s="34" t="s">
        <v>5505</v>
      </c>
      <c r="L913" s="37"/>
      <c r="M913" s="37"/>
      <c r="N913" s="37"/>
      <c r="O913" s="37"/>
      <c r="P913" s="37"/>
      <c r="Q913" s="37"/>
      <c r="R913" s="31" t="n">
        <f aca="false">COUNT($M913:$Q913)</f>
        <v>0</v>
      </c>
      <c r="S913" s="32" t="str">
        <f aca="false">IF($L913="","",IF($R913&gt;=5,"",MAX($L913:$Q913)+CHOOSE($R913+1,SETTINGS!$C$9,SETTINGS!$C$10,SETTINGS!$C$11,SETTINGS!$C$12,SETTINGS!$C$13)))</f>
        <v/>
      </c>
      <c r="T913" s="34" t="str">
        <f aca="true">IF($H913="","(chưa có nội dung)",IF($L913="",IF($C913&lt;TODAY(),"⚠ TRỄ HỌC",IF($C913=TODAY(),"★ HỌC HÔM NAY","• Chưa tới")),IF($R913&gt;=5,"✔ MASTER",IF($S913&lt;TODAY(),"⚠ TRỄ ÔN",IF($S913=TODAY(),"◆ ÔN HÔM NAY","✔ Đúng tiến độ")))))</f>
        <v>• Chưa tới</v>
      </c>
      <c r="U913" s="38" t="n">
        <f aca="false">IF($H913="","",$R913/5)</f>
        <v>0</v>
      </c>
    </row>
    <row r="914" customFormat="false" ht="15" hidden="false" customHeight="false" outlineLevel="0" collapsed="false">
      <c r="A914" s="31" t="s">
        <v>5506</v>
      </c>
      <c r="B914" s="31" t="n">
        <v>46</v>
      </c>
      <c r="C914" s="32" t="n">
        <f aca="false">SETTINGS!$C$3+$B914-1</f>
        <v>46345</v>
      </c>
      <c r="D914" s="40" t="s">
        <v>3692</v>
      </c>
      <c r="E914" s="34" t="s">
        <v>5445</v>
      </c>
      <c r="F914" s="34" t="s">
        <v>280</v>
      </c>
      <c r="G914" s="34" t="s">
        <v>5507</v>
      </c>
      <c r="H914" s="35" t="s">
        <v>5508</v>
      </c>
      <c r="I914" s="36" t="s">
        <v>5509</v>
      </c>
      <c r="J914" s="34" t="s">
        <v>5510</v>
      </c>
      <c r="K914" s="34" t="s">
        <v>5511</v>
      </c>
      <c r="L914" s="37"/>
      <c r="M914" s="37"/>
      <c r="N914" s="37"/>
      <c r="O914" s="37"/>
      <c r="P914" s="37"/>
      <c r="Q914" s="37"/>
      <c r="R914" s="31" t="n">
        <f aca="false">COUNT($M914:$Q914)</f>
        <v>0</v>
      </c>
      <c r="S914" s="32" t="str">
        <f aca="false">IF($L914="","",IF($R914&gt;=5,"",MAX($L914:$Q914)+CHOOSE($R914+1,SETTINGS!$C$9,SETTINGS!$C$10,SETTINGS!$C$11,SETTINGS!$C$12,SETTINGS!$C$13)))</f>
        <v/>
      </c>
      <c r="T914" s="34" t="str">
        <f aca="true">IF($H914="","(chưa có nội dung)",IF($L914="",IF($C914&lt;TODAY(),"⚠ TRỄ HỌC",IF($C914=TODAY(),"★ HỌC HÔM NAY","• Chưa tới")),IF($R914&gt;=5,"✔ MASTER",IF($S914&lt;TODAY(),"⚠ TRỄ ÔN",IF($S914=TODAY(),"◆ ÔN HÔM NAY","✔ Đúng tiến độ")))))</f>
        <v>• Chưa tới</v>
      </c>
      <c r="U914" s="38" t="n">
        <f aca="false">IF($H914="","",$R914/5)</f>
        <v>0</v>
      </c>
    </row>
    <row r="915" customFormat="false" ht="15" hidden="false" customHeight="false" outlineLevel="0" collapsed="false">
      <c r="A915" s="31" t="s">
        <v>5512</v>
      </c>
      <c r="B915" s="31" t="n">
        <v>46</v>
      </c>
      <c r="C915" s="32" t="n">
        <f aca="false">SETTINGS!$C$3+$B915-1</f>
        <v>46345</v>
      </c>
      <c r="D915" s="40" t="s">
        <v>3692</v>
      </c>
      <c r="E915" s="34" t="s">
        <v>5445</v>
      </c>
      <c r="F915" s="34" t="s">
        <v>183</v>
      </c>
      <c r="G915" s="34" t="s">
        <v>5513</v>
      </c>
      <c r="H915" s="35" t="s">
        <v>5514</v>
      </c>
      <c r="I915" s="36" t="s">
        <v>5515</v>
      </c>
      <c r="J915" s="34" t="s">
        <v>5516</v>
      </c>
      <c r="K915" s="34" t="s">
        <v>5517</v>
      </c>
      <c r="L915" s="37"/>
      <c r="M915" s="37"/>
      <c r="N915" s="37"/>
      <c r="O915" s="37"/>
      <c r="P915" s="37"/>
      <c r="Q915" s="37"/>
      <c r="R915" s="31" t="n">
        <f aca="false">COUNT($M915:$Q915)</f>
        <v>0</v>
      </c>
      <c r="S915" s="32" t="str">
        <f aca="false">IF($L915="","",IF($R915&gt;=5,"",MAX($L915:$Q915)+CHOOSE($R915+1,SETTINGS!$C$9,SETTINGS!$C$10,SETTINGS!$C$11,SETTINGS!$C$12,SETTINGS!$C$13)))</f>
        <v/>
      </c>
      <c r="T915" s="34" t="str">
        <f aca="true">IF($H915="","(chưa có nội dung)",IF($L915="",IF($C915&lt;TODAY(),"⚠ TRỄ HỌC",IF($C915=TODAY(),"★ HỌC HÔM NAY","• Chưa tới")),IF($R915&gt;=5,"✔ MASTER",IF($S915&lt;TODAY(),"⚠ TRỄ ÔN",IF($S915=TODAY(),"◆ ÔN HÔM NAY","✔ Đúng tiến độ")))))</f>
        <v>• Chưa tới</v>
      </c>
      <c r="U915" s="38" t="n">
        <f aca="false">IF($H915="","",$R915/5)</f>
        <v>0</v>
      </c>
    </row>
    <row r="916" customFormat="false" ht="15" hidden="false" customHeight="false" outlineLevel="0" collapsed="false">
      <c r="A916" s="31" t="s">
        <v>5518</v>
      </c>
      <c r="B916" s="31" t="n">
        <v>46</v>
      </c>
      <c r="C916" s="32" t="n">
        <f aca="false">SETTINGS!$C$3+$B916-1</f>
        <v>46345</v>
      </c>
      <c r="D916" s="40" t="s">
        <v>3692</v>
      </c>
      <c r="E916" s="34" t="s">
        <v>5445</v>
      </c>
      <c r="F916" s="34" t="s">
        <v>202</v>
      </c>
      <c r="G916" s="34" t="s">
        <v>5519</v>
      </c>
      <c r="H916" s="35" t="s">
        <v>5520</v>
      </c>
      <c r="I916" s="36" t="s">
        <v>5521</v>
      </c>
      <c r="J916" s="34" t="s">
        <v>5522</v>
      </c>
      <c r="K916" s="34" t="s">
        <v>5523</v>
      </c>
      <c r="L916" s="37"/>
      <c r="M916" s="37"/>
      <c r="N916" s="37"/>
      <c r="O916" s="37"/>
      <c r="P916" s="37"/>
      <c r="Q916" s="37"/>
      <c r="R916" s="31" t="n">
        <f aca="false">COUNT($M916:$Q916)</f>
        <v>0</v>
      </c>
      <c r="S916" s="32" t="str">
        <f aca="false">IF($L916="","",IF($R916&gt;=5,"",MAX($L916:$Q916)+CHOOSE($R916+1,SETTINGS!$C$9,SETTINGS!$C$10,SETTINGS!$C$11,SETTINGS!$C$12,SETTINGS!$C$13)))</f>
        <v/>
      </c>
      <c r="T916" s="34" t="str">
        <f aca="true">IF($H916="","(chưa có nội dung)",IF($L916="",IF($C916&lt;TODAY(),"⚠ TRỄ HỌC",IF($C916=TODAY(),"★ HỌC HÔM NAY","• Chưa tới")),IF($R916&gt;=5,"✔ MASTER",IF($S916&lt;TODAY(),"⚠ TRỄ ÔN",IF($S916=TODAY(),"◆ ÔN HÔM NAY","✔ Đúng tiến độ")))))</f>
        <v>• Chưa tới</v>
      </c>
      <c r="U916" s="38" t="n">
        <f aca="false">IF($H916="","",$R916/5)</f>
        <v>0</v>
      </c>
    </row>
    <row r="917" customFormat="false" ht="15" hidden="false" customHeight="false" outlineLevel="0" collapsed="false">
      <c r="A917" s="31" t="s">
        <v>5524</v>
      </c>
      <c r="B917" s="31" t="n">
        <v>46</v>
      </c>
      <c r="C917" s="32" t="n">
        <f aca="false">SETTINGS!$C$3+$B917-1</f>
        <v>46345</v>
      </c>
      <c r="D917" s="40" t="s">
        <v>3692</v>
      </c>
      <c r="E917" s="34" t="s">
        <v>5445</v>
      </c>
      <c r="F917" s="34" t="s">
        <v>280</v>
      </c>
      <c r="G917" s="34" t="s">
        <v>5525</v>
      </c>
      <c r="H917" s="35" t="s">
        <v>5526</v>
      </c>
      <c r="I917" s="36" t="s">
        <v>5527</v>
      </c>
      <c r="J917" s="34" t="s">
        <v>5528</v>
      </c>
      <c r="K917" s="34" t="s">
        <v>5529</v>
      </c>
      <c r="L917" s="37"/>
      <c r="M917" s="37"/>
      <c r="N917" s="37"/>
      <c r="O917" s="37"/>
      <c r="P917" s="37"/>
      <c r="Q917" s="37"/>
      <c r="R917" s="31" t="n">
        <f aca="false">COUNT($M917:$Q917)</f>
        <v>0</v>
      </c>
      <c r="S917" s="32" t="str">
        <f aca="false">IF($L917="","",IF($R917&gt;=5,"",MAX($L917:$Q917)+CHOOSE($R917+1,SETTINGS!$C$9,SETTINGS!$C$10,SETTINGS!$C$11,SETTINGS!$C$12,SETTINGS!$C$13)))</f>
        <v/>
      </c>
      <c r="T917" s="34" t="str">
        <f aca="true">IF($H917="","(chưa có nội dung)",IF($L917="",IF($C917&lt;TODAY(),"⚠ TRỄ HỌC",IF($C917=TODAY(),"★ HỌC HÔM NAY","• Chưa tới")),IF($R917&gt;=5,"✔ MASTER",IF($S917&lt;TODAY(),"⚠ TRỄ ÔN",IF($S917=TODAY(),"◆ ÔN HÔM NAY","✔ Đúng tiến độ")))))</f>
        <v>• Chưa tới</v>
      </c>
      <c r="U917" s="38" t="n">
        <f aca="false">IF($H917="","",$R917/5)</f>
        <v>0</v>
      </c>
    </row>
    <row r="918" customFormat="false" ht="15" hidden="false" customHeight="false" outlineLevel="0" collapsed="false">
      <c r="A918" s="31" t="s">
        <v>5530</v>
      </c>
      <c r="B918" s="31" t="n">
        <v>46</v>
      </c>
      <c r="C918" s="32" t="n">
        <f aca="false">SETTINGS!$C$3+$B918-1</f>
        <v>46345</v>
      </c>
      <c r="D918" s="40" t="s">
        <v>3692</v>
      </c>
      <c r="E918" s="34" t="s">
        <v>5445</v>
      </c>
      <c r="F918" s="34" t="s">
        <v>280</v>
      </c>
      <c r="G918" s="34" t="s">
        <v>5531</v>
      </c>
      <c r="H918" s="35" t="s">
        <v>5532</v>
      </c>
      <c r="I918" s="36" t="s">
        <v>5533</v>
      </c>
      <c r="J918" s="34" t="s">
        <v>5534</v>
      </c>
      <c r="K918" s="34" t="s">
        <v>5535</v>
      </c>
      <c r="L918" s="37"/>
      <c r="M918" s="37"/>
      <c r="N918" s="37"/>
      <c r="O918" s="37"/>
      <c r="P918" s="37"/>
      <c r="Q918" s="37"/>
      <c r="R918" s="31" t="n">
        <f aca="false">COUNT($M918:$Q918)</f>
        <v>0</v>
      </c>
      <c r="S918" s="32" t="str">
        <f aca="false">IF($L918="","",IF($R918&gt;=5,"",MAX($L918:$Q918)+CHOOSE($R918+1,SETTINGS!$C$9,SETTINGS!$C$10,SETTINGS!$C$11,SETTINGS!$C$12,SETTINGS!$C$13)))</f>
        <v/>
      </c>
      <c r="T918" s="34" t="str">
        <f aca="true">IF($H918="","(chưa có nội dung)",IF($L918="",IF($C918&lt;TODAY(),"⚠ TRỄ HỌC",IF($C918=TODAY(),"★ HỌC HÔM NAY","• Chưa tới")),IF($R918&gt;=5,"✔ MASTER",IF($S918&lt;TODAY(),"⚠ TRỄ ÔN",IF($S918=TODAY(),"◆ ÔN HÔM NAY","✔ Đúng tiến độ")))))</f>
        <v>• Chưa tới</v>
      </c>
      <c r="U918" s="38" t="n">
        <f aca="false">IF($H918="","",$R918/5)</f>
        <v>0</v>
      </c>
    </row>
    <row r="919" customFormat="false" ht="15" hidden="false" customHeight="false" outlineLevel="0" collapsed="false">
      <c r="A919" s="31" t="s">
        <v>5536</v>
      </c>
      <c r="B919" s="31" t="n">
        <v>46</v>
      </c>
      <c r="C919" s="32" t="n">
        <f aca="false">SETTINGS!$C$3+$B919-1</f>
        <v>46345</v>
      </c>
      <c r="D919" s="40" t="s">
        <v>3692</v>
      </c>
      <c r="E919" s="34" t="s">
        <v>5445</v>
      </c>
      <c r="F919" s="34" t="s">
        <v>280</v>
      </c>
      <c r="G919" s="34" t="s">
        <v>5537</v>
      </c>
      <c r="H919" s="35" t="s">
        <v>5538</v>
      </c>
      <c r="I919" s="36" t="s">
        <v>5539</v>
      </c>
      <c r="J919" s="34" t="s">
        <v>5540</v>
      </c>
      <c r="K919" s="34" t="s">
        <v>5541</v>
      </c>
      <c r="L919" s="37"/>
      <c r="M919" s="37"/>
      <c r="N919" s="37"/>
      <c r="O919" s="37"/>
      <c r="P919" s="37"/>
      <c r="Q919" s="37"/>
      <c r="R919" s="31" t="n">
        <f aca="false">COUNT($M919:$Q919)</f>
        <v>0</v>
      </c>
      <c r="S919" s="32" t="str">
        <f aca="false">IF($L919="","",IF($R919&gt;=5,"",MAX($L919:$Q919)+CHOOSE($R919+1,SETTINGS!$C$9,SETTINGS!$C$10,SETTINGS!$C$11,SETTINGS!$C$12,SETTINGS!$C$13)))</f>
        <v/>
      </c>
      <c r="T919" s="34" t="str">
        <f aca="true">IF($H919="","(chưa có nội dung)",IF($L919="",IF($C919&lt;TODAY(),"⚠ TRỄ HỌC",IF($C919=TODAY(),"★ HỌC HÔM NAY","• Chưa tới")),IF($R919&gt;=5,"✔ MASTER",IF($S919&lt;TODAY(),"⚠ TRỄ ÔN",IF($S919=TODAY(),"◆ ÔN HÔM NAY","✔ Đúng tiến độ")))))</f>
        <v>• Chưa tới</v>
      </c>
      <c r="U919" s="38" t="n">
        <f aca="false">IF($H919="","",$R919/5)</f>
        <v>0</v>
      </c>
    </row>
    <row r="920" customFormat="false" ht="15" hidden="false" customHeight="false" outlineLevel="0" collapsed="false">
      <c r="A920" s="31" t="s">
        <v>5542</v>
      </c>
      <c r="B920" s="31" t="n">
        <v>46</v>
      </c>
      <c r="C920" s="32" t="n">
        <f aca="false">SETTINGS!$C$3+$B920-1</f>
        <v>46345</v>
      </c>
      <c r="D920" s="40" t="s">
        <v>3692</v>
      </c>
      <c r="E920" s="34" t="s">
        <v>5445</v>
      </c>
      <c r="F920" s="34" t="s">
        <v>280</v>
      </c>
      <c r="G920" s="34" t="s">
        <v>5543</v>
      </c>
      <c r="H920" s="35" t="s">
        <v>5544</v>
      </c>
      <c r="I920" s="36" t="s">
        <v>5545</v>
      </c>
      <c r="J920" s="34" t="s">
        <v>5546</v>
      </c>
      <c r="K920" s="34" t="s">
        <v>4894</v>
      </c>
      <c r="L920" s="37"/>
      <c r="M920" s="37"/>
      <c r="N920" s="37"/>
      <c r="O920" s="37"/>
      <c r="P920" s="37"/>
      <c r="Q920" s="37"/>
      <c r="R920" s="31" t="n">
        <f aca="false">COUNT($M920:$Q920)</f>
        <v>0</v>
      </c>
      <c r="S920" s="32" t="str">
        <f aca="false">IF($L920="","",IF($R920&gt;=5,"",MAX($L920:$Q920)+CHOOSE($R920+1,SETTINGS!$C$9,SETTINGS!$C$10,SETTINGS!$C$11,SETTINGS!$C$12,SETTINGS!$C$13)))</f>
        <v/>
      </c>
      <c r="T920" s="34" t="str">
        <f aca="true">IF($H920="","(chưa có nội dung)",IF($L920="",IF($C920&lt;TODAY(),"⚠ TRỄ HỌC",IF($C920=TODAY(),"★ HỌC HÔM NAY","• Chưa tới")),IF($R920&gt;=5,"✔ MASTER",IF($S920&lt;TODAY(),"⚠ TRỄ ÔN",IF($S920=TODAY(),"◆ ÔN HÔM NAY","✔ Đúng tiến độ")))))</f>
        <v>• Chưa tới</v>
      </c>
      <c r="U920" s="38" t="n">
        <f aca="false">IF($H920="","",$R920/5)</f>
        <v>0</v>
      </c>
    </row>
    <row r="921" customFormat="false" ht="15" hidden="false" customHeight="false" outlineLevel="0" collapsed="false">
      <c r="A921" s="31" t="s">
        <v>5547</v>
      </c>
      <c r="B921" s="31" t="n">
        <v>46</v>
      </c>
      <c r="C921" s="32" t="n">
        <f aca="false">SETTINGS!$C$3+$B921-1</f>
        <v>46345</v>
      </c>
      <c r="D921" s="40" t="s">
        <v>3692</v>
      </c>
      <c r="E921" s="34" t="s">
        <v>5445</v>
      </c>
      <c r="F921" s="34" t="s">
        <v>183</v>
      </c>
      <c r="G921" s="34" t="s">
        <v>5548</v>
      </c>
      <c r="H921" s="35" t="s">
        <v>5549</v>
      </c>
      <c r="I921" s="36" t="s">
        <v>5550</v>
      </c>
      <c r="J921" s="34" t="s">
        <v>5551</v>
      </c>
      <c r="K921" s="34" t="s">
        <v>5552</v>
      </c>
      <c r="L921" s="37"/>
      <c r="M921" s="37"/>
      <c r="N921" s="37"/>
      <c r="O921" s="37"/>
      <c r="P921" s="37"/>
      <c r="Q921" s="37"/>
      <c r="R921" s="31" t="n">
        <f aca="false">COUNT($M921:$Q921)</f>
        <v>0</v>
      </c>
      <c r="S921" s="32" t="str">
        <f aca="false">IF($L921="","",IF($R921&gt;=5,"",MAX($L921:$Q921)+CHOOSE($R921+1,SETTINGS!$C$9,SETTINGS!$C$10,SETTINGS!$C$11,SETTINGS!$C$12,SETTINGS!$C$13)))</f>
        <v/>
      </c>
      <c r="T921" s="34" t="str">
        <f aca="true">IF($H921="","(chưa có nội dung)",IF($L921="",IF($C921&lt;TODAY(),"⚠ TRỄ HỌC",IF($C921=TODAY(),"★ HỌC HÔM NAY","• Chưa tới")),IF($R921&gt;=5,"✔ MASTER",IF($S921&lt;TODAY(),"⚠ TRỄ ÔN",IF($S921=TODAY(),"◆ ÔN HÔM NAY","✔ Đúng tiến độ")))))</f>
        <v>• Chưa tới</v>
      </c>
      <c r="U921" s="38" t="n">
        <f aca="false">IF($H921="","",$R921/5)</f>
        <v>0</v>
      </c>
    </row>
    <row r="922" customFormat="false" ht="15" hidden="false" customHeight="false" outlineLevel="0" collapsed="false">
      <c r="A922" s="31" t="s">
        <v>5553</v>
      </c>
      <c r="B922" s="31" t="n">
        <v>46</v>
      </c>
      <c r="C922" s="32" t="n">
        <f aca="false">SETTINGS!$C$3+$B922-1</f>
        <v>46345</v>
      </c>
      <c r="D922" s="40" t="s">
        <v>3692</v>
      </c>
      <c r="E922" s="34" t="s">
        <v>5445</v>
      </c>
      <c r="F922" s="34" t="s">
        <v>202</v>
      </c>
      <c r="G922" s="34" t="s">
        <v>5554</v>
      </c>
      <c r="H922" s="35" t="s">
        <v>5555</v>
      </c>
      <c r="I922" s="36" t="s">
        <v>5556</v>
      </c>
      <c r="J922" s="34" t="s">
        <v>5557</v>
      </c>
      <c r="K922" s="34" t="s">
        <v>5558</v>
      </c>
      <c r="L922" s="37"/>
      <c r="M922" s="37"/>
      <c r="N922" s="37"/>
      <c r="O922" s="37"/>
      <c r="P922" s="37"/>
      <c r="Q922" s="37"/>
      <c r="R922" s="31" t="n">
        <f aca="false">COUNT($M922:$Q922)</f>
        <v>0</v>
      </c>
      <c r="S922" s="32" t="str">
        <f aca="false">IF($L922="","",IF($R922&gt;=5,"",MAX($L922:$Q922)+CHOOSE($R922+1,SETTINGS!$C$9,SETTINGS!$C$10,SETTINGS!$C$11,SETTINGS!$C$12,SETTINGS!$C$13)))</f>
        <v/>
      </c>
      <c r="T922" s="34" t="str">
        <f aca="true">IF($H922="","(chưa có nội dung)",IF($L922="",IF($C922&lt;TODAY(),"⚠ TRỄ HỌC",IF($C922=TODAY(),"★ HỌC HÔM NAY","• Chưa tới")),IF($R922&gt;=5,"✔ MASTER",IF($S922&lt;TODAY(),"⚠ TRỄ ÔN",IF($S922=TODAY(),"◆ ÔN HÔM NAY","✔ Đúng tiến độ")))))</f>
        <v>• Chưa tới</v>
      </c>
      <c r="U922" s="38" t="n">
        <f aca="false">IF($H922="","",$R922/5)</f>
        <v>0</v>
      </c>
    </row>
    <row r="923" customFormat="false" ht="23.85" hidden="false" customHeight="false" outlineLevel="0" collapsed="false">
      <c r="A923" s="31" t="s">
        <v>5559</v>
      </c>
      <c r="B923" s="31" t="n">
        <v>47</v>
      </c>
      <c r="C923" s="32" t="n">
        <f aca="false">SETTINGS!$C$3+$B923-1</f>
        <v>46346</v>
      </c>
      <c r="D923" s="40" t="s">
        <v>3692</v>
      </c>
      <c r="E923" s="34" t="s">
        <v>5560</v>
      </c>
      <c r="F923" s="34" t="s">
        <v>280</v>
      </c>
      <c r="G923" s="34" t="s">
        <v>5561</v>
      </c>
      <c r="H923" s="35" t="s">
        <v>5562</v>
      </c>
      <c r="I923" s="36" t="s">
        <v>5563</v>
      </c>
      <c r="J923" s="34" t="s">
        <v>5564</v>
      </c>
      <c r="K923" s="34" t="s">
        <v>5565</v>
      </c>
      <c r="L923" s="37"/>
      <c r="M923" s="37"/>
      <c r="N923" s="37"/>
      <c r="O923" s="37"/>
      <c r="P923" s="37"/>
      <c r="Q923" s="37"/>
      <c r="R923" s="31" t="n">
        <f aca="false">COUNT($M923:$Q923)</f>
        <v>0</v>
      </c>
      <c r="S923" s="32" t="str">
        <f aca="false">IF($L923="","",IF($R923&gt;=5,"",MAX($L923:$Q923)+CHOOSE($R923+1,SETTINGS!$C$9,SETTINGS!$C$10,SETTINGS!$C$11,SETTINGS!$C$12,SETTINGS!$C$13)))</f>
        <v/>
      </c>
      <c r="T923" s="34" t="str">
        <f aca="true">IF($H923="","(chưa có nội dung)",IF($L923="",IF($C923&lt;TODAY(),"⚠ TRỄ HỌC",IF($C923=TODAY(),"★ HỌC HÔM NAY","• Chưa tới")),IF($R923&gt;=5,"✔ MASTER",IF($S923&lt;TODAY(),"⚠ TRỄ ÔN",IF($S923=TODAY(),"◆ ÔN HÔM NAY","✔ Đúng tiến độ")))))</f>
        <v>• Chưa tới</v>
      </c>
      <c r="U923" s="38" t="n">
        <f aca="false">IF($H923="","",$R923/5)</f>
        <v>0</v>
      </c>
    </row>
    <row r="924" customFormat="false" ht="23.85" hidden="false" customHeight="false" outlineLevel="0" collapsed="false">
      <c r="A924" s="31" t="s">
        <v>5566</v>
      </c>
      <c r="B924" s="31" t="n">
        <v>47</v>
      </c>
      <c r="C924" s="32" t="n">
        <f aca="false">SETTINGS!$C$3+$B924-1</f>
        <v>46346</v>
      </c>
      <c r="D924" s="40" t="s">
        <v>3692</v>
      </c>
      <c r="E924" s="34" t="s">
        <v>5560</v>
      </c>
      <c r="F924" s="34" t="s">
        <v>163</v>
      </c>
      <c r="G924" s="34" t="s">
        <v>5567</v>
      </c>
      <c r="H924" s="35" t="s">
        <v>5568</v>
      </c>
      <c r="I924" s="36" t="s">
        <v>5569</v>
      </c>
      <c r="J924" s="34" t="s">
        <v>5570</v>
      </c>
      <c r="K924" s="34" t="s">
        <v>5571</v>
      </c>
      <c r="L924" s="37"/>
      <c r="M924" s="37"/>
      <c r="N924" s="37"/>
      <c r="O924" s="37"/>
      <c r="P924" s="37"/>
      <c r="Q924" s="37"/>
      <c r="R924" s="31" t="n">
        <f aca="false">COUNT($M924:$Q924)</f>
        <v>0</v>
      </c>
      <c r="S924" s="32" t="str">
        <f aca="false">IF($L924="","",IF($R924&gt;=5,"",MAX($L924:$Q924)+CHOOSE($R924+1,SETTINGS!$C$9,SETTINGS!$C$10,SETTINGS!$C$11,SETTINGS!$C$12,SETTINGS!$C$13)))</f>
        <v/>
      </c>
      <c r="T924" s="34" t="str">
        <f aca="true">IF($H924="","(chưa có nội dung)",IF($L924="",IF($C924&lt;TODAY(),"⚠ TRỄ HỌC",IF($C924=TODAY(),"★ HỌC HÔM NAY","• Chưa tới")),IF($R924&gt;=5,"✔ MASTER",IF($S924&lt;TODAY(),"⚠ TRỄ ÔN",IF($S924=TODAY(),"◆ ÔN HÔM NAY","✔ Đúng tiến độ")))))</f>
        <v>• Chưa tới</v>
      </c>
      <c r="U924" s="38" t="n">
        <f aca="false">IF($H924="","",$R924/5)</f>
        <v>0</v>
      </c>
    </row>
    <row r="925" customFormat="false" ht="23.85" hidden="false" customHeight="false" outlineLevel="0" collapsed="false">
      <c r="A925" s="31" t="s">
        <v>5572</v>
      </c>
      <c r="B925" s="31" t="n">
        <v>47</v>
      </c>
      <c r="C925" s="32" t="n">
        <f aca="false">SETTINGS!$C$3+$B925-1</f>
        <v>46346</v>
      </c>
      <c r="D925" s="40" t="s">
        <v>3692</v>
      </c>
      <c r="E925" s="34" t="s">
        <v>5560</v>
      </c>
      <c r="F925" s="34" t="s">
        <v>280</v>
      </c>
      <c r="G925" s="34" t="s">
        <v>1171</v>
      </c>
      <c r="H925" s="35" t="s">
        <v>5573</v>
      </c>
      <c r="I925" s="36" t="s">
        <v>5574</v>
      </c>
      <c r="J925" s="34" t="s">
        <v>5575</v>
      </c>
      <c r="K925" s="34" t="s">
        <v>4363</v>
      </c>
      <c r="L925" s="37"/>
      <c r="M925" s="37"/>
      <c r="N925" s="37"/>
      <c r="O925" s="37"/>
      <c r="P925" s="37"/>
      <c r="Q925" s="37"/>
      <c r="R925" s="31" t="n">
        <f aca="false">COUNT($M925:$Q925)</f>
        <v>0</v>
      </c>
      <c r="S925" s="32" t="str">
        <f aca="false">IF($L925="","",IF($R925&gt;=5,"",MAX($L925:$Q925)+CHOOSE($R925+1,SETTINGS!$C$9,SETTINGS!$C$10,SETTINGS!$C$11,SETTINGS!$C$12,SETTINGS!$C$13)))</f>
        <v/>
      </c>
      <c r="T925" s="34" t="str">
        <f aca="true">IF($H925="","(chưa có nội dung)",IF($L925="",IF($C925&lt;TODAY(),"⚠ TRỄ HỌC",IF($C925=TODAY(),"★ HỌC HÔM NAY","• Chưa tới")),IF($R925&gt;=5,"✔ MASTER",IF($S925&lt;TODAY(),"⚠ TRỄ ÔN",IF($S925=TODAY(),"◆ ÔN HÔM NAY","✔ Đúng tiến độ")))))</f>
        <v>• Chưa tới</v>
      </c>
      <c r="U925" s="38" t="n">
        <f aca="false">IF($H925="","",$R925/5)</f>
        <v>0</v>
      </c>
    </row>
    <row r="926" customFormat="false" ht="23.85" hidden="false" customHeight="false" outlineLevel="0" collapsed="false">
      <c r="A926" s="31" t="s">
        <v>5576</v>
      </c>
      <c r="B926" s="31" t="n">
        <v>47</v>
      </c>
      <c r="C926" s="32" t="n">
        <f aca="false">SETTINGS!$C$3+$B926-1</f>
        <v>46346</v>
      </c>
      <c r="D926" s="40" t="s">
        <v>3692</v>
      </c>
      <c r="E926" s="34" t="s">
        <v>5560</v>
      </c>
      <c r="F926" s="34" t="s">
        <v>280</v>
      </c>
      <c r="G926" s="34" t="s">
        <v>5577</v>
      </c>
      <c r="H926" s="35" t="s">
        <v>5578</v>
      </c>
      <c r="I926" s="36" t="s">
        <v>5579</v>
      </c>
      <c r="J926" s="34" t="s">
        <v>5580</v>
      </c>
      <c r="K926" s="34" t="s">
        <v>5581</v>
      </c>
      <c r="L926" s="37"/>
      <c r="M926" s="37"/>
      <c r="N926" s="37"/>
      <c r="O926" s="37"/>
      <c r="P926" s="37"/>
      <c r="Q926" s="37"/>
      <c r="R926" s="31" t="n">
        <f aca="false">COUNT($M926:$Q926)</f>
        <v>0</v>
      </c>
      <c r="S926" s="32" t="str">
        <f aca="false">IF($L926="","",IF($R926&gt;=5,"",MAX($L926:$Q926)+CHOOSE($R926+1,SETTINGS!$C$9,SETTINGS!$C$10,SETTINGS!$C$11,SETTINGS!$C$12,SETTINGS!$C$13)))</f>
        <v/>
      </c>
      <c r="T926" s="34" t="str">
        <f aca="true">IF($H926="","(chưa có nội dung)",IF($L926="",IF($C926&lt;TODAY(),"⚠ TRỄ HỌC",IF($C926=TODAY(),"★ HỌC HÔM NAY","• Chưa tới")),IF($R926&gt;=5,"✔ MASTER",IF($S926&lt;TODAY(),"⚠ TRỄ ÔN",IF($S926=TODAY(),"◆ ÔN HÔM NAY","✔ Đúng tiến độ")))))</f>
        <v>• Chưa tới</v>
      </c>
      <c r="U926" s="38" t="n">
        <f aca="false">IF($H926="","",$R926/5)</f>
        <v>0</v>
      </c>
    </row>
    <row r="927" customFormat="false" ht="23.85" hidden="false" customHeight="false" outlineLevel="0" collapsed="false">
      <c r="A927" s="31" t="s">
        <v>5582</v>
      </c>
      <c r="B927" s="31" t="n">
        <v>47</v>
      </c>
      <c r="C927" s="32" t="n">
        <f aca="false">SETTINGS!$C$3+$B927-1</f>
        <v>46346</v>
      </c>
      <c r="D927" s="40" t="s">
        <v>3692</v>
      </c>
      <c r="E927" s="34" t="s">
        <v>5560</v>
      </c>
      <c r="F927" s="34" t="s">
        <v>280</v>
      </c>
      <c r="G927" s="34" t="s">
        <v>5583</v>
      </c>
      <c r="H927" s="35" t="s">
        <v>5584</v>
      </c>
      <c r="I927" s="36" t="s">
        <v>5585</v>
      </c>
      <c r="J927" s="34" t="s">
        <v>5586</v>
      </c>
      <c r="K927" s="34" t="s">
        <v>5587</v>
      </c>
      <c r="L927" s="37"/>
      <c r="M927" s="37"/>
      <c r="N927" s="37"/>
      <c r="O927" s="37"/>
      <c r="P927" s="37"/>
      <c r="Q927" s="37"/>
      <c r="R927" s="31" t="n">
        <f aca="false">COUNT($M927:$Q927)</f>
        <v>0</v>
      </c>
      <c r="S927" s="32" t="str">
        <f aca="false">IF($L927="","",IF($R927&gt;=5,"",MAX($L927:$Q927)+CHOOSE($R927+1,SETTINGS!$C$9,SETTINGS!$C$10,SETTINGS!$C$11,SETTINGS!$C$12,SETTINGS!$C$13)))</f>
        <v/>
      </c>
      <c r="T927" s="34" t="str">
        <f aca="true">IF($H927="","(chưa có nội dung)",IF($L927="",IF($C927&lt;TODAY(),"⚠ TRỄ HỌC",IF($C927=TODAY(),"★ HỌC HÔM NAY","• Chưa tới")),IF($R927&gt;=5,"✔ MASTER",IF($S927&lt;TODAY(),"⚠ TRỄ ÔN",IF($S927=TODAY(),"◆ ÔN HÔM NAY","✔ Đúng tiến độ")))))</f>
        <v>• Chưa tới</v>
      </c>
      <c r="U927" s="38" t="n">
        <f aca="false">IF($H927="","",$R927/5)</f>
        <v>0</v>
      </c>
    </row>
    <row r="928" customFormat="false" ht="23.85" hidden="false" customHeight="false" outlineLevel="0" collapsed="false">
      <c r="A928" s="31" t="s">
        <v>5588</v>
      </c>
      <c r="B928" s="31" t="n">
        <v>47</v>
      </c>
      <c r="C928" s="32" t="n">
        <f aca="false">SETTINGS!$C$3+$B928-1</f>
        <v>46346</v>
      </c>
      <c r="D928" s="40" t="s">
        <v>3692</v>
      </c>
      <c r="E928" s="34" t="s">
        <v>5560</v>
      </c>
      <c r="F928" s="34" t="s">
        <v>163</v>
      </c>
      <c r="G928" s="34" t="s">
        <v>5589</v>
      </c>
      <c r="H928" s="35" t="s">
        <v>5590</v>
      </c>
      <c r="I928" s="36" t="s">
        <v>5591</v>
      </c>
      <c r="J928" s="34" t="s">
        <v>5592</v>
      </c>
      <c r="K928" s="34" t="s">
        <v>5593</v>
      </c>
      <c r="L928" s="37"/>
      <c r="M928" s="37"/>
      <c r="N928" s="37"/>
      <c r="O928" s="37"/>
      <c r="P928" s="37"/>
      <c r="Q928" s="37"/>
      <c r="R928" s="31" t="n">
        <f aca="false">COUNT($M928:$Q928)</f>
        <v>0</v>
      </c>
      <c r="S928" s="32" t="str">
        <f aca="false">IF($L928="","",IF($R928&gt;=5,"",MAX($L928:$Q928)+CHOOSE($R928+1,SETTINGS!$C$9,SETTINGS!$C$10,SETTINGS!$C$11,SETTINGS!$C$12,SETTINGS!$C$13)))</f>
        <v/>
      </c>
      <c r="T928" s="34" t="str">
        <f aca="true">IF($H928="","(chưa có nội dung)",IF($L928="",IF($C928&lt;TODAY(),"⚠ TRỄ HỌC",IF($C928=TODAY(),"★ HỌC HÔM NAY","• Chưa tới")),IF($R928&gt;=5,"✔ MASTER",IF($S928&lt;TODAY(),"⚠ TRỄ ÔN",IF($S928=TODAY(),"◆ ÔN HÔM NAY","✔ Đúng tiến độ")))))</f>
        <v>• Chưa tới</v>
      </c>
      <c r="U928" s="38" t="n">
        <f aca="false">IF($H928="","",$R928/5)</f>
        <v>0</v>
      </c>
    </row>
    <row r="929" customFormat="false" ht="23.85" hidden="false" customHeight="false" outlineLevel="0" collapsed="false">
      <c r="A929" s="31" t="s">
        <v>5594</v>
      </c>
      <c r="B929" s="31" t="n">
        <v>47</v>
      </c>
      <c r="C929" s="32" t="n">
        <f aca="false">SETTINGS!$C$3+$B929-1</f>
        <v>46346</v>
      </c>
      <c r="D929" s="40" t="s">
        <v>3692</v>
      </c>
      <c r="E929" s="34" t="s">
        <v>5560</v>
      </c>
      <c r="F929" s="34" t="s">
        <v>280</v>
      </c>
      <c r="G929" s="34" t="s">
        <v>5595</v>
      </c>
      <c r="H929" s="35" t="s">
        <v>5596</v>
      </c>
      <c r="I929" s="36" t="s">
        <v>5597</v>
      </c>
      <c r="J929" s="34" t="s">
        <v>5598</v>
      </c>
      <c r="K929" s="34" t="s">
        <v>5599</v>
      </c>
      <c r="L929" s="37"/>
      <c r="M929" s="37"/>
      <c r="N929" s="37"/>
      <c r="O929" s="37"/>
      <c r="P929" s="37"/>
      <c r="Q929" s="37"/>
      <c r="R929" s="31" t="n">
        <f aca="false">COUNT($M929:$Q929)</f>
        <v>0</v>
      </c>
      <c r="S929" s="32" t="str">
        <f aca="false">IF($L929="","",IF($R929&gt;=5,"",MAX($L929:$Q929)+CHOOSE($R929+1,SETTINGS!$C$9,SETTINGS!$C$10,SETTINGS!$C$11,SETTINGS!$C$12,SETTINGS!$C$13)))</f>
        <v/>
      </c>
      <c r="T929" s="34" t="str">
        <f aca="true">IF($H929="","(chưa có nội dung)",IF($L929="",IF($C929&lt;TODAY(),"⚠ TRỄ HỌC",IF($C929=TODAY(),"★ HỌC HÔM NAY","• Chưa tới")),IF($R929&gt;=5,"✔ MASTER",IF($S929&lt;TODAY(),"⚠ TRỄ ÔN",IF($S929=TODAY(),"◆ ÔN HÔM NAY","✔ Đúng tiến độ")))))</f>
        <v>• Chưa tới</v>
      </c>
      <c r="U929" s="38" t="n">
        <f aca="false">IF($H929="","",$R929/5)</f>
        <v>0</v>
      </c>
    </row>
    <row r="930" customFormat="false" ht="23.85" hidden="false" customHeight="false" outlineLevel="0" collapsed="false">
      <c r="A930" s="31" t="s">
        <v>5600</v>
      </c>
      <c r="B930" s="31" t="n">
        <v>47</v>
      </c>
      <c r="C930" s="32" t="n">
        <f aca="false">SETTINGS!$C$3+$B930-1</f>
        <v>46346</v>
      </c>
      <c r="D930" s="40" t="s">
        <v>3692</v>
      </c>
      <c r="E930" s="34" t="s">
        <v>5560</v>
      </c>
      <c r="F930" s="34" t="s">
        <v>280</v>
      </c>
      <c r="G930" s="34" t="s">
        <v>4232</v>
      </c>
      <c r="H930" s="35" t="s">
        <v>5601</v>
      </c>
      <c r="I930" s="36" t="s">
        <v>5602</v>
      </c>
      <c r="J930" s="34" t="s">
        <v>5603</v>
      </c>
      <c r="K930" s="34" t="s">
        <v>5604</v>
      </c>
      <c r="L930" s="37"/>
      <c r="M930" s="37"/>
      <c r="N930" s="37"/>
      <c r="O930" s="37"/>
      <c r="P930" s="37"/>
      <c r="Q930" s="37"/>
      <c r="R930" s="31" t="n">
        <f aca="false">COUNT($M930:$Q930)</f>
        <v>0</v>
      </c>
      <c r="S930" s="32" t="str">
        <f aca="false">IF($L930="","",IF($R930&gt;=5,"",MAX($L930:$Q930)+CHOOSE($R930+1,SETTINGS!$C$9,SETTINGS!$C$10,SETTINGS!$C$11,SETTINGS!$C$12,SETTINGS!$C$13)))</f>
        <v/>
      </c>
      <c r="T930" s="34" t="str">
        <f aca="true">IF($H930="","(chưa có nội dung)",IF($L930="",IF($C930&lt;TODAY(),"⚠ TRỄ HỌC",IF($C930=TODAY(),"★ HỌC HÔM NAY","• Chưa tới")),IF($R930&gt;=5,"✔ MASTER",IF($S930&lt;TODAY(),"⚠ TRỄ ÔN",IF($S930=TODAY(),"◆ ÔN HÔM NAY","✔ Đúng tiến độ")))))</f>
        <v>• Chưa tới</v>
      </c>
      <c r="U930" s="38" t="n">
        <f aca="false">IF($H930="","",$R930/5)</f>
        <v>0</v>
      </c>
    </row>
    <row r="931" customFormat="false" ht="23.85" hidden="false" customHeight="false" outlineLevel="0" collapsed="false">
      <c r="A931" s="31" t="s">
        <v>5605</v>
      </c>
      <c r="B931" s="31" t="n">
        <v>47</v>
      </c>
      <c r="C931" s="32" t="n">
        <f aca="false">SETTINGS!$C$3+$B931-1</f>
        <v>46346</v>
      </c>
      <c r="D931" s="40" t="s">
        <v>3692</v>
      </c>
      <c r="E931" s="34" t="s">
        <v>5560</v>
      </c>
      <c r="F931" s="34" t="s">
        <v>280</v>
      </c>
      <c r="G931" s="34" t="s">
        <v>5606</v>
      </c>
      <c r="H931" s="35" t="s">
        <v>5607</v>
      </c>
      <c r="I931" s="36" t="s">
        <v>5608</v>
      </c>
      <c r="J931" s="34" t="s">
        <v>5609</v>
      </c>
      <c r="K931" s="34" t="s">
        <v>5610</v>
      </c>
      <c r="L931" s="37"/>
      <c r="M931" s="37"/>
      <c r="N931" s="37"/>
      <c r="O931" s="37"/>
      <c r="P931" s="37"/>
      <c r="Q931" s="37"/>
      <c r="R931" s="31" t="n">
        <f aca="false">COUNT($M931:$Q931)</f>
        <v>0</v>
      </c>
      <c r="S931" s="32" t="str">
        <f aca="false">IF($L931="","",IF($R931&gt;=5,"",MAX($L931:$Q931)+CHOOSE($R931+1,SETTINGS!$C$9,SETTINGS!$C$10,SETTINGS!$C$11,SETTINGS!$C$12,SETTINGS!$C$13)))</f>
        <v/>
      </c>
      <c r="T931" s="34" t="str">
        <f aca="true">IF($H931="","(chưa có nội dung)",IF($L931="",IF($C931&lt;TODAY(),"⚠ TRỄ HỌC",IF($C931=TODAY(),"★ HỌC HÔM NAY","• Chưa tới")),IF($R931&gt;=5,"✔ MASTER",IF($S931&lt;TODAY(),"⚠ TRỄ ÔN",IF($S931=TODAY(),"◆ ÔN HÔM NAY","✔ Đúng tiến độ")))))</f>
        <v>• Chưa tới</v>
      </c>
      <c r="U931" s="38" t="n">
        <f aca="false">IF($H931="","",$R931/5)</f>
        <v>0</v>
      </c>
    </row>
    <row r="932" customFormat="false" ht="23.85" hidden="false" customHeight="false" outlineLevel="0" collapsed="false">
      <c r="A932" s="31" t="s">
        <v>5611</v>
      </c>
      <c r="B932" s="31" t="n">
        <v>47</v>
      </c>
      <c r="C932" s="32" t="n">
        <f aca="false">SETTINGS!$C$3+$B932-1</f>
        <v>46346</v>
      </c>
      <c r="D932" s="40" t="s">
        <v>3692</v>
      </c>
      <c r="E932" s="34" t="s">
        <v>5560</v>
      </c>
      <c r="F932" s="34" t="s">
        <v>280</v>
      </c>
      <c r="G932" s="34" t="s">
        <v>5612</v>
      </c>
      <c r="H932" s="35" t="s">
        <v>5613</v>
      </c>
      <c r="I932" s="36" t="s">
        <v>5614</v>
      </c>
      <c r="J932" s="34" t="s">
        <v>5615</v>
      </c>
      <c r="K932" s="34" t="s">
        <v>5616</v>
      </c>
      <c r="L932" s="37"/>
      <c r="M932" s="37"/>
      <c r="N932" s="37"/>
      <c r="O932" s="37"/>
      <c r="P932" s="37"/>
      <c r="Q932" s="37"/>
      <c r="R932" s="31" t="n">
        <f aca="false">COUNT($M932:$Q932)</f>
        <v>0</v>
      </c>
      <c r="S932" s="32" t="str">
        <f aca="false">IF($L932="","",IF($R932&gt;=5,"",MAX($L932:$Q932)+CHOOSE($R932+1,SETTINGS!$C$9,SETTINGS!$C$10,SETTINGS!$C$11,SETTINGS!$C$12,SETTINGS!$C$13)))</f>
        <v/>
      </c>
      <c r="T932" s="34" t="str">
        <f aca="true">IF($H932="","(chưa có nội dung)",IF($L932="",IF($C932&lt;TODAY(),"⚠ TRỄ HỌC",IF($C932=TODAY(),"★ HỌC HÔM NAY","• Chưa tới")),IF($R932&gt;=5,"✔ MASTER",IF($S932&lt;TODAY(),"⚠ TRỄ ÔN",IF($S932=TODAY(),"◆ ÔN HÔM NAY","✔ Đúng tiến độ")))))</f>
        <v>• Chưa tới</v>
      </c>
      <c r="U932" s="38" t="n">
        <f aca="false">IF($H932="","",$R932/5)</f>
        <v>0</v>
      </c>
    </row>
    <row r="933" customFormat="false" ht="23.85" hidden="false" customHeight="false" outlineLevel="0" collapsed="false">
      <c r="A933" s="31" t="s">
        <v>5617</v>
      </c>
      <c r="B933" s="31" t="n">
        <v>47</v>
      </c>
      <c r="C933" s="32" t="n">
        <f aca="false">SETTINGS!$C$3+$B933-1</f>
        <v>46346</v>
      </c>
      <c r="D933" s="40" t="s">
        <v>3692</v>
      </c>
      <c r="E933" s="34" t="s">
        <v>5560</v>
      </c>
      <c r="F933" s="34" t="s">
        <v>280</v>
      </c>
      <c r="G933" s="34" t="s">
        <v>5618</v>
      </c>
      <c r="H933" s="35" t="s">
        <v>5619</v>
      </c>
      <c r="I933" s="36" t="s">
        <v>5620</v>
      </c>
      <c r="J933" s="34" t="s">
        <v>5621</v>
      </c>
      <c r="K933" s="34" t="s">
        <v>5622</v>
      </c>
      <c r="L933" s="37"/>
      <c r="M933" s="37"/>
      <c r="N933" s="37"/>
      <c r="O933" s="37"/>
      <c r="P933" s="37"/>
      <c r="Q933" s="37"/>
      <c r="R933" s="31" t="n">
        <f aca="false">COUNT($M933:$Q933)</f>
        <v>0</v>
      </c>
      <c r="S933" s="32" t="str">
        <f aca="false">IF($L933="","",IF($R933&gt;=5,"",MAX($L933:$Q933)+CHOOSE($R933+1,SETTINGS!$C$9,SETTINGS!$C$10,SETTINGS!$C$11,SETTINGS!$C$12,SETTINGS!$C$13)))</f>
        <v/>
      </c>
      <c r="T933" s="34" t="str">
        <f aca="true">IF($H933="","(chưa có nội dung)",IF($L933="",IF($C933&lt;TODAY(),"⚠ TRỄ HỌC",IF($C933=TODAY(),"★ HỌC HÔM NAY","• Chưa tới")),IF($R933&gt;=5,"✔ MASTER",IF($S933&lt;TODAY(),"⚠ TRỄ ÔN",IF($S933=TODAY(),"◆ ÔN HÔM NAY","✔ Đúng tiến độ")))))</f>
        <v>• Chưa tới</v>
      </c>
      <c r="U933" s="38" t="n">
        <f aca="false">IF($H933="","",$R933/5)</f>
        <v>0</v>
      </c>
    </row>
    <row r="934" customFormat="false" ht="23.85" hidden="false" customHeight="false" outlineLevel="0" collapsed="false">
      <c r="A934" s="31" t="s">
        <v>5623</v>
      </c>
      <c r="B934" s="31" t="n">
        <v>47</v>
      </c>
      <c r="C934" s="32" t="n">
        <f aca="false">SETTINGS!$C$3+$B934-1</f>
        <v>46346</v>
      </c>
      <c r="D934" s="40" t="s">
        <v>3692</v>
      </c>
      <c r="E934" s="34" t="s">
        <v>5560</v>
      </c>
      <c r="F934" s="34" t="s">
        <v>3694</v>
      </c>
      <c r="G934" s="34" t="s">
        <v>5624</v>
      </c>
      <c r="H934" s="35" t="s">
        <v>5625</v>
      </c>
      <c r="I934" s="36" t="s">
        <v>5626</v>
      </c>
      <c r="J934" s="34" t="s">
        <v>5627</v>
      </c>
      <c r="K934" s="34" t="s">
        <v>5628</v>
      </c>
      <c r="L934" s="37"/>
      <c r="M934" s="37"/>
      <c r="N934" s="37"/>
      <c r="O934" s="37"/>
      <c r="P934" s="37"/>
      <c r="Q934" s="37"/>
      <c r="R934" s="31" t="n">
        <f aca="false">COUNT($M934:$Q934)</f>
        <v>0</v>
      </c>
      <c r="S934" s="32" t="str">
        <f aca="false">IF($L934="","",IF($R934&gt;=5,"",MAX($L934:$Q934)+CHOOSE($R934+1,SETTINGS!$C$9,SETTINGS!$C$10,SETTINGS!$C$11,SETTINGS!$C$12,SETTINGS!$C$13)))</f>
        <v/>
      </c>
      <c r="T934" s="34" t="str">
        <f aca="true">IF($H934="","(chưa có nội dung)",IF($L934="",IF($C934&lt;TODAY(),"⚠ TRỄ HỌC",IF($C934=TODAY(),"★ HỌC HÔM NAY","• Chưa tới")),IF($R934&gt;=5,"✔ MASTER",IF($S934&lt;TODAY(),"⚠ TRỄ ÔN",IF($S934=TODAY(),"◆ ÔN HÔM NAY","✔ Đúng tiến độ")))))</f>
        <v>• Chưa tới</v>
      </c>
      <c r="U934" s="38" t="n">
        <f aca="false">IF($H934="","",$R934/5)</f>
        <v>0</v>
      </c>
    </row>
    <row r="935" customFormat="false" ht="23.85" hidden="false" customHeight="false" outlineLevel="0" collapsed="false">
      <c r="A935" s="31" t="s">
        <v>5629</v>
      </c>
      <c r="B935" s="31" t="n">
        <v>47</v>
      </c>
      <c r="C935" s="32" t="n">
        <f aca="false">SETTINGS!$C$3+$B935-1</f>
        <v>46346</v>
      </c>
      <c r="D935" s="40" t="s">
        <v>3692</v>
      </c>
      <c r="E935" s="34" t="s">
        <v>5560</v>
      </c>
      <c r="F935" s="34" t="s">
        <v>183</v>
      </c>
      <c r="G935" s="34" t="s">
        <v>5630</v>
      </c>
      <c r="H935" s="35" t="s">
        <v>5631</v>
      </c>
      <c r="I935" s="36" t="s">
        <v>5632</v>
      </c>
      <c r="J935" s="34" t="s">
        <v>5633</v>
      </c>
      <c r="K935" s="34" t="s">
        <v>5634</v>
      </c>
      <c r="L935" s="37"/>
      <c r="M935" s="37"/>
      <c r="N935" s="37"/>
      <c r="O935" s="37"/>
      <c r="P935" s="37"/>
      <c r="Q935" s="37"/>
      <c r="R935" s="31" t="n">
        <f aca="false">COUNT($M935:$Q935)</f>
        <v>0</v>
      </c>
      <c r="S935" s="32" t="str">
        <f aca="false">IF($L935="","",IF($R935&gt;=5,"",MAX($L935:$Q935)+CHOOSE($R935+1,SETTINGS!$C$9,SETTINGS!$C$10,SETTINGS!$C$11,SETTINGS!$C$12,SETTINGS!$C$13)))</f>
        <v/>
      </c>
      <c r="T935" s="34" t="str">
        <f aca="true">IF($H935="","(chưa có nội dung)",IF($L935="",IF($C935&lt;TODAY(),"⚠ TRỄ HỌC",IF($C935=TODAY(),"★ HỌC HÔM NAY","• Chưa tới")),IF($R935&gt;=5,"✔ MASTER",IF($S935&lt;TODAY(),"⚠ TRỄ ÔN",IF($S935=TODAY(),"◆ ÔN HÔM NAY","✔ Đúng tiến độ")))))</f>
        <v>• Chưa tới</v>
      </c>
      <c r="U935" s="38" t="n">
        <f aca="false">IF($H935="","",$R935/5)</f>
        <v>0</v>
      </c>
    </row>
    <row r="936" customFormat="false" ht="23.85" hidden="false" customHeight="false" outlineLevel="0" collapsed="false">
      <c r="A936" s="31" t="s">
        <v>5635</v>
      </c>
      <c r="B936" s="31" t="n">
        <v>47</v>
      </c>
      <c r="C936" s="32" t="n">
        <f aca="false">SETTINGS!$C$3+$B936-1</f>
        <v>46346</v>
      </c>
      <c r="D936" s="40" t="s">
        <v>3692</v>
      </c>
      <c r="E936" s="34" t="s">
        <v>5560</v>
      </c>
      <c r="F936" s="34" t="s">
        <v>280</v>
      </c>
      <c r="G936" s="34" t="s">
        <v>5080</v>
      </c>
      <c r="H936" s="35" t="s">
        <v>5636</v>
      </c>
      <c r="I936" s="36" t="s">
        <v>5637</v>
      </c>
      <c r="J936" s="34" t="s">
        <v>5638</v>
      </c>
      <c r="K936" s="34" t="s">
        <v>5639</v>
      </c>
      <c r="L936" s="37"/>
      <c r="M936" s="37"/>
      <c r="N936" s="37"/>
      <c r="O936" s="37"/>
      <c r="P936" s="37"/>
      <c r="Q936" s="37"/>
      <c r="R936" s="31" t="n">
        <f aca="false">COUNT($M936:$Q936)</f>
        <v>0</v>
      </c>
      <c r="S936" s="32" t="str">
        <f aca="false">IF($L936="","",IF($R936&gt;=5,"",MAX($L936:$Q936)+CHOOSE($R936+1,SETTINGS!$C$9,SETTINGS!$C$10,SETTINGS!$C$11,SETTINGS!$C$12,SETTINGS!$C$13)))</f>
        <v/>
      </c>
      <c r="T936" s="34" t="str">
        <f aca="true">IF($H936="","(chưa có nội dung)",IF($L936="",IF($C936&lt;TODAY(),"⚠ TRỄ HỌC",IF($C936=TODAY(),"★ HỌC HÔM NAY","• Chưa tới")),IF($R936&gt;=5,"✔ MASTER",IF($S936&lt;TODAY(),"⚠ TRỄ ÔN",IF($S936=TODAY(),"◆ ÔN HÔM NAY","✔ Đúng tiến độ")))))</f>
        <v>• Chưa tới</v>
      </c>
      <c r="U936" s="38" t="n">
        <f aca="false">IF($H936="","",$R936/5)</f>
        <v>0</v>
      </c>
    </row>
    <row r="937" customFormat="false" ht="23.85" hidden="false" customHeight="false" outlineLevel="0" collapsed="false">
      <c r="A937" s="31" t="s">
        <v>5640</v>
      </c>
      <c r="B937" s="31" t="n">
        <v>47</v>
      </c>
      <c r="C937" s="32" t="n">
        <f aca="false">SETTINGS!$C$3+$B937-1</f>
        <v>46346</v>
      </c>
      <c r="D937" s="40" t="s">
        <v>3692</v>
      </c>
      <c r="E937" s="34" t="s">
        <v>5560</v>
      </c>
      <c r="F937" s="34" t="s">
        <v>163</v>
      </c>
      <c r="G937" s="34" t="s">
        <v>5641</v>
      </c>
      <c r="H937" s="35" t="s">
        <v>5642</v>
      </c>
      <c r="I937" s="36" t="s">
        <v>5643</v>
      </c>
      <c r="J937" s="34" t="s">
        <v>5644</v>
      </c>
      <c r="K937" s="34" t="s">
        <v>5513</v>
      </c>
      <c r="L937" s="37"/>
      <c r="M937" s="37"/>
      <c r="N937" s="37"/>
      <c r="O937" s="37"/>
      <c r="P937" s="37"/>
      <c r="Q937" s="37"/>
      <c r="R937" s="31" t="n">
        <f aca="false">COUNT($M937:$Q937)</f>
        <v>0</v>
      </c>
      <c r="S937" s="32" t="str">
        <f aca="false">IF($L937="","",IF($R937&gt;=5,"",MAX($L937:$Q937)+CHOOSE($R937+1,SETTINGS!$C$9,SETTINGS!$C$10,SETTINGS!$C$11,SETTINGS!$C$12,SETTINGS!$C$13)))</f>
        <v/>
      </c>
      <c r="T937" s="34" t="str">
        <f aca="true">IF($H937="","(chưa có nội dung)",IF($L937="",IF($C937&lt;TODAY(),"⚠ TRỄ HỌC",IF($C937=TODAY(),"★ HỌC HÔM NAY","• Chưa tới")),IF($R937&gt;=5,"✔ MASTER",IF($S937&lt;TODAY(),"⚠ TRỄ ÔN",IF($S937=TODAY(),"◆ ÔN HÔM NAY","✔ Đúng tiến độ")))))</f>
        <v>• Chưa tới</v>
      </c>
      <c r="U937" s="38" t="n">
        <f aca="false">IF($H937="","",$R937/5)</f>
        <v>0</v>
      </c>
    </row>
    <row r="938" customFormat="false" ht="23.85" hidden="false" customHeight="false" outlineLevel="0" collapsed="false">
      <c r="A938" s="31" t="s">
        <v>5645</v>
      </c>
      <c r="B938" s="31" t="n">
        <v>47</v>
      </c>
      <c r="C938" s="32" t="n">
        <f aca="false">SETTINGS!$C$3+$B938-1</f>
        <v>46346</v>
      </c>
      <c r="D938" s="40" t="s">
        <v>3692</v>
      </c>
      <c r="E938" s="34" t="s">
        <v>5560</v>
      </c>
      <c r="F938" s="34" t="s">
        <v>183</v>
      </c>
      <c r="G938" s="34" t="s">
        <v>5646</v>
      </c>
      <c r="H938" s="35" t="s">
        <v>5647</v>
      </c>
      <c r="I938" s="36" t="s">
        <v>5648</v>
      </c>
      <c r="J938" s="34" t="s">
        <v>5649</v>
      </c>
      <c r="K938" s="34" t="s">
        <v>5650</v>
      </c>
      <c r="L938" s="37"/>
      <c r="M938" s="37"/>
      <c r="N938" s="37"/>
      <c r="O938" s="37"/>
      <c r="P938" s="37"/>
      <c r="Q938" s="37"/>
      <c r="R938" s="31" t="n">
        <f aca="false">COUNT($M938:$Q938)</f>
        <v>0</v>
      </c>
      <c r="S938" s="32" t="str">
        <f aca="false">IF($L938="","",IF($R938&gt;=5,"",MAX($L938:$Q938)+CHOOSE($R938+1,SETTINGS!$C$9,SETTINGS!$C$10,SETTINGS!$C$11,SETTINGS!$C$12,SETTINGS!$C$13)))</f>
        <v/>
      </c>
      <c r="T938" s="34" t="str">
        <f aca="true">IF($H938="","(chưa có nội dung)",IF($L938="",IF($C938&lt;TODAY(),"⚠ TRỄ HỌC",IF($C938=TODAY(),"★ HỌC HÔM NAY","• Chưa tới")),IF($R938&gt;=5,"✔ MASTER",IF($S938&lt;TODAY(),"⚠ TRỄ ÔN",IF($S938=TODAY(),"◆ ÔN HÔM NAY","✔ Đúng tiến độ")))))</f>
        <v>• Chưa tới</v>
      </c>
      <c r="U938" s="38" t="n">
        <f aca="false">IF($H938="","",$R938/5)</f>
        <v>0</v>
      </c>
    </row>
    <row r="939" customFormat="false" ht="23.85" hidden="false" customHeight="false" outlineLevel="0" collapsed="false">
      <c r="A939" s="31" t="s">
        <v>5651</v>
      </c>
      <c r="B939" s="31" t="n">
        <v>47</v>
      </c>
      <c r="C939" s="32" t="n">
        <f aca="false">SETTINGS!$C$3+$B939-1</f>
        <v>46346</v>
      </c>
      <c r="D939" s="40" t="s">
        <v>3692</v>
      </c>
      <c r="E939" s="34" t="s">
        <v>5560</v>
      </c>
      <c r="F939" s="34" t="s">
        <v>280</v>
      </c>
      <c r="G939" s="34" t="s">
        <v>5652</v>
      </c>
      <c r="H939" s="35" t="s">
        <v>5653</v>
      </c>
      <c r="I939" s="36" t="s">
        <v>5654</v>
      </c>
      <c r="J939" s="34" t="s">
        <v>5655</v>
      </c>
      <c r="K939" s="34" t="s">
        <v>5656</v>
      </c>
      <c r="L939" s="37"/>
      <c r="M939" s="37"/>
      <c r="N939" s="37"/>
      <c r="O939" s="37"/>
      <c r="P939" s="37"/>
      <c r="Q939" s="37"/>
      <c r="R939" s="31" t="n">
        <f aca="false">COUNT($M939:$Q939)</f>
        <v>0</v>
      </c>
      <c r="S939" s="32" t="str">
        <f aca="false">IF($L939="","",IF($R939&gt;=5,"",MAX($L939:$Q939)+CHOOSE($R939+1,SETTINGS!$C$9,SETTINGS!$C$10,SETTINGS!$C$11,SETTINGS!$C$12,SETTINGS!$C$13)))</f>
        <v/>
      </c>
      <c r="T939" s="34" t="str">
        <f aca="true">IF($H939="","(chưa có nội dung)",IF($L939="",IF($C939&lt;TODAY(),"⚠ TRỄ HỌC",IF($C939=TODAY(),"★ HỌC HÔM NAY","• Chưa tới")),IF($R939&gt;=5,"✔ MASTER",IF($S939&lt;TODAY(),"⚠ TRỄ ÔN",IF($S939=TODAY(),"◆ ÔN HÔM NAY","✔ Đúng tiến độ")))))</f>
        <v>• Chưa tới</v>
      </c>
      <c r="U939" s="38" t="n">
        <f aca="false">IF($H939="","",$R939/5)</f>
        <v>0</v>
      </c>
    </row>
    <row r="940" customFormat="false" ht="23.85" hidden="false" customHeight="false" outlineLevel="0" collapsed="false">
      <c r="A940" s="31" t="s">
        <v>5657</v>
      </c>
      <c r="B940" s="31" t="n">
        <v>47</v>
      </c>
      <c r="C940" s="32" t="n">
        <f aca="false">SETTINGS!$C$3+$B940-1</f>
        <v>46346</v>
      </c>
      <c r="D940" s="40" t="s">
        <v>3692</v>
      </c>
      <c r="E940" s="34" t="s">
        <v>5560</v>
      </c>
      <c r="F940" s="34" t="s">
        <v>280</v>
      </c>
      <c r="G940" s="34" t="s">
        <v>5658</v>
      </c>
      <c r="H940" s="35" t="s">
        <v>5659</v>
      </c>
      <c r="I940" s="36" t="s">
        <v>5660</v>
      </c>
      <c r="J940" s="34" t="s">
        <v>5661</v>
      </c>
      <c r="K940" s="34" t="s">
        <v>5662</v>
      </c>
      <c r="L940" s="37"/>
      <c r="M940" s="37"/>
      <c r="N940" s="37"/>
      <c r="O940" s="37"/>
      <c r="P940" s="37"/>
      <c r="Q940" s="37"/>
      <c r="R940" s="31" t="n">
        <f aca="false">COUNT($M940:$Q940)</f>
        <v>0</v>
      </c>
      <c r="S940" s="32" t="str">
        <f aca="false">IF($L940="","",IF($R940&gt;=5,"",MAX($L940:$Q940)+CHOOSE($R940+1,SETTINGS!$C$9,SETTINGS!$C$10,SETTINGS!$C$11,SETTINGS!$C$12,SETTINGS!$C$13)))</f>
        <v/>
      </c>
      <c r="T940" s="34" t="str">
        <f aca="true">IF($H940="","(chưa có nội dung)",IF($L940="",IF($C940&lt;TODAY(),"⚠ TRỄ HỌC",IF($C940=TODAY(),"★ HỌC HÔM NAY","• Chưa tới")),IF($R940&gt;=5,"✔ MASTER",IF($S940&lt;TODAY(),"⚠ TRỄ ÔN",IF($S940=TODAY(),"◆ ÔN HÔM NAY","✔ Đúng tiến độ")))))</f>
        <v>• Chưa tới</v>
      </c>
      <c r="U940" s="38" t="n">
        <f aca="false">IF($H940="","",$R940/5)</f>
        <v>0</v>
      </c>
    </row>
    <row r="941" customFormat="false" ht="23.85" hidden="false" customHeight="false" outlineLevel="0" collapsed="false">
      <c r="A941" s="31" t="s">
        <v>5663</v>
      </c>
      <c r="B941" s="31" t="n">
        <v>47</v>
      </c>
      <c r="C941" s="32" t="n">
        <f aca="false">SETTINGS!$C$3+$B941-1</f>
        <v>46346</v>
      </c>
      <c r="D941" s="40" t="s">
        <v>3692</v>
      </c>
      <c r="E941" s="34" t="s">
        <v>5560</v>
      </c>
      <c r="F941" s="34" t="s">
        <v>280</v>
      </c>
      <c r="G941" s="34" t="s">
        <v>5664</v>
      </c>
      <c r="H941" s="35" t="s">
        <v>5665</v>
      </c>
      <c r="I941" s="36" t="s">
        <v>5666</v>
      </c>
      <c r="J941" s="34" t="s">
        <v>5667</v>
      </c>
      <c r="K941" s="34" t="s">
        <v>5668</v>
      </c>
      <c r="L941" s="37"/>
      <c r="M941" s="37"/>
      <c r="N941" s="37"/>
      <c r="O941" s="37"/>
      <c r="P941" s="37"/>
      <c r="Q941" s="37"/>
      <c r="R941" s="31" t="n">
        <f aca="false">COUNT($M941:$Q941)</f>
        <v>0</v>
      </c>
      <c r="S941" s="32" t="str">
        <f aca="false">IF($L941="","",IF($R941&gt;=5,"",MAX($L941:$Q941)+CHOOSE($R941+1,SETTINGS!$C$9,SETTINGS!$C$10,SETTINGS!$C$11,SETTINGS!$C$12,SETTINGS!$C$13)))</f>
        <v/>
      </c>
      <c r="T941" s="34" t="str">
        <f aca="true">IF($H941="","(chưa có nội dung)",IF($L941="",IF($C941&lt;TODAY(),"⚠ TRỄ HỌC",IF($C941=TODAY(),"★ HỌC HÔM NAY","• Chưa tới")),IF($R941&gt;=5,"✔ MASTER",IF($S941&lt;TODAY(),"⚠ TRỄ ÔN",IF($S941=TODAY(),"◆ ÔN HÔM NAY","✔ Đúng tiến độ")))))</f>
        <v>• Chưa tới</v>
      </c>
      <c r="U941" s="38" t="n">
        <f aca="false">IF($H941="","",$R941/5)</f>
        <v>0</v>
      </c>
    </row>
    <row r="942" customFormat="false" ht="23.85" hidden="false" customHeight="false" outlineLevel="0" collapsed="false">
      <c r="A942" s="31" t="s">
        <v>5669</v>
      </c>
      <c r="B942" s="31" t="n">
        <v>47</v>
      </c>
      <c r="C942" s="32" t="n">
        <f aca="false">SETTINGS!$C$3+$B942-1</f>
        <v>46346</v>
      </c>
      <c r="D942" s="40" t="s">
        <v>3692</v>
      </c>
      <c r="E942" s="34" t="s">
        <v>5560</v>
      </c>
      <c r="F942" s="34" t="s">
        <v>163</v>
      </c>
      <c r="G942" s="34" t="s">
        <v>5670</v>
      </c>
      <c r="H942" s="35" t="s">
        <v>5671</v>
      </c>
      <c r="I942" s="36" t="s">
        <v>5672</v>
      </c>
      <c r="J942" s="34" t="s">
        <v>1997</v>
      </c>
      <c r="K942" s="34" t="s">
        <v>5673</v>
      </c>
      <c r="L942" s="37"/>
      <c r="M942" s="37"/>
      <c r="N942" s="37"/>
      <c r="O942" s="37"/>
      <c r="P942" s="37"/>
      <c r="Q942" s="37"/>
      <c r="R942" s="31" t="n">
        <f aca="false">COUNT($M942:$Q942)</f>
        <v>0</v>
      </c>
      <c r="S942" s="32" t="str">
        <f aca="false">IF($L942="","",IF($R942&gt;=5,"",MAX($L942:$Q942)+CHOOSE($R942+1,SETTINGS!$C$9,SETTINGS!$C$10,SETTINGS!$C$11,SETTINGS!$C$12,SETTINGS!$C$13)))</f>
        <v/>
      </c>
      <c r="T942" s="34" t="str">
        <f aca="true">IF($H942="","(chưa có nội dung)",IF($L942="",IF($C942&lt;TODAY(),"⚠ TRỄ HỌC",IF($C942=TODAY(),"★ HỌC HÔM NAY","• Chưa tới")),IF($R942&gt;=5,"✔ MASTER",IF($S942&lt;TODAY(),"⚠ TRỄ ÔN",IF($S942=TODAY(),"◆ ÔN HÔM NAY","✔ Đúng tiến độ")))))</f>
        <v>• Chưa tới</v>
      </c>
      <c r="U942" s="38" t="n">
        <f aca="false">IF($H942="","",$R942/5)</f>
        <v>0</v>
      </c>
    </row>
    <row r="943" customFormat="false" ht="23.85" hidden="false" customHeight="false" outlineLevel="0" collapsed="false">
      <c r="A943" s="31" t="s">
        <v>5674</v>
      </c>
      <c r="B943" s="31" t="n">
        <v>48</v>
      </c>
      <c r="C943" s="32" t="n">
        <f aca="false">SETTINGS!$C$3+$B943-1</f>
        <v>46347</v>
      </c>
      <c r="D943" s="40" t="s">
        <v>3692</v>
      </c>
      <c r="E943" s="34" t="s">
        <v>5675</v>
      </c>
      <c r="F943" s="34" t="s">
        <v>5676</v>
      </c>
      <c r="G943" s="34" t="s">
        <v>5677</v>
      </c>
      <c r="H943" s="35" t="s">
        <v>5678</v>
      </c>
      <c r="I943" s="36" t="s">
        <v>5679</v>
      </c>
      <c r="J943" s="34" t="s">
        <v>5680</v>
      </c>
      <c r="K943" s="34" t="s">
        <v>5681</v>
      </c>
      <c r="L943" s="37"/>
      <c r="M943" s="37"/>
      <c r="N943" s="37"/>
      <c r="O943" s="37"/>
      <c r="P943" s="37"/>
      <c r="Q943" s="37"/>
      <c r="R943" s="31" t="n">
        <f aca="false">COUNT($M943:$Q943)</f>
        <v>0</v>
      </c>
      <c r="S943" s="32" t="str">
        <f aca="false">IF($L943="","",IF($R943&gt;=5,"",MAX($L943:$Q943)+CHOOSE($R943+1,SETTINGS!$C$9,SETTINGS!$C$10,SETTINGS!$C$11,SETTINGS!$C$12,SETTINGS!$C$13)))</f>
        <v/>
      </c>
      <c r="T943" s="34" t="str">
        <f aca="true">IF($H943="","(chưa có nội dung)",IF($L943="",IF($C943&lt;TODAY(),"⚠ TRỄ HỌC",IF($C943=TODAY(),"★ HỌC HÔM NAY","• Chưa tới")),IF($R943&gt;=5,"✔ MASTER",IF($S943&lt;TODAY(),"⚠ TRỄ ÔN",IF($S943=TODAY(),"◆ ÔN HÔM NAY","✔ Đúng tiến độ")))))</f>
        <v>• Chưa tới</v>
      </c>
      <c r="U943" s="38" t="n">
        <f aca="false">IF($H943="","",$R943/5)</f>
        <v>0</v>
      </c>
    </row>
    <row r="944" customFormat="false" ht="23.85" hidden="false" customHeight="false" outlineLevel="0" collapsed="false">
      <c r="A944" s="31" t="s">
        <v>5682</v>
      </c>
      <c r="B944" s="31" t="n">
        <v>48</v>
      </c>
      <c r="C944" s="32" t="n">
        <f aca="false">SETTINGS!$C$3+$B944-1</f>
        <v>46347</v>
      </c>
      <c r="D944" s="40" t="s">
        <v>3692</v>
      </c>
      <c r="E944" s="34" t="s">
        <v>5675</v>
      </c>
      <c r="F944" s="34" t="s">
        <v>5676</v>
      </c>
      <c r="G944" s="34" t="s">
        <v>5683</v>
      </c>
      <c r="H944" s="35" t="s">
        <v>5684</v>
      </c>
      <c r="I944" s="36" t="s">
        <v>5685</v>
      </c>
      <c r="J944" s="34" t="s">
        <v>5686</v>
      </c>
      <c r="K944" s="34" t="s">
        <v>5687</v>
      </c>
      <c r="L944" s="37"/>
      <c r="M944" s="37"/>
      <c r="N944" s="37"/>
      <c r="O944" s="37"/>
      <c r="P944" s="37"/>
      <c r="Q944" s="37"/>
      <c r="R944" s="31" t="n">
        <f aca="false">COUNT($M944:$Q944)</f>
        <v>0</v>
      </c>
      <c r="S944" s="32" t="str">
        <f aca="false">IF($L944="","",IF($R944&gt;=5,"",MAX($L944:$Q944)+CHOOSE($R944+1,SETTINGS!$C$9,SETTINGS!$C$10,SETTINGS!$C$11,SETTINGS!$C$12,SETTINGS!$C$13)))</f>
        <v/>
      </c>
      <c r="T944" s="34" t="str">
        <f aca="true">IF($H944="","(chưa có nội dung)",IF($L944="",IF($C944&lt;TODAY(),"⚠ TRỄ HỌC",IF($C944=TODAY(),"★ HỌC HÔM NAY","• Chưa tới")),IF($R944&gt;=5,"✔ MASTER",IF($S944&lt;TODAY(),"⚠ TRỄ ÔN",IF($S944=TODAY(),"◆ ÔN HÔM NAY","✔ Đúng tiến độ")))))</f>
        <v>• Chưa tới</v>
      </c>
      <c r="U944" s="38" t="n">
        <f aca="false">IF($H944="","",$R944/5)</f>
        <v>0</v>
      </c>
    </row>
    <row r="945" customFormat="false" ht="26.85" hidden="false" customHeight="false" outlineLevel="0" collapsed="false">
      <c r="A945" s="31" t="s">
        <v>5688</v>
      </c>
      <c r="B945" s="31" t="n">
        <v>48</v>
      </c>
      <c r="C945" s="32" t="n">
        <f aca="false">SETTINGS!$C$3+$B945-1</f>
        <v>46347</v>
      </c>
      <c r="D945" s="40" t="s">
        <v>3692</v>
      </c>
      <c r="E945" s="34" t="s">
        <v>5675</v>
      </c>
      <c r="F945" s="34" t="s">
        <v>5676</v>
      </c>
      <c r="G945" s="34" t="s">
        <v>5689</v>
      </c>
      <c r="H945" s="35" t="s">
        <v>5690</v>
      </c>
      <c r="I945" s="36" t="s">
        <v>5691</v>
      </c>
      <c r="J945" s="34" t="s">
        <v>5692</v>
      </c>
      <c r="K945" s="34" t="s">
        <v>5693</v>
      </c>
      <c r="L945" s="37"/>
      <c r="M945" s="37"/>
      <c r="N945" s="37"/>
      <c r="O945" s="37"/>
      <c r="P945" s="37"/>
      <c r="Q945" s="37"/>
      <c r="R945" s="31" t="n">
        <f aca="false">COUNT($M945:$Q945)</f>
        <v>0</v>
      </c>
      <c r="S945" s="32" t="str">
        <f aca="false">IF($L945="","",IF($R945&gt;=5,"",MAX($L945:$Q945)+CHOOSE($R945+1,SETTINGS!$C$9,SETTINGS!$C$10,SETTINGS!$C$11,SETTINGS!$C$12,SETTINGS!$C$13)))</f>
        <v/>
      </c>
      <c r="T945" s="34" t="str">
        <f aca="true">IF($H945="","(chưa có nội dung)",IF($L945="",IF($C945&lt;TODAY(),"⚠ TRỄ HỌC",IF($C945=TODAY(),"★ HỌC HÔM NAY","• Chưa tới")),IF($R945&gt;=5,"✔ MASTER",IF($S945&lt;TODAY(),"⚠ TRỄ ÔN",IF($S945=TODAY(),"◆ ÔN HÔM NAY","✔ Đúng tiến độ")))))</f>
        <v>• Chưa tới</v>
      </c>
      <c r="U945" s="38" t="n">
        <f aca="false">IF($H945="","",$R945/5)</f>
        <v>0</v>
      </c>
    </row>
    <row r="946" customFormat="false" ht="23.85" hidden="false" customHeight="false" outlineLevel="0" collapsed="false">
      <c r="A946" s="31" t="s">
        <v>5694</v>
      </c>
      <c r="B946" s="31" t="n">
        <v>48</v>
      </c>
      <c r="C946" s="32" t="n">
        <f aca="false">SETTINGS!$C$3+$B946-1</f>
        <v>46347</v>
      </c>
      <c r="D946" s="40" t="s">
        <v>3692</v>
      </c>
      <c r="E946" s="34" t="s">
        <v>5675</v>
      </c>
      <c r="F946" s="34" t="s">
        <v>5676</v>
      </c>
      <c r="G946" s="34" t="s">
        <v>5695</v>
      </c>
      <c r="H946" s="35" t="s">
        <v>5696</v>
      </c>
      <c r="I946" s="36" t="s">
        <v>5697</v>
      </c>
      <c r="J946" s="34" t="s">
        <v>5698</v>
      </c>
      <c r="K946" s="34" t="s">
        <v>5695</v>
      </c>
      <c r="L946" s="37"/>
      <c r="M946" s="37"/>
      <c r="N946" s="37"/>
      <c r="O946" s="37"/>
      <c r="P946" s="37"/>
      <c r="Q946" s="37"/>
      <c r="R946" s="31" t="n">
        <f aca="false">COUNT($M946:$Q946)</f>
        <v>0</v>
      </c>
      <c r="S946" s="32" t="str">
        <f aca="false">IF($L946="","",IF($R946&gt;=5,"",MAX($L946:$Q946)+CHOOSE($R946+1,SETTINGS!$C$9,SETTINGS!$C$10,SETTINGS!$C$11,SETTINGS!$C$12,SETTINGS!$C$13)))</f>
        <v/>
      </c>
      <c r="T946" s="34" t="str">
        <f aca="true">IF($H946="","(chưa có nội dung)",IF($L946="",IF($C946&lt;TODAY(),"⚠ TRỄ HỌC",IF($C946=TODAY(),"★ HỌC HÔM NAY","• Chưa tới")),IF($R946&gt;=5,"✔ MASTER",IF($S946&lt;TODAY(),"⚠ TRỄ ÔN",IF($S946=TODAY(),"◆ ÔN HÔM NAY","✔ Đúng tiến độ")))))</f>
        <v>• Chưa tới</v>
      </c>
      <c r="U946" s="38" t="n">
        <f aca="false">IF($H946="","",$R946/5)</f>
        <v>0</v>
      </c>
    </row>
    <row r="947" customFormat="false" ht="23.85" hidden="false" customHeight="false" outlineLevel="0" collapsed="false">
      <c r="A947" s="31" t="s">
        <v>5699</v>
      </c>
      <c r="B947" s="31" t="n">
        <v>48</v>
      </c>
      <c r="C947" s="32" t="n">
        <f aca="false">SETTINGS!$C$3+$B947-1</f>
        <v>46347</v>
      </c>
      <c r="D947" s="40" t="s">
        <v>3692</v>
      </c>
      <c r="E947" s="34" t="s">
        <v>5675</v>
      </c>
      <c r="F947" s="34" t="s">
        <v>5676</v>
      </c>
      <c r="G947" s="34" t="s">
        <v>5700</v>
      </c>
      <c r="H947" s="35" t="s">
        <v>5701</v>
      </c>
      <c r="I947" s="36" t="s">
        <v>5702</v>
      </c>
      <c r="J947" s="34" t="s">
        <v>5703</v>
      </c>
      <c r="K947" s="34" t="s">
        <v>5700</v>
      </c>
      <c r="L947" s="37"/>
      <c r="M947" s="37"/>
      <c r="N947" s="37"/>
      <c r="O947" s="37"/>
      <c r="P947" s="37"/>
      <c r="Q947" s="37"/>
      <c r="R947" s="31" t="n">
        <f aca="false">COUNT($M947:$Q947)</f>
        <v>0</v>
      </c>
      <c r="S947" s="32" t="str">
        <f aca="false">IF($L947="","",IF($R947&gt;=5,"",MAX($L947:$Q947)+CHOOSE($R947+1,SETTINGS!$C$9,SETTINGS!$C$10,SETTINGS!$C$11,SETTINGS!$C$12,SETTINGS!$C$13)))</f>
        <v/>
      </c>
      <c r="T947" s="34" t="str">
        <f aca="true">IF($H947="","(chưa có nội dung)",IF($L947="",IF($C947&lt;TODAY(),"⚠ TRỄ HỌC",IF($C947=TODAY(),"★ HỌC HÔM NAY","• Chưa tới")),IF($R947&gt;=5,"✔ MASTER",IF($S947&lt;TODAY(),"⚠ TRỄ ÔN",IF($S947=TODAY(),"◆ ÔN HÔM NAY","✔ Đúng tiến độ")))))</f>
        <v>• Chưa tới</v>
      </c>
      <c r="U947" s="38" t="n">
        <f aca="false">IF($H947="","",$R947/5)</f>
        <v>0</v>
      </c>
    </row>
    <row r="948" customFormat="false" ht="23.85" hidden="false" customHeight="false" outlineLevel="0" collapsed="false">
      <c r="A948" s="31" t="s">
        <v>5704</v>
      </c>
      <c r="B948" s="31" t="n">
        <v>48</v>
      </c>
      <c r="C948" s="32" t="n">
        <f aca="false">SETTINGS!$C$3+$B948-1</f>
        <v>46347</v>
      </c>
      <c r="D948" s="40" t="s">
        <v>3692</v>
      </c>
      <c r="E948" s="34" t="s">
        <v>5675</v>
      </c>
      <c r="F948" s="34" t="s">
        <v>5676</v>
      </c>
      <c r="G948" s="34" t="s">
        <v>5705</v>
      </c>
      <c r="H948" s="35" t="s">
        <v>5706</v>
      </c>
      <c r="I948" s="36" t="s">
        <v>5707</v>
      </c>
      <c r="J948" s="34" t="s">
        <v>5708</v>
      </c>
      <c r="K948" s="34" t="s">
        <v>5709</v>
      </c>
      <c r="L948" s="37"/>
      <c r="M948" s="37"/>
      <c r="N948" s="37"/>
      <c r="O948" s="37"/>
      <c r="P948" s="37"/>
      <c r="Q948" s="37"/>
      <c r="R948" s="31" t="n">
        <f aca="false">COUNT($M948:$Q948)</f>
        <v>0</v>
      </c>
      <c r="S948" s="32" t="str">
        <f aca="false">IF($L948="","",IF($R948&gt;=5,"",MAX($L948:$Q948)+CHOOSE($R948+1,SETTINGS!$C$9,SETTINGS!$C$10,SETTINGS!$C$11,SETTINGS!$C$12,SETTINGS!$C$13)))</f>
        <v/>
      </c>
      <c r="T948" s="34" t="str">
        <f aca="true">IF($H948="","(chưa có nội dung)",IF($L948="",IF($C948&lt;TODAY(),"⚠ TRỄ HỌC",IF($C948=TODAY(),"★ HỌC HÔM NAY","• Chưa tới")),IF($R948&gt;=5,"✔ MASTER",IF($S948&lt;TODAY(),"⚠ TRỄ ÔN",IF($S948=TODAY(),"◆ ÔN HÔM NAY","✔ Đúng tiến độ")))))</f>
        <v>• Chưa tới</v>
      </c>
      <c r="U948" s="38" t="n">
        <f aca="false">IF($H948="","",$R948/5)</f>
        <v>0</v>
      </c>
    </row>
    <row r="949" customFormat="false" ht="23.85" hidden="false" customHeight="false" outlineLevel="0" collapsed="false">
      <c r="A949" s="31" t="s">
        <v>5710</v>
      </c>
      <c r="B949" s="31" t="n">
        <v>48</v>
      </c>
      <c r="C949" s="32" t="n">
        <f aca="false">SETTINGS!$C$3+$B949-1</f>
        <v>46347</v>
      </c>
      <c r="D949" s="40" t="s">
        <v>3692</v>
      </c>
      <c r="E949" s="34" t="s">
        <v>5675</v>
      </c>
      <c r="F949" s="34" t="s">
        <v>5676</v>
      </c>
      <c r="G949" s="34" t="s">
        <v>5711</v>
      </c>
      <c r="H949" s="35" t="s">
        <v>5712</v>
      </c>
      <c r="I949" s="36" t="s">
        <v>5713</v>
      </c>
      <c r="J949" s="34" t="s">
        <v>5714</v>
      </c>
      <c r="K949" s="34" t="s">
        <v>5715</v>
      </c>
      <c r="L949" s="37"/>
      <c r="M949" s="37"/>
      <c r="N949" s="37"/>
      <c r="O949" s="37"/>
      <c r="P949" s="37"/>
      <c r="Q949" s="37"/>
      <c r="R949" s="31" t="n">
        <f aca="false">COUNT($M949:$Q949)</f>
        <v>0</v>
      </c>
      <c r="S949" s="32" t="str">
        <f aca="false">IF($L949="","",IF($R949&gt;=5,"",MAX($L949:$Q949)+CHOOSE($R949+1,SETTINGS!$C$9,SETTINGS!$C$10,SETTINGS!$C$11,SETTINGS!$C$12,SETTINGS!$C$13)))</f>
        <v/>
      </c>
      <c r="T949" s="34" t="str">
        <f aca="true">IF($H949="","(chưa có nội dung)",IF($L949="",IF($C949&lt;TODAY(),"⚠ TRỄ HỌC",IF($C949=TODAY(),"★ HỌC HÔM NAY","• Chưa tới")),IF($R949&gt;=5,"✔ MASTER",IF($S949&lt;TODAY(),"⚠ TRỄ ÔN",IF($S949=TODAY(),"◆ ÔN HÔM NAY","✔ Đúng tiến độ")))))</f>
        <v>• Chưa tới</v>
      </c>
      <c r="U949" s="38" t="n">
        <f aca="false">IF($H949="","",$R949/5)</f>
        <v>0</v>
      </c>
    </row>
    <row r="950" customFormat="false" ht="23.85" hidden="false" customHeight="false" outlineLevel="0" collapsed="false">
      <c r="A950" s="31" t="s">
        <v>5716</v>
      </c>
      <c r="B950" s="31" t="n">
        <v>48</v>
      </c>
      <c r="C950" s="32" t="n">
        <f aca="false">SETTINGS!$C$3+$B950-1</f>
        <v>46347</v>
      </c>
      <c r="D950" s="40" t="s">
        <v>3692</v>
      </c>
      <c r="E950" s="34" t="s">
        <v>5675</v>
      </c>
      <c r="F950" s="34" t="s">
        <v>5676</v>
      </c>
      <c r="G950" s="34" t="s">
        <v>5717</v>
      </c>
      <c r="H950" s="35" t="s">
        <v>5718</v>
      </c>
      <c r="I950" s="36" t="s">
        <v>5719</v>
      </c>
      <c r="J950" s="34" t="s">
        <v>5720</v>
      </c>
      <c r="K950" s="34" t="s">
        <v>5721</v>
      </c>
      <c r="L950" s="37"/>
      <c r="M950" s="37"/>
      <c r="N950" s="37"/>
      <c r="O950" s="37"/>
      <c r="P950" s="37"/>
      <c r="Q950" s="37"/>
      <c r="R950" s="31" t="n">
        <f aca="false">COUNT($M950:$Q950)</f>
        <v>0</v>
      </c>
      <c r="S950" s="32" t="str">
        <f aca="false">IF($L950="","",IF($R950&gt;=5,"",MAX($L950:$Q950)+CHOOSE($R950+1,SETTINGS!$C$9,SETTINGS!$C$10,SETTINGS!$C$11,SETTINGS!$C$12,SETTINGS!$C$13)))</f>
        <v/>
      </c>
      <c r="T950" s="34" t="str">
        <f aca="true">IF($H950="","(chưa có nội dung)",IF($L950="",IF($C950&lt;TODAY(),"⚠ TRỄ HỌC",IF($C950=TODAY(),"★ HỌC HÔM NAY","• Chưa tới")),IF($R950&gt;=5,"✔ MASTER",IF($S950&lt;TODAY(),"⚠ TRỄ ÔN",IF($S950=TODAY(),"◆ ÔN HÔM NAY","✔ Đúng tiến độ")))))</f>
        <v>• Chưa tới</v>
      </c>
      <c r="U950" s="38" t="n">
        <f aca="false">IF($H950="","",$R950/5)</f>
        <v>0</v>
      </c>
    </row>
    <row r="951" customFormat="false" ht="23.85" hidden="false" customHeight="false" outlineLevel="0" collapsed="false">
      <c r="A951" s="31" t="s">
        <v>5722</v>
      </c>
      <c r="B951" s="31" t="n">
        <v>48</v>
      </c>
      <c r="C951" s="32" t="n">
        <f aca="false">SETTINGS!$C$3+$B951-1</f>
        <v>46347</v>
      </c>
      <c r="D951" s="40" t="s">
        <v>3692</v>
      </c>
      <c r="E951" s="34" t="s">
        <v>5675</v>
      </c>
      <c r="F951" s="34" t="s">
        <v>5676</v>
      </c>
      <c r="G951" s="34" t="s">
        <v>5723</v>
      </c>
      <c r="H951" s="35" t="s">
        <v>5724</v>
      </c>
      <c r="I951" s="36" t="s">
        <v>5725</v>
      </c>
      <c r="J951" s="34" t="s">
        <v>5726</v>
      </c>
      <c r="K951" s="34" t="s">
        <v>2118</v>
      </c>
      <c r="L951" s="37"/>
      <c r="M951" s="37"/>
      <c r="N951" s="37"/>
      <c r="O951" s="37"/>
      <c r="P951" s="37"/>
      <c r="Q951" s="37"/>
      <c r="R951" s="31" t="n">
        <f aca="false">COUNT($M951:$Q951)</f>
        <v>0</v>
      </c>
      <c r="S951" s="32" t="str">
        <f aca="false">IF($L951="","",IF($R951&gt;=5,"",MAX($L951:$Q951)+CHOOSE($R951+1,SETTINGS!$C$9,SETTINGS!$C$10,SETTINGS!$C$11,SETTINGS!$C$12,SETTINGS!$C$13)))</f>
        <v/>
      </c>
      <c r="T951" s="34" t="str">
        <f aca="true">IF($H951="","(chưa có nội dung)",IF($L951="",IF($C951&lt;TODAY(),"⚠ TRỄ HỌC",IF($C951=TODAY(),"★ HỌC HÔM NAY","• Chưa tới")),IF($R951&gt;=5,"✔ MASTER",IF($S951&lt;TODAY(),"⚠ TRỄ ÔN",IF($S951=TODAY(),"◆ ÔN HÔM NAY","✔ Đúng tiến độ")))))</f>
        <v>• Chưa tới</v>
      </c>
      <c r="U951" s="38" t="n">
        <f aca="false">IF($H951="","",$R951/5)</f>
        <v>0</v>
      </c>
    </row>
    <row r="952" customFormat="false" ht="23.85" hidden="false" customHeight="false" outlineLevel="0" collapsed="false">
      <c r="A952" s="31" t="s">
        <v>5727</v>
      </c>
      <c r="B952" s="31" t="n">
        <v>48</v>
      </c>
      <c r="C952" s="32" t="n">
        <f aca="false">SETTINGS!$C$3+$B952-1</f>
        <v>46347</v>
      </c>
      <c r="D952" s="40" t="s">
        <v>3692</v>
      </c>
      <c r="E952" s="34" t="s">
        <v>5675</v>
      </c>
      <c r="F952" s="34" t="s">
        <v>5676</v>
      </c>
      <c r="G952" s="34" t="s">
        <v>5728</v>
      </c>
      <c r="H952" s="35" t="s">
        <v>5729</v>
      </c>
      <c r="I952" s="36" t="s">
        <v>5730</v>
      </c>
      <c r="J952" s="34" t="s">
        <v>5731</v>
      </c>
      <c r="K952" s="34" t="s">
        <v>4624</v>
      </c>
      <c r="L952" s="37"/>
      <c r="M952" s="37"/>
      <c r="N952" s="37"/>
      <c r="O952" s="37"/>
      <c r="P952" s="37"/>
      <c r="Q952" s="37"/>
      <c r="R952" s="31" t="n">
        <f aca="false">COUNT($M952:$Q952)</f>
        <v>0</v>
      </c>
      <c r="S952" s="32" t="str">
        <f aca="false">IF($L952="","",IF($R952&gt;=5,"",MAX($L952:$Q952)+CHOOSE($R952+1,SETTINGS!$C$9,SETTINGS!$C$10,SETTINGS!$C$11,SETTINGS!$C$12,SETTINGS!$C$13)))</f>
        <v/>
      </c>
      <c r="T952" s="34" t="str">
        <f aca="true">IF($H952="","(chưa có nội dung)",IF($L952="",IF($C952&lt;TODAY(),"⚠ TRỄ HỌC",IF($C952=TODAY(),"★ HỌC HÔM NAY","• Chưa tới")),IF($R952&gt;=5,"✔ MASTER",IF($S952&lt;TODAY(),"⚠ TRỄ ÔN",IF($S952=TODAY(),"◆ ÔN HÔM NAY","✔ Đúng tiến độ")))))</f>
        <v>• Chưa tới</v>
      </c>
      <c r="U952" s="38" t="n">
        <f aca="false">IF($H952="","",$R952/5)</f>
        <v>0</v>
      </c>
    </row>
    <row r="953" customFormat="false" ht="23.85" hidden="false" customHeight="false" outlineLevel="0" collapsed="false">
      <c r="A953" s="31" t="s">
        <v>5732</v>
      </c>
      <c r="B953" s="31" t="n">
        <v>48</v>
      </c>
      <c r="C953" s="32" t="n">
        <f aca="false">SETTINGS!$C$3+$B953-1</f>
        <v>46347</v>
      </c>
      <c r="D953" s="40" t="s">
        <v>3692</v>
      </c>
      <c r="E953" s="34" t="s">
        <v>5675</v>
      </c>
      <c r="F953" s="34" t="s">
        <v>5676</v>
      </c>
      <c r="G953" s="34" t="s">
        <v>5733</v>
      </c>
      <c r="H953" s="35" t="s">
        <v>5734</v>
      </c>
      <c r="I953" s="36" t="s">
        <v>5735</v>
      </c>
      <c r="J953" s="34" t="s">
        <v>5736</v>
      </c>
      <c r="K953" s="34" t="s">
        <v>5737</v>
      </c>
      <c r="L953" s="37"/>
      <c r="M953" s="37"/>
      <c r="N953" s="37"/>
      <c r="O953" s="37"/>
      <c r="P953" s="37"/>
      <c r="Q953" s="37"/>
      <c r="R953" s="31" t="n">
        <f aca="false">COUNT($M953:$Q953)</f>
        <v>0</v>
      </c>
      <c r="S953" s="32" t="str">
        <f aca="false">IF($L953="","",IF($R953&gt;=5,"",MAX($L953:$Q953)+CHOOSE($R953+1,SETTINGS!$C$9,SETTINGS!$C$10,SETTINGS!$C$11,SETTINGS!$C$12,SETTINGS!$C$13)))</f>
        <v/>
      </c>
      <c r="T953" s="34" t="str">
        <f aca="true">IF($H953="","(chưa có nội dung)",IF($L953="",IF($C953&lt;TODAY(),"⚠ TRỄ HỌC",IF($C953=TODAY(),"★ HỌC HÔM NAY","• Chưa tới")),IF($R953&gt;=5,"✔ MASTER",IF($S953&lt;TODAY(),"⚠ TRỄ ÔN",IF($S953=TODAY(),"◆ ÔN HÔM NAY","✔ Đúng tiến độ")))))</f>
        <v>• Chưa tới</v>
      </c>
      <c r="U953" s="38" t="n">
        <f aca="false">IF($H953="","",$R953/5)</f>
        <v>0</v>
      </c>
    </row>
    <row r="954" customFormat="false" ht="23.85" hidden="false" customHeight="false" outlineLevel="0" collapsed="false">
      <c r="A954" s="31" t="s">
        <v>5738</v>
      </c>
      <c r="B954" s="31" t="n">
        <v>48</v>
      </c>
      <c r="C954" s="32" t="n">
        <f aca="false">SETTINGS!$C$3+$B954-1</f>
        <v>46347</v>
      </c>
      <c r="D954" s="40" t="s">
        <v>3692</v>
      </c>
      <c r="E954" s="34" t="s">
        <v>5675</v>
      </c>
      <c r="F954" s="34" t="s">
        <v>5676</v>
      </c>
      <c r="G954" s="34" t="s">
        <v>5739</v>
      </c>
      <c r="H954" s="35" t="s">
        <v>5740</v>
      </c>
      <c r="I954" s="36" t="s">
        <v>5741</v>
      </c>
      <c r="J954" s="34" t="s">
        <v>5742</v>
      </c>
      <c r="K954" s="34" t="s">
        <v>3752</v>
      </c>
      <c r="L954" s="37"/>
      <c r="M954" s="37"/>
      <c r="N954" s="37"/>
      <c r="O954" s="37"/>
      <c r="P954" s="37"/>
      <c r="Q954" s="37"/>
      <c r="R954" s="31" t="n">
        <f aca="false">COUNT($M954:$Q954)</f>
        <v>0</v>
      </c>
      <c r="S954" s="32" t="str">
        <f aca="false">IF($L954="","",IF($R954&gt;=5,"",MAX($L954:$Q954)+CHOOSE($R954+1,SETTINGS!$C$9,SETTINGS!$C$10,SETTINGS!$C$11,SETTINGS!$C$12,SETTINGS!$C$13)))</f>
        <v/>
      </c>
      <c r="T954" s="34" t="str">
        <f aca="true">IF($H954="","(chưa có nội dung)",IF($L954="",IF($C954&lt;TODAY(),"⚠ TRỄ HỌC",IF($C954=TODAY(),"★ HỌC HÔM NAY","• Chưa tới")),IF($R954&gt;=5,"✔ MASTER",IF($S954&lt;TODAY(),"⚠ TRỄ ÔN",IF($S954=TODAY(),"◆ ÔN HÔM NAY","✔ Đúng tiến độ")))))</f>
        <v>• Chưa tới</v>
      </c>
      <c r="U954" s="38" t="n">
        <f aca="false">IF($H954="","",$R954/5)</f>
        <v>0</v>
      </c>
    </row>
    <row r="955" customFormat="false" ht="23.85" hidden="false" customHeight="false" outlineLevel="0" collapsed="false">
      <c r="A955" s="31" t="s">
        <v>5743</v>
      </c>
      <c r="B955" s="31" t="n">
        <v>48</v>
      </c>
      <c r="C955" s="32" t="n">
        <f aca="false">SETTINGS!$C$3+$B955-1</f>
        <v>46347</v>
      </c>
      <c r="D955" s="40" t="s">
        <v>3692</v>
      </c>
      <c r="E955" s="34" t="s">
        <v>5675</v>
      </c>
      <c r="F955" s="34" t="s">
        <v>5676</v>
      </c>
      <c r="G955" s="34" t="s">
        <v>5744</v>
      </c>
      <c r="H955" s="35" t="s">
        <v>5745</v>
      </c>
      <c r="I955" s="36" t="s">
        <v>5746</v>
      </c>
      <c r="J955" s="34" t="s">
        <v>5747</v>
      </c>
      <c r="K955" s="34" t="s">
        <v>5748</v>
      </c>
      <c r="L955" s="37"/>
      <c r="M955" s="37"/>
      <c r="N955" s="37"/>
      <c r="O955" s="37"/>
      <c r="P955" s="37"/>
      <c r="Q955" s="37"/>
      <c r="R955" s="31" t="n">
        <f aca="false">COUNT($M955:$Q955)</f>
        <v>0</v>
      </c>
      <c r="S955" s="32" t="str">
        <f aca="false">IF($L955="","",IF($R955&gt;=5,"",MAX($L955:$Q955)+CHOOSE($R955+1,SETTINGS!$C$9,SETTINGS!$C$10,SETTINGS!$C$11,SETTINGS!$C$12,SETTINGS!$C$13)))</f>
        <v/>
      </c>
      <c r="T955" s="34" t="str">
        <f aca="true">IF($H955="","(chưa có nội dung)",IF($L955="",IF($C955&lt;TODAY(),"⚠ TRỄ HỌC",IF($C955=TODAY(),"★ HỌC HÔM NAY","• Chưa tới")),IF($R955&gt;=5,"✔ MASTER",IF($S955&lt;TODAY(),"⚠ TRỄ ÔN",IF($S955=TODAY(),"◆ ÔN HÔM NAY","✔ Đúng tiến độ")))))</f>
        <v>• Chưa tới</v>
      </c>
      <c r="U955" s="38" t="n">
        <f aca="false">IF($H955="","",$R955/5)</f>
        <v>0</v>
      </c>
    </row>
    <row r="956" customFormat="false" ht="23.85" hidden="false" customHeight="false" outlineLevel="0" collapsed="false">
      <c r="A956" s="31" t="s">
        <v>5749</v>
      </c>
      <c r="B956" s="31" t="n">
        <v>48</v>
      </c>
      <c r="C956" s="32" t="n">
        <f aca="false">SETTINGS!$C$3+$B956-1</f>
        <v>46347</v>
      </c>
      <c r="D956" s="40" t="s">
        <v>3692</v>
      </c>
      <c r="E956" s="34" t="s">
        <v>5675</v>
      </c>
      <c r="F956" s="34" t="s">
        <v>5676</v>
      </c>
      <c r="G956" s="34" t="s">
        <v>5750</v>
      </c>
      <c r="H956" s="35" t="s">
        <v>5751</v>
      </c>
      <c r="I956" s="36" t="s">
        <v>5752</v>
      </c>
      <c r="J956" s="34" t="s">
        <v>5753</v>
      </c>
      <c r="K956" s="34" t="s">
        <v>5754</v>
      </c>
      <c r="L956" s="37"/>
      <c r="M956" s="37"/>
      <c r="N956" s="37"/>
      <c r="O956" s="37"/>
      <c r="P956" s="37"/>
      <c r="Q956" s="37"/>
      <c r="R956" s="31" t="n">
        <f aca="false">COUNT($M956:$Q956)</f>
        <v>0</v>
      </c>
      <c r="S956" s="32" t="str">
        <f aca="false">IF($L956="","",IF($R956&gt;=5,"",MAX($L956:$Q956)+CHOOSE($R956+1,SETTINGS!$C$9,SETTINGS!$C$10,SETTINGS!$C$11,SETTINGS!$C$12,SETTINGS!$C$13)))</f>
        <v/>
      </c>
      <c r="T956" s="34" t="str">
        <f aca="true">IF($H956="","(chưa có nội dung)",IF($L956="",IF($C956&lt;TODAY(),"⚠ TRỄ HỌC",IF($C956=TODAY(),"★ HỌC HÔM NAY","• Chưa tới")),IF($R956&gt;=5,"✔ MASTER",IF($S956&lt;TODAY(),"⚠ TRỄ ÔN",IF($S956=TODAY(),"◆ ÔN HÔM NAY","✔ Đúng tiến độ")))))</f>
        <v>• Chưa tới</v>
      </c>
      <c r="U956" s="38" t="n">
        <f aca="false">IF($H956="","",$R956/5)</f>
        <v>0</v>
      </c>
    </row>
    <row r="957" customFormat="false" ht="23.85" hidden="false" customHeight="false" outlineLevel="0" collapsed="false">
      <c r="A957" s="31" t="s">
        <v>5755</v>
      </c>
      <c r="B957" s="31" t="n">
        <v>48</v>
      </c>
      <c r="C957" s="32" t="n">
        <f aca="false">SETTINGS!$C$3+$B957-1</f>
        <v>46347</v>
      </c>
      <c r="D957" s="40" t="s">
        <v>3692</v>
      </c>
      <c r="E957" s="34" t="s">
        <v>5675</v>
      </c>
      <c r="F957" s="34" t="s">
        <v>5676</v>
      </c>
      <c r="G957" s="34" t="s">
        <v>5756</v>
      </c>
      <c r="H957" s="35" t="s">
        <v>5757</v>
      </c>
      <c r="I957" s="36" t="s">
        <v>5758</v>
      </c>
      <c r="J957" s="34" t="s">
        <v>5759</v>
      </c>
      <c r="K957" s="34" t="s">
        <v>5760</v>
      </c>
      <c r="L957" s="37"/>
      <c r="M957" s="37"/>
      <c r="N957" s="37"/>
      <c r="O957" s="37"/>
      <c r="P957" s="37"/>
      <c r="Q957" s="37"/>
      <c r="R957" s="31" t="n">
        <f aca="false">COUNT($M957:$Q957)</f>
        <v>0</v>
      </c>
      <c r="S957" s="32" t="str">
        <f aca="false">IF($L957="","",IF($R957&gt;=5,"",MAX($L957:$Q957)+CHOOSE($R957+1,SETTINGS!$C$9,SETTINGS!$C$10,SETTINGS!$C$11,SETTINGS!$C$12,SETTINGS!$C$13)))</f>
        <v/>
      </c>
      <c r="T957" s="34" t="str">
        <f aca="true">IF($H957="","(chưa có nội dung)",IF($L957="",IF($C957&lt;TODAY(),"⚠ TRỄ HỌC",IF($C957=TODAY(),"★ HỌC HÔM NAY","• Chưa tới")),IF($R957&gt;=5,"✔ MASTER",IF($S957&lt;TODAY(),"⚠ TRỄ ÔN",IF($S957=TODAY(),"◆ ÔN HÔM NAY","✔ Đúng tiến độ")))))</f>
        <v>• Chưa tới</v>
      </c>
      <c r="U957" s="38" t="n">
        <f aca="false">IF($H957="","",$R957/5)</f>
        <v>0</v>
      </c>
    </row>
    <row r="958" customFormat="false" ht="23.85" hidden="false" customHeight="false" outlineLevel="0" collapsed="false">
      <c r="A958" s="31" t="s">
        <v>5761</v>
      </c>
      <c r="B958" s="31" t="n">
        <v>48</v>
      </c>
      <c r="C958" s="32" t="n">
        <f aca="false">SETTINGS!$C$3+$B958-1</f>
        <v>46347</v>
      </c>
      <c r="D958" s="40" t="s">
        <v>3692</v>
      </c>
      <c r="E958" s="34" t="s">
        <v>5675</v>
      </c>
      <c r="F958" s="34" t="s">
        <v>5676</v>
      </c>
      <c r="G958" s="34" t="s">
        <v>5762</v>
      </c>
      <c r="H958" s="35" t="s">
        <v>5763</v>
      </c>
      <c r="I958" s="36" t="s">
        <v>5764</v>
      </c>
      <c r="J958" s="34" t="s">
        <v>5765</v>
      </c>
      <c r="K958" s="34" t="s">
        <v>5766</v>
      </c>
      <c r="L958" s="37"/>
      <c r="M958" s="37"/>
      <c r="N958" s="37"/>
      <c r="O958" s="37"/>
      <c r="P958" s="37"/>
      <c r="Q958" s="37"/>
      <c r="R958" s="31" t="n">
        <f aca="false">COUNT($M958:$Q958)</f>
        <v>0</v>
      </c>
      <c r="S958" s="32" t="str">
        <f aca="false">IF($L958="","",IF($R958&gt;=5,"",MAX($L958:$Q958)+CHOOSE($R958+1,SETTINGS!$C$9,SETTINGS!$C$10,SETTINGS!$C$11,SETTINGS!$C$12,SETTINGS!$C$13)))</f>
        <v/>
      </c>
      <c r="T958" s="34" t="str">
        <f aca="true">IF($H958="","(chưa có nội dung)",IF($L958="",IF($C958&lt;TODAY(),"⚠ TRỄ HỌC",IF($C958=TODAY(),"★ HỌC HÔM NAY","• Chưa tới")),IF($R958&gt;=5,"✔ MASTER",IF($S958&lt;TODAY(),"⚠ TRỄ ÔN",IF($S958=TODAY(),"◆ ÔN HÔM NAY","✔ Đúng tiến độ")))))</f>
        <v>• Chưa tới</v>
      </c>
      <c r="U958" s="38" t="n">
        <f aca="false">IF($H958="","",$R958/5)</f>
        <v>0</v>
      </c>
    </row>
    <row r="959" customFormat="false" ht="23.85" hidden="false" customHeight="false" outlineLevel="0" collapsed="false">
      <c r="A959" s="31" t="s">
        <v>5767</v>
      </c>
      <c r="B959" s="31" t="n">
        <v>48</v>
      </c>
      <c r="C959" s="32" t="n">
        <f aca="false">SETTINGS!$C$3+$B959-1</f>
        <v>46347</v>
      </c>
      <c r="D959" s="40" t="s">
        <v>3692</v>
      </c>
      <c r="E959" s="34" t="s">
        <v>5675</v>
      </c>
      <c r="F959" s="34" t="s">
        <v>5676</v>
      </c>
      <c r="G959" s="34" t="s">
        <v>5768</v>
      </c>
      <c r="H959" s="35" t="s">
        <v>5769</v>
      </c>
      <c r="I959" s="36" t="s">
        <v>5770</v>
      </c>
      <c r="J959" s="34" t="s">
        <v>5771</v>
      </c>
      <c r="K959" s="34" t="s">
        <v>4739</v>
      </c>
      <c r="L959" s="37"/>
      <c r="M959" s="37"/>
      <c r="N959" s="37"/>
      <c r="O959" s="37"/>
      <c r="P959" s="37"/>
      <c r="Q959" s="37"/>
      <c r="R959" s="31" t="n">
        <f aca="false">COUNT($M959:$Q959)</f>
        <v>0</v>
      </c>
      <c r="S959" s="32" t="str">
        <f aca="false">IF($L959="","",IF($R959&gt;=5,"",MAX($L959:$Q959)+CHOOSE($R959+1,SETTINGS!$C$9,SETTINGS!$C$10,SETTINGS!$C$11,SETTINGS!$C$12,SETTINGS!$C$13)))</f>
        <v/>
      </c>
      <c r="T959" s="34" t="str">
        <f aca="true">IF($H959="","(chưa có nội dung)",IF($L959="",IF($C959&lt;TODAY(),"⚠ TRỄ HỌC",IF($C959=TODAY(),"★ HỌC HÔM NAY","• Chưa tới")),IF($R959&gt;=5,"✔ MASTER",IF($S959&lt;TODAY(),"⚠ TRỄ ÔN",IF($S959=TODAY(),"◆ ÔN HÔM NAY","✔ Đúng tiến độ")))))</f>
        <v>• Chưa tới</v>
      </c>
      <c r="U959" s="38" t="n">
        <f aca="false">IF($H959="","",$R959/5)</f>
        <v>0</v>
      </c>
    </row>
    <row r="960" customFormat="false" ht="23.85" hidden="false" customHeight="false" outlineLevel="0" collapsed="false">
      <c r="A960" s="31" t="s">
        <v>5772</v>
      </c>
      <c r="B960" s="31" t="n">
        <v>48</v>
      </c>
      <c r="C960" s="32" t="n">
        <f aca="false">SETTINGS!$C$3+$B960-1</f>
        <v>46347</v>
      </c>
      <c r="D960" s="40" t="s">
        <v>3692</v>
      </c>
      <c r="E960" s="34" t="s">
        <v>5675</v>
      </c>
      <c r="F960" s="34" t="s">
        <v>5676</v>
      </c>
      <c r="G960" s="34" t="s">
        <v>5773</v>
      </c>
      <c r="H960" s="35" t="s">
        <v>5774</v>
      </c>
      <c r="I960" s="36" t="s">
        <v>5775</v>
      </c>
      <c r="J960" s="34" t="s">
        <v>5776</v>
      </c>
      <c r="K960" s="34" t="s">
        <v>679</v>
      </c>
      <c r="L960" s="37"/>
      <c r="M960" s="37"/>
      <c r="N960" s="37"/>
      <c r="O960" s="37"/>
      <c r="P960" s="37"/>
      <c r="Q960" s="37"/>
      <c r="R960" s="31" t="n">
        <f aca="false">COUNT($M960:$Q960)</f>
        <v>0</v>
      </c>
      <c r="S960" s="32" t="str">
        <f aca="false">IF($L960="","",IF($R960&gt;=5,"",MAX($L960:$Q960)+CHOOSE($R960+1,SETTINGS!$C$9,SETTINGS!$C$10,SETTINGS!$C$11,SETTINGS!$C$12,SETTINGS!$C$13)))</f>
        <v/>
      </c>
      <c r="T960" s="34" t="str">
        <f aca="true">IF($H960="","(chưa có nội dung)",IF($L960="",IF($C960&lt;TODAY(),"⚠ TRỄ HỌC",IF($C960=TODAY(),"★ HỌC HÔM NAY","• Chưa tới")),IF($R960&gt;=5,"✔ MASTER",IF($S960&lt;TODAY(),"⚠ TRỄ ÔN",IF($S960=TODAY(),"◆ ÔN HÔM NAY","✔ Đúng tiến độ")))))</f>
        <v>• Chưa tới</v>
      </c>
      <c r="U960" s="38" t="n">
        <f aca="false">IF($H960="","",$R960/5)</f>
        <v>0</v>
      </c>
    </row>
    <row r="961" customFormat="false" ht="23.85" hidden="false" customHeight="false" outlineLevel="0" collapsed="false">
      <c r="A961" s="31" t="s">
        <v>5777</v>
      </c>
      <c r="B961" s="31" t="n">
        <v>48</v>
      </c>
      <c r="C961" s="32" t="n">
        <f aca="false">SETTINGS!$C$3+$B961-1</f>
        <v>46347</v>
      </c>
      <c r="D961" s="40" t="s">
        <v>3692</v>
      </c>
      <c r="E961" s="34" t="s">
        <v>5675</v>
      </c>
      <c r="F961" s="34" t="s">
        <v>5676</v>
      </c>
      <c r="G961" s="34" t="s">
        <v>5778</v>
      </c>
      <c r="H961" s="35" t="s">
        <v>5779</v>
      </c>
      <c r="I961" s="36" t="s">
        <v>5780</v>
      </c>
      <c r="J961" s="34" t="s">
        <v>5781</v>
      </c>
      <c r="K961" s="34" t="s">
        <v>4489</v>
      </c>
      <c r="L961" s="37"/>
      <c r="M961" s="37"/>
      <c r="N961" s="37"/>
      <c r="O961" s="37"/>
      <c r="P961" s="37"/>
      <c r="Q961" s="37"/>
      <c r="R961" s="31" t="n">
        <f aca="false">COUNT($M961:$Q961)</f>
        <v>0</v>
      </c>
      <c r="S961" s="32" t="str">
        <f aca="false">IF($L961="","",IF($R961&gt;=5,"",MAX($L961:$Q961)+CHOOSE($R961+1,SETTINGS!$C$9,SETTINGS!$C$10,SETTINGS!$C$11,SETTINGS!$C$12,SETTINGS!$C$13)))</f>
        <v/>
      </c>
      <c r="T961" s="34" t="str">
        <f aca="true">IF($H961="","(chưa có nội dung)",IF($L961="",IF($C961&lt;TODAY(),"⚠ TRỄ HỌC",IF($C961=TODAY(),"★ HỌC HÔM NAY","• Chưa tới")),IF($R961&gt;=5,"✔ MASTER",IF($S961&lt;TODAY(),"⚠ TRỄ ÔN",IF($S961=TODAY(),"◆ ÔN HÔM NAY","✔ Đúng tiến độ")))))</f>
        <v>• Chưa tới</v>
      </c>
      <c r="U961" s="38" t="n">
        <f aca="false">IF($H961="","",$R961/5)</f>
        <v>0</v>
      </c>
    </row>
    <row r="962" customFormat="false" ht="15" hidden="false" customHeight="false" outlineLevel="0" collapsed="false">
      <c r="A962" s="31" t="s">
        <v>5782</v>
      </c>
      <c r="B962" s="31" t="n">
        <v>48</v>
      </c>
      <c r="C962" s="32" t="n">
        <f aca="false">SETTINGS!$C$3+$B962-1</f>
        <v>46347</v>
      </c>
      <c r="D962" s="40" t="s">
        <v>3692</v>
      </c>
      <c r="E962" s="34" t="s">
        <v>5675</v>
      </c>
      <c r="F962" s="34" t="s">
        <v>202</v>
      </c>
      <c r="G962" s="34" t="s">
        <v>5783</v>
      </c>
      <c r="H962" s="35" t="s">
        <v>5784</v>
      </c>
      <c r="I962" s="36" t="s">
        <v>5785</v>
      </c>
      <c r="J962" s="34" t="s">
        <v>5786</v>
      </c>
      <c r="K962" s="34" t="s">
        <v>3623</v>
      </c>
      <c r="L962" s="37"/>
      <c r="M962" s="37"/>
      <c r="N962" s="37"/>
      <c r="O962" s="37"/>
      <c r="P962" s="37"/>
      <c r="Q962" s="37"/>
      <c r="R962" s="31" t="n">
        <f aca="false">COUNT($M962:$Q962)</f>
        <v>0</v>
      </c>
      <c r="S962" s="32" t="str">
        <f aca="false">IF($L962="","",IF($R962&gt;=5,"",MAX($L962:$Q962)+CHOOSE($R962+1,SETTINGS!$C$9,SETTINGS!$C$10,SETTINGS!$C$11,SETTINGS!$C$12,SETTINGS!$C$13)))</f>
        <v/>
      </c>
      <c r="T962" s="34" t="str">
        <f aca="true">IF($H962="","(chưa có nội dung)",IF($L962="",IF($C962&lt;TODAY(),"⚠ TRỄ HỌC",IF($C962=TODAY(),"★ HỌC HÔM NAY","• Chưa tới")),IF($R962&gt;=5,"✔ MASTER",IF($S962&lt;TODAY(),"⚠ TRỄ ÔN",IF($S962=TODAY(),"◆ ÔN HÔM NAY","✔ Đúng tiến độ")))))</f>
        <v>• Chưa tới</v>
      </c>
      <c r="U962" s="38" t="n">
        <f aca="false">IF($H962="","",$R962/5)</f>
        <v>0</v>
      </c>
    </row>
    <row r="963" customFormat="false" ht="23.85" hidden="false" customHeight="false" outlineLevel="0" collapsed="false">
      <c r="A963" s="31" t="s">
        <v>5787</v>
      </c>
      <c r="B963" s="31" t="n">
        <v>49</v>
      </c>
      <c r="C963" s="32" t="n">
        <f aca="false">SETTINGS!$C$3+$B963-1</f>
        <v>46348</v>
      </c>
      <c r="D963" s="40" t="s">
        <v>3692</v>
      </c>
      <c r="E963" s="34" t="s">
        <v>5788</v>
      </c>
      <c r="F963" s="34" t="s">
        <v>3694</v>
      </c>
      <c r="G963" s="34" t="s">
        <v>5789</v>
      </c>
      <c r="H963" s="35" t="s">
        <v>5790</v>
      </c>
      <c r="I963" s="36" t="s">
        <v>5791</v>
      </c>
      <c r="J963" s="34" t="s">
        <v>5792</v>
      </c>
      <c r="K963" s="34" t="s">
        <v>5793</v>
      </c>
      <c r="L963" s="37"/>
      <c r="M963" s="37"/>
      <c r="N963" s="37"/>
      <c r="O963" s="37"/>
      <c r="P963" s="37"/>
      <c r="Q963" s="37"/>
      <c r="R963" s="31" t="n">
        <f aca="false">COUNT($M963:$Q963)</f>
        <v>0</v>
      </c>
      <c r="S963" s="32" t="str">
        <f aca="false">IF($L963="","",IF($R963&gt;=5,"",MAX($L963:$Q963)+CHOOSE($R963+1,SETTINGS!$C$9,SETTINGS!$C$10,SETTINGS!$C$11,SETTINGS!$C$12,SETTINGS!$C$13)))</f>
        <v/>
      </c>
      <c r="T963" s="34" t="str">
        <f aca="true">IF($H963="","(chưa có nội dung)",IF($L963="",IF($C963&lt;TODAY(),"⚠ TRỄ HỌC",IF($C963=TODAY(),"★ HỌC HÔM NAY","• Chưa tới")),IF($R963&gt;=5,"✔ MASTER",IF($S963&lt;TODAY(),"⚠ TRỄ ÔN",IF($S963=TODAY(),"◆ ÔN HÔM NAY","✔ Đúng tiến độ")))))</f>
        <v>• Chưa tới</v>
      </c>
      <c r="U963" s="38" t="n">
        <f aca="false">IF($H963="","",$R963/5)</f>
        <v>0</v>
      </c>
    </row>
    <row r="964" customFormat="false" ht="23.85" hidden="false" customHeight="false" outlineLevel="0" collapsed="false">
      <c r="A964" s="31" t="s">
        <v>5794</v>
      </c>
      <c r="B964" s="31" t="n">
        <v>49</v>
      </c>
      <c r="C964" s="32" t="n">
        <f aca="false">SETTINGS!$C$3+$B964-1</f>
        <v>46348</v>
      </c>
      <c r="D964" s="40" t="s">
        <v>3692</v>
      </c>
      <c r="E964" s="34" t="s">
        <v>5788</v>
      </c>
      <c r="F964" s="34" t="s">
        <v>5676</v>
      </c>
      <c r="G964" s="34" t="s">
        <v>5795</v>
      </c>
      <c r="H964" s="35" t="s">
        <v>5796</v>
      </c>
      <c r="I964" s="36" t="s">
        <v>5797</v>
      </c>
      <c r="J964" s="34" t="s">
        <v>5798</v>
      </c>
      <c r="K964" s="34" t="s">
        <v>4432</v>
      </c>
      <c r="L964" s="37"/>
      <c r="M964" s="37"/>
      <c r="N964" s="37"/>
      <c r="O964" s="37"/>
      <c r="P964" s="37"/>
      <c r="Q964" s="37"/>
      <c r="R964" s="31" t="n">
        <f aca="false">COUNT($M964:$Q964)</f>
        <v>0</v>
      </c>
      <c r="S964" s="32" t="str">
        <f aca="false">IF($L964="","",IF($R964&gt;=5,"",MAX($L964:$Q964)+CHOOSE($R964+1,SETTINGS!$C$9,SETTINGS!$C$10,SETTINGS!$C$11,SETTINGS!$C$12,SETTINGS!$C$13)))</f>
        <v/>
      </c>
      <c r="T964" s="34" t="str">
        <f aca="true">IF($H964="","(chưa có nội dung)",IF($L964="",IF($C964&lt;TODAY(),"⚠ TRỄ HỌC",IF($C964=TODAY(),"★ HỌC HÔM NAY","• Chưa tới")),IF($R964&gt;=5,"✔ MASTER",IF($S964&lt;TODAY(),"⚠ TRỄ ÔN",IF($S964=TODAY(),"◆ ÔN HÔM NAY","✔ Đúng tiến độ")))))</f>
        <v>• Chưa tới</v>
      </c>
      <c r="U964" s="38" t="n">
        <f aca="false">IF($H964="","",$R964/5)</f>
        <v>0</v>
      </c>
    </row>
    <row r="965" customFormat="false" ht="23.85" hidden="false" customHeight="false" outlineLevel="0" collapsed="false">
      <c r="A965" s="31" t="s">
        <v>5799</v>
      </c>
      <c r="B965" s="31" t="n">
        <v>49</v>
      </c>
      <c r="C965" s="32" t="n">
        <f aca="false">SETTINGS!$C$3+$B965-1</f>
        <v>46348</v>
      </c>
      <c r="D965" s="40" t="s">
        <v>3692</v>
      </c>
      <c r="E965" s="34" t="s">
        <v>5788</v>
      </c>
      <c r="F965" s="34" t="s">
        <v>3694</v>
      </c>
      <c r="G965" s="34" t="s">
        <v>5800</v>
      </c>
      <c r="H965" s="35" t="s">
        <v>5801</v>
      </c>
      <c r="I965" s="36" t="s">
        <v>5802</v>
      </c>
      <c r="J965" s="34" t="s">
        <v>5803</v>
      </c>
      <c r="K965" s="34" t="s">
        <v>5804</v>
      </c>
      <c r="L965" s="37"/>
      <c r="M965" s="37"/>
      <c r="N965" s="37"/>
      <c r="O965" s="37"/>
      <c r="P965" s="37"/>
      <c r="Q965" s="37"/>
      <c r="R965" s="31" t="n">
        <f aca="false">COUNT($M965:$Q965)</f>
        <v>0</v>
      </c>
      <c r="S965" s="32" t="str">
        <f aca="false">IF($L965="","",IF($R965&gt;=5,"",MAX($L965:$Q965)+CHOOSE($R965+1,SETTINGS!$C$9,SETTINGS!$C$10,SETTINGS!$C$11,SETTINGS!$C$12,SETTINGS!$C$13)))</f>
        <v/>
      </c>
      <c r="T965" s="34" t="str">
        <f aca="true">IF($H965="","(chưa có nội dung)",IF($L965="",IF($C965&lt;TODAY(),"⚠ TRỄ HỌC",IF($C965=TODAY(),"★ HỌC HÔM NAY","• Chưa tới")),IF($R965&gt;=5,"✔ MASTER",IF($S965&lt;TODAY(),"⚠ TRỄ ÔN",IF($S965=TODAY(),"◆ ÔN HÔM NAY","✔ Đúng tiến độ")))))</f>
        <v>• Chưa tới</v>
      </c>
      <c r="U965" s="38" t="n">
        <f aca="false">IF($H965="","",$R965/5)</f>
        <v>0</v>
      </c>
    </row>
    <row r="966" customFormat="false" ht="23.85" hidden="false" customHeight="false" outlineLevel="0" collapsed="false">
      <c r="A966" s="31" t="s">
        <v>5805</v>
      </c>
      <c r="B966" s="31" t="n">
        <v>49</v>
      </c>
      <c r="C966" s="32" t="n">
        <f aca="false">SETTINGS!$C$3+$B966-1</f>
        <v>46348</v>
      </c>
      <c r="D966" s="40" t="s">
        <v>3692</v>
      </c>
      <c r="E966" s="34" t="s">
        <v>5788</v>
      </c>
      <c r="F966" s="34" t="s">
        <v>3694</v>
      </c>
      <c r="G966" s="34" t="s">
        <v>5806</v>
      </c>
      <c r="H966" s="35" t="s">
        <v>5807</v>
      </c>
      <c r="I966" s="36" t="s">
        <v>5808</v>
      </c>
      <c r="J966" s="34" t="s">
        <v>5809</v>
      </c>
      <c r="K966" s="34" t="s">
        <v>5810</v>
      </c>
      <c r="L966" s="37"/>
      <c r="M966" s="37"/>
      <c r="N966" s="37"/>
      <c r="O966" s="37"/>
      <c r="P966" s="37"/>
      <c r="Q966" s="37"/>
      <c r="R966" s="31" t="n">
        <f aca="false">COUNT($M966:$Q966)</f>
        <v>0</v>
      </c>
      <c r="S966" s="32" t="str">
        <f aca="false">IF($L966="","",IF($R966&gt;=5,"",MAX($L966:$Q966)+CHOOSE($R966+1,SETTINGS!$C$9,SETTINGS!$C$10,SETTINGS!$C$11,SETTINGS!$C$12,SETTINGS!$C$13)))</f>
        <v/>
      </c>
      <c r="T966" s="34" t="str">
        <f aca="true">IF($H966="","(chưa có nội dung)",IF($L966="",IF($C966&lt;TODAY(),"⚠ TRỄ HỌC",IF($C966=TODAY(),"★ HỌC HÔM NAY","• Chưa tới")),IF($R966&gt;=5,"✔ MASTER",IF($S966&lt;TODAY(),"⚠ TRỄ ÔN",IF($S966=TODAY(),"◆ ÔN HÔM NAY","✔ Đúng tiến độ")))))</f>
        <v>• Chưa tới</v>
      </c>
      <c r="U966" s="38" t="n">
        <f aca="false">IF($H966="","",$R966/5)</f>
        <v>0</v>
      </c>
    </row>
    <row r="967" customFormat="false" ht="26.85" hidden="false" customHeight="false" outlineLevel="0" collapsed="false">
      <c r="A967" s="31" t="s">
        <v>5811</v>
      </c>
      <c r="B967" s="31" t="n">
        <v>49</v>
      </c>
      <c r="C967" s="32" t="n">
        <f aca="false">SETTINGS!$C$3+$B967-1</f>
        <v>46348</v>
      </c>
      <c r="D967" s="40" t="s">
        <v>3692</v>
      </c>
      <c r="E967" s="34" t="s">
        <v>5788</v>
      </c>
      <c r="F967" s="34" t="s">
        <v>3694</v>
      </c>
      <c r="G967" s="34" t="s">
        <v>5812</v>
      </c>
      <c r="H967" s="35" t="s">
        <v>5813</v>
      </c>
      <c r="I967" s="36" t="s">
        <v>5814</v>
      </c>
      <c r="J967" s="34" t="s">
        <v>5815</v>
      </c>
      <c r="K967" s="34" t="s">
        <v>2224</v>
      </c>
      <c r="L967" s="37"/>
      <c r="M967" s="37"/>
      <c r="N967" s="37"/>
      <c r="O967" s="37"/>
      <c r="P967" s="37"/>
      <c r="Q967" s="37"/>
      <c r="R967" s="31" t="n">
        <f aca="false">COUNT($M967:$Q967)</f>
        <v>0</v>
      </c>
      <c r="S967" s="32" t="str">
        <f aca="false">IF($L967="","",IF($R967&gt;=5,"",MAX($L967:$Q967)+CHOOSE($R967+1,SETTINGS!$C$9,SETTINGS!$C$10,SETTINGS!$C$11,SETTINGS!$C$12,SETTINGS!$C$13)))</f>
        <v/>
      </c>
      <c r="T967" s="34" t="str">
        <f aca="true">IF($H967="","(chưa có nội dung)",IF($L967="",IF($C967&lt;TODAY(),"⚠ TRỄ HỌC",IF($C967=TODAY(),"★ HỌC HÔM NAY","• Chưa tới")),IF($R967&gt;=5,"✔ MASTER",IF($S967&lt;TODAY(),"⚠ TRỄ ÔN",IF($S967=TODAY(),"◆ ÔN HÔM NAY","✔ Đúng tiến độ")))))</f>
        <v>• Chưa tới</v>
      </c>
      <c r="U967" s="38" t="n">
        <f aca="false">IF($H967="","",$R967/5)</f>
        <v>0</v>
      </c>
    </row>
    <row r="968" customFormat="false" ht="23.85" hidden="false" customHeight="false" outlineLevel="0" collapsed="false">
      <c r="A968" s="31" t="s">
        <v>5816</v>
      </c>
      <c r="B968" s="31" t="n">
        <v>49</v>
      </c>
      <c r="C968" s="32" t="n">
        <f aca="false">SETTINGS!$C$3+$B968-1</f>
        <v>46348</v>
      </c>
      <c r="D968" s="40" t="s">
        <v>3692</v>
      </c>
      <c r="E968" s="34" t="s">
        <v>5788</v>
      </c>
      <c r="F968" s="34" t="s">
        <v>3694</v>
      </c>
      <c r="G968" s="34" t="s">
        <v>5817</v>
      </c>
      <c r="H968" s="35" t="s">
        <v>5818</v>
      </c>
      <c r="I968" s="36" t="s">
        <v>5819</v>
      </c>
      <c r="J968" s="34" t="s">
        <v>5820</v>
      </c>
      <c r="K968" s="34" t="s">
        <v>5821</v>
      </c>
      <c r="L968" s="37"/>
      <c r="M968" s="37"/>
      <c r="N968" s="37"/>
      <c r="O968" s="37"/>
      <c r="P968" s="37"/>
      <c r="Q968" s="37"/>
      <c r="R968" s="31" t="n">
        <f aca="false">COUNT($M968:$Q968)</f>
        <v>0</v>
      </c>
      <c r="S968" s="32" t="str">
        <f aca="false">IF($L968="","",IF($R968&gt;=5,"",MAX($L968:$Q968)+CHOOSE($R968+1,SETTINGS!$C$9,SETTINGS!$C$10,SETTINGS!$C$11,SETTINGS!$C$12,SETTINGS!$C$13)))</f>
        <v/>
      </c>
      <c r="T968" s="34" t="str">
        <f aca="true">IF($H968="","(chưa có nội dung)",IF($L968="",IF($C968&lt;TODAY(),"⚠ TRỄ HỌC",IF($C968=TODAY(),"★ HỌC HÔM NAY","• Chưa tới")),IF($R968&gt;=5,"✔ MASTER",IF($S968&lt;TODAY(),"⚠ TRỄ ÔN",IF($S968=TODAY(),"◆ ÔN HÔM NAY","✔ Đúng tiến độ")))))</f>
        <v>• Chưa tới</v>
      </c>
      <c r="U968" s="38" t="n">
        <f aca="false">IF($H968="","",$R968/5)</f>
        <v>0</v>
      </c>
    </row>
    <row r="969" customFormat="false" ht="23.85" hidden="false" customHeight="false" outlineLevel="0" collapsed="false">
      <c r="A969" s="31" t="s">
        <v>5822</v>
      </c>
      <c r="B969" s="31" t="n">
        <v>49</v>
      </c>
      <c r="C969" s="32" t="n">
        <f aca="false">SETTINGS!$C$3+$B969-1</f>
        <v>46348</v>
      </c>
      <c r="D969" s="40" t="s">
        <v>3692</v>
      </c>
      <c r="E969" s="34" t="s">
        <v>5788</v>
      </c>
      <c r="F969" s="34" t="s">
        <v>5676</v>
      </c>
      <c r="G969" s="34" t="s">
        <v>5823</v>
      </c>
      <c r="H969" s="35" t="s">
        <v>5824</v>
      </c>
      <c r="I969" s="36" t="s">
        <v>5825</v>
      </c>
      <c r="J969" s="34" t="s">
        <v>5826</v>
      </c>
      <c r="K969" s="34" t="s">
        <v>5823</v>
      </c>
      <c r="L969" s="37"/>
      <c r="M969" s="37"/>
      <c r="N969" s="37"/>
      <c r="O969" s="37"/>
      <c r="P969" s="37"/>
      <c r="Q969" s="37"/>
      <c r="R969" s="31" t="n">
        <f aca="false">COUNT($M969:$Q969)</f>
        <v>0</v>
      </c>
      <c r="S969" s="32" t="str">
        <f aca="false">IF($L969="","",IF($R969&gt;=5,"",MAX($L969:$Q969)+CHOOSE($R969+1,SETTINGS!$C$9,SETTINGS!$C$10,SETTINGS!$C$11,SETTINGS!$C$12,SETTINGS!$C$13)))</f>
        <v/>
      </c>
      <c r="T969" s="34" t="str">
        <f aca="true">IF($H969="","(chưa có nội dung)",IF($L969="",IF($C969&lt;TODAY(),"⚠ TRỄ HỌC",IF($C969=TODAY(),"★ HỌC HÔM NAY","• Chưa tới")),IF($R969&gt;=5,"✔ MASTER",IF($S969&lt;TODAY(),"⚠ TRỄ ÔN",IF($S969=TODAY(),"◆ ÔN HÔM NAY","✔ Đúng tiến độ")))))</f>
        <v>• Chưa tới</v>
      </c>
      <c r="U969" s="38" t="n">
        <f aca="false">IF($H969="","",$R969/5)</f>
        <v>0</v>
      </c>
    </row>
    <row r="970" customFormat="false" ht="23.85" hidden="false" customHeight="false" outlineLevel="0" collapsed="false">
      <c r="A970" s="31" t="s">
        <v>5827</v>
      </c>
      <c r="B970" s="31" t="n">
        <v>49</v>
      </c>
      <c r="C970" s="32" t="n">
        <f aca="false">SETTINGS!$C$3+$B970-1</f>
        <v>46348</v>
      </c>
      <c r="D970" s="40" t="s">
        <v>3692</v>
      </c>
      <c r="E970" s="34" t="s">
        <v>5788</v>
      </c>
      <c r="F970" s="34" t="s">
        <v>3694</v>
      </c>
      <c r="G970" s="34" t="s">
        <v>5828</v>
      </c>
      <c r="H970" s="35" t="s">
        <v>5829</v>
      </c>
      <c r="I970" s="36" t="s">
        <v>5830</v>
      </c>
      <c r="J970" s="34" t="s">
        <v>5831</v>
      </c>
      <c r="K970" s="34" t="s">
        <v>5832</v>
      </c>
      <c r="L970" s="37"/>
      <c r="M970" s="37"/>
      <c r="N970" s="37"/>
      <c r="O970" s="37"/>
      <c r="P970" s="37"/>
      <c r="Q970" s="37"/>
      <c r="R970" s="31" t="n">
        <f aca="false">COUNT($M970:$Q970)</f>
        <v>0</v>
      </c>
      <c r="S970" s="32" t="str">
        <f aca="false">IF($L970="","",IF($R970&gt;=5,"",MAX($L970:$Q970)+CHOOSE($R970+1,SETTINGS!$C$9,SETTINGS!$C$10,SETTINGS!$C$11,SETTINGS!$C$12,SETTINGS!$C$13)))</f>
        <v/>
      </c>
      <c r="T970" s="34" t="str">
        <f aca="true">IF($H970="","(chưa có nội dung)",IF($L970="",IF($C970&lt;TODAY(),"⚠ TRỄ HỌC",IF($C970=TODAY(),"★ HỌC HÔM NAY","• Chưa tới")),IF($R970&gt;=5,"✔ MASTER",IF($S970&lt;TODAY(),"⚠ TRỄ ÔN",IF($S970=TODAY(),"◆ ÔN HÔM NAY","✔ Đúng tiến độ")))))</f>
        <v>• Chưa tới</v>
      </c>
      <c r="U970" s="38" t="n">
        <f aca="false">IF($H970="","",$R970/5)</f>
        <v>0</v>
      </c>
    </row>
    <row r="971" customFormat="false" ht="26.85" hidden="false" customHeight="false" outlineLevel="0" collapsed="false">
      <c r="A971" s="31" t="s">
        <v>5833</v>
      </c>
      <c r="B971" s="31" t="n">
        <v>49</v>
      </c>
      <c r="C971" s="32" t="n">
        <f aca="false">SETTINGS!$C$3+$B971-1</f>
        <v>46348</v>
      </c>
      <c r="D971" s="40" t="s">
        <v>3692</v>
      </c>
      <c r="E971" s="34" t="s">
        <v>5788</v>
      </c>
      <c r="F971" s="34" t="s">
        <v>3694</v>
      </c>
      <c r="G971" s="34" t="s">
        <v>5834</v>
      </c>
      <c r="H971" s="35" t="s">
        <v>5835</v>
      </c>
      <c r="I971" s="36" t="s">
        <v>5836</v>
      </c>
      <c r="J971" s="34" t="s">
        <v>5837</v>
      </c>
      <c r="K971" s="34" t="s">
        <v>5838</v>
      </c>
      <c r="L971" s="37"/>
      <c r="M971" s="37"/>
      <c r="N971" s="37"/>
      <c r="O971" s="37"/>
      <c r="P971" s="37"/>
      <c r="Q971" s="37"/>
      <c r="R971" s="31" t="n">
        <f aca="false">COUNT($M971:$Q971)</f>
        <v>0</v>
      </c>
      <c r="S971" s="32" t="str">
        <f aca="false">IF($L971="","",IF($R971&gt;=5,"",MAX($L971:$Q971)+CHOOSE($R971+1,SETTINGS!$C$9,SETTINGS!$C$10,SETTINGS!$C$11,SETTINGS!$C$12,SETTINGS!$C$13)))</f>
        <v/>
      </c>
      <c r="T971" s="34" t="str">
        <f aca="true">IF($H971="","(chưa có nội dung)",IF($L971="",IF($C971&lt;TODAY(),"⚠ TRỄ HỌC",IF($C971=TODAY(),"★ HỌC HÔM NAY","• Chưa tới")),IF($R971&gt;=5,"✔ MASTER",IF($S971&lt;TODAY(),"⚠ TRỄ ÔN",IF($S971=TODAY(),"◆ ÔN HÔM NAY","✔ Đúng tiến độ")))))</f>
        <v>• Chưa tới</v>
      </c>
      <c r="U971" s="38" t="n">
        <f aca="false">IF($H971="","",$R971/5)</f>
        <v>0</v>
      </c>
    </row>
    <row r="972" customFormat="false" ht="23.85" hidden="false" customHeight="false" outlineLevel="0" collapsed="false">
      <c r="A972" s="31" t="s">
        <v>5839</v>
      </c>
      <c r="B972" s="31" t="n">
        <v>49</v>
      </c>
      <c r="C972" s="32" t="n">
        <f aca="false">SETTINGS!$C$3+$B972-1</f>
        <v>46348</v>
      </c>
      <c r="D972" s="40" t="s">
        <v>3692</v>
      </c>
      <c r="E972" s="34" t="s">
        <v>5788</v>
      </c>
      <c r="F972" s="34" t="s">
        <v>5676</v>
      </c>
      <c r="G972" s="34" t="s">
        <v>5840</v>
      </c>
      <c r="H972" s="35" t="s">
        <v>5841</v>
      </c>
      <c r="I972" s="36" t="s">
        <v>5842</v>
      </c>
      <c r="J972" s="34" t="s">
        <v>5843</v>
      </c>
      <c r="K972" s="34" t="s">
        <v>5844</v>
      </c>
      <c r="L972" s="37"/>
      <c r="M972" s="37"/>
      <c r="N972" s="37"/>
      <c r="O972" s="37"/>
      <c r="P972" s="37"/>
      <c r="Q972" s="37"/>
      <c r="R972" s="31" t="n">
        <f aca="false">COUNT($M972:$Q972)</f>
        <v>0</v>
      </c>
      <c r="S972" s="32" t="str">
        <f aca="false">IF($L972="","",IF($R972&gt;=5,"",MAX($L972:$Q972)+CHOOSE($R972+1,SETTINGS!$C$9,SETTINGS!$C$10,SETTINGS!$C$11,SETTINGS!$C$12,SETTINGS!$C$13)))</f>
        <v/>
      </c>
      <c r="T972" s="34" t="str">
        <f aca="true">IF($H972="","(chưa có nội dung)",IF($L972="",IF($C972&lt;TODAY(),"⚠ TRỄ HỌC",IF($C972=TODAY(),"★ HỌC HÔM NAY","• Chưa tới")),IF($R972&gt;=5,"✔ MASTER",IF($S972&lt;TODAY(),"⚠ TRỄ ÔN",IF($S972=TODAY(),"◆ ÔN HÔM NAY","✔ Đúng tiến độ")))))</f>
        <v>• Chưa tới</v>
      </c>
      <c r="U972" s="38" t="n">
        <f aca="false">IF($H972="","",$R972/5)</f>
        <v>0</v>
      </c>
    </row>
    <row r="973" customFormat="false" ht="26.85" hidden="false" customHeight="false" outlineLevel="0" collapsed="false">
      <c r="A973" s="31" t="s">
        <v>5845</v>
      </c>
      <c r="B973" s="31" t="n">
        <v>49</v>
      </c>
      <c r="C973" s="32" t="n">
        <f aca="false">SETTINGS!$C$3+$B973-1</f>
        <v>46348</v>
      </c>
      <c r="D973" s="40" t="s">
        <v>3692</v>
      </c>
      <c r="E973" s="34" t="s">
        <v>5788</v>
      </c>
      <c r="F973" s="34" t="s">
        <v>3694</v>
      </c>
      <c r="G973" s="34" t="s">
        <v>5846</v>
      </c>
      <c r="H973" s="35" t="s">
        <v>5847</v>
      </c>
      <c r="I973" s="36" t="s">
        <v>5848</v>
      </c>
      <c r="J973" s="34" t="s">
        <v>5849</v>
      </c>
      <c r="K973" s="34" t="s">
        <v>5668</v>
      </c>
      <c r="L973" s="37"/>
      <c r="M973" s="37"/>
      <c r="N973" s="37"/>
      <c r="O973" s="37"/>
      <c r="P973" s="37"/>
      <c r="Q973" s="37"/>
      <c r="R973" s="31" t="n">
        <f aca="false">COUNT($M973:$Q973)</f>
        <v>0</v>
      </c>
      <c r="S973" s="32" t="str">
        <f aca="false">IF($L973="","",IF($R973&gt;=5,"",MAX($L973:$Q973)+CHOOSE($R973+1,SETTINGS!$C$9,SETTINGS!$C$10,SETTINGS!$C$11,SETTINGS!$C$12,SETTINGS!$C$13)))</f>
        <v/>
      </c>
      <c r="T973" s="34" t="str">
        <f aca="true">IF($H973="","(chưa có nội dung)",IF($L973="",IF($C973&lt;TODAY(),"⚠ TRỄ HỌC",IF($C973=TODAY(),"★ HỌC HÔM NAY","• Chưa tới")),IF($R973&gt;=5,"✔ MASTER",IF($S973&lt;TODAY(),"⚠ TRỄ ÔN",IF($S973=TODAY(),"◆ ÔN HÔM NAY","✔ Đúng tiến độ")))))</f>
        <v>• Chưa tới</v>
      </c>
      <c r="U973" s="38" t="n">
        <f aca="false">IF($H973="","",$R973/5)</f>
        <v>0</v>
      </c>
    </row>
    <row r="974" customFormat="false" ht="26.85" hidden="false" customHeight="false" outlineLevel="0" collapsed="false">
      <c r="A974" s="31" t="s">
        <v>5850</v>
      </c>
      <c r="B974" s="31" t="n">
        <v>49</v>
      </c>
      <c r="C974" s="32" t="n">
        <f aca="false">SETTINGS!$C$3+$B974-1</f>
        <v>46348</v>
      </c>
      <c r="D974" s="40" t="s">
        <v>3692</v>
      </c>
      <c r="E974" s="34" t="s">
        <v>5788</v>
      </c>
      <c r="F974" s="34" t="s">
        <v>3694</v>
      </c>
      <c r="G974" s="34" t="s">
        <v>5851</v>
      </c>
      <c r="H974" s="35" t="s">
        <v>5852</v>
      </c>
      <c r="I974" s="36" t="s">
        <v>5853</v>
      </c>
      <c r="J974" s="34" t="s">
        <v>5854</v>
      </c>
      <c r="K974" s="34" t="s">
        <v>1633</v>
      </c>
      <c r="L974" s="37"/>
      <c r="M974" s="37"/>
      <c r="N974" s="37"/>
      <c r="O974" s="37"/>
      <c r="P974" s="37"/>
      <c r="Q974" s="37"/>
      <c r="R974" s="31" t="n">
        <f aca="false">COUNT($M974:$Q974)</f>
        <v>0</v>
      </c>
      <c r="S974" s="32" t="str">
        <f aca="false">IF($L974="","",IF($R974&gt;=5,"",MAX($L974:$Q974)+CHOOSE($R974+1,SETTINGS!$C$9,SETTINGS!$C$10,SETTINGS!$C$11,SETTINGS!$C$12,SETTINGS!$C$13)))</f>
        <v/>
      </c>
      <c r="T974" s="34" t="str">
        <f aca="true">IF($H974="","(chưa có nội dung)",IF($L974="",IF($C974&lt;TODAY(),"⚠ TRỄ HỌC",IF($C974=TODAY(),"★ HỌC HÔM NAY","• Chưa tới")),IF($R974&gt;=5,"✔ MASTER",IF($S974&lt;TODAY(),"⚠ TRỄ ÔN",IF($S974=TODAY(),"◆ ÔN HÔM NAY","✔ Đúng tiến độ")))))</f>
        <v>• Chưa tới</v>
      </c>
      <c r="U974" s="38" t="n">
        <f aca="false">IF($H974="","",$R974/5)</f>
        <v>0</v>
      </c>
    </row>
    <row r="975" customFormat="false" ht="23.85" hidden="false" customHeight="false" outlineLevel="0" collapsed="false">
      <c r="A975" s="31" t="s">
        <v>5855</v>
      </c>
      <c r="B975" s="31" t="n">
        <v>49</v>
      </c>
      <c r="C975" s="32" t="n">
        <f aca="false">SETTINGS!$C$3+$B975-1</f>
        <v>46348</v>
      </c>
      <c r="D975" s="40" t="s">
        <v>3692</v>
      </c>
      <c r="E975" s="34" t="s">
        <v>5788</v>
      </c>
      <c r="F975" s="34" t="s">
        <v>5676</v>
      </c>
      <c r="G975" s="34" t="s">
        <v>5856</v>
      </c>
      <c r="H975" s="35" t="s">
        <v>5857</v>
      </c>
      <c r="I975" s="36" t="s">
        <v>5858</v>
      </c>
      <c r="J975" s="34" t="s">
        <v>5859</v>
      </c>
      <c r="K975" s="34" t="s">
        <v>5860</v>
      </c>
      <c r="L975" s="37"/>
      <c r="M975" s="37"/>
      <c r="N975" s="37"/>
      <c r="O975" s="37"/>
      <c r="P975" s="37"/>
      <c r="Q975" s="37"/>
      <c r="R975" s="31" t="n">
        <f aca="false">COUNT($M975:$Q975)</f>
        <v>0</v>
      </c>
      <c r="S975" s="32" t="str">
        <f aca="false">IF($L975="","",IF($R975&gt;=5,"",MAX($L975:$Q975)+CHOOSE($R975+1,SETTINGS!$C$9,SETTINGS!$C$10,SETTINGS!$C$11,SETTINGS!$C$12,SETTINGS!$C$13)))</f>
        <v/>
      </c>
      <c r="T975" s="34" t="str">
        <f aca="true">IF($H975="","(chưa có nội dung)",IF($L975="",IF($C975&lt;TODAY(),"⚠ TRỄ HỌC",IF($C975=TODAY(),"★ HỌC HÔM NAY","• Chưa tới")),IF($R975&gt;=5,"✔ MASTER",IF($S975&lt;TODAY(),"⚠ TRỄ ÔN",IF($S975=TODAY(),"◆ ÔN HÔM NAY","✔ Đúng tiến độ")))))</f>
        <v>• Chưa tới</v>
      </c>
      <c r="U975" s="38" t="n">
        <f aca="false">IF($H975="","",$R975/5)</f>
        <v>0</v>
      </c>
    </row>
    <row r="976" customFormat="false" ht="23.85" hidden="false" customHeight="false" outlineLevel="0" collapsed="false">
      <c r="A976" s="31" t="s">
        <v>5861</v>
      </c>
      <c r="B976" s="31" t="n">
        <v>49</v>
      </c>
      <c r="C976" s="32" t="n">
        <f aca="false">SETTINGS!$C$3+$B976-1</f>
        <v>46348</v>
      </c>
      <c r="D976" s="40" t="s">
        <v>3692</v>
      </c>
      <c r="E976" s="34" t="s">
        <v>5788</v>
      </c>
      <c r="F976" s="34" t="s">
        <v>3694</v>
      </c>
      <c r="G976" s="34" t="s">
        <v>5862</v>
      </c>
      <c r="H976" s="35" t="s">
        <v>5863</v>
      </c>
      <c r="I976" s="36" t="s">
        <v>5864</v>
      </c>
      <c r="J976" s="34" t="s">
        <v>5865</v>
      </c>
      <c r="K976" s="34" t="s">
        <v>5866</v>
      </c>
      <c r="L976" s="37"/>
      <c r="M976" s="37"/>
      <c r="N976" s="37"/>
      <c r="O976" s="37"/>
      <c r="P976" s="37"/>
      <c r="Q976" s="37"/>
      <c r="R976" s="31" t="n">
        <f aca="false">COUNT($M976:$Q976)</f>
        <v>0</v>
      </c>
      <c r="S976" s="32" t="str">
        <f aca="false">IF($L976="","",IF($R976&gt;=5,"",MAX($L976:$Q976)+CHOOSE($R976+1,SETTINGS!$C$9,SETTINGS!$C$10,SETTINGS!$C$11,SETTINGS!$C$12,SETTINGS!$C$13)))</f>
        <v/>
      </c>
      <c r="T976" s="34" t="str">
        <f aca="true">IF($H976="","(chưa có nội dung)",IF($L976="",IF($C976&lt;TODAY(),"⚠ TRỄ HỌC",IF($C976=TODAY(),"★ HỌC HÔM NAY","• Chưa tới")),IF($R976&gt;=5,"✔ MASTER",IF($S976&lt;TODAY(),"⚠ TRỄ ÔN",IF($S976=TODAY(),"◆ ÔN HÔM NAY","✔ Đúng tiến độ")))))</f>
        <v>• Chưa tới</v>
      </c>
      <c r="U976" s="38" t="n">
        <f aca="false">IF($H976="","",$R976/5)</f>
        <v>0</v>
      </c>
    </row>
    <row r="977" customFormat="false" ht="23.85" hidden="false" customHeight="false" outlineLevel="0" collapsed="false">
      <c r="A977" s="31" t="s">
        <v>5867</v>
      </c>
      <c r="B977" s="31" t="n">
        <v>49</v>
      </c>
      <c r="C977" s="32" t="n">
        <f aca="false">SETTINGS!$C$3+$B977-1</f>
        <v>46348</v>
      </c>
      <c r="D977" s="40" t="s">
        <v>3692</v>
      </c>
      <c r="E977" s="34" t="s">
        <v>5788</v>
      </c>
      <c r="F977" s="34" t="s">
        <v>5676</v>
      </c>
      <c r="G977" s="34" t="s">
        <v>5868</v>
      </c>
      <c r="H977" s="35" t="s">
        <v>5869</v>
      </c>
      <c r="I977" s="36" t="s">
        <v>5870</v>
      </c>
      <c r="J977" s="34" t="s">
        <v>5871</v>
      </c>
      <c r="K977" s="34" t="s">
        <v>5872</v>
      </c>
      <c r="L977" s="37"/>
      <c r="M977" s="37"/>
      <c r="N977" s="37"/>
      <c r="O977" s="37"/>
      <c r="P977" s="37"/>
      <c r="Q977" s="37"/>
      <c r="R977" s="31" t="n">
        <f aca="false">COUNT($M977:$Q977)</f>
        <v>0</v>
      </c>
      <c r="S977" s="32" t="str">
        <f aca="false">IF($L977="","",IF($R977&gt;=5,"",MAX($L977:$Q977)+CHOOSE($R977+1,SETTINGS!$C$9,SETTINGS!$C$10,SETTINGS!$C$11,SETTINGS!$C$12,SETTINGS!$C$13)))</f>
        <v/>
      </c>
      <c r="T977" s="34" t="str">
        <f aca="true">IF($H977="","(chưa có nội dung)",IF($L977="",IF($C977&lt;TODAY(),"⚠ TRỄ HỌC",IF($C977=TODAY(),"★ HỌC HÔM NAY","• Chưa tới")),IF($R977&gt;=5,"✔ MASTER",IF($S977&lt;TODAY(),"⚠ TRỄ ÔN",IF($S977=TODAY(),"◆ ÔN HÔM NAY","✔ Đúng tiến độ")))))</f>
        <v>• Chưa tới</v>
      </c>
      <c r="U977" s="38" t="n">
        <f aca="false">IF($H977="","",$R977/5)</f>
        <v>0</v>
      </c>
    </row>
    <row r="978" customFormat="false" ht="23.85" hidden="false" customHeight="false" outlineLevel="0" collapsed="false">
      <c r="A978" s="31" t="s">
        <v>5873</v>
      </c>
      <c r="B978" s="31" t="n">
        <v>49</v>
      </c>
      <c r="C978" s="32" t="n">
        <f aca="false">SETTINGS!$C$3+$B978-1</f>
        <v>46348</v>
      </c>
      <c r="D978" s="40" t="s">
        <v>3692</v>
      </c>
      <c r="E978" s="34" t="s">
        <v>5788</v>
      </c>
      <c r="F978" s="34" t="s">
        <v>3694</v>
      </c>
      <c r="G978" s="34" t="s">
        <v>5874</v>
      </c>
      <c r="H978" s="35" t="s">
        <v>5875</v>
      </c>
      <c r="I978" s="36" t="s">
        <v>5876</v>
      </c>
      <c r="J978" s="34" t="s">
        <v>5877</v>
      </c>
      <c r="K978" s="34" t="s">
        <v>5353</v>
      </c>
      <c r="L978" s="37"/>
      <c r="M978" s="37"/>
      <c r="N978" s="37"/>
      <c r="O978" s="37"/>
      <c r="P978" s="37"/>
      <c r="Q978" s="37"/>
      <c r="R978" s="31" t="n">
        <f aca="false">COUNT($M978:$Q978)</f>
        <v>0</v>
      </c>
      <c r="S978" s="32" t="str">
        <f aca="false">IF($L978="","",IF($R978&gt;=5,"",MAX($L978:$Q978)+CHOOSE($R978+1,SETTINGS!$C$9,SETTINGS!$C$10,SETTINGS!$C$11,SETTINGS!$C$12,SETTINGS!$C$13)))</f>
        <v/>
      </c>
      <c r="T978" s="34" t="str">
        <f aca="true">IF($H978="","(chưa có nội dung)",IF($L978="",IF($C978&lt;TODAY(),"⚠ TRỄ HỌC",IF($C978=TODAY(),"★ HỌC HÔM NAY","• Chưa tới")),IF($R978&gt;=5,"✔ MASTER",IF($S978&lt;TODAY(),"⚠ TRỄ ÔN",IF($S978=TODAY(),"◆ ÔN HÔM NAY","✔ Đúng tiến độ")))))</f>
        <v>• Chưa tới</v>
      </c>
      <c r="U978" s="38" t="n">
        <f aca="false">IF($H978="","",$R978/5)</f>
        <v>0</v>
      </c>
    </row>
    <row r="979" customFormat="false" ht="26.85" hidden="false" customHeight="false" outlineLevel="0" collapsed="false">
      <c r="A979" s="31" t="s">
        <v>5878</v>
      </c>
      <c r="B979" s="31" t="n">
        <v>49</v>
      </c>
      <c r="C979" s="32" t="n">
        <f aca="false">SETTINGS!$C$3+$B979-1</f>
        <v>46348</v>
      </c>
      <c r="D979" s="40" t="s">
        <v>3692</v>
      </c>
      <c r="E979" s="34" t="s">
        <v>5788</v>
      </c>
      <c r="F979" s="34" t="s">
        <v>3694</v>
      </c>
      <c r="G979" s="34" t="s">
        <v>5879</v>
      </c>
      <c r="H979" s="35" t="s">
        <v>5880</v>
      </c>
      <c r="I979" s="36" t="s">
        <v>5881</v>
      </c>
      <c r="J979" s="34" t="s">
        <v>5882</v>
      </c>
      <c r="K979" s="34" t="s">
        <v>997</v>
      </c>
      <c r="L979" s="37"/>
      <c r="M979" s="37"/>
      <c r="N979" s="37"/>
      <c r="O979" s="37"/>
      <c r="P979" s="37"/>
      <c r="Q979" s="37"/>
      <c r="R979" s="31" t="n">
        <f aca="false">COUNT($M979:$Q979)</f>
        <v>0</v>
      </c>
      <c r="S979" s="32" t="str">
        <f aca="false">IF($L979="","",IF($R979&gt;=5,"",MAX($L979:$Q979)+CHOOSE($R979+1,SETTINGS!$C$9,SETTINGS!$C$10,SETTINGS!$C$11,SETTINGS!$C$12,SETTINGS!$C$13)))</f>
        <v/>
      </c>
      <c r="T979" s="34" t="str">
        <f aca="true">IF($H979="","(chưa có nội dung)",IF($L979="",IF($C979&lt;TODAY(),"⚠ TRỄ HỌC",IF($C979=TODAY(),"★ HỌC HÔM NAY","• Chưa tới")),IF($R979&gt;=5,"✔ MASTER",IF($S979&lt;TODAY(),"⚠ TRỄ ÔN",IF($S979=TODAY(),"◆ ÔN HÔM NAY","✔ Đúng tiến độ")))))</f>
        <v>• Chưa tới</v>
      </c>
      <c r="U979" s="38" t="n">
        <f aca="false">IF($H979="","",$R979/5)</f>
        <v>0</v>
      </c>
    </row>
    <row r="980" customFormat="false" ht="23.85" hidden="false" customHeight="false" outlineLevel="0" collapsed="false">
      <c r="A980" s="31" t="s">
        <v>5883</v>
      </c>
      <c r="B980" s="31" t="n">
        <v>49</v>
      </c>
      <c r="C980" s="32" t="n">
        <f aca="false">SETTINGS!$C$3+$B980-1</f>
        <v>46348</v>
      </c>
      <c r="D980" s="40" t="s">
        <v>3692</v>
      </c>
      <c r="E980" s="34" t="s">
        <v>5788</v>
      </c>
      <c r="F980" s="34" t="s">
        <v>5676</v>
      </c>
      <c r="G980" s="34" t="s">
        <v>5884</v>
      </c>
      <c r="H980" s="35" t="s">
        <v>5885</v>
      </c>
      <c r="I980" s="36" t="s">
        <v>5886</v>
      </c>
      <c r="J980" s="34" t="s">
        <v>5887</v>
      </c>
      <c r="K980" s="34" t="s">
        <v>5888</v>
      </c>
      <c r="L980" s="37"/>
      <c r="M980" s="37"/>
      <c r="N980" s="37"/>
      <c r="O980" s="37"/>
      <c r="P980" s="37"/>
      <c r="Q980" s="37"/>
      <c r="R980" s="31" t="n">
        <f aca="false">COUNT($M980:$Q980)</f>
        <v>0</v>
      </c>
      <c r="S980" s="32" t="str">
        <f aca="false">IF($L980="","",IF($R980&gt;=5,"",MAX($L980:$Q980)+CHOOSE($R980+1,SETTINGS!$C$9,SETTINGS!$C$10,SETTINGS!$C$11,SETTINGS!$C$12,SETTINGS!$C$13)))</f>
        <v/>
      </c>
      <c r="T980" s="34" t="str">
        <f aca="true">IF($H980="","(chưa có nội dung)",IF($L980="",IF($C980&lt;TODAY(),"⚠ TRỄ HỌC",IF($C980=TODAY(),"★ HỌC HÔM NAY","• Chưa tới")),IF($R980&gt;=5,"✔ MASTER",IF($S980&lt;TODAY(),"⚠ TRỄ ÔN",IF($S980=TODAY(),"◆ ÔN HÔM NAY","✔ Đúng tiến độ")))))</f>
        <v>• Chưa tới</v>
      </c>
      <c r="U980" s="38" t="n">
        <f aca="false">IF($H980="","",$R980/5)</f>
        <v>0</v>
      </c>
    </row>
    <row r="981" customFormat="false" ht="23.85" hidden="false" customHeight="false" outlineLevel="0" collapsed="false">
      <c r="A981" s="31" t="s">
        <v>5889</v>
      </c>
      <c r="B981" s="31" t="n">
        <v>49</v>
      </c>
      <c r="C981" s="32" t="n">
        <f aca="false">SETTINGS!$C$3+$B981-1</f>
        <v>46348</v>
      </c>
      <c r="D981" s="40" t="s">
        <v>3692</v>
      </c>
      <c r="E981" s="34" t="s">
        <v>5788</v>
      </c>
      <c r="F981" s="34" t="s">
        <v>3694</v>
      </c>
      <c r="G981" s="34" t="s">
        <v>5890</v>
      </c>
      <c r="H981" s="35" t="s">
        <v>5891</v>
      </c>
      <c r="I981" s="36" t="s">
        <v>5892</v>
      </c>
      <c r="J981" s="34" t="s">
        <v>5893</v>
      </c>
      <c r="K981" s="34" t="s">
        <v>5894</v>
      </c>
      <c r="L981" s="37"/>
      <c r="M981" s="37"/>
      <c r="N981" s="37"/>
      <c r="O981" s="37"/>
      <c r="P981" s="37"/>
      <c r="Q981" s="37"/>
      <c r="R981" s="31" t="n">
        <f aca="false">COUNT($M981:$Q981)</f>
        <v>0</v>
      </c>
      <c r="S981" s="32" t="str">
        <f aca="false">IF($L981="","",IF($R981&gt;=5,"",MAX($L981:$Q981)+CHOOSE($R981+1,SETTINGS!$C$9,SETTINGS!$C$10,SETTINGS!$C$11,SETTINGS!$C$12,SETTINGS!$C$13)))</f>
        <v/>
      </c>
      <c r="T981" s="34" t="str">
        <f aca="true">IF($H981="","(chưa có nội dung)",IF($L981="",IF($C981&lt;TODAY(),"⚠ TRỄ HỌC",IF($C981=TODAY(),"★ HỌC HÔM NAY","• Chưa tới")),IF($R981&gt;=5,"✔ MASTER",IF($S981&lt;TODAY(),"⚠ TRỄ ÔN",IF($S981=TODAY(),"◆ ÔN HÔM NAY","✔ Đúng tiến độ")))))</f>
        <v>• Chưa tới</v>
      </c>
      <c r="U981" s="38" t="n">
        <f aca="false">IF($H981="","",$R981/5)</f>
        <v>0</v>
      </c>
    </row>
    <row r="982" customFormat="false" ht="26.85" hidden="false" customHeight="false" outlineLevel="0" collapsed="false">
      <c r="A982" s="31" t="s">
        <v>5895</v>
      </c>
      <c r="B982" s="31" t="n">
        <v>49</v>
      </c>
      <c r="C982" s="32" t="n">
        <f aca="false">SETTINGS!$C$3+$B982-1</f>
        <v>46348</v>
      </c>
      <c r="D982" s="40" t="s">
        <v>3692</v>
      </c>
      <c r="E982" s="34" t="s">
        <v>5788</v>
      </c>
      <c r="F982" s="34" t="s">
        <v>280</v>
      </c>
      <c r="G982" s="34" t="s">
        <v>5896</v>
      </c>
      <c r="H982" s="35" t="s">
        <v>5897</v>
      </c>
      <c r="I982" s="36" t="s">
        <v>5898</v>
      </c>
      <c r="J982" s="34" t="s">
        <v>5899</v>
      </c>
      <c r="K982" s="34" t="s">
        <v>5900</v>
      </c>
      <c r="L982" s="37"/>
      <c r="M982" s="37"/>
      <c r="N982" s="37"/>
      <c r="O982" s="37"/>
      <c r="P982" s="37"/>
      <c r="Q982" s="37"/>
      <c r="R982" s="31" t="n">
        <f aca="false">COUNT($M982:$Q982)</f>
        <v>0</v>
      </c>
      <c r="S982" s="32" t="str">
        <f aca="false">IF($L982="","",IF($R982&gt;=5,"",MAX($L982:$Q982)+CHOOSE($R982+1,SETTINGS!$C$9,SETTINGS!$C$10,SETTINGS!$C$11,SETTINGS!$C$12,SETTINGS!$C$13)))</f>
        <v/>
      </c>
      <c r="T982" s="34" t="str">
        <f aca="true">IF($H982="","(chưa có nội dung)",IF($L982="",IF($C982&lt;TODAY(),"⚠ TRỄ HỌC",IF($C982=TODAY(),"★ HỌC HÔM NAY","• Chưa tới")),IF($R982&gt;=5,"✔ MASTER",IF($S982&lt;TODAY(),"⚠ TRỄ ÔN",IF($S982=TODAY(),"◆ ÔN HÔM NAY","✔ Đúng tiến độ")))))</f>
        <v>• Chưa tới</v>
      </c>
      <c r="U982" s="38" t="n">
        <f aca="false">IF($H982="","",$R982/5)</f>
        <v>0</v>
      </c>
    </row>
    <row r="983" customFormat="false" ht="23.85" hidden="false" customHeight="false" outlineLevel="0" collapsed="false">
      <c r="A983" s="31" t="s">
        <v>5901</v>
      </c>
      <c r="B983" s="31" t="n">
        <v>50</v>
      </c>
      <c r="C983" s="32" t="n">
        <f aca="false">SETTINGS!$C$3+$B983-1</f>
        <v>46349</v>
      </c>
      <c r="D983" s="40" t="s">
        <v>3692</v>
      </c>
      <c r="E983" s="34" t="s">
        <v>5902</v>
      </c>
      <c r="F983" s="34" t="s">
        <v>3694</v>
      </c>
      <c r="G983" s="34" t="s">
        <v>5903</v>
      </c>
      <c r="H983" s="35" t="s">
        <v>5904</v>
      </c>
      <c r="I983" s="36" t="s">
        <v>5905</v>
      </c>
      <c r="J983" s="34" t="s">
        <v>5906</v>
      </c>
      <c r="K983" s="34" t="s">
        <v>5907</v>
      </c>
      <c r="L983" s="37"/>
      <c r="M983" s="37"/>
      <c r="N983" s="37"/>
      <c r="O983" s="37"/>
      <c r="P983" s="37"/>
      <c r="Q983" s="37"/>
      <c r="R983" s="31" t="n">
        <f aca="false">COUNT($M983:$Q983)</f>
        <v>0</v>
      </c>
      <c r="S983" s="32" t="str">
        <f aca="false">IF($L983="","",IF($R983&gt;=5,"",MAX($L983:$Q983)+CHOOSE($R983+1,SETTINGS!$C$9,SETTINGS!$C$10,SETTINGS!$C$11,SETTINGS!$C$12,SETTINGS!$C$13)))</f>
        <v/>
      </c>
      <c r="T983" s="34" t="str">
        <f aca="true">IF($H983="","(chưa có nội dung)",IF($L983="",IF($C983&lt;TODAY(),"⚠ TRỄ HỌC",IF($C983=TODAY(),"★ HỌC HÔM NAY","• Chưa tới")),IF($R983&gt;=5,"✔ MASTER",IF($S983&lt;TODAY(),"⚠ TRỄ ÔN",IF($S983=TODAY(),"◆ ÔN HÔM NAY","✔ Đúng tiến độ")))))</f>
        <v>• Chưa tới</v>
      </c>
      <c r="U983" s="38" t="n">
        <f aca="false">IF($H983="","",$R983/5)</f>
        <v>0</v>
      </c>
    </row>
    <row r="984" customFormat="false" ht="23.85" hidden="false" customHeight="false" outlineLevel="0" collapsed="false">
      <c r="A984" s="31" t="s">
        <v>5908</v>
      </c>
      <c r="B984" s="31" t="n">
        <v>50</v>
      </c>
      <c r="C984" s="32" t="n">
        <f aca="false">SETTINGS!$C$3+$B984-1</f>
        <v>46349</v>
      </c>
      <c r="D984" s="40" t="s">
        <v>3692</v>
      </c>
      <c r="E984" s="34" t="s">
        <v>5902</v>
      </c>
      <c r="F984" s="34" t="s">
        <v>3694</v>
      </c>
      <c r="G984" s="34" t="s">
        <v>5909</v>
      </c>
      <c r="H984" s="35" t="s">
        <v>5910</v>
      </c>
      <c r="I984" s="36" t="s">
        <v>5911</v>
      </c>
      <c r="J984" s="34" t="s">
        <v>5912</v>
      </c>
      <c r="K984" s="34" t="s">
        <v>5909</v>
      </c>
      <c r="L984" s="37"/>
      <c r="M984" s="37"/>
      <c r="N984" s="37"/>
      <c r="O984" s="37"/>
      <c r="P984" s="37"/>
      <c r="Q984" s="37"/>
      <c r="R984" s="31" t="n">
        <f aca="false">COUNT($M984:$Q984)</f>
        <v>0</v>
      </c>
      <c r="S984" s="32" t="str">
        <f aca="false">IF($L984="","",IF($R984&gt;=5,"",MAX($L984:$Q984)+CHOOSE($R984+1,SETTINGS!$C$9,SETTINGS!$C$10,SETTINGS!$C$11,SETTINGS!$C$12,SETTINGS!$C$13)))</f>
        <v/>
      </c>
      <c r="T984" s="34" t="str">
        <f aca="true">IF($H984="","(chưa có nội dung)",IF($L984="",IF($C984&lt;TODAY(),"⚠ TRỄ HỌC",IF($C984=TODAY(),"★ HỌC HÔM NAY","• Chưa tới")),IF($R984&gt;=5,"✔ MASTER",IF($S984&lt;TODAY(),"⚠ TRỄ ÔN",IF($S984=TODAY(),"◆ ÔN HÔM NAY","✔ Đúng tiến độ")))))</f>
        <v>• Chưa tới</v>
      </c>
      <c r="U984" s="38" t="n">
        <f aca="false">IF($H984="","",$R984/5)</f>
        <v>0</v>
      </c>
    </row>
    <row r="985" customFormat="false" ht="23.85" hidden="false" customHeight="false" outlineLevel="0" collapsed="false">
      <c r="A985" s="31" t="s">
        <v>5913</v>
      </c>
      <c r="B985" s="31" t="n">
        <v>50</v>
      </c>
      <c r="C985" s="32" t="n">
        <f aca="false">SETTINGS!$C$3+$B985-1</f>
        <v>46349</v>
      </c>
      <c r="D985" s="40" t="s">
        <v>3692</v>
      </c>
      <c r="E985" s="34" t="s">
        <v>5902</v>
      </c>
      <c r="F985" s="34" t="s">
        <v>3694</v>
      </c>
      <c r="G985" s="34" t="s">
        <v>5914</v>
      </c>
      <c r="H985" s="35" t="s">
        <v>5915</v>
      </c>
      <c r="I985" s="36" t="s">
        <v>5916</v>
      </c>
      <c r="J985" s="34" t="s">
        <v>5917</v>
      </c>
      <c r="K985" s="34" t="s">
        <v>5918</v>
      </c>
      <c r="L985" s="37"/>
      <c r="M985" s="37"/>
      <c r="N985" s="37"/>
      <c r="O985" s="37"/>
      <c r="P985" s="37"/>
      <c r="Q985" s="37"/>
      <c r="R985" s="31" t="n">
        <f aca="false">COUNT($M985:$Q985)</f>
        <v>0</v>
      </c>
      <c r="S985" s="32" t="str">
        <f aca="false">IF($L985="","",IF($R985&gt;=5,"",MAX($L985:$Q985)+CHOOSE($R985+1,SETTINGS!$C$9,SETTINGS!$C$10,SETTINGS!$C$11,SETTINGS!$C$12,SETTINGS!$C$13)))</f>
        <v/>
      </c>
      <c r="T985" s="34" t="str">
        <f aca="true">IF($H985="","(chưa có nội dung)",IF($L985="",IF($C985&lt;TODAY(),"⚠ TRỄ HỌC",IF($C985=TODAY(),"★ HỌC HÔM NAY","• Chưa tới")),IF($R985&gt;=5,"✔ MASTER",IF($S985&lt;TODAY(),"⚠ TRỄ ÔN",IF($S985=TODAY(),"◆ ÔN HÔM NAY","✔ Đúng tiến độ")))))</f>
        <v>• Chưa tới</v>
      </c>
      <c r="U985" s="38" t="n">
        <f aca="false">IF($H985="","",$R985/5)</f>
        <v>0</v>
      </c>
    </row>
    <row r="986" customFormat="false" ht="23.85" hidden="false" customHeight="false" outlineLevel="0" collapsed="false">
      <c r="A986" s="31" t="s">
        <v>5919</v>
      </c>
      <c r="B986" s="31" t="n">
        <v>50</v>
      </c>
      <c r="C986" s="32" t="n">
        <f aca="false">SETTINGS!$C$3+$B986-1</f>
        <v>46349</v>
      </c>
      <c r="D986" s="40" t="s">
        <v>3692</v>
      </c>
      <c r="E986" s="34" t="s">
        <v>5902</v>
      </c>
      <c r="F986" s="34" t="s">
        <v>472</v>
      </c>
      <c r="G986" s="34" t="s">
        <v>5920</v>
      </c>
      <c r="H986" s="35" t="s">
        <v>5921</v>
      </c>
      <c r="I986" s="36" t="s">
        <v>5922</v>
      </c>
      <c r="J986" s="34" t="s">
        <v>5923</v>
      </c>
      <c r="K986" s="34" t="s">
        <v>5924</v>
      </c>
      <c r="L986" s="37"/>
      <c r="M986" s="37"/>
      <c r="N986" s="37"/>
      <c r="O986" s="37"/>
      <c r="P986" s="37"/>
      <c r="Q986" s="37"/>
      <c r="R986" s="31" t="n">
        <f aca="false">COUNT($M986:$Q986)</f>
        <v>0</v>
      </c>
      <c r="S986" s="32" t="str">
        <f aca="false">IF($L986="","",IF($R986&gt;=5,"",MAX($L986:$Q986)+CHOOSE($R986+1,SETTINGS!$C$9,SETTINGS!$C$10,SETTINGS!$C$11,SETTINGS!$C$12,SETTINGS!$C$13)))</f>
        <v/>
      </c>
      <c r="T986" s="34" t="str">
        <f aca="true">IF($H986="","(chưa có nội dung)",IF($L986="",IF($C986&lt;TODAY(),"⚠ TRỄ HỌC",IF($C986=TODAY(),"★ HỌC HÔM NAY","• Chưa tới")),IF($R986&gt;=5,"✔ MASTER",IF($S986&lt;TODAY(),"⚠ TRỄ ÔN",IF($S986=TODAY(),"◆ ÔN HÔM NAY","✔ Đúng tiến độ")))))</f>
        <v>• Chưa tới</v>
      </c>
      <c r="U986" s="38" t="n">
        <f aca="false">IF($H986="","",$R986/5)</f>
        <v>0</v>
      </c>
    </row>
    <row r="987" customFormat="false" ht="23.85" hidden="false" customHeight="false" outlineLevel="0" collapsed="false">
      <c r="A987" s="31" t="s">
        <v>5925</v>
      </c>
      <c r="B987" s="31" t="n">
        <v>50</v>
      </c>
      <c r="C987" s="32" t="n">
        <f aca="false">SETTINGS!$C$3+$B987-1</f>
        <v>46349</v>
      </c>
      <c r="D987" s="40" t="s">
        <v>3692</v>
      </c>
      <c r="E987" s="34" t="s">
        <v>5902</v>
      </c>
      <c r="F987" s="34" t="s">
        <v>3694</v>
      </c>
      <c r="G987" s="34" t="s">
        <v>5926</v>
      </c>
      <c r="H987" s="35" t="s">
        <v>5927</v>
      </c>
      <c r="I987" s="36" t="s">
        <v>5928</v>
      </c>
      <c r="J987" s="34" t="s">
        <v>5929</v>
      </c>
      <c r="K987" s="34" t="s">
        <v>5930</v>
      </c>
      <c r="L987" s="37"/>
      <c r="M987" s="37"/>
      <c r="N987" s="37"/>
      <c r="O987" s="37"/>
      <c r="P987" s="37"/>
      <c r="Q987" s="37"/>
      <c r="R987" s="31" t="n">
        <f aca="false">COUNT($M987:$Q987)</f>
        <v>0</v>
      </c>
      <c r="S987" s="32" t="str">
        <f aca="false">IF($L987="","",IF($R987&gt;=5,"",MAX($L987:$Q987)+CHOOSE($R987+1,SETTINGS!$C$9,SETTINGS!$C$10,SETTINGS!$C$11,SETTINGS!$C$12,SETTINGS!$C$13)))</f>
        <v/>
      </c>
      <c r="T987" s="34" t="str">
        <f aca="true">IF($H987="","(chưa có nội dung)",IF($L987="",IF($C987&lt;TODAY(),"⚠ TRỄ HỌC",IF($C987=TODAY(),"★ HỌC HÔM NAY","• Chưa tới")),IF($R987&gt;=5,"✔ MASTER",IF($S987&lt;TODAY(),"⚠ TRỄ ÔN",IF($S987=TODAY(),"◆ ÔN HÔM NAY","✔ Đúng tiến độ")))))</f>
        <v>• Chưa tới</v>
      </c>
      <c r="U987" s="38" t="n">
        <f aca="false">IF($H987="","",$R987/5)</f>
        <v>0</v>
      </c>
    </row>
    <row r="988" customFormat="false" ht="23.85" hidden="false" customHeight="false" outlineLevel="0" collapsed="false">
      <c r="A988" s="31" t="s">
        <v>5931</v>
      </c>
      <c r="B988" s="31" t="n">
        <v>50</v>
      </c>
      <c r="C988" s="32" t="n">
        <f aca="false">SETTINGS!$C$3+$B988-1</f>
        <v>46349</v>
      </c>
      <c r="D988" s="40" t="s">
        <v>3692</v>
      </c>
      <c r="E988" s="34" t="s">
        <v>5902</v>
      </c>
      <c r="F988" s="34" t="s">
        <v>183</v>
      </c>
      <c r="G988" s="34" t="s">
        <v>5932</v>
      </c>
      <c r="H988" s="35" t="s">
        <v>5933</v>
      </c>
      <c r="I988" s="36" t="s">
        <v>5934</v>
      </c>
      <c r="J988" s="34" t="s">
        <v>5935</v>
      </c>
      <c r="K988" s="34" t="s">
        <v>5936</v>
      </c>
      <c r="L988" s="37"/>
      <c r="M988" s="37"/>
      <c r="N988" s="37"/>
      <c r="O988" s="37"/>
      <c r="P988" s="37"/>
      <c r="Q988" s="37"/>
      <c r="R988" s="31" t="n">
        <f aca="false">COUNT($M988:$Q988)</f>
        <v>0</v>
      </c>
      <c r="S988" s="32" t="str">
        <f aca="false">IF($L988="","",IF($R988&gt;=5,"",MAX($L988:$Q988)+CHOOSE($R988+1,SETTINGS!$C$9,SETTINGS!$C$10,SETTINGS!$C$11,SETTINGS!$C$12,SETTINGS!$C$13)))</f>
        <v/>
      </c>
      <c r="T988" s="34" t="str">
        <f aca="true">IF($H988="","(chưa có nội dung)",IF($L988="",IF($C988&lt;TODAY(),"⚠ TRỄ HỌC",IF($C988=TODAY(),"★ HỌC HÔM NAY","• Chưa tới")),IF($R988&gt;=5,"✔ MASTER",IF($S988&lt;TODAY(),"⚠ TRỄ ÔN",IF($S988=TODAY(),"◆ ÔN HÔM NAY","✔ Đúng tiến độ")))))</f>
        <v>• Chưa tới</v>
      </c>
      <c r="U988" s="38" t="n">
        <f aca="false">IF($H988="","",$R988/5)</f>
        <v>0</v>
      </c>
    </row>
    <row r="989" customFormat="false" ht="26.85" hidden="false" customHeight="false" outlineLevel="0" collapsed="false">
      <c r="A989" s="31" t="s">
        <v>5937</v>
      </c>
      <c r="B989" s="31" t="n">
        <v>50</v>
      </c>
      <c r="C989" s="32" t="n">
        <f aca="false">SETTINGS!$C$3+$B989-1</f>
        <v>46349</v>
      </c>
      <c r="D989" s="40" t="s">
        <v>3692</v>
      </c>
      <c r="E989" s="34" t="s">
        <v>5902</v>
      </c>
      <c r="F989" s="34" t="s">
        <v>163</v>
      </c>
      <c r="G989" s="34" t="s">
        <v>5938</v>
      </c>
      <c r="H989" s="35" t="s">
        <v>5939</v>
      </c>
      <c r="I989" s="36" t="s">
        <v>5940</v>
      </c>
      <c r="J989" s="34" t="s">
        <v>5941</v>
      </c>
      <c r="K989" s="34" t="s">
        <v>5938</v>
      </c>
      <c r="L989" s="37"/>
      <c r="M989" s="37"/>
      <c r="N989" s="37"/>
      <c r="O989" s="37"/>
      <c r="P989" s="37"/>
      <c r="Q989" s="37"/>
      <c r="R989" s="31" t="n">
        <f aca="false">COUNT($M989:$Q989)</f>
        <v>0</v>
      </c>
      <c r="S989" s="32" t="str">
        <f aca="false">IF($L989="","",IF($R989&gt;=5,"",MAX($L989:$Q989)+CHOOSE($R989+1,SETTINGS!$C$9,SETTINGS!$C$10,SETTINGS!$C$11,SETTINGS!$C$12,SETTINGS!$C$13)))</f>
        <v/>
      </c>
      <c r="T989" s="34" t="str">
        <f aca="true">IF($H989="","(chưa có nội dung)",IF($L989="",IF($C989&lt;TODAY(),"⚠ TRỄ HỌC",IF($C989=TODAY(),"★ HỌC HÔM NAY","• Chưa tới")),IF($R989&gt;=5,"✔ MASTER",IF($S989&lt;TODAY(),"⚠ TRỄ ÔN",IF($S989=TODAY(),"◆ ÔN HÔM NAY","✔ Đúng tiến độ")))))</f>
        <v>• Chưa tới</v>
      </c>
      <c r="U989" s="38" t="n">
        <f aca="false">IF($H989="","",$R989/5)</f>
        <v>0</v>
      </c>
    </row>
    <row r="990" customFormat="false" ht="23.85" hidden="false" customHeight="false" outlineLevel="0" collapsed="false">
      <c r="A990" s="31" t="s">
        <v>5942</v>
      </c>
      <c r="B990" s="31" t="n">
        <v>50</v>
      </c>
      <c r="C990" s="32" t="n">
        <f aca="false">SETTINGS!$C$3+$B990-1</f>
        <v>46349</v>
      </c>
      <c r="D990" s="40" t="s">
        <v>3692</v>
      </c>
      <c r="E990" s="34" t="s">
        <v>5902</v>
      </c>
      <c r="F990" s="34" t="s">
        <v>3694</v>
      </c>
      <c r="G990" s="34" t="s">
        <v>5943</v>
      </c>
      <c r="H990" s="35" t="s">
        <v>5944</v>
      </c>
      <c r="I990" s="36" t="s">
        <v>5945</v>
      </c>
      <c r="J990" s="34" t="s">
        <v>5946</v>
      </c>
      <c r="K990" s="34" t="s">
        <v>5943</v>
      </c>
      <c r="L990" s="37"/>
      <c r="M990" s="37"/>
      <c r="N990" s="37"/>
      <c r="O990" s="37"/>
      <c r="P990" s="37"/>
      <c r="Q990" s="37"/>
      <c r="R990" s="31" t="n">
        <f aca="false">COUNT($M990:$Q990)</f>
        <v>0</v>
      </c>
      <c r="S990" s="32" t="str">
        <f aca="false">IF($L990="","",IF($R990&gt;=5,"",MAX($L990:$Q990)+CHOOSE($R990+1,SETTINGS!$C$9,SETTINGS!$C$10,SETTINGS!$C$11,SETTINGS!$C$12,SETTINGS!$C$13)))</f>
        <v/>
      </c>
      <c r="T990" s="34" t="str">
        <f aca="true">IF($H990="","(chưa có nội dung)",IF($L990="",IF($C990&lt;TODAY(),"⚠ TRỄ HỌC",IF($C990=TODAY(),"★ HỌC HÔM NAY","• Chưa tới")),IF($R990&gt;=5,"✔ MASTER",IF($S990&lt;TODAY(),"⚠ TRỄ ÔN",IF($S990=TODAY(),"◆ ÔN HÔM NAY","✔ Đúng tiến độ")))))</f>
        <v>• Chưa tới</v>
      </c>
      <c r="U990" s="38" t="n">
        <f aca="false">IF($H990="","",$R990/5)</f>
        <v>0</v>
      </c>
    </row>
    <row r="991" customFormat="false" ht="23.85" hidden="false" customHeight="false" outlineLevel="0" collapsed="false">
      <c r="A991" s="31" t="s">
        <v>5947</v>
      </c>
      <c r="B991" s="31" t="n">
        <v>50</v>
      </c>
      <c r="C991" s="32" t="n">
        <f aca="false">SETTINGS!$C$3+$B991-1</f>
        <v>46349</v>
      </c>
      <c r="D991" s="40" t="s">
        <v>3692</v>
      </c>
      <c r="E991" s="34" t="s">
        <v>5902</v>
      </c>
      <c r="F991" s="34" t="s">
        <v>3694</v>
      </c>
      <c r="G991" s="34" t="s">
        <v>5948</v>
      </c>
      <c r="H991" s="35" t="s">
        <v>5949</v>
      </c>
      <c r="I991" s="36" t="s">
        <v>5950</v>
      </c>
      <c r="J991" s="34" t="s">
        <v>5951</v>
      </c>
      <c r="K991" s="34" t="s">
        <v>5952</v>
      </c>
      <c r="L991" s="37"/>
      <c r="M991" s="37"/>
      <c r="N991" s="37"/>
      <c r="O991" s="37"/>
      <c r="P991" s="37"/>
      <c r="Q991" s="37"/>
      <c r="R991" s="31" t="n">
        <f aca="false">COUNT($M991:$Q991)</f>
        <v>0</v>
      </c>
      <c r="S991" s="32" t="str">
        <f aca="false">IF($L991="","",IF($R991&gt;=5,"",MAX($L991:$Q991)+CHOOSE($R991+1,SETTINGS!$C$9,SETTINGS!$C$10,SETTINGS!$C$11,SETTINGS!$C$12,SETTINGS!$C$13)))</f>
        <v/>
      </c>
      <c r="T991" s="34" t="str">
        <f aca="true">IF($H991="","(chưa có nội dung)",IF($L991="",IF($C991&lt;TODAY(),"⚠ TRỄ HỌC",IF($C991=TODAY(),"★ HỌC HÔM NAY","• Chưa tới")),IF($R991&gt;=5,"✔ MASTER",IF($S991&lt;TODAY(),"⚠ TRỄ ÔN",IF($S991=TODAY(),"◆ ÔN HÔM NAY","✔ Đúng tiến độ")))))</f>
        <v>• Chưa tới</v>
      </c>
      <c r="U991" s="38" t="n">
        <f aca="false">IF($H991="","",$R991/5)</f>
        <v>0</v>
      </c>
    </row>
    <row r="992" customFormat="false" ht="23.85" hidden="false" customHeight="false" outlineLevel="0" collapsed="false">
      <c r="A992" s="31" t="s">
        <v>5953</v>
      </c>
      <c r="B992" s="31" t="n">
        <v>50</v>
      </c>
      <c r="C992" s="32" t="n">
        <f aca="false">SETTINGS!$C$3+$B992-1</f>
        <v>46349</v>
      </c>
      <c r="D992" s="40" t="s">
        <v>3692</v>
      </c>
      <c r="E992" s="34" t="s">
        <v>5902</v>
      </c>
      <c r="F992" s="34" t="s">
        <v>3694</v>
      </c>
      <c r="G992" s="34" t="s">
        <v>5954</v>
      </c>
      <c r="H992" s="35" t="s">
        <v>5955</v>
      </c>
      <c r="I992" s="36" t="s">
        <v>5956</v>
      </c>
      <c r="J992" s="34" t="s">
        <v>5957</v>
      </c>
      <c r="K992" s="34" t="s">
        <v>5958</v>
      </c>
      <c r="L992" s="37"/>
      <c r="M992" s="37"/>
      <c r="N992" s="37"/>
      <c r="O992" s="37"/>
      <c r="P992" s="37"/>
      <c r="Q992" s="37"/>
      <c r="R992" s="31" t="n">
        <f aca="false">COUNT($M992:$Q992)</f>
        <v>0</v>
      </c>
      <c r="S992" s="32" t="str">
        <f aca="false">IF($L992="","",IF($R992&gt;=5,"",MAX($L992:$Q992)+CHOOSE($R992+1,SETTINGS!$C$9,SETTINGS!$C$10,SETTINGS!$C$11,SETTINGS!$C$12,SETTINGS!$C$13)))</f>
        <v/>
      </c>
      <c r="T992" s="34" t="str">
        <f aca="true">IF($H992="","(chưa có nội dung)",IF($L992="",IF($C992&lt;TODAY(),"⚠ TRỄ HỌC",IF($C992=TODAY(),"★ HỌC HÔM NAY","• Chưa tới")),IF($R992&gt;=5,"✔ MASTER",IF($S992&lt;TODAY(),"⚠ TRỄ ÔN",IF($S992=TODAY(),"◆ ÔN HÔM NAY","✔ Đúng tiến độ")))))</f>
        <v>• Chưa tới</v>
      </c>
      <c r="U992" s="38" t="n">
        <f aca="false">IF($H992="","",$R992/5)</f>
        <v>0</v>
      </c>
    </row>
    <row r="993" customFormat="false" ht="26.85" hidden="false" customHeight="false" outlineLevel="0" collapsed="false">
      <c r="A993" s="31" t="s">
        <v>5959</v>
      </c>
      <c r="B993" s="31" t="n">
        <v>50</v>
      </c>
      <c r="C993" s="32" t="n">
        <f aca="false">SETTINGS!$C$3+$B993-1</f>
        <v>46349</v>
      </c>
      <c r="D993" s="40" t="s">
        <v>3692</v>
      </c>
      <c r="E993" s="34" t="s">
        <v>5902</v>
      </c>
      <c r="F993" s="34" t="s">
        <v>280</v>
      </c>
      <c r="G993" s="34" t="s">
        <v>5960</v>
      </c>
      <c r="H993" s="35" t="s">
        <v>5961</v>
      </c>
      <c r="I993" s="36" t="s">
        <v>5962</v>
      </c>
      <c r="J993" s="34" t="s">
        <v>5963</v>
      </c>
      <c r="K993" s="34" t="s">
        <v>5964</v>
      </c>
      <c r="L993" s="37"/>
      <c r="M993" s="37"/>
      <c r="N993" s="37"/>
      <c r="O993" s="37"/>
      <c r="P993" s="37"/>
      <c r="Q993" s="37"/>
      <c r="R993" s="31" t="n">
        <f aca="false">COUNT($M993:$Q993)</f>
        <v>0</v>
      </c>
      <c r="S993" s="32" t="str">
        <f aca="false">IF($L993="","",IF($R993&gt;=5,"",MAX($L993:$Q993)+CHOOSE($R993+1,SETTINGS!$C$9,SETTINGS!$C$10,SETTINGS!$C$11,SETTINGS!$C$12,SETTINGS!$C$13)))</f>
        <v/>
      </c>
      <c r="T993" s="34" t="str">
        <f aca="true">IF($H993="","(chưa có nội dung)",IF($L993="",IF($C993&lt;TODAY(),"⚠ TRỄ HỌC",IF($C993=TODAY(),"★ HỌC HÔM NAY","• Chưa tới")),IF($R993&gt;=5,"✔ MASTER",IF($S993&lt;TODAY(),"⚠ TRỄ ÔN",IF($S993=TODAY(),"◆ ÔN HÔM NAY","✔ Đúng tiến độ")))))</f>
        <v>• Chưa tới</v>
      </c>
      <c r="U993" s="38" t="n">
        <f aca="false">IF($H993="","",$R993/5)</f>
        <v>0</v>
      </c>
    </row>
    <row r="994" customFormat="false" ht="23.85" hidden="false" customHeight="false" outlineLevel="0" collapsed="false">
      <c r="A994" s="31" t="s">
        <v>5965</v>
      </c>
      <c r="B994" s="31" t="n">
        <v>50</v>
      </c>
      <c r="C994" s="32" t="n">
        <f aca="false">SETTINGS!$C$3+$B994-1</f>
        <v>46349</v>
      </c>
      <c r="D994" s="40" t="s">
        <v>3692</v>
      </c>
      <c r="E994" s="34" t="s">
        <v>5902</v>
      </c>
      <c r="F994" s="34" t="s">
        <v>3694</v>
      </c>
      <c r="G994" s="34" t="s">
        <v>5966</v>
      </c>
      <c r="H994" s="35" t="s">
        <v>5967</v>
      </c>
      <c r="I994" s="36" t="s">
        <v>5968</v>
      </c>
      <c r="J994" s="34" t="s">
        <v>5969</v>
      </c>
      <c r="K994" s="34" t="s">
        <v>5970</v>
      </c>
      <c r="L994" s="37"/>
      <c r="M994" s="37"/>
      <c r="N994" s="37"/>
      <c r="O994" s="37"/>
      <c r="P994" s="37"/>
      <c r="Q994" s="37"/>
      <c r="R994" s="31" t="n">
        <f aca="false">COUNT($M994:$Q994)</f>
        <v>0</v>
      </c>
      <c r="S994" s="32" t="str">
        <f aca="false">IF($L994="","",IF($R994&gt;=5,"",MAX($L994:$Q994)+CHOOSE($R994+1,SETTINGS!$C$9,SETTINGS!$C$10,SETTINGS!$C$11,SETTINGS!$C$12,SETTINGS!$C$13)))</f>
        <v/>
      </c>
      <c r="T994" s="34" t="str">
        <f aca="true">IF($H994="","(chưa có nội dung)",IF($L994="",IF($C994&lt;TODAY(),"⚠ TRỄ HỌC",IF($C994=TODAY(),"★ HỌC HÔM NAY","• Chưa tới")),IF($R994&gt;=5,"✔ MASTER",IF($S994&lt;TODAY(),"⚠ TRỄ ÔN",IF($S994=TODAY(),"◆ ÔN HÔM NAY","✔ Đúng tiến độ")))))</f>
        <v>• Chưa tới</v>
      </c>
      <c r="U994" s="38" t="n">
        <f aca="false">IF($H994="","",$R994/5)</f>
        <v>0</v>
      </c>
    </row>
    <row r="995" customFormat="false" ht="23.85" hidden="false" customHeight="false" outlineLevel="0" collapsed="false">
      <c r="A995" s="31" t="s">
        <v>5971</v>
      </c>
      <c r="B995" s="31" t="n">
        <v>50</v>
      </c>
      <c r="C995" s="32" t="n">
        <f aca="false">SETTINGS!$C$3+$B995-1</f>
        <v>46349</v>
      </c>
      <c r="D995" s="40" t="s">
        <v>3692</v>
      </c>
      <c r="E995" s="34" t="s">
        <v>5902</v>
      </c>
      <c r="F995" s="34" t="s">
        <v>3694</v>
      </c>
      <c r="G995" s="34" t="s">
        <v>5972</v>
      </c>
      <c r="H995" s="35" t="s">
        <v>5973</v>
      </c>
      <c r="I995" s="36" t="s">
        <v>5974</v>
      </c>
      <c r="J995" s="34" t="s">
        <v>5975</v>
      </c>
      <c r="K995" s="34" t="s">
        <v>5976</v>
      </c>
      <c r="L995" s="37"/>
      <c r="M995" s="37"/>
      <c r="N995" s="37"/>
      <c r="O995" s="37"/>
      <c r="P995" s="37"/>
      <c r="Q995" s="37"/>
      <c r="R995" s="31" t="n">
        <f aca="false">COUNT($M995:$Q995)</f>
        <v>0</v>
      </c>
      <c r="S995" s="32" t="str">
        <f aca="false">IF($L995="","",IF($R995&gt;=5,"",MAX($L995:$Q995)+CHOOSE($R995+1,SETTINGS!$C$9,SETTINGS!$C$10,SETTINGS!$C$11,SETTINGS!$C$12,SETTINGS!$C$13)))</f>
        <v/>
      </c>
      <c r="T995" s="34" t="str">
        <f aca="true">IF($H995="","(chưa có nội dung)",IF($L995="",IF($C995&lt;TODAY(),"⚠ TRỄ HỌC",IF($C995=TODAY(),"★ HỌC HÔM NAY","• Chưa tới")),IF($R995&gt;=5,"✔ MASTER",IF($S995&lt;TODAY(),"⚠ TRỄ ÔN",IF($S995=TODAY(),"◆ ÔN HÔM NAY","✔ Đúng tiến độ")))))</f>
        <v>• Chưa tới</v>
      </c>
      <c r="U995" s="38" t="n">
        <f aca="false">IF($H995="","",$R995/5)</f>
        <v>0</v>
      </c>
    </row>
    <row r="996" customFormat="false" ht="26.85" hidden="false" customHeight="false" outlineLevel="0" collapsed="false">
      <c r="A996" s="31" t="s">
        <v>5977</v>
      </c>
      <c r="B996" s="31" t="n">
        <v>50</v>
      </c>
      <c r="C996" s="32" t="n">
        <f aca="false">SETTINGS!$C$3+$B996-1</f>
        <v>46349</v>
      </c>
      <c r="D996" s="40" t="s">
        <v>3692</v>
      </c>
      <c r="E996" s="34" t="s">
        <v>5902</v>
      </c>
      <c r="F996" s="34" t="s">
        <v>3694</v>
      </c>
      <c r="G996" s="34" t="s">
        <v>5978</v>
      </c>
      <c r="H996" s="35" t="s">
        <v>5979</v>
      </c>
      <c r="I996" s="36" t="s">
        <v>5980</v>
      </c>
      <c r="J996" s="34" t="s">
        <v>5981</v>
      </c>
      <c r="K996" s="34" t="s">
        <v>5982</v>
      </c>
      <c r="L996" s="37"/>
      <c r="M996" s="37"/>
      <c r="N996" s="37"/>
      <c r="O996" s="37"/>
      <c r="P996" s="37"/>
      <c r="Q996" s="37"/>
      <c r="R996" s="31" t="n">
        <f aca="false">COUNT($M996:$Q996)</f>
        <v>0</v>
      </c>
      <c r="S996" s="32" t="str">
        <f aca="false">IF($L996="","",IF($R996&gt;=5,"",MAX($L996:$Q996)+CHOOSE($R996+1,SETTINGS!$C$9,SETTINGS!$C$10,SETTINGS!$C$11,SETTINGS!$C$12,SETTINGS!$C$13)))</f>
        <v/>
      </c>
      <c r="T996" s="34" t="str">
        <f aca="true">IF($H996="","(chưa có nội dung)",IF($L996="",IF($C996&lt;TODAY(),"⚠ TRỄ HỌC",IF($C996=TODAY(),"★ HỌC HÔM NAY","• Chưa tới")),IF($R996&gt;=5,"✔ MASTER",IF($S996&lt;TODAY(),"⚠ TRỄ ÔN",IF($S996=TODAY(),"◆ ÔN HÔM NAY","✔ Đúng tiến độ")))))</f>
        <v>• Chưa tới</v>
      </c>
      <c r="U996" s="38" t="n">
        <f aca="false">IF($H996="","",$R996/5)</f>
        <v>0</v>
      </c>
    </row>
    <row r="997" customFormat="false" ht="26.85" hidden="false" customHeight="false" outlineLevel="0" collapsed="false">
      <c r="A997" s="31" t="s">
        <v>5983</v>
      </c>
      <c r="B997" s="31" t="n">
        <v>50</v>
      </c>
      <c r="C997" s="32" t="n">
        <f aca="false">SETTINGS!$C$3+$B997-1</f>
        <v>46349</v>
      </c>
      <c r="D997" s="40" t="s">
        <v>3692</v>
      </c>
      <c r="E997" s="34" t="s">
        <v>5902</v>
      </c>
      <c r="F997" s="34" t="s">
        <v>3694</v>
      </c>
      <c r="G997" s="34" t="s">
        <v>5984</v>
      </c>
      <c r="H997" s="35" t="s">
        <v>5985</v>
      </c>
      <c r="I997" s="36" t="s">
        <v>5986</v>
      </c>
      <c r="J997" s="34" t="s">
        <v>5987</v>
      </c>
      <c r="K997" s="34" t="s">
        <v>5988</v>
      </c>
      <c r="L997" s="37"/>
      <c r="M997" s="37"/>
      <c r="N997" s="37"/>
      <c r="O997" s="37"/>
      <c r="P997" s="37"/>
      <c r="Q997" s="37"/>
      <c r="R997" s="31" t="n">
        <f aca="false">COUNT($M997:$Q997)</f>
        <v>0</v>
      </c>
      <c r="S997" s="32" t="str">
        <f aca="false">IF($L997="","",IF($R997&gt;=5,"",MAX($L997:$Q997)+CHOOSE($R997+1,SETTINGS!$C$9,SETTINGS!$C$10,SETTINGS!$C$11,SETTINGS!$C$12,SETTINGS!$C$13)))</f>
        <v/>
      </c>
      <c r="T997" s="34" t="str">
        <f aca="true">IF($H997="","(chưa có nội dung)",IF($L997="",IF($C997&lt;TODAY(),"⚠ TRỄ HỌC",IF($C997=TODAY(),"★ HỌC HÔM NAY","• Chưa tới")),IF($R997&gt;=5,"✔ MASTER",IF($S997&lt;TODAY(),"⚠ TRỄ ÔN",IF($S997=TODAY(),"◆ ÔN HÔM NAY","✔ Đúng tiến độ")))))</f>
        <v>• Chưa tới</v>
      </c>
      <c r="U997" s="38" t="n">
        <f aca="false">IF($H997="","",$R997/5)</f>
        <v>0</v>
      </c>
    </row>
    <row r="998" customFormat="false" ht="23.85" hidden="false" customHeight="false" outlineLevel="0" collapsed="false">
      <c r="A998" s="31" t="s">
        <v>5989</v>
      </c>
      <c r="B998" s="31" t="n">
        <v>50</v>
      </c>
      <c r="C998" s="32" t="n">
        <f aca="false">SETTINGS!$C$3+$B998-1</f>
        <v>46349</v>
      </c>
      <c r="D998" s="40" t="s">
        <v>3692</v>
      </c>
      <c r="E998" s="34" t="s">
        <v>5902</v>
      </c>
      <c r="F998" s="34" t="s">
        <v>472</v>
      </c>
      <c r="G998" s="34" t="s">
        <v>5990</v>
      </c>
      <c r="H998" s="35" t="s">
        <v>5991</v>
      </c>
      <c r="I998" s="36" t="s">
        <v>5992</v>
      </c>
      <c r="J998" s="34" t="s">
        <v>5993</v>
      </c>
      <c r="K998" s="34" t="s">
        <v>5994</v>
      </c>
      <c r="L998" s="37"/>
      <c r="M998" s="37"/>
      <c r="N998" s="37"/>
      <c r="O998" s="37"/>
      <c r="P998" s="37"/>
      <c r="Q998" s="37"/>
      <c r="R998" s="31" t="n">
        <f aca="false">COUNT($M998:$Q998)</f>
        <v>0</v>
      </c>
      <c r="S998" s="32" t="str">
        <f aca="false">IF($L998="","",IF($R998&gt;=5,"",MAX($L998:$Q998)+CHOOSE($R998+1,SETTINGS!$C$9,SETTINGS!$C$10,SETTINGS!$C$11,SETTINGS!$C$12,SETTINGS!$C$13)))</f>
        <v/>
      </c>
      <c r="T998" s="34" t="str">
        <f aca="true">IF($H998="","(chưa có nội dung)",IF($L998="",IF($C998&lt;TODAY(),"⚠ TRỄ HỌC",IF($C998=TODAY(),"★ HỌC HÔM NAY","• Chưa tới")),IF($R998&gt;=5,"✔ MASTER",IF($S998&lt;TODAY(),"⚠ TRỄ ÔN",IF($S998=TODAY(),"◆ ÔN HÔM NAY","✔ Đúng tiến độ")))))</f>
        <v>• Chưa tới</v>
      </c>
      <c r="U998" s="38" t="n">
        <f aca="false">IF($H998="","",$R998/5)</f>
        <v>0</v>
      </c>
    </row>
    <row r="999" customFormat="false" ht="23.85" hidden="false" customHeight="false" outlineLevel="0" collapsed="false">
      <c r="A999" s="31" t="s">
        <v>5995</v>
      </c>
      <c r="B999" s="31" t="n">
        <v>50</v>
      </c>
      <c r="C999" s="32" t="n">
        <f aca="false">SETTINGS!$C$3+$B999-1</f>
        <v>46349</v>
      </c>
      <c r="D999" s="40" t="s">
        <v>3692</v>
      </c>
      <c r="E999" s="34" t="s">
        <v>5902</v>
      </c>
      <c r="F999" s="34" t="s">
        <v>280</v>
      </c>
      <c r="G999" s="34" t="s">
        <v>5996</v>
      </c>
      <c r="H999" s="35" t="s">
        <v>5997</v>
      </c>
      <c r="I999" s="36" t="s">
        <v>5998</v>
      </c>
      <c r="J999" s="34" t="s">
        <v>5999</v>
      </c>
      <c r="K999" s="34" t="s">
        <v>6000</v>
      </c>
      <c r="L999" s="37"/>
      <c r="M999" s="37"/>
      <c r="N999" s="37"/>
      <c r="O999" s="37"/>
      <c r="P999" s="37"/>
      <c r="Q999" s="37"/>
      <c r="R999" s="31" t="n">
        <f aca="false">COUNT($M999:$Q999)</f>
        <v>0</v>
      </c>
      <c r="S999" s="32" t="str">
        <f aca="false">IF($L999="","",IF($R999&gt;=5,"",MAX($L999:$Q999)+CHOOSE($R999+1,SETTINGS!$C$9,SETTINGS!$C$10,SETTINGS!$C$11,SETTINGS!$C$12,SETTINGS!$C$13)))</f>
        <v/>
      </c>
      <c r="T999" s="34" t="str">
        <f aca="true">IF($H999="","(chưa có nội dung)",IF($L999="",IF($C999&lt;TODAY(),"⚠ TRỄ HỌC",IF($C999=TODAY(),"★ HỌC HÔM NAY","• Chưa tới")),IF($R999&gt;=5,"✔ MASTER",IF($S999&lt;TODAY(),"⚠ TRỄ ÔN",IF($S999=TODAY(),"◆ ÔN HÔM NAY","✔ Đúng tiến độ")))))</f>
        <v>• Chưa tới</v>
      </c>
      <c r="U999" s="38" t="n">
        <f aca="false">IF($H999="","",$R999/5)</f>
        <v>0</v>
      </c>
    </row>
    <row r="1000" customFormat="false" ht="23.85" hidden="false" customHeight="false" outlineLevel="0" collapsed="false">
      <c r="A1000" s="31" t="s">
        <v>6001</v>
      </c>
      <c r="B1000" s="31" t="n">
        <v>50</v>
      </c>
      <c r="C1000" s="32" t="n">
        <f aca="false">SETTINGS!$C$3+$B1000-1</f>
        <v>46349</v>
      </c>
      <c r="D1000" s="40" t="s">
        <v>3692</v>
      </c>
      <c r="E1000" s="34" t="s">
        <v>5902</v>
      </c>
      <c r="F1000" s="34" t="s">
        <v>280</v>
      </c>
      <c r="G1000" s="34" t="s">
        <v>6002</v>
      </c>
      <c r="H1000" s="35" t="s">
        <v>6003</v>
      </c>
      <c r="I1000" s="36" t="s">
        <v>6004</v>
      </c>
      <c r="J1000" s="34" t="s">
        <v>6005</v>
      </c>
      <c r="K1000" s="34" t="s">
        <v>6002</v>
      </c>
      <c r="L1000" s="37"/>
      <c r="M1000" s="37"/>
      <c r="N1000" s="37"/>
      <c r="O1000" s="37"/>
      <c r="P1000" s="37"/>
      <c r="Q1000" s="37"/>
      <c r="R1000" s="31" t="n">
        <f aca="false">COUNT($M1000:$Q1000)</f>
        <v>0</v>
      </c>
      <c r="S1000" s="32" t="str">
        <f aca="false">IF($L1000="","",IF($R1000&gt;=5,"",MAX($L1000:$Q1000)+CHOOSE($R1000+1,SETTINGS!$C$9,SETTINGS!$C$10,SETTINGS!$C$11,SETTINGS!$C$12,SETTINGS!$C$13)))</f>
        <v/>
      </c>
      <c r="T1000" s="34" t="str">
        <f aca="true">IF($H1000="","(chưa có nội dung)",IF($L1000="",IF($C1000&lt;TODAY(),"⚠ TRỄ HỌC",IF($C1000=TODAY(),"★ HỌC HÔM NAY","• Chưa tới")),IF($R1000&gt;=5,"✔ MASTER",IF($S1000&lt;TODAY(),"⚠ TRỄ ÔN",IF($S1000=TODAY(),"◆ ÔN HÔM NAY","✔ Đúng tiến độ")))))</f>
        <v>• Chưa tới</v>
      </c>
      <c r="U1000" s="38" t="n">
        <f aca="false">IF($H1000="","",$R1000/5)</f>
        <v>0</v>
      </c>
    </row>
    <row r="1001" customFormat="false" ht="26.85" hidden="false" customHeight="false" outlineLevel="0" collapsed="false">
      <c r="A1001" s="31" t="s">
        <v>6006</v>
      </c>
      <c r="B1001" s="31" t="n">
        <v>50</v>
      </c>
      <c r="C1001" s="32" t="n">
        <f aca="false">SETTINGS!$C$3+$B1001-1</f>
        <v>46349</v>
      </c>
      <c r="D1001" s="40" t="s">
        <v>3692</v>
      </c>
      <c r="E1001" s="34" t="s">
        <v>5902</v>
      </c>
      <c r="F1001" s="34" t="s">
        <v>3694</v>
      </c>
      <c r="G1001" s="34" t="s">
        <v>6007</v>
      </c>
      <c r="H1001" s="35" t="s">
        <v>6008</v>
      </c>
      <c r="I1001" s="36" t="s">
        <v>6009</v>
      </c>
      <c r="J1001" s="34" t="s">
        <v>6010</v>
      </c>
      <c r="K1001" s="34" t="s">
        <v>6007</v>
      </c>
      <c r="L1001" s="37"/>
      <c r="M1001" s="37"/>
      <c r="N1001" s="37"/>
      <c r="O1001" s="37"/>
      <c r="P1001" s="37"/>
      <c r="Q1001" s="37"/>
      <c r="R1001" s="31" t="n">
        <f aca="false">COUNT($M1001:$Q1001)</f>
        <v>0</v>
      </c>
      <c r="S1001" s="32" t="str">
        <f aca="false">IF($L1001="","",IF($R1001&gt;=5,"",MAX($L1001:$Q1001)+CHOOSE($R1001+1,SETTINGS!$C$9,SETTINGS!$C$10,SETTINGS!$C$11,SETTINGS!$C$12,SETTINGS!$C$13)))</f>
        <v/>
      </c>
      <c r="T1001" s="34" t="str">
        <f aca="true">IF($H1001="","(chưa có nội dung)",IF($L1001="",IF($C1001&lt;TODAY(),"⚠ TRỄ HỌC",IF($C1001=TODAY(),"★ HỌC HÔM NAY","• Chưa tới")),IF($R1001&gt;=5,"✔ MASTER",IF($S1001&lt;TODAY(),"⚠ TRỄ ÔN",IF($S1001=TODAY(),"◆ ÔN HÔM NAY","✔ Đúng tiến độ")))))</f>
        <v>• Chưa tới</v>
      </c>
      <c r="U1001" s="38" t="n">
        <f aca="false">IF($H1001="","",$R1001/5)</f>
        <v>0</v>
      </c>
    </row>
    <row r="1002" customFormat="false" ht="23.85" hidden="false" customHeight="false" outlineLevel="0" collapsed="false">
      <c r="A1002" s="31" t="s">
        <v>6011</v>
      </c>
      <c r="B1002" s="31" t="n">
        <v>50</v>
      </c>
      <c r="C1002" s="32" t="n">
        <f aca="false">SETTINGS!$C$3+$B1002-1</f>
        <v>46349</v>
      </c>
      <c r="D1002" s="40" t="s">
        <v>3692</v>
      </c>
      <c r="E1002" s="34" t="s">
        <v>5902</v>
      </c>
      <c r="F1002" s="34" t="s">
        <v>280</v>
      </c>
      <c r="G1002" s="34" t="s">
        <v>2688</v>
      </c>
      <c r="H1002" s="35" t="s">
        <v>6012</v>
      </c>
      <c r="I1002" s="36" t="s">
        <v>6013</v>
      </c>
      <c r="J1002" s="34" t="s">
        <v>6014</v>
      </c>
      <c r="K1002" s="34" t="s">
        <v>6015</v>
      </c>
      <c r="L1002" s="37"/>
      <c r="M1002" s="37"/>
      <c r="N1002" s="37"/>
      <c r="O1002" s="37"/>
      <c r="P1002" s="37"/>
      <c r="Q1002" s="37"/>
      <c r="R1002" s="31" t="n">
        <f aca="false">COUNT($M1002:$Q1002)</f>
        <v>0</v>
      </c>
      <c r="S1002" s="32" t="str">
        <f aca="false">IF($L1002="","",IF($R1002&gt;=5,"",MAX($L1002:$Q1002)+CHOOSE($R1002+1,SETTINGS!$C$9,SETTINGS!$C$10,SETTINGS!$C$11,SETTINGS!$C$12,SETTINGS!$C$13)))</f>
        <v/>
      </c>
      <c r="T1002" s="34" t="str">
        <f aca="true">IF($H1002="","(chưa có nội dung)",IF($L1002="",IF($C1002&lt;TODAY(),"⚠ TRỄ HỌC",IF($C1002=TODAY(),"★ HỌC HÔM NAY","• Chưa tới")),IF($R1002&gt;=5,"✔ MASTER",IF($S1002&lt;TODAY(),"⚠ TRỄ ÔN",IF($S1002=TODAY(),"◆ ÔN HÔM NAY","✔ Đúng tiến độ")))))</f>
        <v>• Chưa tới</v>
      </c>
      <c r="U1002" s="38" t="n">
        <f aca="false">IF($H1002="","",$R1002/5)</f>
        <v>0</v>
      </c>
    </row>
    <row r="1003" customFormat="false" ht="15" hidden="false" customHeight="false" outlineLevel="0" collapsed="false">
      <c r="A1003" s="31" t="s">
        <v>6016</v>
      </c>
      <c r="B1003" s="31" t="n">
        <v>51</v>
      </c>
      <c r="C1003" s="32" t="n">
        <f aca="false">SETTINGS!$C$3+$B1003-1</f>
        <v>46350</v>
      </c>
      <c r="D1003" s="40" t="s">
        <v>3692</v>
      </c>
      <c r="E1003" s="34" t="s">
        <v>6017</v>
      </c>
      <c r="F1003" s="34" t="s">
        <v>280</v>
      </c>
      <c r="G1003" s="34" t="s">
        <v>6018</v>
      </c>
      <c r="H1003" s="35" t="s">
        <v>6019</v>
      </c>
      <c r="I1003" s="36" t="s">
        <v>6020</v>
      </c>
      <c r="J1003" s="34" t="s">
        <v>6021</v>
      </c>
      <c r="K1003" s="34" t="s">
        <v>4670</v>
      </c>
      <c r="L1003" s="37"/>
      <c r="M1003" s="37"/>
      <c r="N1003" s="37"/>
      <c r="O1003" s="37"/>
      <c r="P1003" s="37"/>
      <c r="Q1003" s="37"/>
      <c r="R1003" s="31" t="n">
        <f aca="false">COUNT($M1003:$Q1003)</f>
        <v>0</v>
      </c>
      <c r="S1003" s="32" t="str">
        <f aca="false">IF($L1003="","",IF($R1003&gt;=5,"",MAX($L1003:$Q1003)+CHOOSE($R1003+1,SETTINGS!$C$9,SETTINGS!$C$10,SETTINGS!$C$11,SETTINGS!$C$12,SETTINGS!$C$13)))</f>
        <v/>
      </c>
      <c r="T1003" s="34" t="str">
        <f aca="true">IF($H1003="","(chưa có nội dung)",IF($L1003="",IF($C1003&lt;TODAY(),"⚠ TRỄ HỌC",IF($C1003=TODAY(),"★ HỌC HÔM NAY","• Chưa tới")),IF($R1003&gt;=5,"✔ MASTER",IF($S1003&lt;TODAY(),"⚠ TRỄ ÔN",IF($S1003=TODAY(),"◆ ÔN HÔM NAY","✔ Đúng tiến độ")))))</f>
        <v>• Chưa tới</v>
      </c>
      <c r="U1003" s="38" t="n">
        <f aca="false">IF($H1003="","",$R1003/5)</f>
        <v>0</v>
      </c>
    </row>
    <row r="1004" customFormat="false" ht="15" hidden="false" customHeight="false" outlineLevel="0" collapsed="false">
      <c r="A1004" s="31" t="s">
        <v>6022</v>
      </c>
      <c r="B1004" s="31" t="n">
        <v>51</v>
      </c>
      <c r="C1004" s="32" t="n">
        <f aca="false">SETTINGS!$C$3+$B1004-1</f>
        <v>46350</v>
      </c>
      <c r="D1004" s="40" t="s">
        <v>3692</v>
      </c>
      <c r="E1004" s="34" t="s">
        <v>6017</v>
      </c>
      <c r="F1004" s="34" t="s">
        <v>280</v>
      </c>
      <c r="G1004" s="34" t="s">
        <v>6023</v>
      </c>
      <c r="H1004" s="35" t="s">
        <v>6024</v>
      </c>
      <c r="I1004" s="36" t="s">
        <v>6025</v>
      </c>
      <c r="J1004" s="34" t="s">
        <v>6026</v>
      </c>
      <c r="K1004" s="34" t="s">
        <v>6027</v>
      </c>
      <c r="L1004" s="37"/>
      <c r="M1004" s="37"/>
      <c r="N1004" s="37"/>
      <c r="O1004" s="37"/>
      <c r="P1004" s="37"/>
      <c r="Q1004" s="37"/>
      <c r="R1004" s="31" t="n">
        <f aca="false">COUNT($M1004:$Q1004)</f>
        <v>0</v>
      </c>
      <c r="S1004" s="32" t="str">
        <f aca="false">IF($L1004="","",IF($R1004&gt;=5,"",MAX($L1004:$Q1004)+CHOOSE($R1004+1,SETTINGS!$C$9,SETTINGS!$C$10,SETTINGS!$C$11,SETTINGS!$C$12,SETTINGS!$C$13)))</f>
        <v/>
      </c>
      <c r="T1004" s="34" t="str">
        <f aca="true">IF($H1004="","(chưa có nội dung)",IF($L1004="",IF($C1004&lt;TODAY(),"⚠ TRỄ HỌC",IF($C1004=TODAY(),"★ HỌC HÔM NAY","• Chưa tới")),IF($R1004&gt;=5,"✔ MASTER",IF($S1004&lt;TODAY(),"⚠ TRỄ ÔN",IF($S1004=TODAY(),"◆ ÔN HÔM NAY","✔ Đúng tiến độ")))))</f>
        <v>• Chưa tới</v>
      </c>
      <c r="U1004" s="38" t="n">
        <f aca="false">IF($H1004="","",$R1004/5)</f>
        <v>0</v>
      </c>
    </row>
    <row r="1005" customFormat="false" ht="15" hidden="false" customHeight="false" outlineLevel="0" collapsed="false">
      <c r="A1005" s="31" t="s">
        <v>6028</v>
      </c>
      <c r="B1005" s="31" t="n">
        <v>51</v>
      </c>
      <c r="C1005" s="32" t="n">
        <f aca="false">SETTINGS!$C$3+$B1005-1</f>
        <v>46350</v>
      </c>
      <c r="D1005" s="40" t="s">
        <v>3692</v>
      </c>
      <c r="E1005" s="34" t="s">
        <v>6017</v>
      </c>
      <c r="F1005" s="34" t="s">
        <v>280</v>
      </c>
      <c r="G1005" s="34" t="s">
        <v>6029</v>
      </c>
      <c r="H1005" s="35" t="s">
        <v>6030</v>
      </c>
      <c r="I1005" s="36" t="s">
        <v>6031</v>
      </c>
      <c r="J1005" s="34" t="s">
        <v>6032</v>
      </c>
      <c r="K1005" s="34" t="s">
        <v>6033</v>
      </c>
      <c r="L1005" s="37"/>
      <c r="M1005" s="37"/>
      <c r="N1005" s="37"/>
      <c r="O1005" s="37"/>
      <c r="P1005" s="37"/>
      <c r="Q1005" s="37"/>
      <c r="R1005" s="31" t="n">
        <f aca="false">COUNT($M1005:$Q1005)</f>
        <v>0</v>
      </c>
      <c r="S1005" s="32" t="str">
        <f aca="false">IF($L1005="","",IF($R1005&gt;=5,"",MAX($L1005:$Q1005)+CHOOSE($R1005+1,SETTINGS!$C$9,SETTINGS!$C$10,SETTINGS!$C$11,SETTINGS!$C$12,SETTINGS!$C$13)))</f>
        <v/>
      </c>
      <c r="T1005" s="34" t="str">
        <f aca="true">IF($H1005="","(chưa có nội dung)",IF($L1005="",IF($C1005&lt;TODAY(),"⚠ TRỄ HỌC",IF($C1005=TODAY(),"★ HỌC HÔM NAY","• Chưa tới")),IF($R1005&gt;=5,"✔ MASTER",IF($S1005&lt;TODAY(),"⚠ TRỄ ÔN",IF($S1005=TODAY(),"◆ ÔN HÔM NAY","✔ Đúng tiến độ")))))</f>
        <v>• Chưa tới</v>
      </c>
      <c r="U1005" s="38" t="n">
        <f aca="false">IF($H1005="","",$R1005/5)</f>
        <v>0</v>
      </c>
    </row>
    <row r="1006" customFormat="false" ht="15" hidden="false" customHeight="false" outlineLevel="0" collapsed="false">
      <c r="A1006" s="31" t="s">
        <v>6034</v>
      </c>
      <c r="B1006" s="31" t="n">
        <v>51</v>
      </c>
      <c r="C1006" s="32" t="n">
        <f aca="false">SETTINGS!$C$3+$B1006-1</f>
        <v>46350</v>
      </c>
      <c r="D1006" s="40" t="s">
        <v>3692</v>
      </c>
      <c r="E1006" s="34" t="s">
        <v>6017</v>
      </c>
      <c r="F1006" s="34" t="s">
        <v>183</v>
      </c>
      <c r="G1006" s="34" t="s">
        <v>6035</v>
      </c>
      <c r="H1006" s="35" t="s">
        <v>6036</v>
      </c>
      <c r="I1006" s="36" t="s">
        <v>6037</v>
      </c>
      <c r="J1006" s="34" t="s">
        <v>6038</v>
      </c>
      <c r="K1006" s="34" t="s">
        <v>6039</v>
      </c>
      <c r="L1006" s="37"/>
      <c r="M1006" s="37"/>
      <c r="N1006" s="37"/>
      <c r="O1006" s="37"/>
      <c r="P1006" s="37"/>
      <c r="Q1006" s="37"/>
      <c r="R1006" s="31" t="n">
        <f aca="false">COUNT($M1006:$Q1006)</f>
        <v>0</v>
      </c>
      <c r="S1006" s="32" t="str">
        <f aca="false">IF($L1006="","",IF($R1006&gt;=5,"",MAX($L1006:$Q1006)+CHOOSE($R1006+1,SETTINGS!$C$9,SETTINGS!$C$10,SETTINGS!$C$11,SETTINGS!$C$12,SETTINGS!$C$13)))</f>
        <v/>
      </c>
      <c r="T1006" s="34" t="str">
        <f aca="true">IF($H1006="","(chưa có nội dung)",IF($L1006="",IF($C1006&lt;TODAY(),"⚠ TRỄ HỌC",IF($C1006=TODAY(),"★ HỌC HÔM NAY","• Chưa tới")),IF($R1006&gt;=5,"✔ MASTER",IF($S1006&lt;TODAY(),"⚠ TRỄ ÔN",IF($S1006=TODAY(),"◆ ÔN HÔM NAY","✔ Đúng tiến độ")))))</f>
        <v>• Chưa tới</v>
      </c>
      <c r="U1006" s="38" t="n">
        <f aca="false">IF($H1006="","",$R1006/5)</f>
        <v>0</v>
      </c>
    </row>
    <row r="1007" customFormat="false" ht="15" hidden="false" customHeight="false" outlineLevel="0" collapsed="false">
      <c r="A1007" s="31" t="s">
        <v>6040</v>
      </c>
      <c r="B1007" s="31" t="n">
        <v>51</v>
      </c>
      <c r="C1007" s="32" t="n">
        <f aca="false">SETTINGS!$C$3+$B1007-1</f>
        <v>46350</v>
      </c>
      <c r="D1007" s="40" t="s">
        <v>3692</v>
      </c>
      <c r="E1007" s="34" t="s">
        <v>6017</v>
      </c>
      <c r="F1007" s="34" t="s">
        <v>280</v>
      </c>
      <c r="G1007" s="34" t="s">
        <v>6041</v>
      </c>
      <c r="H1007" s="35" t="s">
        <v>6042</v>
      </c>
      <c r="I1007" s="36" t="s">
        <v>6043</v>
      </c>
      <c r="J1007" s="34" t="s">
        <v>6044</v>
      </c>
      <c r="K1007" s="34" t="s">
        <v>6045</v>
      </c>
      <c r="L1007" s="37"/>
      <c r="M1007" s="37"/>
      <c r="N1007" s="37"/>
      <c r="O1007" s="37"/>
      <c r="P1007" s="37"/>
      <c r="Q1007" s="37"/>
      <c r="R1007" s="31" t="n">
        <f aca="false">COUNT($M1007:$Q1007)</f>
        <v>0</v>
      </c>
      <c r="S1007" s="32" t="str">
        <f aca="false">IF($L1007="","",IF($R1007&gt;=5,"",MAX($L1007:$Q1007)+CHOOSE($R1007+1,SETTINGS!$C$9,SETTINGS!$C$10,SETTINGS!$C$11,SETTINGS!$C$12,SETTINGS!$C$13)))</f>
        <v/>
      </c>
      <c r="T1007" s="34" t="str">
        <f aca="true">IF($H1007="","(chưa có nội dung)",IF($L1007="",IF($C1007&lt;TODAY(),"⚠ TRỄ HỌC",IF($C1007=TODAY(),"★ HỌC HÔM NAY","• Chưa tới")),IF($R1007&gt;=5,"✔ MASTER",IF($S1007&lt;TODAY(),"⚠ TRỄ ÔN",IF($S1007=TODAY(),"◆ ÔN HÔM NAY","✔ Đúng tiến độ")))))</f>
        <v>• Chưa tới</v>
      </c>
      <c r="U1007" s="38" t="n">
        <f aca="false">IF($H1007="","",$R1007/5)</f>
        <v>0</v>
      </c>
    </row>
    <row r="1008" customFormat="false" ht="15" hidden="false" customHeight="false" outlineLevel="0" collapsed="false">
      <c r="A1008" s="31" t="s">
        <v>6046</v>
      </c>
      <c r="B1008" s="31" t="n">
        <v>51</v>
      </c>
      <c r="C1008" s="32" t="n">
        <f aca="false">SETTINGS!$C$3+$B1008-1</f>
        <v>46350</v>
      </c>
      <c r="D1008" s="40" t="s">
        <v>3692</v>
      </c>
      <c r="E1008" s="34" t="s">
        <v>6017</v>
      </c>
      <c r="F1008" s="34" t="s">
        <v>280</v>
      </c>
      <c r="G1008" s="34" t="s">
        <v>6047</v>
      </c>
      <c r="H1008" s="35" t="s">
        <v>6048</v>
      </c>
      <c r="I1008" s="36" t="s">
        <v>6049</v>
      </c>
      <c r="J1008" s="34" t="s">
        <v>6050</v>
      </c>
      <c r="K1008" s="34" t="s">
        <v>6051</v>
      </c>
      <c r="L1008" s="37"/>
      <c r="M1008" s="37"/>
      <c r="N1008" s="37"/>
      <c r="O1008" s="37"/>
      <c r="P1008" s="37"/>
      <c r="Q1008" s="37"/>
      <c r="R1008" s="31" t="n">
        <f aca="false">COUNT($M1008:$Q1008)</f>
        <v>0</v>
      </c>
      <c r="S1008" s="32" t="str">
        <f aca="false">IF($L1008="","",IF($R1008&gt;=5,"",MAX($L1008:$Q1008)+CHOOSE($R1008+1,SETTINGS!$C$9,SETTINGS!$C$10,SETTINGS!$C$11,SETTINGS!$C$12,SETTINGS!$C$13)))</f>
        <v/>
      </c>
      <c r="T1008" s="34" t="str">
        <f aca="true">IF($H1008="","(chưa có nội dung)",IF($L1008="",IF($C1008&lt;TODAY(),"⚠ TRỄ HỌC",IF($C1008=TODAY(),"★ HỌC HÔM NAY","• Chưa tới")),IF($R1008&gt;=5,"✔ MASTER",IF($S1008&lt;TODAY(),"⚠ TRỄ ÔN",IF($S1008=TODAY(),"◆ ÔN HÔM NAY","✔ Đúng tiến độ")))))</f>
        <v>• Chưa tới</v>
      </c>
      <c r="U1008" s="38" t="n">
        <f aca="false">IF($H1008="","",$R1008/5)</f>
        <v>0</v>
      </c>
    </row>
    <row r="1009" customFormat="false" ht="15" hidden="false" customHeight="false" outlineLevel="0" collapsed="false">
      <c r="A1009" s="31" t="s">
        <v>6052</v>
      </c>
      <c r="B1009" s="31" t="n">
        <v>51</v>
      </c>
      <c r="C1009" s="32" t="n">
        <f aca="false">SETTINGS!$C$3+$B1009-1</f>
        <v>46350</v>
      </c>
      <c r="D1009" s="40" t="s">
        <v>3692</v>
      </c>
      <c r="E1009" s="34" t="s">
        <v>6017</v>
      </c>
      <c r="F1009" s="34" t="s">
        <v>280</v>
      </c>
      <c r="G1009" s="34" t="s">
        <v>6053</v>
      </c>
      <c r="H1009" s="35" t="s">
        <v>6054</v>
      </c>
      <c r="I1009" s="36" t="s">
        <v>6055</v>
      </c>
      <c r="J1009" s="34" t="s">
        <v>6056</v>
      </c>
      <c r="K1009" s="34" t="s">
        <v>6057</v>
      </c>
      <c r="L1009" s="37"/>
      <c r="M1009" s="37"/>
      <c r="N1009" s="37"/>
      <c r="O1009" s="37"/>
      <c r="P1009" s="37"/>
      <c r="Q1009" s="37"/>
      <c r="R1009" s="31" t="n">
        <f aca="false">COUNT($M1009:$Q1009)</f>
        <v>0</v>
      </c>
      <c r="S1009" s="32" t="str">
        <f aca="false">IF($L1009="","",IF($R1009&gt;=5,"",MAX($L1009:$Q1009)+CHOOSE($R1009+1,SETTINGS!$C$9,SETTINGS!$C$10,SETTINGS!$C$11,SETTINGS!$C$12,SETTINGS!$C$13)))</f>
        <v/>
      </c>
      <c r="T1009" s="34" t="str">
        <f aca="true">IF($H1009="","(chưa có nội dung)",IF($L1009="",IF($C1009&lt;TODAY(),"⚠ TRỄ HỌC",IF($C1009=TODAY(),"★ HỌC HÔM NAY","• Chưa tới")),IF($R1009&gt;=5,"✔ MASTER",IF($S1009&lt;TODAY(),"⚠ TRỄ ÔN",IF($S1009=TODAY(),"◆ ÔN HÔM NAY","✔ Đúng tiến độ")))))</f>
        <v>• Chưa tới</v>
      </c>
      <c r="U1009" s="38" t="n">
        <f aca="false">IF($H1009="","",$R1009/5)</f>
        <v>0</v>
      </c>
    </row>
    <row r="1010" customFormat="false" ht="15" hidden="false" customHeight="false" outlineLevel="0" collapsed="false">
      <c r="A1010" s="31" t="s">
        <v>6058</v>
      </c>
      <c r="B1010" s="31" t="n">
        <v>51</v>
      </c>
      <c r="C1010" s="32" t="n">
        <f aca="false">SETTINGS!$C$3+$B1010-1</f>
        <v>46350</v>
      </c>
      <c r="D1010" s="40" t="s">
        <v>3692</v>
      </c>
      <c r="E1010" s="34" t="s">
        <v>6017</v>
      </c>
      <c r="F1010" s="34" t="s">
        <v>183</v>
      </c>
      <c r="G1010" s="34" t="s">
        <v>6059</v>
      </c>
      <c r="H1010" s="35" t="s">
        <v>6060</v>
      </c>
      <c r="I1010" s="36" t="s">
        <v>6061</v>
      </c>
      <c r="J1010" s="34" t="s">
        <v>6062</v>
      </c>
      <c r="K1010" s="34" t="s">
        <v>6059</v>
      </c>
      <c r="L1010" s="37"/>
      <c r="M1010" s="37"/>
      <c r="N1010" s="37"/>
      <c r="O1010" s="37"/>
      <c r="P1010" s="37"/>
      <c r="Q1010" s="37"/>
      <c r="R1010" s="31" t="n">
        <f aca="false">COUNT($M1010:$Q1010)</f>
        <v>0</v>
      </c>
      <c r="S1010" s="32" t="str">
        <f aca="false">IF($L1010="","",IF($R1010&gt;=5,"",MAX($L1010:$Q1010)+CHOOSE($R1010+1,SETTINGS!$C$9,SETTINGS!$C$10,SETTINGS!$C$11,SETTINGS!$C$12,SETTINGS!$C$13)))</f>
        <v/>
      </c>
      <c r="T1010" s="34" t="str">
        <f aca="true">IF($H1010="","(chưa có nội dung)",IF($L1010="",IF($C1010&lt;TODAY(),"⚠ TRỄ HỌC",IF($C1010=TODAY(),"★ HỌC HÔM NAY","• Chưa tới")),IF($R1010&gt;=5,"✔ MASTER",IF($S1010&lt;TODAY(),"⚠ TRỄ ÔN",IF($S1010=TODAY(),"◆ ÔN HÔM NAY","✔ Đúng tiến độ")))))</f>
        <v>• Chưa tới</v>
      </c>
      <c r="U1010" s="38" t="n">
        <f aca="false">IF($H1010="","",$R1010/5)</f>
        <v>0</v>
      </c>
    </row>
    <row r="1011" customFormat="false" ht="15" hidden="false" customHeight="false" outlineLevel="0" collapsed="false">
      <c r="A1011" s="31" t="s">
        <v>6063</v>
      </c>
      <c r="B1011" s="31" t="n">
        <v>51</v>
      </c>
      <c r="C1011" s="32" t="n">
        <f aca="false">SETTINGS!$C$3+$B1011-1</f>
        <v>46350</v>
      </c>
      <c r="D1011" s="40" t="s">
        <v>3692</v>
      </c>
      <c r="E1011" s="34" t="s">
        <v>6017</v>
      </c>
      <c r="F1011" s="34" t="s">
        <v>280</v>
      </c>
      <c r="G1011" s="34" t="s">
        <v>2238</v>
      </c>
      <c r="H1011" s="35" t="s">
        <v>6064</v>
      </c>
      <c r="I1011" s="36" t="s">
        <v>6065</v>
      </c>
      <c r="J1011" s="34" t="s">
        <v>6066</v>
      </c>
      <c r="K1011" s="34" t="s">
        <v>6067</v>
      </c>
      <c r="L1011" s="37"/>
      <c r="M1011" s="37"/>
      <c r="N1011" s="37"/>
      <c r="O1011" s="37"/>
      <c r="P1011" s="37"/>
      <c r="Q1011" s="37"/>
      <c r="R1011" s="31" t="n">
        <f aca="false">COUNT($M1011:$Q1011)</f>
        <v>0</v>
      </c>
      <c r="S1011" s="32" t="str">
        <f aca="false">IF($L1011="","",IF($R1011&gt;=5,"",MAX($L1011:$Q1011)+CHOOSE($R1011+1,SETTINGS!$C$9,SETTINGS!$C$10,SETTINGS!$C$11,SETTINGS!$C$12,SETTINGS!$C$13)))</f>
        <v/>
      </c>
      <c r="T1011" s="34" t="str">
        <f aca="true">IF($H1011="","(chưa có nội dung)",IF($L1011="",IF($C1011&lt;TODAY(),"⚠ TRỄ HỌC",IF($C1011=TODAY(),"★ HỌC HÔM NAY","• Chưa tới")),IF($R1011&gt;=5,"✔ MASTER",IF($S1011&lt;TODAY(),"⚠ TRỄ ÔN",IF($S1011=TODAY(),"◆ ÔN HÔM NAY","✔ Đúng tiến độ")))))</f>
        <v>• Chưa tới</v>
      </c>
      <c r="U1011" s="38" t="n">
        <f aca="false">IF($H1011="","",$R1011/5)</f>
        <v>0</v>
      </c>
    </row>
    <row r="1012" customFormat="false" ht="15" hidden="false" customHeight="false" outlineLevel="0" collapsed="false">
      <c r="A1012" s="31" t="s">
        <v>6068</v>
      </c>
      <c r="B1012" s="31" t="n">
        <v>51</v>
      </c>
      <c r="C1012" s="32" t="n">
        <f aca="false">SETTINGS!$C$3+$B1012-1</f>
        <v>46350</v>
      </c>
      <c r="D1012" s="40" t="s">
        <v>3692</v>
      </c>
      <c r="E1012" s="34" t="s">
        <v>6017</v>
      </c>
      <c r="F1012" s="34" t="s">
        <v>280</v>
      </c>
      <c r="G1012" s="34" t="s">
        <v>6069</v>
      </c>
      <c r="H1012" s="35" t="s">
        <v>6070</v>
      </c>
      <c r="I1012" s="36" t="s">
        <v>6071</v>
      </c>
      <c r="J1012" s="34" t="s">
        <v>6072</v>
      </c>
      <c r="K1012" s="34" t="s">
        <v>6073</v>
      </c>
      <c r="L1012" s="37"/>
      <c r="M1012" s="37"/>
      <c r="N1012" s="37"/>
      <c r="O1012" s="37"/>
      <c r="P1012" s="37"/>
      <c r="Q1012" s="37"/>
      <c r="R1012" s="31" t="n">
        <f aca="false">COUNT($M1012:$Q1012)</f>
        <v>0</v>
      </c>
      <c r="S1012" s="32" t="str">
        <f aca="false">IF($L1012="","",IF($R1012&gt;=5,"",MAX($L1012:$Q1012)+CHOOSE($R1012+1,SETTINGS!$C$9,SETTINGS!$C$10,SETTINGS!$C$11,SETTINGS!$C$12,SETTINGS!$C$13)))</f>
        <v/>
      </c>
      <c r="T1012" s="34" t="str">
        <f aca="true">IF($H1012="","(chưa có nội dung)",IF($L1012="",IF($C1012&lt;TODAY(),"⚠ TRỄ HỌC",IF($C1012=TODAY(),"★ HỌC HÔM NAY","• Chưa tới")),IF($R1012&gt;=5,"✔ MASTER",IF($S1012&lt;TODAY(),"⚠ TRỄ ÔN",IF($S1012=TODAY(),"◆ ÔN HÔM NAY","✔ Đúng tiến độ")))))</f>
        <v>• Chưa tới</v>
      </c>
      <c r="U1012" s="38" t="n">
        <f aca="false">IF($H1012="","",$R1012/5)</f>
        <v>0</v>
      </c>
    </row>
    <row r="1013" customFormat="false" ht="15" hidden="false" customHeight="false" outlineLevel="0" collapsed="false">
      <c r="A1013" s="31" t="s">
        <v>6074</v>
      </c>
      <c r="B1013" s="31" t="n">
        <v>51</v>
      </c>
      <c r="C1013" s="32" t="n">
        <f aca="false">SETTINGS!$C$3+$B1013-1</f>
        <v>46350</v>
      </c>
      <c r="D1013" s="40" t="s">
        <v>3692</v>
      </c>
      <c r="E1013" s="34" t="s">
        <v>6017</v>
      </c>
      <c r="F1013" s="34" t="s">
        <v>202</v>
      </c>
      <c r="G1013" s="34" t="s">
        <v>6075</v>
      </c>
      <c r="H1013" s="35" t="s">
        <v>6076</v>
      </c>
      <c r="I1013" s="36" t="s">
        <v>6077</v>
      </c>
      <c r="J1013" s="34" t="s">
        <v>6078</v>
      </c>
      <c r="K1013" s="34" t="s">
        <v>6079</v>
      </c>
      <c r="L1013" s="37"/>
      <c r="M1013" s="37"/>
      <c r="N1013" s="37"/>
      <c r="O1013" s="37"/>
      <c r="P1013" s="37"/>
      <c r="Q1013" s="37"/>
      <c r="R1013" s="31" t="n">
        <f aca="false">COUNT($M1013:$Q1013)</f>
        <v>0</v>
      </c>
      <c r="S1013" s="32" t="str">
        <f aca="false">IF($L1013="","",IF($R1013&gt;=5,"",MAX($L1013:$Q1013)+CHOOSE($R1013+1,SETTINGS!$C$9,SETTINGS!$C$10,SETTINGS!$C$11,SETTINGS!$C$12,SETTINGS!$C$13)))</f>
        <v/>
      </c>
      <c r="T1013" s="34" t="str">
        <f aca="true">IF($H1013="","(chưa có nội dung)",IF($L1013="",IF($C1013&lt;TODAY(),"⚠ TRỄ HỌC",IF($C1013=TODAY(),"★ HỌC HÔM NAY","• Chưa tới")),IF($R1013&gt;=5,"✔ MASTER",IF($S1013&lt;TODAY(),"⚠ TRỄ ÔN",IF($S1013=TODAY(),"◆ ÔN HÔM NAY","✔ Đúng tiến độ")))))</f>
        <v>• Chưa tới</v>
      </c>
      <c r="U1013" s="38" t="n">
        <f aca="false">IF($H1013="","",$R1013/5)</f>
        <v>0</v>
      </c>
    </row>
    <row r="1014" customFormat="false" ht="15" hidden="false" customHeight="false" outlineLevel="0" collapsed="false">
      <c r="A1014" s="31" t="s">
        <v>6080</v>
      </c>
      <c r="B1014" s="31" t="n">
        <v>51</v>
      </c>
      <c r="C1014" s="32" t="n">
        <f aca="false">SETTINGS!$C$3+$B1014-1</f>
        <v>46350</v>
      </c>
      <c r="D1014" s="40" t="s">
        <v>3692</v>
      </c>
      <c r="E1014" s="34" t="s">
        <v>6017</v>
      </c>
      <c r="F1014" s="34" t="s">
        <v>280</v>
      </c>
      <c r="G1014" s="34" t="s">
        <v>6081</v>
      </c>
      <c r="H1014" s="35" t="s">
        <v>6082</v>
      </c>
      <c r="I1014" s="36" t="s">
        <v>6083</v>
      </c>
      <c r="J1014" s="34" t="s">
        <v>6084</v>
      </c>
      <c r="K1014" s="34" t="s">
        <v>6085</v>
      </c>
      <c r="L1014" s="37"/>
      <c r="M1014" s="37"/>
      <c r="N1014" s="37"/>
      <c r="O1014" s="37"/>
      <c r="P1014" s="37"/>
      <c r="Q1014" s="37"/>
      <c r="R1014" s="31" t="n">
        <f aca="false">COUNT($M1014:$Q1014)</f>
        <v>0</v>
      </c>
      <c r="S1014" s="32" t="str">
        <f aca="false">IF($L1014="","",IF($R1014&gt;=5,"",MAX($L1014:$Q1014)+CHOOSE($R1014+1,SETTINGS!$C$9,SETTINGS!$C$10,SETTINGS!$C$11,SETTINGS!$C$12,SETTINGS!$C$13)))</f>
        <v/>
      </c>
      <c r="T1014" s="34" t="str">
        <f aca="true">IF($H1014="","(chưa có nội dung)",IF($L1014="",IF($C1014&lt;TODAY(),"⚠ TRỄ HỌC",IF($C1014=TODAY(),"★ HỌC HÔM NAY","• Chưa tới")),IF($R1014&gt;=5,"✔ MASTER",IF($S1014&lt;TODAY(),"⚠ TRỄ ÔN",IF($S1014=TODAY(),"◆ ÔN HÔM NAY","✔ Đúng tiến độ")))))</f>
        <v>• Chưa tới</v>
      </c>
      <c r="U1014" s="38" t="n">
        <f aca="false">IF($H1014="","",$R1014/5)</f>
        <v>0</v>
      </c>
    </row>
    <row r="1015" customFormat="false" ht="15" hidden="false" customHeight="false" outlineLevel="0" collapsed="false">
      <c r="A1015" s="31" t="s">
        <v>6086</v>
      </c>
      <c r="B1015" s="31" t="n">
        <v>51</v>
      </c>
      <c r="C1015" s="32" t="n">
        <f aca="false">SETTINGS!$C$3+$B1015-1</f>
        <v>46350</v>
      </c>
      <c r="D1015" s="40" t="s">
        <v>3692</v>
      </c>
      <c r="E1015" s="34" t="s">
        <v>6017</v>
      </c>
      <c r="F1015" s="34" t="s">
        <v>280</v>
      </c>
      <c r="G1015" s="34" t="s">
        <v>6087</v>
      </c>
      <c r="H1015" s="35" t="s">
        <v>6088</v>
      </c>
      <c r="I1015" s="36" t="s">
        <v>6089</v>
      </c>
      <c r="J1015" s="34" t="s">
        <v>6090</v>
      </c>
      <c r="K1015" s="34" t="s">
        <v>6091</v>
      </c>
      <c r="L1015" s="37"/>
      <c r="M1015" s="37"/>
      <c r="N1015" s="37"/>
      <c r="O1015" s="37"/>
      <c r="P1015" s="37"/>
      <c r="Q1015" s="37"/>
      <c r="R1015" s="31" t="n">
        <f aca="false">COUNT($M1015:$Q1015)</f>
        <v>0</v>
      </c>
      <c r="S1015" s="32" t="str">
        <f aca="false">IF($L1015="","",IF($R1015&gt;=5,"",MAX($L1015:$Q1015)+CHOOSE($R1015+1,SETTINGS!$C$9,SETTINGS!$C$10,SETTINGS!$C$11,SETTINGS!$C$12,SETTINGS!$C$13)))</f>
        <v/>
      </c>
      <c r="T1015" s="34" t="str">
        <f aca="true">IF($H1015="","(chưa có nội dung)",IF($L1015="",IF($C1015&lt;TODAY(),"⚠ TRỄ HỌC",IF($C1015=TODAY(),"★ HỌC HÔM NAY","• Chưa tới")),IF($R1015&gt;=5,"✔ MASTER",IF($S1015&lt;TODAY(),"⚠ TRỄ ÔN",IF($S1015=TODAY(),"◆ ÔN HÔM NAY","✔ Đúng tiến độ")))))</f>
        <v>• Chưa tới</v>
      </c>
      <c r="U1015" s="38" t="n">
        <f aca="false">IF($H1015="","",$R1015/5)</f>
        <v>0</v>
      </c>
    </row>
    <row r="1016" customFormat="false" ht="15" hidden="false" customHeight="false" outlineLevel="0" collapsed="false">
      <c r="A1016" s="31" t="s">
        <v>6092</v>
      </c>
      <c r="B1016" s="31" t="n">
        <v>51</v>
      </c>
      <c r="C1016" s="32" t="n">
        <f aca="false">SETTINGS!$C$3+$B1016-1</f>
        <v>46350</v>
      </c>
      <c r="D1016" s="40" t="s">
        <v>3692</v>
      </c>
      <c r="E1016" s="34" t="s">
        <v>6017</v>
      </c>
      <c r="F1016" s="34" t="s">
        <v>280</v>
      </c>
      <c r="G1016" s="34" t="s">
        <v>6093</v>
      </c>
      <c r="H1016" s="35" t="s">
        <v>6094</v>
      </c>
      <c r="I1016" s="36" t="s">
        <v>6095</v>
      </c>
      <c r="J1016" s="34" t="s">
        <v>6096</v>
      </c>
      <c r="K1016" s="34" t="s">
        <v>6097</v>
      </c>
      <c r="L1016" s="37"/>
      <c r="M1016" s="37"/>
      <c r="N1016" s="37"/>
      <c r="O1016" s="37"/>
      <c r="P1016" s="37"/>
      <c r="Q1016" s="37"/>
      <c r="R1016" s="31" t="n">
        <f aca="false">COUNT($M1016:$Q1016)</f>
        <v>0</v>
      </c>
      <c r="S1016" s="32" t="str">
        <f aca="false">IF($L1016="","",IF($R1016&gt;=5,"",MAX($L1016:$Q1016)+CHOOSE($R1016+1,SETTINGS!$C$9,SETTINGS!$C$10,SETTINGS!$C$11,SETTINGS!$C$12,SETTINGS!$C$13)))</f>
        <v/>
      </c>
      <c r="T1016" s="34" t="str">
        <f aca="true">IF($H1016="","(chưa có nội dung)",IF($L1016="",IF($C1016&lt;TODAY(),"⚠ TRỄ HỌC",IF($C1016=TODAY(),"★ HỌC HÔM NAY","• Chưa tới")),IF($R1016&gt;=5,"✔ MASTER",IF($S1016&lt;TODAY(),"⚠ TRỄ ÔN",IF($S1016=TODAY(),"◆ ÔN HÔM NAY","✔ Đúng tiến độ")))))</f>
        <v>• Chưa tới</v>
      </c>
      <c r="U1016" s="38" t="n">
        <f aca="false">IF($H1016="","",$R1016/5)</f>
        <v>0</v>
      </c>
    </row>
    <row r="1017" customFormat="false" ht="15" hidden="false" customHeight="false" outlineLevel="0" collapsed="false">
      <c r="A1017" s="31" t="s">
        <v>6098</v>
      </c>
      <c r="B1017" s="31" t="n">
        <v>51</v>
      </c>
      <c r="C1017" s="32" t="n">
        <f aca="false">SETTINGS!$C$3+$B1017-1</f>
        <v>46350</v>
      </c>
      <c r="D1017" s="40" t="s">
        <v>3692</v>
      </c>
      <c r="E1017" s="34" t="s">
        <v>6017</v>
      </c>
      <c r="F1017" s="34" t="s">
        <v>280</v>
      </c>
      <c r="G1017" s="34" t="s">
        <v>6099</v>
      </c>
      <c r="H1017" s="35" t="s">
        <v>6100</v>
      </c>
      <c r="I1017" s="36" t="s">
        <v>6101</v>
      </c>
      <c r="J1017" s="34" t="s">
        <v>6102</v>
      </c>
      <c r="K1017" s="34" t="s">
        <v>6103</v>
      </c>
      <c r="L1017" s="37"/>
      <c r="M1017" s="37"/>
      <c r="N1017" s="37"/>
      <c r="O1017" s="37"/>
      <c r="P1017" s="37"/>
      <c r="Q1017" s="37"/>
      <c r="R1017" s="31" t="n">
        <f aca="false">COUNT($M1017:$Q1017)</f>
        <v>0</v>
      </c>
      <c r="S1017" s="32" t="str">
        <f aca="false">IF($L1017="","",IF($R1017&gt;=5,"",MAX($L1017:$Q1017)+CHOOSE($R1017+1,SETTINGS!$C$9,SETTINGS!$C$10,SETTINGS!$C$11,SETTINGS!$C$12,SETTINGS!$C$13)))</f>
        <v/>
      </c>
      <c r="T1017" s="34" t="str">
        <f aca="true">IF($H1017="","(chưa có nội dung)",IF($L1017="",IF($C1017&lt;TODAY(),"⚠ TRỄ HỌC",IF($C1017=TODAY(),"★ HỌC HÔM NAY","• Chưa tới")),IF($R1017&gt;=5,"✔ MASTER",IF($S1017&lt;TODAY(),"⚠ TRỄ ÔN",IF($S1017=TODAY(),"◆ ÔN HÔM NAY","✔ Đúng tiến độ")))))</f>
        <v>• Chưa tới</v>
      </c>
      <c r="U1017" s="38" t="n">
        <f aca="false">IF($H1017="","",$R1017/5)</f>
        <v>0</v>
      </c>
    </row>
    <row r="1018" customFormat="false" ht="15" hidden="false" customHeight="false" outlineLevel="0" collapsed="false">
      <c r="A1018" s="31" t="s">
        <v>6104</v>
      </c>
      <c r="B1018" s="31" t="n">
        <v>51</v>
      </c>
      <c r="C1018" s="32" t="n">
        <f aca="false">SETTINGS!$C$3+$B1018-1</f>
        <v>46350</v>
      </c>
      <c r="D1018" s="40" t="s">
        <v>3692</v>
      </c>
      <c r="E1018" s="34" t="s">
        <v>6017</v>
      </c>
      <c r="F1018" s="34" t="s">
        <v>280</v>
      </c>
      <c r="G1018" s="34" t="s">
        <v>6105</v>
      </c>
      <c r="H1018" s="35" t="s">
        <v>6106</v>
      </c>
      <c r="I1018" s="36" t="s">
        <v>6107</v>
      </c>
      <c r="J1018" s="34" t="s">
        <v>6108</v>
      </c>
      <c r="K1018" s="34" t="s">
        <v>6109</v>
      </c>
      <c r="L1018" s="37"/>
      <c r="M1018" s="37"/>
      <c r="N1018" s="37"/>
      <c r="O1018" s="37"/>
      <c r="P1018" s="37"/>
      <c r="Q1018" s="37"/>
      <c r="R1018" s="31" t="n">
        <f aca="false">COUNT($M1018:$Q1018)</f>
        <v>0</v>
      </c>
      <c r="S1018" s="32" t="str">
        <f aca="false">IF($L1018="","",IF($R1018&gt;=5,"",MAX($L1018:$Q1018)+CHOOSE($R1018+1,SETTINGS!$C$9,SETTINGS!$C$10,SETTINGS!$C$11,SETTINGS!$C$12,SETTINGS!$C$13)))</f>
        <v/>
      </c>
      <c r="T1018" s="34" t="str">
        <f aca="true">IF($H1018="","(chưa có nội dung)",IF($L1018="",IF($C1018&lt;TODAY(),"⚠ TRỄ HỌC",IF($C1018=TODAY(),"★ HỌC HÔM NAY","• Chưa tới")),IF($R1018&gt;=5,"✔ MASTER",IF($S1018&lt;TODAY(),"⚠ TRỄ ÔN",IF($S1018=TODAY(),"◆ ÔN HÔM NAY","✔ Đúng tiến độ")))))</f>
        <v>• Chưa tới</v>
      </c>
      <c r="U1018" s="38" t="n">
        <f aca="false">IF($H1018="","",$R1018/5)</f>
        <v>0</v>
      </c>
    </row>
    <row r="1019" customFormat="false" ht="15" hidden="false" customHeight="false" outlineLevel="0" collapsed="false">
      <c r="A1019" s="31" t="s">
        <v>6110</v>
      </c>
      <c r="B1019" s="31" t="n">
        <v>51</v>
      </c>
      <c r="C1019" s="32" t="n">
        <f aca="false">SETTINGS!$C$3+$B1019-1</f>
        <v>46350</v>
      </c>
      <c r="D1019" s="40" t="s">
        <v>3692</v>
      </c>
      <c r="E1019" s="34" t="s">
        <v>6017</v>
      </c>
      <c r="F1019" s="34" t="s">
        <v>280</v>
      </c>
      <c r="G1019" s="34" t="s">
        <v>6111</v>
      </c>
      <c r="H1019" s="35" t="s">
        <v>6112</v>
      </c>
      <c r="I1019" s="36" t="s">
        <v>6113</v>
      </c>
      <c r="J1019" s="34" t="s">
        <v>6114</v>
      </c>
      <c r="K1019" s="34" t="s">
        <v>6115</v>
      </c>
      <c r="L1019" s="37"/>
      <c r="M1019" s="37"/>
      <c r="N1019" s="37"/>
      <c r="O1019" s="37"/>
      <c r="P1019" s="37"/>
      <c r="Q1019" s="37"/>
      <c r="R1019" s="31" t="n">
        <f aca="false">COUNT($M1019:$Q1019)</f>
        <v>0</v>
      </c>
      <c r="S1019" s="32" t="str">
        <f aca="false">IF($L1019="","",IF($R1019&gt;=5,"",MAX($L1019:$Q1019)+CHOOSE($R1019+1,SETTINGS!$C$9,SETTINGS!$C$10,SETTINGS!$C$11,SETTINGS!$C$12,SETTINGS!$C$13)))</f>
        <v/>
      </c>
      <c r="T1019" s="34" t="str">
        <f aca="true">IF($H1019="","(chưa có nội dung)",IF($L1019="",IF($C1019&lt;TODAY(),"⚠ TRỄ HỌC",IF($C1019=TODAY(),"★ HỌC HÔM NAY","• Chưa tới")),IF($R1019&gt;=5,"✔ MASTER",IF($S1019&lt;TODAY(),"⚠ TRỄ ÔN",IF($S1019=TODAY(),"◆ ÔN HÔM NAY","✔ Đúng tiến độ")))))</f>
        <v>• Chưa tới</v>
      </c>
      <c r="U1019" s="38" t="n">
        <f aca="false">IF($H1019="","",$R1019/5)</f>
        <v>0</v>
      </c>
    </row>
    <row r="1020" customFormat="false" ht="15" hidden="false" customHeight="false" outlineLevel="0" collapsed="false">
      <c r="A1020" s="31" t="s">
        <v>6116</v>
      </c>
      <c r="B1020" s="31" t="n">
        <v>51</v>
      </c>
      <c r="C1020" s="32" t="n">
        <f aca="false">SETTINGS!$C$3+$B1020-1</f>
        <v>46350</v>
      </c>
      <c r="D1020" s="40" t="s">
        <v>3692</v>
      </c>
      <c r="E1020" s="34" t="s">
        <v>6017</v>
      </c>
      <c r="F1020" s="34" t="s">
        <v>280</v>
      </c>
      <c r="G1020" s="34" t="s">
        <v>6117</v>
      </c>
      <c r="H1020" s="35" t="s">
        <v>6118</v>
      </c>
      <c r="I1020" s="36" t="s">
        <v>6119</v>
      </c>
      <c r="J1020" s="34" t="s">
        <v>6120</v>
      </c>
      <c r="K1020" s="34" t="s">
        <v>6121</v>
      </c>
      <c r="L1020" s="37"/>
      <c r="M1020" s="37"/>
      <c r="N1020" s="37"/>
      <c r="O1020" s="37"/>
      <c r="P1020" s="37"/>
      <c r="Q1020" s="37"/>
      <c r="R1020" s="31" t="n">
        <f aca="false">COUNT($M1020:$Q1020)</f>
        <v>0</v>
      </c>
      <c r="S1020" s="32" t="str">
        <f aca="false">IF($L1020="","",IF($R1020&gt;=5,"",MAX($L1020:$Q1020)+CHOOSE($R1020+1,SETTINGS!$C$9,SETTINGS!$C$10,SETTINGS!$C$11,SETTINGS!$C$12,SETTINGS!$C$13)))</f>
        <v/>
      </c>
      <c r="T1020" s="34" t="str">
        <f aca="true">IF($H1020="","(chưa có nội dung)",IF($L1020="",IF($C1020&lt;TODAY(),"⚠ TRỄ HỌC",IF($C1020=TODAY(),"★ HỌC HÔM NAY","• Chưa tới")),IF($R1020&gt;=5,"✔ MASTER",IF($S1020&lt;TODAY(),"⚠ TRỄ ÔN",IF($S1020=TODAY(),"◆ ÔN HÔM NAY","✔ Đúng tiến độ")))))</f>
        <v>• Chưa tới</v>
      </c>
      <c r="U1020" s="38" t="n">
        <f aca="false">IF($H1020="","",$R1020/5)</f>
        <v>0</v>
      </c>
    </row>
    <row r="1021" customFormat="false" ht="15" hidden="false" customHeight="false" outlineLevel="0" collapsed="false">
      <c r="A1021" s="31" t="s">
        <v>6122</v>
      </c>
      <c r="B1021" s="31" t="n">
        <v>51</v>
      </c>
      <c r="C1021" s="32" t="n">
        <f aca="false">SETTINGS!$C$3+$B1021-1</f>
        <v>46350</v>
      </c>
      <c r="D1021" s="40" t="s">
        <v>3692</v>
      </c>
      <c r="E1021" s="34" t="s">
        <v>6017</v>
      </c>
      <c r="F1021" s="34" t="s">
        <v>280</v>
      </c>
      <c r="G1021" s="34" t="s">
        <v>6123</v>
      </c>
      <c r="H1021" s="35" t="s">
        <v>6124</v>
      </c>
      <c r="I1021" s="36" t="s">
        <v>6125</v>
      </c>
      <c r="J1021" s="34" t="s">
        <v>6126</v>
      </c>
      <c r="K1021" s="34" t="s">
        <v>6127</v>
      </c>
      <c r="L1021" s="37"/>
      <c r="M1021" s="37"/>
      <c r="N1021" s="37"/>
      <c r="O1021" s="37"/>
      <c r="P1021" s="37"/>
      <c r="Q1021" s="37"/>
      <c r="R1021" s="31" t="n">
        <f aca="false">COUNT($M1021:$Q1021)</f>
        <v>0</v>
      </c>
      <c r="S1021" s="32" t="str">
        <f aca="false">IF($L1021="","",IF($R1021&gt;=5,"",MAX($L1021:$Q1021)+CHOOSE($R1021+1,SETTINGS!$C$9,SETTINGS!$C$10,SETTINGS!$C$11,SETTINGS!$C$12,SETTINGS!$C$13)))</f>
        <v/>
      </c>
      <c r="T1021" s="34" t="str">
        <f aca="true">IF($H1021="","(chưa có nội dung)",IF($L1021="",IF($C1021&lt;TODAY(),"⚠ TRỄ HỌC",IF($C1021=TODAY(),"★ HỌC HÔM NAY","• Chưa tới")),IF($R1021&gt;=5,"✔ MASTER",IF($S1021&lt;TODAY(),"⚠ TRỄ ÔN",IF($S1021=TODAY(),"◆ ÔN HÔM NAY","✔ Đúng tiến độ")))))</f>
        <v>• Chưa tới</v>
      </c>
      <c r="U1021" s="38" t="n">
        <f aca="false">IF($H1021="","",$R1021/5)</f>
        <v>0</v>
      </c>
    </row>
    <row r="1022" customFormat="false" ht="15" hidden="false" customHeight="false" outlineLevel="0" collapsed="false">
      <c r="A1022" s="31" t="s">
        <v>6128</v>
      </c>
      <c r="B1022" s="31" t="n">
        <v>51</v>
      </c>
      <c r="C1022" s="32" t="n">
        <f aca="false">SETTINGS!$C$3+$B1022-1</f>
        <v>46350</v>
      </c>
      <c r="D1022" s="40" t="s">
        <v>3692</v>
      </c>
      <c r="E1022" s="34" t="s">
        <v>6017</v>
      </c>
      <c r="F1022" s="34" t="s">
        <v>202</v>
      </c>
      <c r="G1022" s="34" t="s">
        <v>6129</v>
      </c>
      <c r="H1022" s="35" t="s">
        <v>6130</v>
      </c>
      <c r="I1022" s="36" t="s">
        <v>6131</v>
      </c>
      <c r="J1022" s="34" t="s">
        <v>6132</v>
      </c>
      <c r="K1022" s="34" t="s">
        <v>6133</v>
      </c>
      <c r="L1022" s="37"/>
      <c r="M1022" s="37"/>
      <c r="N1022" s="37"/>
      <c r="O1022" s="37"/>
      <c r="P1022" s="37"/>
      <c r="Q1022" s="37"/>
      <c r="R1022" s="31" t="n">
        <f aca="false">COUNT($M1022:$Q1022)</f>
        <v>0</v>
      </c>
      <c r="S1022" s="32" t="str">
        <f aca="false">IF($L1022="","",IF($R1022&gt;=5,"",MAX($L1022:$Q1022)+CHOOSE($R1022+1,SETTINGS!$C$9,SETTINGS!$C$10,SETTINGS!$C$11,SETTINGS!$C$12,SETTINGS!$C$13)))</f>
        <v/>
      </c>
      <c r="T1022" s="34" t="str">
        <f aca="true">IF($H1022="","(chưa có nội dung)",IF($L1022="",IF($C1022&lt;TODAY(),"⚠ TRỄ HỌC",IF($C1022=TODAY(),"★ HỌC HÔM NAY","• Chưa tới")),IF($R1022&gt;=5,"✔ MASTER",IF($S1022&lt;TODAY(),"⚠ TRỄ ÔN",IF($S1022=TODAY(),"◆ ÔN HÔM NAY","✔ Đúng tiến độ")))))</f>
        <v>• Chưa tới</v>
      </c>
      <c r="U1022" s="38" t="n">
        <f aca="false">IF($H1022="","",$R1022/5)</f>
        <v>0</v>
      </c>
    </row>
    <row r="1023" customFormat="false" ht="15" hidden="false" customHeight="false" outlineLevel="0" collapsed="false">
      <c r="A1023" s="31" t="s">
        <v>6134</v>
      </c>
      <c r="B1023" s="31" t="n">
        <v>52</v>
      </c>
      <c r="C1023" s="32" t="n">
        <f aca="false">SETTINGS!$C$3+$B1023-1</f>
        <v>46351</v>
      </c>
      <c r="D1023" s="40" t="s">
        <v>3692</v>
      </c>
      <c r="E1023" s="34" t="s">
        <v>6135</v>
      </c>
      <c r="F1023" s="34" t="s">
        <v>280</v>
      </c>
      <c r="G1023" s="34" t="s">
        <v>6136</v>
      </c>
      <c r="H1023" s="35" t="s">
        <v>6137</v>
      </c>
      <c r="I1023" s="36" t="s">
        <v>6138</v>
      </c>
      <c r="J1023" s="34" t="s">
        <v>6139</v>
      </c>
      <c r="K1023" s="34" t="s">
        <v>6140</v>
      </c>
      <c r="L1023" s="37"/>
      <c r="M1023" s="37"/>
      <c r="N1023" s="37"/>
      <c r="O1023" s="37"/>
      <c r="P1023" s="37"/>
      <c r="Q1023" s="37"/>
      <c r="R1023" s="31" t="n">
        <f aca="false">COUNT($M1023:$Q1023)</f>
        <v>0</v>
      </c>
      <c r="S1023" s="32" t="str">
        <f aca="false">IF($L1023="","",IF($R1023&gt;=5,"",MAX($L1023:$Q1023)+CHOOSE($R1023+1,SETTINGS!$C$9,SETTINGS!$C$10,SETTINGS!$C$11,SETTINGS!$C$12,SETTINGS!$C$13)))</f>
        <v/>
      </c>
      <c r="T1023" s="34" t="str">
        <f aca="true">IF($H1023="","(chưa có nội dung)",IF($L1023="",IF($C1023&lt;TODAY(),"⚠ TRỄ HỌC",IF($C1023=TODAY(),"★ HỌC HÔM NAY","• Chưa tới")),IF($R1023&gt;=5,"✔ MASTER",IF($S1023&lt;TODAY(),"⚠ TRỄ ÔN",IF($S1023=TODAY(),"◆ ÔN HÔM NAY","✔ Đúng tiến độ")))))</f>
        <v>• Chưa tới</v>
      </c>
      <c r="U1023" s="38" t="n">
        <f aca="false">IF($H1023="","",$R1023/5)</f>
        <v>0</v>
      </c>
    </row>
    <row r="1024" customFormat="false" ht="15" hidden="false" customHeight="false" outlineLevel="0" collapsed="false">
      <c r="A1024" s="31" t="s">
        <v>6141</v>
      </c>
      <c r="B1024" s="31" t="n">
        <v>52</v>
      </c>
      <c r="C1024" s="32" t="n">
        <f aca="false">SETTINGS!$C$3+$B1024-1</f>
        <v>46351</v>
      </c>
      <c r="D1024" s="40" t="s">
        <v>3692</v>
      </c>
      <c r="E1024" s="34" t="s">
        <v>6135</v>
      </c>
      <c r="F1024" s="34" t="s">
        <v>163</v>
      </c>
      <c r="G1024" s="34" t="s">
        <v>6142</v>
      </c>
      <c r="H1024" s="35" t="s">
        <v>6143</v>
      </c>
      <c r="I1024" s="36" t="s">
        <v>6144</v>
      </c>
      <c r="J1024" s="34" t="s">
        <v>6145</v>
      </c>
      <c r="K1024" s="34" t="s">
        <v>6146</v>
      </c>
      <c r="L1024" s="37"/>
      <c r="M1024" s="37"/>
      <c r="N1024" s="37"/>
      <c r="O1024" s="37"/>
      <c r="P1024" s="37"/>
      <c r="Q1024" s="37"/>
      <c r="R1024" s="31" t="n">
        <f aca="false">COUNT($M1024:$Q1024)</f>
        <v>0</v>
      </c>
      <c r="S1024" s="32" t="str">
        <f aca="false">IF($L1024="","",IF($R1024&gt;=5,"",MAX($L1024:$Q1024)+CHOOSE($R1024+1,SETTINGS!$C$9,SETTINGS!$C$10,SETTINGS!$C$11,SETTINGS!$C$12,SETTINGS!$C$13)))</f>
        <v/>
      </c>
      <c r="T1024" s="34" t="str">
        <f aca="true">IF($H1024="","(chưa có nội dung)",IF($L1024="",IF($C1024&lt;TODAY(),"⚠ TRỄ HỌC",IF($C1024=TODAY(),"★ HỌC HÔM NAY","• Chưa tới")),IF($R1024&gt;=5,"✔ MASTER",IF($S1024&lt;TODAY(),"⚠ TRỄ ÔN",IF($S1024=TODAY(),"◆ ÔN HÔM NAY","✔ Đúng tiến độ")))))</f>
        <v>• Chưa tới</v>
      </c>
      <c r="U1024" s="38" t="n">
        <f aca="false">IF($H1024="","",$R1024/5)</f>
        <v>0</v>
      </c>
    </row>
    <row r="1025" customFormat="false" ht="15" hidden="false" customHeight="false" outlineLevel="0" collapsed="false">
      <c r="A1025" s="31" t="s">
        <v>6147</v>
      </c>
      <c r="B1025" s="31" t="n">
        <v>52</v>
      </c>
      <c r="C1025" s="32" t="n">
        <f aca="false">SETTINGS!$C$3+$B1025-1</f>
        <v>46351</v>
      </c>
      <c r="D1025" s="40" t="s">
        <v>3692</v>
      </c>
      <c r="E1025" s="34" t="s">
        <v>6135</v>
      </c>
      <c r="F1025" s="34" t="s">
        <v>3656</v>
      </c>
      <c r="G1025" s="34" t="s">
        <v>6148</v>
      </c>
      <c r="H1025" s="35" t="s">
        <v>6149</v>
      </c>
      <c r="I1025" s="36" t="s">
        <v>6150</v>
      </c>
      <c r="J1025" s="34" t="s">
        <v>6151</v>
      </c>
      <c r="K1025" s="34" t="s">
        <v>6148</v>
      </c>
      <c r="L1025" s="37"/>
      <c r="M1025" s="37"/>
      <c r="N1025" s="37"/>
      <c r="O1025" s="37"/>
      <c r="P1025" s="37"/>
      <c r="Q1025" s="37"/>
      <c r="R1025" s="31" t="n">
        <f aca="false">COUNT($M1025:$Q1025)</f>
        <v>0</v>
      </c>
      <c r="S1025" s="32" t="str">
        <f aca="false">IF($L1025="","",IF($R1025&gt;=5,"",MAX($L1025:$Q1025)+CHOOSE($R1025+1,SETTINGS!$C$9,SETTINGS!$C$10,SETTINGS!$C$11,SETTINGS!$C$12,SETTINGS!$C$13)))</f>
        <v/>
      </c>
      <c r="T1025" s="34" t="str">
        <f aca="true">IF($H1025="","(chưa có nội dung)",IF($L1025="",IF($C1025&lt;TODAY(),"⚠ TRỄ HỌC",IF($C1025=TODAY(),"★ HỌC HÔM NAY","• Chưa tới")),IF($R1025&gt;=5,"✔ MASTER",IF($S1025&lt;TODAY(),"⚠ TRỄ ÔN",IF($S1025=TODAY(),"◆ ÔN HÔM NAY","✔ Đúng tiến độ")))))</f>
        <v>• Chưa tới</v>
      </c>
      <c r="U1025" s="38" t="n">
        <f aca="false">IF($H1025="","",$R1025/5)</f>
        <v>0</v>
      </c>
    </row>
    <row r="1026" customFormat="false" ht="15" hidden="false" customHeight="false" outlineLevel="0" collapsed="false">
      <c r="A1026" s="31" t="s">
        <v>6152</v>
      </c>
      <c r="B1026" s="31" t="n">
        <v>52</v>
      </c>
      <c r="C1026" s="32" t="n">
        <f aca="false">SETTINGS!$C$3+$B1026-1</f>
        <v>46351</v>
      </c>
      <c r="D1026" s="40" t="s">
        <v>3692</v>
      </c>
      <c r="E1026" s="34" t="s">
        <v>6135</v>
      </c>
      <c r="F1026" s="34" t="s">
        <v>280</v>
      </c>
      <c r="G1026" s="34" t="s">
        <v>6153</v>
      </c>
      <c r="H1026" s="35" t="s">
        <v>6154</v>
      </c>
      <c r="I1026" s="36" t="s">
        <v>6155</v>
      </c>
      <c r="J1026" s="34" t="s">
        <v>6156</v>
      </c>
      <c r="K1026" s="34" t="s">
        <v>6157</v>
      </c>
      <c r="L1026" s="37"/>
      <c r="M1026" s="37"/>
      <c r="N1026" s="37"/>
      <c r="O1026" s="37"/>
      <c r="P1026" s="37"/>
      <c r="Q1026" s="37"/>
      <c r="R1026" s="31" t="n">
        <f aca="false">COUNT($M1026:$Q1026)</f>
        <v>0</v>
      </c>
      <c r="S1026" s="32" t="str">
        <f aca="false">IF($L1026="","",IF($R1026&gt;=5,"",MAX($L1026:$Q1026)+CHOOSE($R1026+1,SETTINGS!$C$9,SETTINGS!$C$10,SETTINGS!$C$11,SETTINGS!$C$12,SETTINGS!$C$13)))</f>
        <v/>
      </c>
      <c r="T1026" s="34" t="str">
        <f aca="true">IF($H1026="","(chưa có nội dung)",IF($L1026="",IF($C1026&lt;TODAY(),"⚠ TRỄ HỌC",IF($C1026=TODAY(),"★ HỌC HÔM NAY","• Chưa tới")),IF($R1026&gt;=5,"✔ MASTER",IF($S1026&lt;TODAY(),"⚠ TRỄ ÔN",IF($S1026=TODAY(),"◆ ÔN HÔM NAY","✔ Đúng tiến độ")))))</f>
        <v>• Chưa tới</v>
      </c>
      <c r="U1026" s="38" t="n">
        <f aca="false">IF($H1026="","",$R1026/5)</f>
        <v>0</v>
      </c>
    </row>
    <row r="1027" customFormat="false" ht="15" hidden="false" customHeight="false" outlineLevel="0" collapsed="false">
      <c r="A1027" s="31" t="s">
        <v>6158</v>
      </c>
      <c r="B1027" s="31" t="n">
        <v>52</v>
      </c>
      <c r="C1027" s="32" t="n">
        <f aca="false">SETTINGS!$C$3+$B1027-1</f>
        <v>46351</v>
      </c>
      <c r="D1027" s="40" t="s">
        <v>3692</v>
      </c>
      <c r="E1027" s="34" t="s">
        <v>6135</v>
      </c>
      <c r="F1027" s="34" t="s">
        <v>280</v>
      </c>
      <c r="G1027" s="34" t="s">
        <v>6159</v>
      </c>
      <c r="H1027" s="35" t="s">
        <v>6160</v>
      </c>
      <c r="I1027" s="36" t="s">
        <v>6161</v>
      </c>
      <c r="J1027" s="34" t="s">
        <v>6162</v>
      </c>
      <c r="K1027" s="34" t="s">
        <v>6163</v>
      </c>
      <c r="L1027" s="37"/>
      <c r="M1027" s="37"/>
      <c r="N1027" s="37"/>
      <c r="O1027" s="37"/>
      <c r="P1027" s="37"/>
      <c r="Q1027" s="37"/>
      <c r="R1027" s="31" t="n">
        <f aca="false">COUNT($M1027:$Q1027)</f>
        <v>0</v>
      </c>
      <c r="S1027" s="32" t="str">
        <f aca="false">IF($L1027="","",IF($R1027&gt;=5,"",MAX($L1027:$Q1027)+CHOOSE($R1027+1,SETTINGS!$C$9,SETTINGS!$C$10,SETTINGS!$C$11,SETTINGS!$C$12,SETTINGS!$C$13)))</f>
        <v/>
      </c>
      <c r="T1027" s="34" t="str">
        <f aca="true">IF($H1027="","(chưa có nội dung)",IF($L1027="",IF($C1027&lt;TODAY(),"⚠ TRỄ HỌC",IF($C1027=TODAY(),"★ HỌC HÔM NAY","• Chưa tới")),IF($R1027&gt;=5,"✔ MASTER",IF($S1027&lt;TODAY(),"⚠ TRỄ ÔN",IF($S1027=TODAY(),"◆ ÔN HÔM NAY","✔ Đúng tiến độ")))))</f>
        <v>• Chưa tới</v>
      </c>
      <c r="U1027" s="38" t="n">
        <f aca="false">IF($H1027="","",$R1027/5)</f>
        <v>0</v>
      </c>
    </row>
    <row r="1028" customFormat="false" ht="15" hidden="false" customHeight="false" outlineLevel="0" collapsed="false">
      <c r="A1028" s="31" t="s">
        <v>6164</v>
      </c>
      <c r="B1028" s="31" t="n">
        <v>52</v>
      </c>
      <c r="C1028" s="32" t="n">
        <f aca="false">SETTINGS!$C$3+$B1028-1</f>
        <v>46351</v>
      </c>
      <c r="D1028" s="40" t="s">
        <v>3692</v>
      </c>
      <c r="E1028" s="34" t="s">
        <v>6135</v>
      </c>
      <c r="F1028" s="34" t="s">
        <v>163</v>
      </c>
      <c r="G1028" s="34" t="s">
        <v>6165</v>
      </c>
      <c r="H1028" s="35" t="s">
        <v>6166</v>
      </c>
      <c r="I1028" s="36" t="s">
        <v>6167</v>
      </c>
      <c r="J1028" s="34" t="s">
        <v>6168</v>
      </c>
      <c r="K1028" s="34" t="s">
        <v>6169</v>
      </c>
      <c r="L1028" s="37"/>
      <c r="M1028" s="37"/>
      <c r="N1028" s="37"/>
      <c r="O1028" s="37"/>
      <c r="P1028" s="37"/>
      <c r="Q1028" s="37"/>
      <c r="R1028" s="31" t="n">
        <f aca="false">COUNT($M1028:$Q1028)</f>
        <v>0</v>
      </c>
      <c r="S1028" s="32" t="str">
        <f aca="false">IF($L1028="","",IF($R1028&gt;=5,"",MAX($L1028:$Q1028)+CHOOSE($R1028+1,SETTINGS!$C$9,SETTINGS!$C$10,SETTINGS!$C$11,SETTINGS!$C$12,SETTINGS!$C$13)))</f>
        <v/>
      </c>
      <c r="T1028" s="34" t="str">
        <f aca="true">IF($H1028="","(chưa có nội dung)",IF($L1028="",IF($C1028&lt;TODAY(),"⚠ TRỄ HỌC",IF($C1028=TODAY(),"★ HỌC HÔM NAY","• Chưa tới")),IF($R1028&gt;=5,"✔ MASTER",IF($S1028&lt;TODAY(),"⚠ TRỄ ÔN",IF($S1028=TODAY(),"◆ ÔN HÔM NAY","✔ Đúng tiến độ")))))</f>
        <v>• Chưa tới</v>
      </c>
      <c r="U1028" s="38" t="n">
        <f aca="false">IF($H1028="","",$R1028/5)</f>
        <v>0</v>
      </c>
    </row>
    <row r="1029" customFormat="false" ht="15" hidden="false" customHeight="false" outlineLevel="0" collapsed="false">
      <c r="A1029" s="31" t="s">
        <v>6170</v>
      </c>
      <c r="B1029" s="31" t="n">
        <v>52</v>
      </c>
      <c r="C1029" s="32" t="n">
        <f aca="false">SETTINGS!$C$3+$B1029-1</f>
        <v>46351</v>
      </c>
      <c r="D1029" s="40" t="s">
        <v>3692</v>
      </c>
      <c r="E1029" s="34" t="s">
        <v>6135</v>
      </c>
      <c r="F1029" s="34" t="s">
        <v>3656</v>
      </c>
      <c r="G1029" s="34" t="s">
        <v>4644</v>
      </c>
      <c r="H1029" s="35" t="s">
        <v>6171</v>
      </c>
      <c r="I1029" s="36" t="s">
        <v>6172</v>
      </c>
      <c r="J1029" s="34" t="s">
        <v>6173</v>
      </c>
      <c r="K1029" s="34" t="s">
        <v>6174</v>
      </c>
      <c r="L1029" s="37"/>
      <c r="M1029" s="37"/>
      <c r="N1029" s="37"/>
      <c r="O1029" s="37"/>
      <c r="P1029" s="37"/>
      <c r="Q1029" s="37"/>
      <c r="R1029" s="31" t="n">
        <f aca="false">COUNT($M1029:$Q1029)</f>
        <v>0</v>
      </c>
      <c r="S1029" s="32" t="str">
        <f aca="false">IF($L1029="","",IF($R1029&gt;=5,"",MAX($L1029:$Q1029)+CHOOSE($R1029+1,SETTINGS!$C$9,SETTINGS!$C$10,SETTINGS!$C$11,SETTINGS!$C$12,SETTINGS!$C$13)))</f>
        <v/>
      </c>
      <c r="T1029" s="34" t="str">
        <f aca="true">IF($H1029="","(chưa có nội dung)",IF($L1029="",IF($C1029&lt;TODAY(),"⚠ TRỄ HỌC",IF($C1029=TODAY(),"★ HỌC HÔM NAY","• Chưa tới")),IF($R1029&gt;=5,"✔ MASTER",IF($S1029&lt;TODAY(),"⚠ TRỄ ÔN",IF($S1029=TODAY(),"◆ ÔN HÔM NAY","✔ Đúng tiến độ")))))</f>
        <v>• Chưa tới</v>
      </c>
      <c r="U1029" s="38" t="n">
        <f aca="false">IF($H1029="","",$R1029/5)</f>
        <v>0</v>
      </c>
    </row>
    <row r="1030" customFormat="false" ht="15" hidden="false" customHeight="false" outlineLevel="0" collapsed="false">
      <c r="A1030" s="31" t="s">
        <v>6175</v>
      </c>
      <c r="B1030" s="31" t="n">
        <v>52</v>
      </c>
      <c r="C1030" s="32" t="n">
        <f aca="false">SETTINGS!$C$3+$B1030-1</f>
        <v>46351</v>
      </c>
      <c r="D1030" s="40" t="s">
        <v>3692</v>
      </c>
      <c r="E1030" s="34" t="s">
        <v>6135</v>
      </c>
      <c r="F1030" s="34" t="s">
        <v>280</v>
      </c>
      <c r="G1030" s="34" t="s">
        <v>6176</v>
      </c>
      <c r="H1030" s="35" t="s">
        <v>6177</v>
      </c>
      <c r="I1030" s="36" t="s">
        <v>6178</v>
      </c>
      <c r="J1030" s="34" t="s">
        <v>6179</v>
      </c>
      <c r="K1030" s="34" t="s">
        <v>6180</v>
      </c>
      <c r="L1030" s="37"/>
      <c r="M1030" s="37"/>
      <c r="N1030" s="37"/>
      <c r="O1030" s="37"/>
      <c r="P1030" s="37"/>
      <c r="Q1030" s="37"/>
      <c r="R1030" s="31" t="n">
        <f aca="false">COUNT($M1030:$Q1030)</f>
        <v>0</v>
      </c>
      <c r="S1030" s="32" t="str">
        <f aca="false">IF($L1030="","",IF($R1030&gt;=5,"",MAX($L1030:$Q1030)+CHOOSE($R1030+1,SETTINGS!$C$9,SETTINGS!$C$10,SETTINGS!$C$11,SETTINGS!$C$12,SETTINGS!$C$13)))</f>
        <v/>
      </c>
      <c r="T1030" s="34" t="str">
        <f aca="true">IF($H1030="","(chưa có nội dung)",IF($L1030="",IF($C1030&lt;TODAY(),"⚠ TRỄ HỌC",IF($C1030=TODAY(),"★ HỌC HÔM NAY","• Chưa tới")),IF($R1030&gt;=5,"✔ MASTER",IF($S1030&lt;TODAY(),"⚠ TRỄ ÔN",IF($S1030=TODAY(),"◆ ÔN HÔM NAY","✔ Đúng tiến độ")))))</f>
        <v>• Chưa tới</v>
      </c>
      <c r="U1030" s="38" t="n">
        <f aca="false">IF($H1030="","",$R1030/5)</f>
        <v>0</v>
      </c>
    </row>
    <row r="1031" customFormat="false" ht="26.85" hidden="false" customHeight="false" outlineLevel="0" collapsed="false">
      <c r="A1031" s="31" t="s">
        <v>6181</v>
      </c>
      <c r="B1031" s="31" t="n">
        <v>52</v>
      </c>
      <c r="C1031" s="32" t="n">
        <f aca="false">SETTINGS!$C$3+$B1031-1</f>
        <v>46351</v>
      </c>
      <c r="D1031" s="40" t="s">
        <v>3692</v>
      </c>
      <c r="E1031" s="34" t="s">
        <v>6135</v>
      </c>
      <c r="F1031" s="34" t="s">
        <v>280</v>
      </c>
      <c r="G1031" s="34" t="s">
        <v>6182</v>
      </c>
      <c r="H1031" s="35" t="s">
        <v>6183</v>
      </c>
      <c r="I1031" s="36" t="s">
        <v>6184</v>
      </c>
      <c r="J1031" s="34" t="s">
        <v>6185</v>
      </c>
      <c r="K1031" s="34" t="s">
        <v>6186</v>
      </c>
      <c r="L1031" s="37"/>
      <c r="M1031" s="37"/>
      <c r="N1031" s="37"/>
      <c r="O1031" s="37"/>
      <c r="P1031" s="37"/>
      <c r="Q1031" s="37"/>
      <c r="R1031" s="31" t="n">
        <f aca="false">COUNT($M1031:$Q1031)</f>
        <v>0</v>
      </c>
      <c r="S1031" s="32" t="str">
        <f aca="false">IF($L1031="","",IF($R1031&gt;=5,"",MAX($L1031:$Q1031)+CHOOSE($R1031+1,SETTINGS!$C$9,SETTINGS!$C$10,SETTINGS!$C$11,SETTINGS!$C$12,SETTINGS!$C$13)))</f>
        <v/>
      </c>
      <c r="T1031" s="34" t="str">
        <f aca="true">IF($H1031="","(chưa có nội dung)",IF($L1031="",IF($C1031&lt;TODAY(),"⚠ TRỄ HỌC",IF($C1031=TODAY(),"★ HỌC HÔM NAY","• Chưa tới")),IF($R1031&gt;=5,"✔ MASTER",IF($S1031&lt;TODAY(),"⚠ TRỄ ÔN",IF($S1031=TODAY(),"◆ ÔN HÔM NAY","✔ Đúng tiến độ")))))</f>
        <v>• Chưa tới</v>
      </c>
      <c r="U1031" s="38" t="n">
        <f aca="false">IF($H1031="","",$R1031/5)</f>
        <v>0</v>
      </c>
    </row>
    <row r="1032" customFormat="false" ht="15" hidden="false" customHeight="false" outlineLevel="0" collapsed="false">
      <c r="A1032" s="31" t="s">
        <v>6187</v>
      </c>
      <c r="B1032" s="31" t="n">
        <v>52</v>
      </c>
      <c r="C1032" s="32" t="n">
        <f aca="false">SETTINGS!$C$3+$B1032-1</f>
        <v>46351</v>
      </c>
      <c r="D1032" s="40" t="s">
        <v>3692</v>
      </c>
      <c r="E1032" s="34" t="s">
        <v>6135</v>
      </c>
      <c r="F1032" s="34" t="s">
        <v>3656</v>
      </c>
      <c r="G1032" s="34" t="s">
        <v>6188</v>
      </c>
      <c r="H1032" s="35" t="s">
        <v>6189</v>
      </c>
      <c r="I1032" s="36" t="s">
        <v>6190</v>
      </c>
      <c r="J1032" s="34" t="s">
        <v>6191</v>
      </c>
      <c r="K1032" s="34" t="s">
        <v>6192</v>
      </c>
      <c r="L1032" s="37"/>
      <c r="M1032" s="37"/>
      <c r="N1032" s="37"/>
      <c r="O1032" s="37"/>
      <c r="P1032" s="37"/>
      <c r="Q1032" s="37"/>
      <c r="R1032" s="31" t="n">
        <f aca="false">COUNT($M1032:$Q1032)</f>
        <v>0</v>
      </c>
      <c r="S1032" s="32" t="str">
        <f aca="false">IF($L1032="","",IF($R1032&gt;=5,"",MAX($L1032:$Q1032)+CHOOSE($R1032+1,SETTINGS!$C$9,SETTINGS!$C$10,SETTINGS!$C$11,SETTINGS!$C$12,SETTINGS!$C$13)))</f>
        <v/>
      </c>
      <c r="T1032" s="34" t="str">
        <f aca="true">IF($H1032="","(chưa có nội dung)",IF($L1032="",IF($C1032&lt;TODAY(),"⚠ TRỄ HỌC",IF($C1032=TODAY(),"★ HỌC HÔM NAY","• Chưa tới")),IF($R1032&gt;=5,"✔ MASTER",IF($S1032&lt;TODAY(),"⚠ TRỄ ÔN",IF($S1032=TODAY(),"◆ ÔN HÔM NAY","✔ Đúng tiến độ")))))</f>
        <v>• Chưa tới</v>
      </c>
      <c r="U1032" s="38" t="n">
        <f aca="false">IF($H1032="","",$R1032/5)</f>
        <v>0</v>
      </c>
    </row>
    <row r="1033" customFormat="false" ht="15" hidden="false" customHeight="false" outlineLevel="0" collapsed="false">
      <c r="A1033" s="31" t="s">
        <v>6193</v>
      </c>
      <c r="B1033" s="31" t="n">
        <v>52</v>
      </c>
      <c r="C1033" s="32" t="n">
        <f aca="false">SETTINGS!$C$3+$B1033-1</f>
        <v>46351</v>
      </c>
      <c r="D1033" s="40" t="s">
        <v>3692</v>
      </c>
      <c r="E1033" s="34" t="s">
        <v>6135</v>
      </c>
      <c r="F1033" s="34" t="s">
        <v>280</v>
      </c>
      <c r="G1033" s="34" t="s">
        <v>6194</v>
      </c>
      <c r="H1033" s="35" t="s">
        <v>6195</v>
      </c>
      <c r="I1033" s="36" t="s">
        <v>6196</v>
      </c>
      <c r="J1033" s="34" t="s">
        <v>6197</v>
      </c>
      <c r="K1033" s="34" t="s">
        <v>4432</v>
      </c>
      <c r="L1033" s="37"/>
      <c r="M1033" s="37"/>
      <c r="N1033" s="37"/>
      <c r="O1033" s="37"/>
      <c r="P1033" s="37"/>
      <c r="Q1033" s="37"/>
      <c r="R1033" s="31" t="n">
        <f aca="false">COUNT($M1033:$Q1033)</f>
        <v>0</v>
      </c>
      <c r="S1033" s="32" t="str">
        <f aca="false">IF($L1033="","",IF($R1033&gt;=5,"",MAX($L1033:$Q1033)+CHOOSE($R1033+1,SETTINGS!$C$9,SETTINGS!$C$10,SETTINGS!$C$11,SETTINGS!$C$12,SETTINGS!$C$13)))</f>
        <v/>
      </c>
      <c r="T1033" s="34" t="str">
        <f aca="true">IF($H1033="","(chưa có nội dung)",IF($L1033="",IF($C1033&lt;TODAY(),"⚠ TRỄ HỌC",IF($C1033=TODAY(),"★ HỌC HÔM NAY","• Chưa tới")),IF($R1033&gt;=5,"✔ MASTER",IF($S1033&lt;TODAY(),"⚠ TRỄ ÔN",IF($S1033=TODAY(),"◆ ÔN HÔM NAY","✔ Đúng tiến độ")))))</f>
        <v>• Chưa tới</v>
      </c>
      <c r="U1033" s="38" t="n">
        <f aca="false">IF($H1033="","",$R1033/5)</f>
        <v>0</v>
      </c>
    </row>
    <row r="1034" customFormat="false" ht="15" hidden="false" customHeight="false" outlineLevel="0" collapsed="false">
      <c r="A1034" s="31" t="s">
        <v>6198</v>
      </c>
      <c r="B1034" s="31" t="n">
        <v>52</v>
      </c>
      <c r="C1034" s="32" t="n">
        <f aca="false">SETTINGS!$C$3+$B1034-1</f>
        <v>46351</v>
      </c>
      <c r="D1034" s="40" t="s">
        <v>3692</v>
      </c>
      <c r="E1034" s="34" t="s">
        <v>6135</v>
      </c>
      <c r="F1034" s="34" t="s">
        <v>280</v>
      </c>
      <c r="G1034" s="34" t="s">
        <v>6199</v>
      </c>
      <c r="H1034" s="35" t="s">
        <v>6200</v>
      </c>
      <c r="I1034" s="36" t="s">
        <v>6201</v>
      </c>
      <c r="J1034" s="34" t="s">
        <v>6202</v>
      </c>
      <c r="K1034" s="34" t="s">
        <v>6203</v>
      </c>
      <c r="L1034" s="37"/>
      <c r="M1034" s="37"/>
      <c r="N1034" s="37"/>
      <c r="O1034" s="37"/>
      <c r="P1034" s="37"/>
      <c r="Q1034" s="37"/>
      <c r="R1034" s="31" t="n">
        <f aca="false">COUNT($M1034:$Q1034)</f>
        <v>0</v>
      </c>
      <c r="S1034" s="32" t="str">
        <f aca="false">IF($L1034="","",IF($R1034&gt;=5,"",MAX($L1034:$Q1034)+CHOOSE($R1034+1,SETTINGS!$C$9,SETTINGS!$C$10,SETTINGS!$C$11,SETTINGS!$C$12,SETTINGS!$C$13)))</f>
        <v/>
      </c>
      <c r="T1034" s="34" t="str">
        <f aca="true">IF($H1034="","(chưa có nội dung)",IF($L1034="",IF($C1034&lt;TODAY(),"⚠ TRỄ HỌC",IF($C1034=TODAY(),"★ HỌC HÔM NAY","• Chưa tới")),IF($R1034&gt;=5,"✔ MASTER",IF($S1034&lt;TODAY(),"⚠ TRỄ ÔN",IF($S1034=TODAY(),"◆ ÔN HÔM NAY","✔ Đúng tiến độ")))))</f>
        <v>• Chưa tới</v>
      </c>
      <c r="U1034" s="38" t="n">
        <f aca="false">IF($H1034="","",$R1034/5)</f>
        <v>0</v>
      </c>
    </row>
    <row r="1035" customFormat="false" ht="15" hidden="false" customHeight="false" outlineLevel="0" collapsed="false">
      <c r="A1035" s="31" t="s">
        <v>6204</v>
      </c>
      <c r="B1035" s="31" t="n">
        <v>52</v>
      </c>
      <c r="C1035" s="32" t="n">
        <f aca="false">SETTINGS!$C$3+$B1035-1</f>
        <v>46351</v>
      </c>
      <c r="D1035" s="40" t="s">
        <v>3692</v>
      </c>
      <c r="E1035" s="34" t="s">
        <v>6135</v>
      </c>
      <c r="F1035" s="34" t="s">
        <v>280</v>
      </c>
      <c r="G1035" s="34" t="s">
        <v>6205</v>
      </c>
      <c r="H1035" s="35" t="s">
        <v>6206</v>
      </c>
      <c r="I1035" s="36" t="s">
        <v>6207</v>
      </c>
      <c r="J1035" s="34" t="s">
        <v>6208</v>
      </c>
      <c r="K1035" s="34" t="s">
        <v>6209</v>
      </c>
      <c r="L1035" s="37"/>
      <c r="M1035" s="37"/>
      <c r="N1035" s="37"/>
      <c r="O1035" s="37"/>
      <c r="P1035" s="37"/>
      <c r="Q1035" s="37"/>
      <c r="R1035" s="31" t="n">
        <f aca="false">COUNT($M1035:$Q1035)</f>
        <v>0</v>
      </c>
      <c r="S1035" s="32" t="str">
        <f aca="false">IF($L1035="","",IF($R1035&gt;=5,"",MAX($L1035:$Q1035)+CHOOSE($R1035+1,SETTINGS!$C$9,SETTINGS!$C$10,SETTINGS!$C$11,SETTINGS!$C$12,SETTINGS!$C$13)))</f>
        <v/>
      </c>
      <c r="T1035" s="34" t="str">
        <f aca="true">IF($H1035="","(chưa có nội dung)",IF($L1035="",IF($C1035&lt;TODAY(),"⚠ TRỄ HỌC",IF($C1035=TODAY(),"★ HỌC HÔM NAY","• Chưa tới")),IF($R1035&gt;=5,"✔ MASTER",IF($S1035&lt;TODAY(),"⚠ TRỄ ÔN",IF($S1035=TODAY(),"◆ ÔN HÔM NAY","✔ Đúng tiến độ")))))</f>
        <v>• Chưa tới</v>
      </c>
      <c r="U1035" s="38" t="n">
        <f aca="false">IF($H1035="","",$R1035/5)</f>
        <v>0</v>
      </c>
    </row>
    <row r="1036" customFormat="false" ht="15" hidden="false" customHeight="false" outlineLevel="0" collapsed="false">
      <c r="A1036" s="31" t="s">
        <v>6210</v>
      </c>
      <c r="B1036" s="31" t="n">
        <v>52</v>
      </c>
      <c r="C1036" s="32" t="n">
        <f aca="false">SETTINGS!$C$3+$B1036-1</f>
        <v>46351</v>
      </c>
      <c r="D1036" s="40" t="s">
        <v>3692</v>
      </c>
      <c r="E1036" s="34" t="s">
        <v>6135</v>
      </c>
      <c r="F1036" s="34" t="s">
        <v>280</v>
      </c>
      <c r="G1036" s="34" t="s">
        <v>6211</v>
      </c>
      <c r="H1036" s="35" t="s">
        <v>6212</v>
      </c>
      <c r="I1036" s="36" t="s">
        <v>6213</v>
      </c>
      <c r="J1036" s="34" t="s">
        <v>6214</v>
      </c>
      <c r="K1036" s="34" t="s">
        <v>6211</v>
      </c>
      <c r="L1036" s="37"/>
      <c r="M1036" s="37"/>
      <c r="N1036" s="37"/>
      <c r="O1036" s="37"/>
      <c r="P1036" s="37"/>
      <c r="Q1036" s="37"/>
      <c r="R1036" s="31" t="n">
        <f aca="false">COUNT($M1036:$Q1036)</f>
        <v>0</v>
      </c>
      <c r="S1036" s="32" t="str">
        <f aca="false">IF($L1036="","",IF($R1036&gt;=5,"",MAX($L1036:$Q1036)+CHOOSE($R1036+1,SETTINGS!$C$9,SETTINGS!$C$10,SETTINGS!$C$11,SETTINGS!$C$12,SETTINGS!$C$13)))</f>
        <v/>
      </c>
      <c r="T1036" s="34" t="str">
        <f aca="true">IF($H1036="","(chưa có nội dung)",IF($L1036="",IF($C1036&lt;TODAY(),"⚠ TRỄ HỌC",IF($C1036=TODAY(),"★ HỌC HÔM NAY","• Chưa tới")),IF($R1036&gt;=5,"✔ MASTER",IF($S1036&lt;TODAY(),"⚠ TRỄ ÔN",IF($S1036=TODAY(),"◆ ÔN HÔM NAY","✔ Đúng tiến độ")))))</f>
        <v>• Chưa tới</v>
      </c>
      <c r="U1036" s="38" t="n">
        <f aca="false">IF($H1036="","",$R1036/5)</f>
        <v>0</v>
      </c>
    </row>
    <row r="1037" customFormat="false" ht="15" hidden="false" customHeight="false" outlineLevel="0" collapsed="false">
      <c r="A1037" s="31" t="s">
        <v>6215</v>
      </c>
      <c r="B1037" s="31" t="n">
        <v>52</v>
      </c>
      <c r="C1037" s="32" t="n">
        <f aca="false">SETTINGS!$C$3+$B1037-1</f>
        <v>46351</v>
      </c>
      <c r="D1037" s="40" t="s">
        <v>3692</v>
      </c>
      <c r="E1037" s="34" t="s">
        <v>6135</v>
      </c>
      <c r="F1037" s="34" t="s">
        <v>202</v>
      </c>
      <c r="G1037" s="34" t="s">
        <v>6216</v>
      </c>
      <c r="H1037" s="35" t="s">
        <v>6217</v>
      </c>
      <c r="I1037" s="36" t="s">
        <v>6218</v>
      </c>
      <c r="J1037" s="34" t="s">
        <v>6219</v>
      </c>
      <c r="K1037" s="34" t="s">
        <v>6220</v>
      </c>
      <c r="L1037" s="37"/>
      <c r="M1037" s="37"/>
      <c r="N1037" s="37"/>
      <c r="O1037" s="37"/>
      <c r="P1037" s="37"/>
      <c r="Q1037" s="37"/>
      <c r="R1037" s="31" t="n">
        <f aca="false">COUNT($M1037:$Q1037)</f>
        <v>0</v>
      </c>
      <c r="S1037" s="32" t="str">
        <f aca="false">IF($L1037="","",IF($R1037&gt;=5,"",MAX($L1037:$Q1037)+CHOOSE($R1037+1,SETTINGS!$C$9,SETTINGS!$C$10,SETTINGS!$C$11,SETTINGS!$C$12,SETTINGS!$C$13)))</f>
        <v/>
      </c>
      <c r="T1037" s="34" t="str">
        <f aca="true">IF($H1037="","(chưa có nội dung)",IF($L1037="",IF($C1037&lt;TODAY(),"⚠ TRỄ HỌC",IF($C1037=TODAY(),"★ HỌC HÔM NAY","• Chưa tới")),IF($R1037&gt;=5,"✔ MASTER",IF($S1037&lt;TODAY(),"⚠ TRỄ ÔN",IF($S1037=TODAY(),"◆ ÔN HÔM NAY","✔ Đúng tiến độ")))))</f>
        <v>• Chưa tới</v>
      </c>
      <c r="U1037" s="38" t="n">
        <f aca="false">IF($H1037="","",$R1037/5)</f>
        <v>0</v>
      </c>
    </row>
    <row r="1038" customFormat="false" ht="15" hidden="false" customHeight="false" outlineLevel="0" collapsed="false">
      <c r="A1038" s="31" t="s">
        <v>6221</v>
      </c>
      <c r="B1038" s="31" t="n">
        <v>52</v>
      </c>
      <c r="C1038" s="32" t="n">
        <f aca="false">SETTINGS!$C$3+$B1038-1</f>
        <v>46351</v>
      </c>
      <c r="D1038" s="40" t="s">
        <v>3692</v>
      </c>
      <c r="E1038" s="34" t="s">
        <v>6135</v>
      </c>
      <c r="F1038" s="34" t="s">
        <v>280</v>
      </c>
      <c r="G1038" s="34" t="s">
        <v>4729</v>
      </c>
      <c r="H1038" s="35" t="s">
        <v>6222</v>
      </c>
      <c r="I1038" s="36" t="s">
        <v>6223</v>
      </c>
      <c r="J1038" s="34" t="s">
        <v>6224</v>
      </c>
      <c r="K1038" s="34" t="s">
        <v>3302</v>
      </c>
      <c r="L1038" s="37"/>
      <c r="M1038" s="37"/>
      <c r="N1038" s="37"/>
      <c r="O1038" s="37"/>
      <c r="P1038" s="37"/>
      <c r="Q1038" s="37"/>
      <c r="R1038" s="31" t="n">
        <f aca="false">COUNT($M1038:$Q1038)</f>
        <v>0</v>
      </c>
      <c r="S1038" s="32" t="str">
        <f aca="false">IF($L1038="","",IF($R1038&gt;=5,"",MAX($L1038:$Q1038)+CHOOSE($R1038+1,SETTINGS!$C$9,SETTINGS!$C$10,SETTINGS!$C$11,SETTINGS!$C$12,SETTINGS!$C$13)))</f>
        <v/>
      </c>
      <c r="T1038" s="34" t="str">
        <f aca="true">IF($H1038="","(chưa có nội dung)",IF($L1038="",IF($C1038&lt;TODAY(),"⚠ TRỄ HỌC",IF($C1038=TODAY(),"★ HỌC HÔM NAY","• Chưa tới")),IF($R1038&gt;=5,"✔ MASTER",IF($S1038&lt;TODAY(),"⚠ TRỄ ÔN",IF($S1038=TODAY(),"◆ ÔN HÔM NAY","✔ Đúng tiến độ")))))</f>
        <v>• Chưa tới</v>
      </c>
      <c r="U1038" s="38" t="n">
        <f aca="false">IF($H1038="","",$R1038/5)</f>
        <v>0</v>
      </c>
    </row>
    <row r="1039" customFormat="false" ht="15" hidden="false" customHeight="false" outlineLevel="0" collapsed="false">
      <c r="A1039" s="31" t="s">
        <v>6225</v>
      </c>
      <c r="B1039" s="31" t="n">
        <v>52</v>
      </c>
      <c r="C1039" s="32" t="n">
        <f aca="false">SETTINGS!$C$3+$B1039-1</f>
        <v>46351</v>
      </c>
      <c r="D1039" s="40" t="s">
        <v>3692</v>
      </c>
      <c r="E1039" s="34" t="s">
        <v>6135</v>
      </c>
      <c r="F1039" s="34" t="s">
        <v>280</v>
      </c>
      <c r="G1039" s="34" t="s">
        <v>6226</v>
      </c>
      <c r="H1039" s="35" t="s">
        <v>6227</v>
      </c>
      <c r="I1039" s="36" t="s">
        <v>6228</v>
      </c>
      <c r="J1039" s="34" t="s">
        <v>6229</v>
      </c>
      <c r="K1039" s="34" t="s">
        <v>6230</v>
      </c>
      <c r="L1039" s="37"/>
      <c r="M1039" s="37"/>
      <c r="N1039" s="37"/>
      <c r="O1039" s="37"/>
      <c r="P1039" s="37"/>
      <c r="Q1039" s="37"/>
      <c r="R1039" s="31" t="n">
        <f aca="false">COUNT($M1039:$Q1039)</f>
        <v>0</v>
      </c>
      <c r="S1039" s="32" t="str">
        <f aca="false">IF($L1039="","",IF($R1039&gt;=5,"",MAX($L1039:$Q1039)+CHOOSE($R1039+1,SETTINGS!$C$9,SETTINGS!$C$10,SETTINGS!$C$11,SETTINGS!$C$12,SETTINGS!$C$13)))</f>
        <v/>
      </c>
      <c r="T1039" s="34" t="str">
        <f aca="true">IF($H1039="","(chưa có nội dung)",IF($L1039="",IF($C1039&lt;TODAY(),"⚠ TRỄ HỌC",IF($C1039=TODAY(),"★ HỌC HÔM NAY","• Chưa tới")),IF($R1039&gt;=5,"✔ MASTER",IF($S1039&lt;TODAY(),"⚠ TRỄ ÔN",IF($S1039=TODAY(),"◆ ÔN HÔM NAY","✔ Đúng tiến độ")))))</f>
        <v>• Chưa tới</v>
      </c>
      <c r="U1039" s="38" t="n">
        <f aca="false">IF($H1039="","",$R1039/5)</f>
        <v>0</v>
      </c>
    </row>
    <row r="1040" customFormat="false" ht="15" hidden="false" customHeight="false" outlineLevel="0" collapsed="false">
      <c r="A1040" s="31" t="s">
        <v>6231</v>
      </c>
      <c r="B1040" s="31" t="n">
        <v>52</v>
      </c>
      <c r="C1040" s="32" t="n">
        <f aca="false">SETTINGS!$C$3+$B1040-1</f>
        <v>46351</v>
      </c>
      <c r="D1040" s="40" t="s">
        <v>3692</v>
      </c>
      <c r="E1040" s="34" t="s">
        <v>6135</v>
      </c>
      <c r="F1040" s="34" t="s">
        <v>280</v>
      </c>
      <c r="G1040" s="34" t="s">
        <v>6232</v>
      </c>
      <c r="H1040" s="35" t="s">
        <v>6233</v>
      </c>
      <c r="I1040" s="36" t="s">
        <v>6234</v>
      </c>
      <c r="J1040" s="34" t="s">
        <v>6235</v>
      </c>
      <c r="K1040" s="34" t="s">
        <v>6236</v>
      </c>
      <c r="L1040" s="37"/>
      <c r="M1040" s="37"/>
      <c r="N1040" s="37"/>
      <c r="O1040" s="37"/>
      <c r="P1040" s="37"/>
      <c r="Q1040" s="37"/>
      <c r="R1040" s="31" t="n">
        <f aca="false">COUNT($M1040:$Q1040)</f>
        <v>0</v>
      </c>
      <c r="S1040" s="32" t="str">
        <f aca="false">IF($L1040="","",IF($R1040&gt;=5,"",MAX($L1040:$Q1040)+CHOOSE($R1040+1,SETTINGS!$C$9,SETTINGS!$C$10,SETTINGS!$C$11,SETTINGS!$C$12,SETTINGS!$C$13)))</f>
        <v/>
      </c>
      <c r="T1040" s="34" t="str">
        <f aca="true">IF($H1040="","(chưa có nội dung)",IF($L1040="",IF($C1040&lt;TODAY(),"⚠ TRỄ HỌC",IF($C1040=TODAY(),"★ HỌC HÔM NAY","• Chưa tới")),IF($R1040&gt;=5,"✔ MASTER",IF($S1040&lt;TODAY(),"⚠ TRỄ ÔN",IF($S1040=TODAY(),"◆ ÔN HÔM NAY","✔ Đúng tiến độ")))))</f>
        <v>• Chưa tới</v>
      </c>
      <c r="U1040" s="38" t="n">
        <f aca="false">IF($H1040="","",$R1040/5)</f>
        <v>0</v>
      </c>
    </row>
    <row r="1041" customFormat="false" ht="15" hidden="false" customHeight="false" outlineLevel="0" collapsed="false">
      <c r="A1041" s="31" t="s">
        <v>6237</v>
      </c>
      <c r="B1041" s="31" t="n">
        <v>52</v>
      </c>
      <c r="C1041" s="32" t="n">
        <f aca="false">SETTINGS!$C$3+$B1041-1</f>
        <v>46351</v>
      </c>
      <c r="D1041" s="40" t="s">
        <v>3692</v>
      </c>
      <c r="E1041" s="34" t="s">
        <v>6135</v>
      </c>
      <c r="F1041" s="34" t="s">
        <v>280</v>
      </c>
      <c r="G1041" s="34" t="s">
        <v>6238</v>
      </c>
      <c r="H1041" s="35" t="s">
        <v>6239</v>
      </c>
      <c r="I1041" s="36" t="s">
        <v>6240</v>
      </c>
      <c r="J1041" s="34" t="s">
        <v>6241</v>
      </c>
      <c r="K1041" s="34" t="s">
        <v>6242</v>
      </c>
      <c r="L1041" s="37"/>
      <c r="M1041" s="37"/>
      <c r="N1041" s="37"/>
      <c r="O1041" s="37"/>
      <c r="P1041" s="37"/>
      <c r="Q1041" s="37"/>
      <c r="R1041" s="31" t="n">
        <f aca="false">COUNT($M1041:$Q1041)</f>
        <v>0</v>
      </c>
      <c r="S1041" s="32" t="str">
        <f aca="false">IF($L1041="","",IF($R1041&gt;=5,"",MAX($L1041:$Q1041)+CHOOSE($R1041+1,SETTINGS!$C$9,SETTINGS!$C$10,SETTINGS!$C$11,SETTINGS!$C$12,SETTINGS!$C$13)))</f>
        <v/>
      </c>
      <c r="T1041" s="34" t="str">
        <f aca="true">IF($H1041="","(chưa có nội dung)",IF($L1041="",IF($C1041&lt;TODAY(),"⚠ TRỄ HỌC",IF($C1041=TODAY(),"★ HỌC HÔM NAY","• Chưa tới")),IF($R1041&gt;=5,"✔ MASTER",IF($S1041&lt;TODAY(),"⚠ TRỄ ÔN",IF($S1041=TODAY(),"◆ ÔN HÔM NAY","✔ Đúng tiến độ")))))</f>
        <v>• Chưa tới</v>
      </c>
      <c r="U1041" s="38" t="n">
        <f aca="false">IF($H1041="","",$R1041/5)</f>
        <v>0</v>
      </c>
    </row>
    <row r="1042" customFormat="false" ht="15" hidden="false" customHeight="false" outlineLevel="0" collapsed="false">
      <c r="A1042" s="31" t="s">
        <v>6243</v>
      </c>
      <c r="B1042" s="31" t="n">
        <v>52</v>
      </c>
      <c r="C1042" s="32" t="n">
        <f aca="false">SETTINGS!$C$3+$B1042-1</f>
        <v>46351</v>
      </c>
      <c r="D1042" s="40" t="s">
        <v>3692</v>
      </c>
      <c r="E1042" s="34" t="s">
        <v>6135</v>
      </c>
      <c r="F1042" s="34" t="s">
        <v>163</v>
      </c>
      <c r="G1042" s="34" t="s">
        <v>6244</v>
      </c>
      <c r="H1042" s="35" t="s">
        <v>6245</v>
      </c>
      <c r="I1042" s="36" t="s">
        <v>6246</v>
      </c>
      <c r="J1042" s="34" t="s">
        <v>6247</v>
      </c>
      <c r="K1042" s="34" t="s">
        <v>6248</v>
      </c>
      <c r="L1042" s="37"/>
      <c r="M1042" s="37"/>
      <c r="N1042" s="37"/>
      <c r="O1042" s="37"/>
      <c r="P1042" s="37"/>
      <c r="Q1042" s="37"/>
      <c r="R1042" s="31" t="n">
        <f aca="false">COUNT($M1042:$Q1042)</f>
        <v>0</v>
      </c>
      <c r="S1042" s="32" t="str">
        <f aca="false">IF($L1042="","",IF($R1042&gt;=5,"",MAX($L1042:$Q1042)+CHOOSE($R1042+1,SETTINGS!$C$9,SETTINGS!$C$10,SETTINGS!$C$11,SETTINGS!$C$12,SETTINGS!$C$13)))</f>
        <v/>
      </c>
      <c r="T1042" s="34" t="str">
        <f aca="true">IF($H1042="","(chưa có nội dung)",IF($L1042="",IF($C1042&lt;TODAY(),"⚠ TRỄ HỌC",IF($C1042=TODAY(),"★ HỌC HÔM NAY","• Chưa tới")),IF($R1042&gt;=5,"✔ MASTER",IF($S1042&lt;TODAY(),"⚠ TRỄ ÔN",IF($S1042=TODAY(),"◆ ÔN HÔM NAY","✔ Đúng tiến độ")))))</f>
        <v>• Chưa tới</v>
      </c>
      <c r="U1042" s="38" t="n">
        <f aca="false">IF($H1042="","",$R1042/5)</f>
        <v>0</v>
      </c>
    </row>
    <row r="1043" customFormat="false" ht="26.85" hidden="false" customHeight="false" outlineLevel="0" collapsed="false">
      <c r="A1043" s="31" t="s">
        <v>6249</v>
      </c>
      <c r="B1043" s="31" t="n">
        <v>53</v>
      </c>
      <c r="C1043" s="32" t="n">
        <f aca="false">SETTINGS!$C$3+$B1043-1</f>
        <v>46352</v>
      </c>
      <c r="D1043" s="40" t="s">
        <v>3692</v>
      </c>
      <c r="E1043" s="34" t="s">
        <v>6250</v>
      </c>
      <c r="F1043" s="34" t="s">
        <v>280</v>
      </c>
      <c r="G1043" s="34" t="s">
        <v>6251</v>
      </c>
      <c r="H1043" s="35" t="s">
        <v>6252</v>
      </c>
      <c r="I1043" s="36" t="s">
        <v>6253</v>
      </c>
      <c r="J1043" s="34" t="s">
        <v>6254</v>
      </c>
      <c r="K1043" s="34" t="s">
        <v>6255</v>
      </c>
      <c r="L1043" s="37"/>
      <c r="M1043" s="37"/>
      <c r="N1043" s="37"/>
      <c r="O1043" s="37"/>
      <c r="P1043" s="37"/>
      <c r="Q1043" s="37"/>
      <c r="R1043" s="31" t="n">
        <f aca="false">COUNT($M1043:$Q1043)</f>
        <v>0</v>
      </c>
      <c r="S1043" s="32" t="str">
        <f aca="false">IF($L1043="","",IF($R1043&gt;=5,"",MAX($L1043:$Q1043)+CHOOSE($R1043+1,SETTINGS!$C$9,SETTINGS!$C$10,SETTINGS!$C$11,SETTINGS!$C$12,SETTINGS!$C$13)))</f>
        <v/>
      </c>
      <c r="T1043" s="34" t="str">
        <f aca="true">IF($H1043="","(chưa có nội dung)",IF($L1043="",IF($C1043&lt;TODAY(),"⚠ TRỄ HỌC",IF($C1043=TODAY(),"★ HỌC HÔM NAY","• Chưa tới")),IF($R1043&gt;=5,"✔ MASTER",IF($S1043&lt;TODAY(),"⚠ TRỄ ÔN",IF($S1043=TODAY(),"◆ ÔN HÔM NAY","✔ Đúng tiến độ")))))</f>
        <v>• Chưa tới</v>
      </c>
      <c r="U1043" s="38" t="n">
        <f aca="false">IF($H1043="","",$R1043/5)</f>
        <v>0</v>
      </c>
    </row>
    <row r="1044" customFormat="false" ht="15" hidden="false" customHeight="false" outlineLevel="0" collapsed="false">
      <c r="A1044" s="31" t="s">
        <v>6256</v>
      </c>
      <c r="B1044" s="31" t="n">
        <v>53</v>
      </c>
      <c r="C1044" s="32" t="n">
        <f aca="false">SETTINGS!$C$3+$B1044-1</f>
        <v>46352</v>
      </c>
      <c r="D1044" s="40" t="s">
        <v>3692</v>
      </c>
      <c r="E1044" s="34" t="s">
        <v>6250</v>
      </c>
      <c r="F1044" s="34" t="s">
        <v>163</v>
      </c>
      <c r="G1044" s="34" t="s">
        <v>6257</v>
      </c>
      <c r="H1044" s="35" t="s">
        <v>6258</v>
      </c>
      <c r="I1044" s="36" t="s">
        <v>6259</v>
      </c>
      <c r="J1044" s="34" t="s">
        <v>6260</v>
      </c>
      <c r="K1044" s="34" t="s">
        <v>6261</v>
      </c>
      <c r="L1044" s="37"/>
      <c r="M1044" s="37"/>
      <c r="N1044" s="37"/>
      <c r="O1044" s="37"/>
      <c r="P1044" s="37"/>
      <c r="Q1044" s="37"/>
      <c r="R1044" s="31" t="n">
        <f aca="false">COUNT($M1044:$Q1044)</f>
        <v>0</v>
      </c>
      <c r="S1044" s="32" t="str">
        <f aca="false">IF($L1044="","",IF($R1044&gt;=5,"",MAX($L1044:$Q1044)+CHOOSE($R1044+1,SETTINGS!$C$9,SETTINGS!$C$10,SETTINGS!$C$11,SETTINGS!$C$12,SETTINGS!$C$13)))</f>
        <v/>
      </c>
      <c r="T1044" s="34" t="str">
        <f aca="true">IF($H1044="","(chưa có nội dung)",IF($L1044="",IF($C1044&lt;TODAY(),"⚠ TRỄ HỌC",IF($C1044=TODAY(),"★ HỌC HÔM NAY","• Chưa tới")),IF($R1044&gt;=5,"✔ MASTER",IF($S1044&lt;TODAY(),"⚠ TRỄ ÔN",IF($S1044=TODAY(),"◆ ÔN HÔM NAY","✔ Đúng tiến độ")))))</f>
        <v>• Chưa tới</v>
      </c>
      <c r="U1044" s="38" t="n">
        <f aca="false">IF($H1044="","",$R1044/5)</f>
        <v>0</v>
      </c>
    </row>
    <row r="1045" customFormat="false" ht="15" hidden="false" customHeight="false" outlineLevel="0" collapsed="false">
      <c r="A1045" s="31" t="s">
        <v>6262</v>
      </c>
      <c r="B1045" s="31" t="n">
        <v>53</v>
      </c>
      <c r="C1045" s="32" t="n">
        <f aca="false">SETTINGS!$C$3+$B1045-1</f>
        <v>46352</v>
      </c>
      <c r="D1045" s="40" t="s">
        <v>3692</v>
      </c>
      <c r="E1045" s="34" t="s">
        <v>6250</v>
      </c>
      <c r="F1045" s="34" t="s">
        <v>280</v>
      </c>
      <c r="G1045" s="34" t="s">
        <v>6263</v>
      </c>
      <c r="H1045" s="35" t="s">
        <v>6264</v>
      </c>
      <c r="I1045" s="36" t="s">
        <v>6265</v>
      </c>
      <c r="J1045" s="34" t="s">
        <v>6266</v>
      </c>
      <c r="K1045" s="34" t="s">
        <v>6263</v>
      </c>
      <c r="L1045" s="37"/>
      <c r="M1045" s="37"/>
      <c r="N1045" s="37"/>
      <c r="O1045" s="37"/>
      <c r="P1045" s="37"/>
      <c r="Q1045" s="37"/>
      <c r="R1045" s="31" t="n">
        <f aca="false">COUNT($M1045:$Q1045)</f>
        <v>0</v>
      </c>
      <c r="S1045" s="32" t="str">
        <f aca="false">IF($L1045="","",IF($R1045&gt;=5,"",MAX($L1045:$Q1045)+CHOOSE($R1045+1,SETTINGS!$C$9,SETTINGS!$C$10,SETTINGS!$C$11,SETTINGS!$C$12,SETTINGS!$C$13)))</f>
        <v/>
      </c>
      <c r="T1045" s="34" t="str">
        <f aca="true">IF($H1045="","(chưa có nội dung)",IF($L1045="",IF($C1045&lt;TODAY(),"⚠ TRỄ HỌC",IF($C1045=TODAY(),"★ HỌC HÔM NAY","• Chưa tới")),IF($R1045&gt;=5,"✔ MASTER",IF($S1045&lt;TODAY(),"⚠ TRỄ ÔN",IF($S1045=TODAY(),"◆ ÔN HÔM NAY","✔ Đúng tiến độ")))))</f>
        <v>• Chưa tới</v>
      </c>
      <c r="U1045" s="38" t="n">
        <f aca="false">IF($H1045="","",$R1045/5)</f>
        <v>0</v>
      </c>
    </row>
    <row r="1046" customFormat="false" ht="26.85" hidden="false" customHeight="false" outlineLevel="0" collapsed="false">
      <c r="A1046" s="31" t="s">
        <v>6267</v>
      </c>
      <c r="B1046" s="31" t="n">
        <v>53</v>
      </c>
      <c r="C1046" s="32" t="n">
        <f aca="false">SETTINGS!$C$3+$B1046-1</f>
        <v>46352</v>
      </c>
      <c r="D1046" s="40" t="s">
        <v>3692</v>
      </c>
      <c r="E1046" s="34" t="s">
        <v>6250</v>
      </c>
      <c r="F1046" s="34" t="s">
        <v>280</v>
      </c>
      <c r="G1046" s="34" t="s">
        <v>6268</v>
      </c>
      <c r="H1046" s="35" t="s">
        <v>6269</v>
      </c>
      <c r="I1046" s="36" t="s">
        <v>6270</v>
      </c>
      <c r="J1046" s="34" t="s">
        <v>6271</v>
      </c>
      <c r="K1046" s="34" t="s">
        <v>6272</v>
      </c>
      <c r="L1046" s="37"/>
      <c r="M1046" s="37"/>
      <c r="N1046" s="37"/>
      <c r="O1046" s="37"/>
      <c r="P1046" s="37"/>
      <c r="Q1046" s="37"/>
      <c r="R1046" s="31" t="n">
        <f aca="false">COUNT($M1046:$Q1046)</f>
        <v>0</v>
      </c>
      <c r="S1046" s="32" t="str">
        <f aca="false">IF($L1046="","",IF($R1046&gt;=5,"",MAX($L1046:$Q1046)+CHOOSE($R1046+1,SETTINGS!$C$9,SETTINGS!$C$10,SETTINGS!$C$11,SETTINGS!$C$12,SETTINGS!$C$13)))</f>
        <v/>
      </c>
      <c r="T1046" s="34" t="str">
        <f aca="true">IF($H1046="","(chưa có nội dung)",IF($L1046="",IF($C1046&lt;TODAY(),"⚠ TRỄ HỌC",IF($C1046=TODAY(),"★ HỌC HÔM NAY","• Chưa tới")),IF($R1046&gt;=5,"✔ MASTER",IF($S1046&lt;TODAY(),"⚠ TRỄ ÔN",IF($S1046=TODAY(),"◆ ÔN HÔM NAY","✔ Đúng tiến độ")))))</f>
        <v>• Chưa tới</v>
      </c>
      <c r="U1046" s="38" t="n">
        <f aca="false">IF($H1046="","",$R1046/5)</f>
        <v>0</v>
      </c>
    </row>
    <row r="1047" customFormat="false" ht="15" hidden="false" customHeight="false" outlineLevel="0" collapsed="false">
      <c r="A1047" s="31" t="s">
        <v>6273</v>
      </c>
      <c r="B1047" s="31" t="n">
        <v>53</v>
      </c>
      <c r="C1047" s="32" t="n">
        <f aca="false">SETTINGS!$C$3+$B1047-1</f>
        <v>46352</v>
      </c>
      <c r="D1047" s="40" t="s">
        <v>3692</v>
      </c>
      <c r="E1047" s="34" t="s">
        <v>6250</v>
      </c>
      <c r="F1047" s="34" t="s">
        <v>163</v>
      </c>
      <c r="G1047" s="34" t="s">
        <v>6274</v>
      </c>
      <c r="H1047" s="35" t="s">
        <v>6275</v>
      </c>
      <c r="I1047" s="36" t="s">
        <v>6276</v>
      </c>
      <c r="J1047" s="34" t="s">
        <v>6277</v>
      </c>
      <c r="K1047" s="34" t="s">
        <v>5090</v>
      </c>
      <c r="L1047" s="37"/>
      <c r="M1047" s="37"/>
      <c r="N1047" s="37"/>
      <c r="O1047" s="37"/>
      <c r="P1047" s="37"/>
      <c r="Q1047" s="37"/>
      <c r="R1047" s="31" t="n">
        <f aca="false">COUNT($M1047:$Q1047)</f>
        <v>0</v>
      </c>
      <c r="S1047" s="32" t="str">
        <f aca="false">IF($L1047="","",IF($R1047&gt;=5,"",MAX($L1047:$Q1047)+CHOOSE($R1047+1,SETTINGS!$C$9,SETTINGS!$C$10,SETTINGS!$C$11,SETTINGS!$C$12,SETTINGS!$C$13)))</f>
        <v/>
      </c>
      <c r="T1047" s="34" t="str">
        <f aca="true">IF($H1047="","(chưa có nội dung)",IF($L1047="",IF($C1047&lt;TODAY(),"⚠ TRỄ HỌC",IF($C1047=TODAY(),"★ HỌC HÔM NAY","• Chưa tới")),IF($R1047&gt;=5,"✔ MASTER",IF($S1047&lt;TODAY(),"⚠ TRỄ ÔN",IF($S1047=TODAY(),"◆ ÔN HÔM NAY","✔ Đúng tiến độ")))))</f>
        <v>• Chưa tới</v>
      </c>
      <c r="U1047" s="38" t="n">
        <f aca="false">IF($H1047="","",$R1047/5)</f>
        <v>0</v>
      </c>
    </row>
    <row r="1048" customFormat="false" ht="15" hidden="false" customHeight="false" outlineLevel="0" collapsed="false">
      <c r="A1048" s="31" t="s">
        <v>6278</v>
      </c>
      <c r="B1048" s="31" t="n">
        <v>53</v>
      </c>
      <c r="C1048" s="32" t="n">
        <f aca="false">SETTINGS!$C$3+$B1048-1</f>
        <v>46352</v>
      </c>
      <c r="D1048" s="40" t="s">
        <v>3692</v>
      </c>
      <c r="E1048" s="34" t="s">
        <v>6250</v>
      </c>
      <c r="F1048" s="34" t="s">
        <v>202</v>
      </c>
      <c r="G1048" s="34" t="s">
        <v>6279</v>
      </c>
      <c r="H1048" s="35" t="s">
        <v>6280</v>
      </c>
      <c r="I1048" s="36" t="s">
        <v>6281</v>
      </c>
      <c r="J1048" s="34" t="s">
        <v>6282</v>
      </c>
      <c r="K1048" s="34" t="s">
        <v>6283</v>
      </c>
      <c r="L1048" s="37"/>
      <c r="M1048" s="37"/>
      <c r="N1048" s="37"/>
      <c r="O1048" s="37"/>
      <c r="P1048" s="37"/>
      <c r="Q1048" s="37"/>
      <c r="R1048" s="31" t="n">
        <f aca="false">COUNT($M1048:$Q1048)</f>
        <v>0</v>
      </c>
      <c r="S1048" s="32" t="str">
        <f aca="false">IF($L1048="","",IF($R1048&gt;=5,"",MAX($L1048:$Q1048)+CHOOSE($R1048+1,SETTINGS!$C$9,SETTINGS!$C$10,SETTINGS!$C$11,SETTINGS!$C$12,SETTINGS!$C$13)))</f>
        <v/>
      </c>
      <c r="T1048" s="34" t="str">
        <f aca="true">IF($H1048="","(chưa có nội dung)",IF($L1048="",IF($C1048&lt;TODAY(),"⚠ TRỄ HỌC",IF($C1048=TODAY(),"★ HỌC HÔM NAY","• Chưa tới")),IF($R1048&gt;=5,"✔ MASTER",IF($S1048&lt;TODAY(),"⚠ TRỄ ÔN",IF($S1048=TODAY(),"◆ ÔN HÔM NAY","✔ Đúng tiến độ")))))</f>
        <v>• Chưa tới</v>
      </c>
      <c r="U1048" s="38" t="n">
        <f aca="false">IF($H1048="","",$R1048/5)</f>
        <v>0</v>
      </c>
    </row>
    <row r="1049" customFormat="false" ht="15" hidden="false" customHeight="false" outlineLevel="0" collapsed="false">
      <c r="A1049" s="31" t="s">
        <v>6284</v>
      </c>
      <c r="B1049" s="31" t="n">
        <v>53</v>
      </c>
      <c r="C1049" s="32" t="n">
        <f aca="false">SETTINGS!$C$3+$B1049-1</f>
        <v>46352</v>
      </c>
      <c r="D1049" s="40" t="s">
        <v>3692</v>
      </c>
      <c r="E1049" s="34" t="s">
        <v>6250</v>
      </c>
      <c r="F1049" s="34" t="s">
        <v>3656</v>
      </c>
      <c r="G1049" s="34" t="s">
        <v>6285</v>
      </c>
      <c r="H1049" s="35" t="s">
        <v>6286</v>
      </c>
      <c r="I1049" s="36" t="s">
        <v>6287</v>
      </c>
      <c r="J1049" s="34" t="s">
        <v>6288</v>
      </c>
      <c r="K1049" s="34" t="s">
        <v>6289</v>
      </c>
      <c r="L1049" s="37"/>
      <c r="M1049" s="37"/>
      <c r="N1049" s="37"/>
      <c r="O1049" s="37"/>
      <c r="P1049" s="37"/>
      <c r="Q1049" s="37"/>
      <c r="R1049" s="31" t="n">
        <f aca="false">COUNT($M1049:$Q1049)</f>
        <v>0</v>
      </c>
      <c r="S1049" s="32" t="str">
        <f aca="false">IF($L1049="","",IF($R1049&gt;=5,"",MAX($L1049:$Q1049)+CHOOSE($R1049+1,SETTINGS!$C$9,SETTINGS!$C$10,SETTINGS!$C$11,SETTINGS!$C$12,SETTINGS!$C$13)))</f>
        <v/>
      </c>
      <c r="T1049" s="34" t="str">
        <f aca="true">IF($H1049="","(chưa có nội dung)",IF($L1049="",IF($C1049&lt;TODAY(),"⚠ TRỄ HỌC",IF($C1049=TODAY(),"★ HỌC HÔM NAY","• Chưa tới")),IF($R1049&gt;=5,"✔ MASTER",IF($S1049&lt;TODAY(),"⚠ TRỄ ÔN",IF($S1049=TODAY(),"◆ ÔN HÔM NAY","✔ Đúng tiến độ")))))</f>
        <v>• Chưa tới</v>
      </c>
      <c r="U1049" s="38" t="n">
        <f aca="false">IF($H1049="","",$R1049/5)</f>
        <v>0</v>
      </c>
    </row>
    <row r="1050" customFormat="false" ht="15" hidden="false" customHeight="false" outlineLevel="0" collapsed="false">
      <c r="A1050" s="31" t="s">
        <v>6290</v>
      </c>
      <c r="B1050" s="31" t="n">
        <v>53</v>
      </c>
      <c r="C1050" s="32" t="n">
        <f aca="false">SETTINGS!$C$3+$B1050-1</f>
        <v>46352</v>
      </c>
      <c r="D1050" s="40" t="s">
        <v>3692</v>
      </c>
      <c r="E1050" s="34" t="s">
        <v>6250</v>
      </c>
      <c r="F1050" s="34" t="s">
        <v>280</v>
      </c>
      <c r="G1050" s="34" t="s">
        <v>388</v>
      </c>
      <c r="H1050" s="35" t="s">
        <v>6291</v>
      </c>
      <c r="I1050" s="36" t="s">
        <v>6292</v>
      </c>
      <c r="J1050" s="34" t="s">
        <v>6293</v>
      </c>
      <c r="K1050" s="34" t="s">
        <v>6294</v>
      </c>
      <c r="L1050" s="37"/>
      <c r="M1050" s="37"/>
      <c r="N1050" s="37"/>
      <c r="O1050" s="37"/>
      <c r="P1050" s="37"/>
      <c r="Q1050" s="37"/>
      <c r="R1050" s="31" t="n">
        <f aca="false">COUNT($M1050:$Q1050)</f>
        <v>0</v>
      </c>
      <c r="S1050" s="32" t="str">
        <f aca="false">IF($L1050="","",IF($R1050&gt;=5,"",MAX($L1050:$Q1050)+CHOOSE($R1050+1,SETTINGS!$C$9,SETTINGS!$C$10,SETTINGS!$C$11,SETTINGS!$C$12,SETTINGS!$C$13)))</f>
        <v/>
      </c>
      <c r="T1050" s="34" t="str">
        <f aca="true">IF($H1050="","(chưa có nội dung)",IF($L1050="",IF($C1050&lt;TODAY(),"⚠ TRỄ HỌC",IF($C1050=TODAY(),"★ HỌC HÔM NAY","• Chưa tới")),IF($R1050&gt;=5,"✔ MASTER",IF($S1050&lt;TODAY(),"⚠ TRỄ ÔN",IF($S1050=TODAY(),"◆ ÔN HÔM NAY","✔ Đúng tiến độ")))))</f>
        <v>• Chưa tới</v>
      </c>
      <c r="U1050" s="38" t="n">
        <f aca="false">IF($H1050="","",$R1050/5)</f>
        <v>0</v>
      </c>
    </row>
    <row r="1051" customFormat="false" ht="15" hidden="false" customHeight="false" outlineLevel="0" collapsed="false">
      <c r="A1051" s="31" t="s">
        <v>6295</v>
      </c>
      <c r="B1051" s="31" t="n">
        <v>53</v>
      </c>
      <c r="C1051" s="32" t="n">
        <f aca="false">SETTINGS!$C$3+$B1051-1</f>
        <v>46352</v>
      </c>
      <c r="D1051" s="40" t="s">
        <v>3692</v>
      </c>
      <c r="E1051" s="34" t="s">
        <v>6250</v>
      </c>
      <c r="F1051" s="34" t="s">
        <v>280</v>
      </c>
      <c r="G1051" s="34" t="s">
        <v>6296</v>
      </c>
      <c r="H1051" s="35" t="s">
        <v>6297</v>
      </c>
      <c r="I1051" s="36" t="s">
        <v>6298</v>
      </c>
      <c r="J1051" s="34" t="s">
        <v>6299</v>
      </c>
      <c r="K1051" s="34" t="s">
        <v>6300</v>
      </c>
      <c r="L1051" s="37"/>
      <c r="M1051" s="37"/>
      <c r="N1051" s="37"/>
      <c r="O1051" s="37"/>
      <c r="P1051" s="37"/>
      <c r="Q1051" s="37"/>
      <c r="R1051" s="31" t="n">
        <f aca="false">COUNT($M1051:$Q1051)</f>
        <v>0</v>
      </c>
      <c r="S1051" s="32" t="str">
        <f aca="false">IF($L1051="","",IF($R1051&gt;=5,"",MAX($L1051:$Q1051)+CHOOSE($R1051+1,SETTINGS!$C$9,SETTINGS!$C$10,SETTINGS!$C$11,SETTINGS!$C$12,SETTINGS!$C$13)))</f>
        <v/>
      </c>
      <c r="T1051" s="34" t="str">
        <f aca="true">IF($H1051="","(chưa có nội dung)",IF($L1051="",IF($C1051&lt;TODAY(),"⚠ TRỄ HỌC",IF($C1051=TODAY(),"★ HỌC HÔM NAY","• Chưa tới")),IF($R1051&gt;=5,"✔ MASTER",IF($S1051&lt;TODAY(),"⚠ TRỄ ÔN",IF($S1051=TODAY(),"◆ ÔN HÔM NAY","✔ Đúng tiến độ")))))</f>
        <v>• Chưa tới</v>
      </c>
      <c r="U1051" s="38" t="n">
        <f aca="false">IF($H1051="","",$R1051/5)</f>
        <v>0</v>
      </c>
    </row>
    <row r="1052" customFormat="false" ht="15" hidden="false" customHeight="false" outlineLevel="0" collapsed="false">
      <c r="A1052" s="31" t="s">
        <v>6301</v>
      </c>
      <c r="B1052" s="31" t="n">
        <v>53</v>
      </c>
      <c r="C1052" s="32" t="n">
        <f aca="false">SETTINGS!$C$3+$B1052-1</f>
        <v>46352</v>
      </c>
      <c r="D1052" s="40" t="s">
        <v>3692</v>
      </c>
      <c r="E1052" s="34" t="s">
        <v>6250</v>
      </c>
      <c r="F1052" s="34" t="s">
        <v>163</v>
      </c>
      <c r="G1052" s="34" t="s">
        <v>1676</v>
      </c>
      <c r="H1052" s="35" t="s">
        <v>6302</v>
      </c>
      <c r="I1052" s="36" t="s">
        <v>6303</v>
      </c>
      <c r="J1052" s="34" t="s">
        <v>6304</v>
      </c>
      <c r="K1052" s="34" t="s">
        <v>6305</v>
      </c>
      <c r="L1052" s="37"/>
      <c r="M1052" s="37"/>
      <c r="N1052" s="37"/>
      <c r="O1052" s="37"/>
      <c r="P1052" s="37"/>
      <c r="Q1052" s="37"/>
      <c r="R1052" s="31" t="n">
        <f aca="false">COUNT($M1052:$Q1052)</f>
        <v>0</v>
      </c>
      <c r="S1052" s="32" t="str">
        <f aca="false">IF($L1052="","",IF($R1052&gt;=5,"",MAX($L1052:$Q1052)+CHOOSE($R1052+1,SETTINGS!$C$9,SETTINGS!$C$10,SETTINGS!$C$11,SETTINGS!$C$12,SETTINGS!$C$13)))</f>
        <v/>
      </c>
      <c r="T1052" s="34" t="str">
        <f aca="true">IF($H1052="","(chưa có nội dung)",IF($L1052="",IF($C1052&lt;TODAY(),"⚠ TRỄ HỌC",IF($C1052=TODAY(),"★ HỌC HÔM NAY","• Chưa tới")),IF($R1052&gt;=5,"✔ MASTER",IF($S1052&lt;TODAY(),"⚠ TRỄ ÔN",IF($S1052=TODAY(),"◆ ÔN HÔM NAY","✔ Đúng tiến độ")))))</f>
        <v>• Chưa tới</v>
      </c>
      <c r="U1052" s="38" t="n">
        <f aca="false">IF($H1052="","",$R1052/5)</f>
        <v>0</v>
      </c>
    </row>
    <row r="1053" customFormat="false" ht="15" hidden="false" customHeight="false" outlineLevel="0" collapsed="false">
      <c r="A1053" s="31" t="s">
        <v>6306</v>
      </c>
      <c r="B1053" s="31" t="n">
        <v>53</v>
      </c>
      <c r="C1053" s="32" t="n">
        <f aca="false">SETTINGS!$C$3+$B1053-1</f>
        <v>46352</v>
      </c>
      <c r="D1053" s="40" t="s">
        <v>3692</v>
      </c>
      <c r="E1053" s="34" t="s">
        <v>6250</v>
      </c>
      <c r="F1053" s="34" t="s">
        <v>280</v>
      </c>
      <c r="G1053" s="34" t="s">
        <v>6307</v>
      </c>
      <c r="H1053" s="35" t="s">
        <v>6308</v>
      </c>
      <c r="I1053" s="36" t="s">
        <v>6309</v>
      </c>
      <c r="J1053" s="34" t="s">
        <v>6310</v>
      </c>
      <c r="K1053" s="34" t="s">
        <v>6311</v>
      </c>
      <c r="L1053" s="37"/>
      <c r="M1053" s="37"/>
      <c r="N1053" s="37"/>
      <c r="O1053" s="37"/>
      <c r="P1053" s="37"/>
      <c r="Q1053" s="37"/>
      <c r="R1053" s="31" t="n">
        <f aca="false">COUNT($M1053:$Q1053)</f>
        <v>0</v>
      </c>
      <c r="S1053" s="32" t="str">
        <f aca="false">IF($L1053="","",IF($R1053&gt;=5,"",MAX($L1053:$Q1053)+CHOOSE($R1053+1,SETTINGS!$C$9,SETTINGS!$C$10,SETTINGS!$C$11,SETTINGS!$C$12,SETTINGS!$C$13)))</f>
        <v/>
      </c>
      <c r="T1053" s="34" t="str">
        <f aca="true">IF($H1053="","(chưa có nội dung)",IF($L1053="",IF($C1053&lt;TODAY(),"⚠ TRỄ HỌC",IF($C1053=TODAY(),"★ HỌC HÔM NAY","• Chưa tới")),IF($R1053&gt;=5,"✔ MASTER",IF($S1053&lt;TODAY(),"⚠ TRỄ ÔN",IF($S1053=TODAY(),"◆ ÔN HÔM NAY","✔ Đúng tiến độ")))))</f>
        <v>• Chưa tới</v>
      </c>
      <c r="U1053" s="38" t="n">
        <f aca="false">IF($H1053="","",$R1053/5)</f>
        <v>0</v>
      </c>
    </row>
    <row r="1054" customFormat="false" ht="15" hidden="false" customHeight="false" outlineLevel="0" collapsed="false">
      <c r="A1054" s="31" t="s">
        <v>6312</v>
      </c>
      <c r="B1054" s="31" t="n">
        <v>53</v>
      </c>
      <c r="C1054" s="32" t="n">
        <f aca="false">SETTINGS!$C$3+$B1054-1</f>
        <v>46352</v>
      </c>
      <c r="D1054" s="40" t="s">
        <v>3692</v>
      </c>
      <c r="E1054" s="34" t="s">
        <v>6250</v>
      </c>
      <c r="F1054" s="34" t="s">
        <v>280</v>
      </c>
      <c r="G1054" s="34" t="s">
        <v>6313</v>
      </c>
      <c r="H1054" s="35" t="s">
        <v>6314</v>
      </c>
      <c r="I1054" s="36" t="s">
        <v>6315</v>
      </c>
      <c r="J1054" s="34" t="s">
        <v>6316</v>
      </c>
      <c r="K1054" s="34" t="s">
        <v>6317</v>
      </c>
      <c r="L1054" s="37"/>
      <c r="M1054" s="37"/>
      <c r="N1054" s="37"/>
      <c r="O1054" s="37"/>
      <c r="P1054" s="37"/>
      <c r="Q1054" s="37"/>
      <c r="R1054" s="31" t="n">
        <f aca="false">COUNT($M1054:$Q1054)</f>
        <v>0</v>
      </c>
      <c r="S1054" s="32" t="str">
        <f aca="false">IF($L1054="","",IF($R1054&gt;=5,"",MAX($L1054:$Q1054)+CHOOSE($R1054+1,SETTINGS!$C$9,SETTINGS!$C$10,SETTINGS!$C$11,SETTINGS!$C$12,SETTINGS!$C$13)))</f>
        <v/>
      </c>
      <c r="T1054" s="34" t="str">
        <f aca="true">IF($H1054="","(chưa có nội dung)",IF($L1054="",IF($C1054&lt;TODAY(),"⚠ TRỄ HỌC",IF($C1054=TODAY(),"★ HỌC HÔM NAY","• Chưa tới")),IF($R1054&gt;=5,"✔ MASTER",IF($S1054&lt;TODAY(),"⚠ TRỄ ÔN",IF($S1054=TODAY(),"◆ ÔN HÔM NAY","✔ Đúng tiến độ")))))</f>
        <v>• Chưa tới</v>
      </c>
      <c r="U1054" s="38" t="n">
        <f aca="false">IF($H1054="","",$R1054/5)</f>
        <v>0</v>
      </c>
    </row>
    <row r="1055" customFormat="false" ht="15" hidden="false" customHeight="false" outlineLevel="0" collapsed="false">
      <c r="A1055" s="31" t="s">
        <v>6318</v>
      </c>
      <c r="B1055" s="31" t="n">
        <v>53</v>
      </c>
      <c r="C1055" s="32" t="n">
        <f aca="false">SETTINGS!$C$3+$B1055-1</f>
        <v>46352</v>
      </c>
      <c r="D1055" s="40" t="s">
        <v>3692</v>
      </c>
      <c r="E1055" s="34" t="s">
        <v>6250</v>
      </c>
      <c r="F1055" s="34" t="s">
        <v>183</v>
      </c>
      <c r="G1055" s="34" t="s">
        <v>5970</v>
      </c>
      <c r="H1055" s="35" t="s">
        <v>6319</v>
      </c>
      <c r="I1055" s="36" t="s">
        <v>6320</v>
      </c>
      <c r="J1055" s="34" t="s">
        <v>6321</v>
      </c>
      <c r="K1055" s="34" t="s">
        <v>6322</v>
      </c>
      <c r="L1055" s="37"/>
      <c r="M1055" s="37"/>
      <c r="N1055" s="37"/>
      <c r="O1055" s="37"/>
      <c r="P1055" s="37"/>
      <c r="Q1055" s="37"/>
      <c r="R1055" s="31" t="n">
        <f aca="false">COUNT($M1055:$Q1055)</f>
        <v>0</v>
      </c>
      <c r="S1055" s="32" t="str">
        <f aca="false">IF($L1055="","",IF($R1055&gt;=5,"",MAX($L1055:$Q1055)+CHOOSE($R1055+1,SETTINGS!$C$9,SETTINGS!$C$10,SETTINGS!$C$11,SETTINGS!$C$12,SETTINGS!$C$13)))</f>
        <v/>
      </c>
      <c r="T1055" s="34" t="str">
        <f aca="true">IF($H1055="","(chưa có nội dung)",IF($L1055="",IF($C1055&lt;TODAY(),"⚠ TRỄ HỌC",IF($C1055=TODAY(),"★ HỌC HÔM NAY","• Chưa tới")),IF($R1055&gt;=5,"✔ MASTER",IF($S1055&lt;TODAY(),"⚠ TRỄ ÔN",IF($S1055=TODAY(),"◆ ÔN HÔM NAY","✔ Đúng tiến độ")))))</f>
        <v>• Chưa tới</v>
      </c>
      <c r="U1055" s="38" t="n">
        <f aca="false">IF($H1055="","",$R1055/5)</f>
        <v>0</v>
      </c>
    </row>
    <row r="1056" customFormat="false" ht="26.85" hidden="false" customHeight="false" outlineLevel="0" collapsed="false">
      <c r="A1056" s="31" t="s">
        <v>6323</v>
      </c>
      <c r="B1056" s="31" t="n">
        <v>53</v>
      </c>
      <c r="C1056" s="32" t="n">
        <f aca="false">SETTINGS!$C$3+$B1056-1</f>
        <v>46352</v>
      </c>
      <c r="D1056" s="40" t="s">
        <v>3692</v>
      </c>
      <c r="E1056" s="34" t="s">
        <v>6250</v>
      </c>
      <c r="F1056" s="34" t="s">
        <v>3694</v>
      </c>
      <c r="G1056" s="34" t="s">
        <v>6324</v>
      </c>
      <c r="H1056" s="35" t="s">
        <v>6325</v>
      </c>
      <c r="I1056" s="36" t="s">
        <v>6326</v>
      </c>
      <c r="J1056" s="34" t="s">
        <v>6327</v>
      </c>
      <c r="K1056" s="34" t="s">
        <v>6328</v>
      </c>
      <c r="L1056" s="37"/>
      <c r="M1056" s="37"/>
      <c r="N1056" s="37"/>
      <c r="O1056" s="37"/>
      <c r="P1056" s="37"/>
      <c r="Q1056" s="37"/>
      <c r="R1056" s="31" t="n">
        <f aca="false">COUNT($M1056:$Q1056)</f>
        <v>0</v>
      </c>
      <c r="S1056" s="32" t="str">
        <f aca="false">IF($L1056="","",IF($R1056&gt;=5,"",MAX($L1056:$Q1056)+CHOOSE($R1056+1,SETTINGS!$C$9,SETTINGS!$C$10,SETTINGS!$C$11,SETTINGS!$C$12,SETTINGS!$C$13)))</f>
        <v/>
      </c>
      <c r="T1056" s="34" t="str">
        <f aca="true">IF($H1056="","(chưa có nội dung)",IF($L1056="",IF($C1056&lt;TODAY(),"⚠ TRỄ HỌC",IF($C1056=TODAY(),"★ HỌC HÔM NAY","• Chưa tới")),IF($R1056&gt;=5,"✔ MASTER",IF($S1056&lt;TODAY(),"⚠ TRỄ ÔN",IF($S1056=TODAY(),"◆ ÔN HÔM NAY","✔ Đúng tiến độ")))))</f>
        <v>• Chưa tới</v>
      </c>
      <c r="U1056" s="38" t="n">
        <f aca="false">IF($H1056="","",$R1056/5)</f>
        <v>0</v>
      </c>
    </row>
    <row r="1057" customFormat="false" ht="15" hidden="false" customHeight="false" outlineLevel="0" collapsed="false">
      <c r="A1057" s="31" t="s">
        <v>6329</v>
      </c>
      <c r="B1057" s="31" t="n">
        <v>53</v>
      </c>
      <c r="C1057" s="32" t="n">
        <f aca="false">SETTINGS!$C$3+$B1057-1</f>
        <v>46352</v>
      </c>
      <c r="D1057" s="40" t="s">
        <v>3692</v>
      </c>
      <c r="E1057" s="34" t="s">
        <v>6250</v>
      </c>
      <c r="F1057" s="34" t="s">
        <v>280</v>
      </c>
      <c r="G1057" s="34" t="s">
        <v>6330</v>
      </c>
      <c r="H1057" s="35" t="s">
        <v>6331</v>
      </c>
      <c r="I1057" s="36" t="s">
        <v>6332</v>
      </c>
      <c r="J1057" s="34" t="s">
        <v>6333</v>
      </c>
      <c r="K1057" s="34" t="s">
        <v>6334</v>
      </c>
      <c r="L1057" s="37"/>
      <c r="M1057" s="37"/>
      <c r="N1057" s="37"/>
      <c r="O1057" s="37"/>
      <c r="P1057" s="37"/>
      <c r="Q1057" s="37"/>
      <c r="R1057" s="31" t="n">
        <f aca="false">COUNT($M1057:$Q1057)</f>
        <v>0</v>
      </c>
      <c r="S1057" s="32" t="str">
        <f aca="false">IF($L1057="","",IF($R1057&gt;=5,"",MAX($L1057:$Q1057)+CHOOSE($R1057+1,SETTINGS!$C$9,SETTINGS!$C$10,SETTINGS!$C$11,SETTINGS!$C$12,SETTINGS!$C$13)))</f>
        <v/>
      </c>
      <c r="T1057" s="34" t="str">
        <f aca="true">IF($H1057="","(chưa có nội dung)",IF($L1057="",IF($C1057&lt;TODAY(),"⚠ TRỄ HỌC",IF($C1057=TODAY(),"★ HỌC HÔM NAY","• Chưa tới")),IF($R1057&gt;=5,"✔ MASTER",IF($S1057&lt;TODAY(),"⚠ TRỄ ÔN",IF($S1057=TODAY(),"◆ ÔN HÔM NAY","✔ Đúng tiến độ")))))</f>
        <v>• Chưa tới</v>
      </c>
      <c r="U1057" s="38" t="n">
        <f aca="false">IF($H1057="","",$R1057/5)</f>
        <v>0</v>
      </c>
    </row>
    <row r="1058" customFormat="false" ht="15" hidden="false" customHeight="false" outlineLevel="0" collapsed="false">
      <c r="A1058" s="31" t="s">
        <v>6335</v>
      </c>
      <c r="B1058" s="31" t="n">
        <v>53</v>
      </c>
      <c r="C1058" s="32" t="n">
        <f aca="false">SETTINGS!$C$3+$B1058-1</f>
        <v>46352</v>
      </c>
      <c r="D1058" s="40" t="s">
        <v>3692</v>
      </c>
      <c r="E1058" s="34" t="s">
        <v>6250</v>
      </c>
      <c r="F1058" s="34" t="s">
        <v>280</v>
      </c>
      <c r="G1058" s="34" t="s">
        <v>6336</v>
      </c>
      <c r="H1058" s="35" t="s">
        <v>6337</v>
      </c>
      <c r="I1058" s="36" t="s">
        <v>6338</v>
      </c>
      <c r="J1058" s="34" t="s">
        <v>6339</v>
      </c>
      <c r="K1058" s="34" t="s">
        <v>6340</v>
      </c>
      <c r="L1058" s="37"/>
      <c r="M1058" s="37"/>
      <c r="N1058" s="37"/>
      <c r="O1058" s="37"/>
      <c r="P1058" s="37"/>
      <c r="Q1058" s="37"/>
      <c r="R1058" s="31" t="n">
        <f aca="false">COUNT($M1058:$Q1058)</f>
        <v>0</v>
      </c>
      <c r="S1058" s="32" t="str">
        <f aca="false">IF($L1058="","",IF($R1058&gt;=5,"",MAX($L1058:$Q1058)+CHOOSE($R1058+1,SETTINGS!$C$9,SETTINGS!$C$10,SETTINGS!$C$11,SETTINGS!$C$12,SETTINGS!$C$13)))</f>
        <v/>
      </c>
      <c r="T1058" s="34" t="str">
        <f aca="true">IF($H1058="","(chưa có nội dung)",IF($L1058="",IF($C1058&lt;TODAY(),"⚠ TRỄ HỌC",IF($C1058=TODAY(),"★ HỌC HÔM NAY","• Chưa tới")),IF($R1058&gt;=5,"✔ MASTER",IF($S1058&lt;TODAY(),"⚠ TRỄ ÔN",IF($S1058=TODAY(),"◆ ÔN HÔM NAY","✔ Đúng tiến độ")))))</f>
        <v>• Chưa tới</v>
      </c>
      <c r="U1058" s="38" t="n">
        <f aca="false">IF($H1058="","",$R1058/5)</f>
        <v>0</v>
      </c>
    </row>
    <row r="1059" customFormat="false" ht="15" hidden="false" customHeight="false" outlineLevel="0" collapsed="false">
      <c r="A1059" s="31" t="s">
        <v>6341</v>
      </c>
      <c r="B1059" s="31" t="n">
        <v>53</v>
      </c>
      <c r="C1059" s="32" t="n">
        <f aca="false">SETTINGS!$C$3+$B1059-1</f>
        <v>46352</v>
      </c>
      <c r="D1059" s="40" t="s">
        <v>3692</v>
      </c>
      <c r="E1059" s="34" t="s">
        <v>6250</v>
      </c>
      <c r="F1059" s="34" t="s">
        <v>280</v>
      </c>
      <c r="G1059" s="34" t="s">
        <v>6342</v>
      </c>
      <c r="H1059" s="35" t="s">
        <v>6343</v>
      </c>
      <c r="I1059" s="36" t="s">
        <v>6344</v>
      </c>
      <c r="J1059" s="34" t="s">
        <v>6345</v>
      </c>
      <c r="K1059" s="34" t="s">
        <v>6346</v>
      </c>
      <c r="L1059" s="37"/>
      <c r="M1059" s="37"/>
      <c r="N1059" s="37"/>
      <c r="O1059" s="37"/>
      <c r="P1059" s="37"/>
      <c r="Q1059" s="37"/>
      <c r="R1059" s="31" t="n">
        <f aca="false">COUNT($M1059:$Q1059)</f>
        <v>0</v>
      </c>
      <c r="S1059" s="32" t="str">
        <f aca="false">IF($L1059="","",IF($R1059&gt;=5,"",MAX($L1059:$Q1059)+CHOOSE($R1059+1,SETTINGS!$C$9,SETTINGS!$C$10,SETTINGS!$C$11,SETTINGS!$C$12,SETTINGS!$C$13)))</f>
        <v/>
      </c>
      <c r="T1059" s="34" t="str">
        <f aca="true">IF($H1059="","(chưa có nội dung)",IF($L1059="",IF($C1059&lt;TODAY(),"⚠ TRỄ HỌC",IF($C1059=TODAY(),"★ HỌC HÔM NAY","• Chưa tới")),IF($R1059&gt;=5,"✔ MASTER",IF($S1059&lt;TODAY(),"⚠ TRỄ ÔN",IF($S1059=TODAY(),"◆ ÔN HÔM NAY","✔ Đúng tiến độ")))))</f>
        <v>• Chưa tới</v>
      </c>
      <c r="U1059" s="38" t="n">
        <f aca="false">IF($H1059="","",$R1059/5)</f>
        <v>0</v>
      </c>
    </row>
    <row r="1060" customFormat="false" ht="26.85" hidden="false" customHeight="false" outlineLevel="0" collapsed="false">
      <c r="A1060" s="31" t="s">
        <v>6347</v>
      </c>
      <c r="B1060" s="31" t="n">
        <v>53</v>
      </c>
      <c r="C1060" s="32" t="n">
        <f aca="false">SETTINGS!$C$3+$B1060-1</f>
        <v>46352</v>
      </c>
      <c r="D1060" s="40" t="s">
        <v>3692</v>
      </c>
      <c r="E1060" s="34" t="s">
        <v>6250</v>
      </c>
      <c r="F1060" s="34" t="s">
        <v>280</v>
      </c>
      <c r="G1060" s="34" t="s">
        <v>6348</v>
      </c>
      <c r="H1060" s="35" t="s">
        <v>6349</v>
      </c>
      <c r="I1060" s="36" t="s">
        <v>6350</v>
      </c>
      <c r="J1060" s="34" t="s">
        <v>6351</v>
      </c>
      <c r="K1060" s="34" t="s">
        <v>6352</v>
      </c>
      <c r="L1060" s="37"/>
      <c r="M1060" s="37"/>
      <c r="N1060" s="37"/>
      <c r="O1060" s="37"/>
      <c r="P1060" s="37"/>
      <c r="Q1060" s="37"/>
      <c r="R1060" s="31" t="n">
        <f aca="false">COUNT($M1060:$Q1060)</f>
        <v>0</v>
      </c>
      <c r="S1060" s="32" t="str">
        <f aca="false">IF($L1060="","",IF($R1060&gt;=5,"",MAX($L1060:$Q1060)+CHOOSE($R1060+1,SETTINGS!$C$9,SETTINGS!$C$10,SETTINGS!$C$11,SETTINGS!$C$12,SETTINGS!$C$13)))</f>
        <v/>
      </c>
      <c r="T1060" s="34" t="str">
        <f aca="true">IF($H1060="","(chưa có nội dung)",IF($L1060="",IF($C1060&lt;TODAY(),"⚠ TRỄ HỌC",IF($C1060=TODAY(),"★ HỌC HÔM NAY","• Chưa tới")),IF($R1060&gt;=5,"✔ MASTER",IF($S1060&lt;TODAY(),"⚠ TRỄ ÔN",IF($S1060=TODAY(),"◆ ÔN HÔM NAY","✔ Đúng tiến độ")))))</f>
        <v>• Chưa tới</v>
      </c>
      <c r="U1060" s="38" t="n">
        <f aca="false">IF($H1060="","",$R1060/5)</f>
        <v>0</v>
      </c>
    </row>
    <row r="1061" customFormat="false" ht="15" hidden="false" customHeight="false" outlineLevel="0" collapsed="false">
      <c r="A1061" s="31" t="s">
        <v>6353</v>
      </c>
      <c r="B1061" s="31" t="n">
        <v>53</v>
      </c>
      <c r="C1061" s="32" t="n">
        <f aca="false">SETTINGS!$C$3+$B1061-1</f>
        <v>46352</v>
      </c>
      <c r="D1061" s="40" t="s">
        <v>3692</v>
      </c>
      <c r="E1061" s="34" t="s">
        <v>6250</v>
      </c>
      <c r="F1061" s="34" t="s">
        <v>280</v>
      </c>
      <c r="G1061" s="34" t="s">
        <v>6354</v>
      </c>
      <c r="H1061" s="35" t="s">
        <v>6355</v>
      </c>
      <c r="I1061" s="36" t="s">
        <v>6356</v>
      </c>
      <c r="J1061" s="34" t="s">
        <v>6357</v>
      </c>
      <c r="K1061" s="34" t="s">
        <v>6358</v>
      </c>
      <c r="L1061" s="37"/>
      <c r="M1061" s="37"/>
      <c r="N1061" s="37"/>
      <c r="O1061" s="37"/>
      <c r="P1061" s="37"/>
      <c r="Q1061" s="37"/>
      <c r="R1061" s="31" t="n">
        <f aca="false">COUNT($M1061:$Q1061)</f>
        <v>0</v>
      </c>
      <c r="S1061" s="32" t="str">
        <f aca="false">IF($L1061="","",IF($R1061&gt;=5,"",MAX($L1061:$Q1061)+CHOOSE($R1061+1,SETTINGS!$C$9,SETTINGS!$C$10,SETTINGS!$C$11,SETTINGS!$C$12,SETTINGS!$C$13)))</f>
        <v/>
      </c>
      <c r="T1061" s="34" t="str">
        <f aca="true">IF($H1061="","(chưa có nội dung)",IF($L1061="",IF($C1061&lt;TODAY(),"⚠ TRỄ HỌC",IF($C1061=TODAY(),"★ HỌC HÔM NAY","• Chưa tới")),IF($R1061&gt;=5,"✔ MASTER",IF($S1061&lt;TODAY(),"⚠ TRỄ ÔN",IF($S1061=TODAY(),"◆ ÔN HÔM NAY","✔ Đúng tiến độ")))))</f>
        <v>• Chưa tới</v>
      </c>
      <c r="U1061" s="38" t="n">
        <f aca="false">IF($H1061="","",$R1061/5)</f>
        <v>0</v>
      </c>
    </row>
    <row r="1062" customFormat="false" ht="26.85" hidden="false" customHeight="false" outlineLevel="0" collapsed="false">
      <c r="A1062" s="31" t="s">
        <v>6359</v>
      </c>
      <c r="B1062" s="31" t="n">
        <v>53</v>
      </c>
      <c r="C1062" s="32" t="n">
        <f aca="false">SETTINGS!$C$3+$B1062-1</f>
        <v>46352</v>
      </c>
      <c r="D1062" s="40" t="s">
        <v>3692</v>
      </c>
      <c r="E1062" s="34" t="s">
        <v>6250</v>
      </c>
      <c r="F1062" s="34" t="s">
        <v>202</v>
      </c>
      <c r="G1062" s="34" t="s">
        <v>2262</v>
      </c>
      <c r="H1062" s="35" t="s">
        <v>6360</v>
      </c>
      <c r="I1062" s="36" t="s">
        <v>6361</v>
      </c>
      <c r="J1062" s="34" t="s">
        <v>6362</v>
      </c>
      <c r="K1062" s="34" t="s">
        <v>6363</v>
      </c>
      <c r="L1062" s="37"/>
      <c r="M1062" s="37"/>
      <c r="N1062" s="37"/>
      <c r="O1062" s="37"/>
      <c r="P1062" s="37"/>
      <c r="Q1062" s="37"/>
      <c r="R1062" s="31" t="n">
        <f aca="false">COUNT($M1062:$Q1062)</f>
        <v>0</v>
      </c>
      <c r="S1062" s="32" t="str">
        <f aca="false">IF($L1062="","",IF($R1062&gt;=5,"",MAX($L1062:$Q1062)+CHOOSE($R1062+1,SETTINGS!$C$9,SETTINGS!$C$10,SETTINGS!$C$11,SETTINGS!$C$12,SETTINGS!$C$13)))</f>
        <v/>
      </c>
      <c r="T1062" s="34" t="str">
        <f aca="true">IF($H1062="","(chưa có nội dung)",IF($L1062="",IF($C1062&lt;TODAY(),"⚠ TRỄ HỌC",IF($C1062=TODAY(),"★ HỌC HÔM NAY","• Chưa tới")),IF($R1062&gt;=5,"✔ MASTER",IF($S1062&lt;TODAY(),"⚠ TRỄ ÔN",IF($S1062=TODAY(),"◆ ÔN HÔM NAY","✔ Đúng tiến độ")))))</f>
        <v>• Chưa tới</v>
      </c>
      <c r="U1062" s="38" t="n">
        <f aca="false">IF($H1062="","",$R1062/5)</f>
        <v>0</v>
      </c>
    </row>
    <row r="1063" customFormat="false" ht="15" hidden="false" customHeight="false" outlineLevel="0" collapsed="false">
      <c r="A1063" s="31" t="s">
        <v>6364</v>
      </c>
      <c r="B1063" s="31" t="n">
        <v>54</v>
      </c>
      <c r="C1063" s="32" t="n">
        <f aca="false">SETTINGS!$C$3+$B1063-1</f>
        <v>46353</v>
      </c>
      <c r="D1063" s="40" t="s">
        <v>3692</v>
      </c>
      <c r="E1063" s="34" t="s">
        <v>6365</v>
      </c>
      <c r="F1063" s="34" t="s">
        <v>280</v>
      </c>
      <c r="G1063" s="34" t="s">
        <v>6366</v>
      </c>
      <c r="H1063" s="35" t="s">
        <v>6367</v>
      </c>
      <c r="I1063" s="36" t="s">
        <v>6368</v>
      </c>
      <c r="J1063" s="34" t="s">
        <v>6369</v>
      </c>
      <c r="K1063" s="34" t="s">
        <v>4642</v>
      </c>
      <c r="L1063" s="37"/>
      <c r="M1063" s="37"/>
      <c r="N1063" s="37"/>
      <c r="O1063" s="37"/>
      <c r="P1063" s="37"/>
      <c r="Q1063" s="37"/>
      <c r="R1063" s="31" t="n">
        <f aca="false">COUNT($M1063:$Q1063)</f>
        <v>0</v>
      </c>
      <c r="S1063" s="32" t="str">
        <f aca="false">IF($L1063="","",IF($R1063&gt;=5,"",MAX($L1063:$Q1063)+CHOOSE($R1063+1,SETTINGS!$C$9,SETTINGS!$C$10,SETTINGS!$C$11,SETTINGS!$C$12,SETTINGS!$C$13)))</f>
        <v/>
      </c>
      <c r="T1063" s="34" t="str">
        <f aca="true">IF($H1063="","(chưa có nội dung)",IF($L1063="",IF($C1063&lt;TODAY(),"⚠ TRỄ HỌC",IF($C1063=TODAY(),"★ HỌC HÔM NAY","• Chưa tới")),IF($R1063&gt;=5,"✔ MASTER",IF($S1063&lt;TODAY(),"⚠ TRỄ ÔN",IF($S1063=TODAY(),"◆ ÔN HÔM NAY","✔ Đúng tiến độ")))))</f>
        <v>• Chưa tới</v>
      </c>
      <c r="U1063" s="38" t="n">
        <f aca="false">IF($H1063="","",$R1063/5)</f>
        <v>0</v>
      </c>
    </row>
    <row r="1064" customFormat="false" ht="15" hidden="false" customHeight="false" outlineLevel="0" collapsed="false">
      <c r="A1064" s="31" t="s">
        <v>6370</v>
      </c>
      <c r="B1064" s="31" t="n">
        <v>54</v>
      </c>
      <c r="C1064" s="32" t="n">
        <f aca="false">SETTINGS!$C$3+$B1064-1</f>
        <v>46353</v>
      </c>
      <c r="D1064" s="40" t="s">
        <v>3692</v>
      </c>
      <c r="E1064" s="34" t="s">
        <v>6365</v>
      </c>
      <c r="F1064" s="34" t="s">
        <v>163</v>
      </c>
      <c r="G1064" s="34" t="s">
        <v>6371</v>
      </c>
      <c r="H1064" s="35" t="s">
        <v>6372</v>
      </c>
      <c r="I1064" s="36" t="s">
        <v>6373</v>
      </c>
      <c r="J1064" s="34" t="s">
        <v>6374</v>
      </c>
      <c r="K1064" s="34" t="s">
        <v>6375</v>
      </c>
      <c r="L1064" s="37"/>
      <c r="M1064" s="37"/>
      <c r="N1064" s="37"/>
      <c r="O1064" s="37"/>
      <c r="P1064" s="37"/>
      <c r="Q1064" s="37"/>
      <c r="R1064" s="31" t="n">
        <f aca="false">COUNT($M1064:$Q1064)</f>
        <v>0</v>
      </c>
      <c r="S1064" s="32" t="str">
        <f aca="false">IF($L1064="","",IF($R1064&gt;=5,"",MAX($L1064:$Q1064)+CHOOSE($R1064+1,SETTINGS!$C$9,SETTINGS!$C$10,SETTINGS!$C$11,SETTINGS!$C$12,SETTINGS!$C$13)))</f>
        <v/>
      </c>
      <c r="T1064" s="34" t="str">
        <f aca="true">IF($H1064="","(chưa có nội dung)",IF($L1064="",IF($C1064&lt;TODAY(),"⚠ TRỄ HỌC",IF($C1064=TODAY(),"★ HỌC HÔM NAY","• Chưa tới")),IF($R1064&gt;=5,"✔ MASTER",IF($S1064&lt;TODAY(),"⚠ TRỄ ÔN",IF($S1064=TODAY(),"◆ ÔN HÔM NAY","✔ Đúng tiến độ")))))</f>
        <v>• Chưa tới</v>
      </c>
      <c r="U1064" s="38" t="n">
        <f aca="false">IF($H1064="","",$R1064/5)</f>
        <v>0</v>
      </c>
    </row>
    <row r="1065" customFormat="false" ht="15" hidden="false" customHeight="false" outlineLevel="0" collapsed="false">
      <c r="A1065" s="31" t="s">
        <v>6376</v>
      </c>
      <c r="B1065" s="31" t="n">
        <v>54</v>
      </c>
      <c r="C1065" s="32" t="n">
        <f aca="false">SETTINGS!$C$3+$B1065-1</f>
        <v>46353</v>
      </c>
      <c r="D1065" s="40" t="s">
        <v>3692</v>
      </c>
      <c r="E1065" s="34" t="s">
        <v>6365</v>
      </c>
      <c r="F1065" s="34" t="s">
        <v>280</v>
      </c>
      <c r="G1065" s="34" t="s">
        <v>6377</v>
      </c>
      <c r="H1065" s="35" t="s">
        <v>6378</v>
      </c>
      <c r="I1065" s="36" t="s">
        <v>6379</v>
      </c>
      <c r="J1065" s="34" t="s">
        <v>6380</v>
      </c>
      <c r="K1065" s="34" t="s">
        <v>6377</v>
      </c>
      <c r="L1065" s="37"/>
      <c r="M1065" s="37"/>
      <c r="N1065" s="37"/>
      <c r="O1065" s="37"/>
      <c r="P1065" s="37"/>
      <c r="Q1065" s="37"/>
      <c r="R1065" s="31" t="n">
        <f aca="false">COUNT($M1065:$Q1065)</f>
        <v>0</v>
      </c>
      <c r="S1065" s="32" t="str">
        <f aca="false">IF($L1065="","",IF($R1065&gt;=5,"",MAX($L1065:$Q1065)+CHOOSE($R1065+1,SETTINGS!$C$9,SETTINGS!$C$10,SETTINGS!$C$11,SETTINGS!$C$12,SETTINGS!$C$13)))</f>
        <v/>
      </c>
      <c r="T1065" s="34" t="str">
        <f aca="true">IF($H1065="","(chưa có nội dung)",IF($L1065="",IF($C1065&lt;TODAY(),"⚠ TRỄ HỌC",IF($C1065=TODAY(),"★ HỌC HÔM NAY","• Chưa tới")),IF($R1065&gt;=5,"✔ MASTER",IF($S1065&lt;TODAY(),"⚠ TRỄ ÔN",IF($S1065=TODAY(),"◆ ÔN HÔM NAY","✔ Đúng tiến độ")))))</f>
        <v>• Chưa tới</v>
      </c>
      <c r="U1065" s="38" t="n">
        <f aca="false">IF($H1065="","",$R1065/5)</f>
        <v>0</v>
      </c>
    </row>
    <row r="1066" customFormat="false" ht="15" hidden="false" customHeight="false" outlineLevel="0" collapsed="false">
      <c r="A1066" s="31" t="s">
        <v>6381</v>
      </c>
      <c r="B1066" s="31" t="n">
        <v>54</v>
      </c>
      <c r="C1066" s="32" t="n">
        <f aca="false">SETTINGS!$C$3+$B1066-1</f>
        <v>46353</v>
      </c>
      <c r="D1066" s="40" t="s">
        <v>3692</v>
      </c>
      <c r="E1066" s="34" t="s">
        <v>6365</v>
      </c>
      <c r="F1066" s="34" t="s">
        <v>183</v>
      </c>
      <c r="G1066" s="34" t="s">
        <v>6382</v>
      </c>
      <c r="H1066" s="35" t="s">
        <v>6383</v>
      </c>
      <c r="I1066" s="36" t="s">
        <v>6384</v>
      </c>
      <c r="J1066" s="34" t="s">
        <v>6385</v>
      </c>
      <c r="K1066" s="34" t="s">
        <v>6386</v>
      </c>
      <c r="L1066" s="37"/>
      <c r="M1066" s="37"/>
      <c r="N1066" s="37"/>
      <c r="O1066" s="37"/>
      <c r="P1066" s="37"/>
      <c r="Q1066" s="37"/>
      <c r="R1066" s="31" t="n">
        <f aca="false">COUNT($M1066:$Q1066)</f>
        <v>0</v>
      </c>
      <c r="S1066" s="32" t="str">
        <f aca="false">IF($L1066="","",IF($R1066&gt;=5,"",MAX($L1066:$Q1066)+CHOOSE($R1066+1,SETTINGS!$C$9,SETTINGS!$C$10,SETTINGS!$C$11,SETTINGS!$C$12,SETTINGS!$C$13)))</f>
        <v/>
      </c>
      <c r="T1066" s="34" t="str">
        <f aca="true">IF($H1066="","(chưa có nội dung)",IF($L1066="",IF($C1066&lt;TODAY(),"⚠ TRỄ HỌC",IF($C1066=TODAY(),"★ HỌC HÔM NAY","• Chưa tới")),IF($R1066&gt;=5,"✔ MASTER",IF($S1066&lt;TODAY(),"⚠ TRỄ ÔN",IF($S1066=TODAY(),"◆ ÔN HÔM NAY","✔ Đúng tiến độ")))))</f>
        <v>• Chưa tới</v>
      </c>
      <c r="U1066" s="38" t="n">
        <f aca="false">IF($H1066="","",$R1066/5)</f>
        <v>0</v>
      </c>
    </row>
    <row r="1067" customFormat="false" ht="15" hidden="false" customHeight="false" outlineLevel="0" collapsed="false">
      <c r="A1067" s="31" t="s">
        <v>6387</v>
      </c>
      <c r="B1067" s="31" t="n">
        <v>54</v>
      </c>
      <c r="C1067" s="32" t="n">
        <f aca="false">SETTINGS!$C$3+$B1067-1</f>
        <v>46353</v>
      </c>
      <c r="D1067" s="40" t="s">
        <v>3692</v>
      </c>
      <c r="E1067" s="34" t="s">
        <v>6365</v>
      </c>
      <c r="F1067" s="34" t="s">
        <v>163</v>
      </c>
      <c r="G1067" s="34" t="s">
        <v>6388</v>
      </c>
      <c r="H1067" s="35" t="s">
        <v>6389</v>
      </c>
      <c r="I1067" s="36" t="s">
        <v>6390</v>
      </c>
      <c r="J1067" s="34" t="s">
        <v>6391</v>
      </c>
      <c r="K1067" s="34" t="s">
        <v>6392</v>
      </c>
      <c r="L1067" s="37"/>
      <c r="M1067" s="37"/>
      <c r="N1067" s="37"/>
      <c r="O1067" s="37"/>
      <c r="P1067" s="37"/>
      <c r="Q1067" s="37"/>
      <c r="R1067" s="31" t="n">
        <f aca="false">COUNT($M1067:$Q1067)</f>
        <v>0</v>
      </c>
      <c r="S1067" s="32" t="str">
        <f aca="false">IF($L1067="","",IF($R1067&gt;=5,"",MAX($L1067:$Q1067)+CHOOSE($R1067+1,SETTINGS!$C$9,SETTINGS!$C$10,SETTINGS!$C$11,SETTINGS!$C$12,SETTINGS!$C$13)))</f>
        <v/>
      </c>
      <c r="T1067" s="34" t="str">
        <f aca="true">IF($H1067="","(chưa có nội dung)",IF($L1067="",IF($C1067&lt;TODAY(),"⚠ TRỄ HỌC",IF($C1067=TODAY(),"★ HỌC HÔM NAY","• Chưa tới")),IF($R1067&gt;=5,"✔ MASTER",IF($S1067&lt;TODAY(),"⚠ TRỄ ÔN",IF($S1067=TODAY(),"◆ ÔN HÔM NAY","✔ Đúng tiến độ")))))</f>
        <v>• Chưa tới</v>
      </c>
      <c r="U1067" s="38" t="n">
        <f aca="false">IF($H1067="","",$R1067/5)</f>
        <v>0</v>
      </c>
    </row>
    <row r="1068" customFormat="false" ht="15" hidden="false" customHeight="false" outlineLevel="0" collapsed="false">
      <c r="A1068" s="31" t="s">
        <v>6393</v>
      </c>
      <c r="B1068" s="31" t="n">
        <v>54</v>
      </c>
      <c r="C1068" s="32" t="n">
        <f aca="false">SETTINGS!$C$3+$B1068-1</f>
        <v>46353</v>
      </c>
      <c r="D1068" s="40" t="s">
        <v>3692</v>
      </c>
      <c r="E1068" s="34" t="s">
        <v>6365</v>
      </c>
      <c r="F1068" s="34" t="s">
        <v>280</v>
      </c>
      <c r="G1068" s="34" t="s">
        <v>2197</v>
      </c>
      <c r="H1068" s="35" t="s">
        <v>6394</v>
      </c>
      <c r="I1068" s="36" t="s">
        <v>6395</v>
      </c>
      <c r="J1068" s="34" t="s">
        <v>6396</v>
      </c>
      <c r="K1068" s="34" t="s">
        <v>600</v>
      </c>
      <c r="L1068" s="37"/>
      <c r="M1068" s="37"/>
      <c r="N1068" s="37"/>
      <c r="O1068" s="37"/>
      <c r="P1068" s="37"/>
      <c r="Q1068" s="37"/>
      <c r="R1068" s="31" t="n">
        <f aca="false">COUNT($M1068:$Q1068)</f>
        <v>0</v>
      </c>
      <c r="S1068" s="32" t="str">
        <f aca="false">IF($L1068="","",IF($R1068&gt;=5,"",MAX($L1068:$Q1068)+CHOOSE($R1068+1,SETTINGS!$C$9,SETTINGS!$C$10,SETTINGS!$C$11,SETTINGS!$C$12,SETTINGS!$C$13)))</f>
        <v/>
      </c>
      <c r="T1068" s="34" t="str">
        <f aca="true">IF($H1068="","(chưa có nội dung)",IF($L1068="",IF($C1068&lt;TODAY(),"⚠ TRỄ HỌC",IF($C1068=TODAY(),"★ HỌC HÔM NAY","• Chưa tới")),IF($R1068&gt;=5,"✔ MASTER",IF($S1068&lt;TODAY(),"⚠ TRỄ ÔN",IF($S1068=TODAY(),"◆ ÔN HÔM NAY","✔ Đúng tiến độ")))))</f>
        <v>• Chưa tới</v>
      </c>
      <c r="U1068" s="38" t="n">
        <f aca="false">IF($H1068="","",$R1068/5)</f>
        <v>0</v>
      </c>
    </row>
    <row r="1069" customFormat="false" ht="15" hidden="false" customHeight="false" outlineLevel="0" collapsed="false">
      <c r="A1069" s="31" t="s">
        <v>6397</v>
      </c>
      <c r="B1069" s="31" t="n">
        <v>54</v>
      </c>
      <c r="C1069" s="32" t="n">
        <f aca="false">SETTINGS!$C$3+$B1069-1</f>
        <v>46353</v>
      </c>
      <c r="D1069" s="40" t="s">
        <v>3692</v>
      </c>
      <c r="E1069" s="34" t="s">
        <v>6365</v>
      </c>
      <c r="F1069" s="34" t="s">
        <v>156</v>
      </c>
      <c r="G1069" s="34" t="s">
        <v>6398</v>
      </c>
      <c r="H1069" s="35" t="s">
        <v>6399</v>
      </c>
      <c r="I1069" s="36" t="s">
        <v>6400</v>
      </c>
      <c r="J1069" s="34" t="s">
        <v>6401</v>
      </c>
      <c r="K1069" s="34" t="s">
        <v>6402</v>
      </c>
      <c r="L1069" s="37"/>
      <c r="M1069" s="37"/>
      <c r="N1069" s="37"/>
      <c r="O1069" s="37"/>
      <c r="P1069" s="37"/>
      <c r="Q1069" s="37"/>
      <c r="R1069" s="31" t="n">
        <f aca="false">COUNT($M1069:$Q1069)</f>
        <v>0</v>
      </c>
      <c r="S1069" s="32" t="str">
        <f aca="false">IF($L1069="","",IF($R1069&gt;=5,"",MAX($L1069:$Q1069)+CHOOSE($R1069+1,SETTINGS!$C$9,SETTINGS!$C$10,SETTINGS!$C$11,SETTINGS!$C$12,SETTINGS!$C$13)))</f>
        <v/>
      </c>
      <c r="T1069" s="34" t="str">
        <f aca="true">IF($H1069="","(chưa có nội dung)",IF($L1069="",IF($C1069&lt;TODAY(),"⚠ TRỄ HỌC",IF($C1069=TODAY(),"★ HỌC HÔM NAY","• Chưa tới")),IF($R1069&gt;=5,"✔ MASTER",IF($S1069&lt;TODAY(),"⚠ TRỄ ÔN",IF($S1069=TODAY(),"◆ ÔN HÔM NAY","✔ Đúng tiến độ")))))</f>
        <v>• Chưa tới</v>
      </c>
      <c r="U1069" s="38" t="n">
        <f aca="false">IF($H1069="","",$R1069/5)</f>
        <v>0</v>
      </c>
    </row>
    <row r="1070" customFormat="false" ht="15" hidden="false" customHeight="false" outlineLevel="0" collapsed="false">
      <c r="A1070" s="31" t="s">
        <v>6403</v>
      </c>
      <c r="B1070" s="31" t="n">
        <v>54</v>
      </c>
      <c r="C1070" s="32" t="n">
        <f aca="false">SETTINGS!$C$3+$B1070-1</f>
        <v>46353</v>
      </c>
      <c r="D1070" s="40" t="s">
        <v>3692</v>
      </c>
      <c r="E1070" s="34" t="s">
        <v>6365</v>
      </c>
      <c r="F1070" s="34" t="s">
        <v>280</v>
      </c>
      <c r="G1070" s="34" t="s">
        <v>6404</v>
      </c>
      <c r="H1070" s="35" t="s">
        <v>6405</v>
      </c>
      <c r="I1070" s="36" t="s">
        <v>6406</v>
      </c>
      <c r="J1070" s="34" t="s">
        <v>6407</v>
      </c>
      <c r="K1070" s="34" t="s">
        <v>6408</v>
      </c>
      <c r="L1070" s="37"/>
      <c r="M1070" s="37"/>
      <c r="N1070" s="37"/>
      <c r="O1070" s="37"/>
      <c r="P1070" s="37"/>
      <c r="Q1070" s="37"/>
      <c r="R1070" s="31" t="n">
        <f aca="false">COUNT($M1070:$Q1070)</f>
        <v>0</v>
      </c>
      <c r="S1070" s="32" t="str">
        <f aca="false">IF($L1070="","",IF($R1070&gt;=5,"",MAX($L1070:$Q1070)+CHOOSE($R1070+1,SETTINGS!$C$9,SETTINGS!$C$10,SETTINGS!$C$11,SETTINGS!$C$12,SETTINGS!$C$13)))</f>
        <v/>
      </c>
      <c r="T1070" s="34" t="str">
        <f aca="true">IF($H1070="","(chưa có nội dung)",IF($L1070="",IF($C1070&lt;TODAY(),"⚠ TRỄ HỌC",IF($C1070=TODAY(),"★ HỌC HÔM NAY","• Chưa tới")),IF($R1070&gt;=5,"✔ MASTER",IF($S1070&lt;TODAY(),"⚠ TRỄ ÔN",IF($S1070=TODAY(),"◆ ÔN HÔM NAY","✔ Đúng tiến độ")))))</f>
        <v>• Chưa tới</v>
      </c>
      <c r="U1070" s="38" t="n">
        <f aca="false">IF($H1070="","",$R1070/5)</f>
        <v>0</v>
      </c>
    </row>
    <row r="1071" customFormat="false" ht="15" hidden="false" customHeight="false" outlineLevel="0" collapsed="false">
      <c r="A1071" s="31" t="s">
        <v>6409</v>
      </c>
      <c r="B1071" s="31" t="n">
        <v>54</v>
      </c>
      <c r="C1071" s="32" t="n">
        <f aca="false">SETTINGS!$C$3+$B1071-1</f>
        <v>46353</v>
      </c>
      <c r="D1071" s="40" t="s">
        <v>3692</v>
      </c>
      <c r="E1071" s="34" t="s">
        <v>6365</v>
      </c>
      <c r="F1071" s="34" t="s">
        <v>280</v>
      </c>
      <c r="G1071" s="34" t="s">
        <v>6410</v>
      </c>
      <c r="H1071" s="35" t="s">
        <v>6411</v>
      </c>
      <c r="I1071" s="36" t="s">
        <v>6412</v>
      </c>
      <c r="J1071" s="34" t="s">
        <v>6413</v>
      </c>
      <c r="K1071" s="34" t="s">
        <v>6414</v>
      </c>
      <c r="L1071" s="37"/>
      <c r="M1071" s="37"/>
      <c r="N1071" s="37"/>
      <c r="O1071" s="37"/>
      <c r="P1071" s="37"/>
      <c r="Q1071" s="37"/>
      <c r="R1071" s="31" t="n">
        <f aca="false">COUNT($M1071:$Q1071)</f>
        <v>0</v>
      </c>
      <c r="S1071" s="32" t="str">
        <f aca="false">IF($L1071="","",IF($R1071&gt;=5,"",MAX($L1071:$Q1071)+CHOOSE($R1071+1,SETTINGS!$C$9,SETTINGS!$C$10,SETTINGS!$C$11,SETTINGS!$C$12,SETTINGS!$C$13)))</f>
        <v/>
      </c>
      <c r="T1071" s="34" t="str">
        <f aca="true">IF($H1071="","(chưa có nội dung)",IF($L1071="",IF($C1071&lt;TODAY(),"⚠ TRỄ HỌC",IF($C1071=TODAY(),"★ HỌC HÔM NAY","• Chưa tới")),IF($R1071&gt;=5,"✔ MASTER",IF($S1071&lt;TODAY(),"⚠ TRỄ ÔN",IF($S1071=TODAY(),"◆ ÔN HÔM NAY","✔ Đúng tiến độ")))))</f>
        <v>• Chưa tới</v>
      </c>
      <c r="U1071" s="38" t="n">
        <f aca="false">IF($H1071="","",$R1071/5)</f>
        <v>0</v>
      </c>
    </row>
    <row r="1072" customFormat="false" ht="26.85" hidden="false" customHeight="false" outlineLevel="0" collapsed="false">
      <c r="A1072" s="31" t="s">
        <v>6415</v>
      </c>
      <c r="B1072" s="31" t="n">
        <v>54</v>
      </c>
      <c r="C1072" s="32" t="n">
        <f aca="false">SETTINGS!$C$3+$B1072-1</f>
        <v>46353</v>
      </c>
      <c r="D1072" s="40" t="s">
        <v>3692</v>
      </c>
      <c r="E1072" s="34" t="s">
        <v>6365</v>
      </c>
      <c r="F1072" s="34" t="s">
        <v>280</v>
      </c>
      <c r="G1072" s="34" t="s">
        <v>6416</v>
      </c>
      <c r="H1072" s="35" t="s">
        <v>6417</v>
      </c>
      <c r="I1072" s="36" t="s">
        <v>6418</v>
      </c>
      <c r="J1072" s="34" t="s">
        <v>6419</v>
      </c>
      <c r="K1072" s="34" t="s">
        <v>5060</v>
      </c>
      <c r="L1072" s="37"/>
      <c r="M1072" s="37"/>
      <c r="N1072" s="37"/>
      <c r="O1072" s="37"/>
      <c r="P1072" s="37"/>
      <c r="Q1072" s="37"/>
      <c r="R1072" s="31" t="n">
        <f aca="false">COUNT($M1072:$Q1072)</f>
        <v>0</v>
      </c>
      <c r="S1072" s="32" t="str">
        <f aca="false">IF($L1072="","",IF($R1072&gt;=5,"",MAX($L1072:$Q1072)+CHOOSE($R1072+1,SETTINGS!$C$9,SETTINGS!$C$10,SETTINGS!$C$11,SETTINGS!$C$12,SETTINGS!$C$13)))</f>
        <v/>
      </c>
      <c r="T1072" s="34" t="str">
        <f aca="true">IF($H1072="","(chưa có nội dung)",IF($L1072="",IF($C1072&lt;TODAY(),"⚠ TRỄ HỌC",IF($C1072=TODAY(),"★ HỌC HÔM NAY","• Chưa tới")),IF($R1072&gt;=5,"✔ MASTER",IF($S1072&lt;TODAY(),"⚠ TRỄ ÔN",IF($S1072=TODAY(),"◆ ÔN HÔM NAY","✔ Đúng tiến độ")))))</f>
        <v>• Chưa tới</v>
      </c>
      <c r="U1072" s="38" t="n">
        <f aca="false">IF($H1072="","",$R1072/5)</f>
        <v>0</v>
      </c>
    </row>
    <row r="1073" customFormat="false" ht="15" hidden="false" customHeight="false" outlineLevel="0" collapsed="false">
      <c r="A1073" s="31" t="s">
        <v>6420</v>
      </c>
      <c r="B1073" s="31" t="n">
        <v>54</v>
      </c>
      <c r="C1073" s="32" t="n">
        <f aca="false">SETTINGS!$C$3+$B1073-1</f>
        <v>46353</v>
      </c>
      <c r="D1073" s="40" t="s">
        <v>3692</v>
      </c>
      <c r="E1073" s="34" t="s">
        <v>6365</v>
      </c>
      <c r="F1073" s="34" t="s">
        <v>280</v>
      </c>
      <c r="G1073" s="34" t="s">
        <v>6421</v>
      </c>
      <c r="H1073" s="35" t="s">
        <v>6422</v>
      </c>
      <c r="I1073" s="36" t="s">
        <v>6423</v>
      </c>
      <c r="J1073" s="34" t="s">
        <v>6424</v>
      </c>
      <c r="K1073" s="34" t="s">
        <v>6425</v>
      </c>
      <c r="L1073" s="37"/>
      <c r="M1073" s="37"/>
      <c r="N1073" s="37"/>
      <c r="O1073" s="37"/>
      <c r="P1073" s="37"/>
      <c r="Q1073" s="37"/>
      <c r="R1073" s="31" t="n">
        <f aca="false">COUNT($M1073:$Q1073)</f>
        <v>0</v>
      </c>
      <c r="S1073" s="32" t="str">
        <f aca="false">IF($L1073="","",IF($R1073&gt;=5,"",MAX($L1073:$Q1073)+CHOOSE($R1073+1,SETTINGS!$C$9,SETTINGS!$C$10,SETTINGS!$C$11,SETTINGS!$C$12,SETTINGS!$C$13)))</f>
        <v/>
      </c>
      <c r="T1073" s="34" t="str">
        <f aca="true">IF($H1073="","(chưa có nội dung)",IF($L1073="",IF($C1073&lt;TODAY(),"⚠ TRỄ HỌC",IF($C1073=TODAY(),"★ HỌC HÔM NAY","• Chưa tới")),IF($R1073&gt;=5,"✔ MASTER",IF($S1073&lt;TODAY(),"⚠ TRỄ ÔN",IF($S1073=TODAY(),"◆ ÔN HÔM NAY","✔ Đúng tiến độ")))))</f>
        <v>• Chưa tới</v>
      </c>
      <c r="U1073" s="38" t="n">
        <f aca="false">IF($H1073="","",$R1073/5)</f>
        <v>0</v>
      </c>
    </row>
    <row r="1074" customFormat="false" ht="15" hidden="false" customHeight="false" outlineLevel="0" collapsed="false">
      <c r="A1074" s="31" t="s">
        <v>6426</v>
      </c>
      <c r="B1074" s="31" t="n">
        <v>54</v>
      </c>
      <c r="C1074" s="32" t="n">
        <f aca="false">SETTINGS!$C$3+$B1074-1</f>
        <v>46353</v>
      </c>
      <c r="D1074" s="40" t="s">
        <v>3692</v>
      </c>
      <c r="E1074" s="34" t="s">
        <v>6365</v>
      </c>
      <c r="F1074" s="34" t="s">
        <v>156</v>
      </c>
      <c r="G1074" s="34" t="s">
        <v>6427</v>
      </c>
      <c r="H1074" s="35" t="s">
        <v>6428</v>
      </c>
      <c r="I1074" s="36" t="s">
        <v>6429</v>
      </c>
      <c r="J1074" s="34" t="s">
        <v>6430</v>
      </c>
      <c r="K1074" s="34" t="s">
        <v>5137</v>
      </c>
      <c r="L1074" s="37"/>
      <c r="M1074" s="37"/>
      <c r="N1074" s="37"/>
      <c r="O1074" s="37"/>
      <c r="P1074" s="37"/>
      <c r="Q1074" s="37"/>
      <c r="R1074" s="31" t="n">
        <f aca="false">COUNT($M1074:$Q1074)</f>
        <v>0</v>
      </c>
      <c r="S1074" s="32" t="str">
        <f aca="false">IF($L1074="","",IF($R1074&gt;=5,"",MAX($L1074:$Q1074)+CHOOSE($R1074+1,SETTINGS!$C$9,SETTINGS!$C$10,SETTINGS!$C$11,SETTINGS!$C$12,SETTINGS!$C$13)))</f>
        <v/>
      </c>
      <c r="T1074" s="34" t="str">
        <f aca="true">IF($H1074="","(chưa có nội dung)",IF($L1074="",IF($C1074&lt;TODAY(),"⚠ TRỄ HỌC",IF($C1074=TODAY(),"★ HỌC HÔM NAY","• Chưa tới")),IF($R1074&gt;=5,"✔ MASTER",IF($S1074&lt;TODAY(),"⚠ TRỄ ÔN",IF($S1074=TODAY(),"◆ ÔN HÔM NAY","✔ Đúng tiến độ")))))</f>
        <v>• Chưa tới</v>
      </c>
      <c r="U1074" s="38" t="n">
        <f aca="false">IF($H1074="","",$R1074/5)</f>
        <v>0</v>
      </c>
    </row>
    <row r="1075" customFormat="false" ht="15" hidden="false" customHeight="false" outlineLevel="0" collapsed="false">
      <c r="A1075" s="31" t="s">
        <v>6431</v>
      </c>
      <c r="B1075" s="31" t="n">
        <v>54</v>
      </c>
      <c r="C1075" s="32" t="n">
        <f aca="false">SETTINGS!$C$3+$B1075-1</f>
        <v>46353</v>
      </c>
      <c r="D1075" s="40" t="s">
        <v>3692</v>
      </c>
      <c r="E1075" s="34" t="s">
        <v>6365</v>
      </c>
      <c r="F1075" s="34" t="s">
        <v>202</v>
      </c>
      <c r="G1075" s="34" t="s">
        <v>6432</v>
      </c>
      <c r="H1075" s="35" t="s">
        <v>6433</v>
      </c>
      <c r="I1075" s="36" t="s">
        <v>6434</v>
      </c>
      <c r="J1075" s="34" t="s">
        <v>6435</v>
      </c>
      <c r="K1075" s="34" t="s">
        <v>6436</v>
      </c>
      <c r="L1075" s="37"/>
      <c r="M1075" s="37"/>
      <c r="N1075" s="37"/>
      <c r="O1075" s="37"/>
      <c r="P1075" s="37"/>
      <c r="Q1075" s="37"/>
      <c r="R1075" s="31" t="n">
        <f aca="false">COUNT($M1075:$Q1075)</f>
        <v>0</v>
      </c>
      <c r="S1075" s="32" t="str">
        <f aca="false">IF($L1075="","",IF($R1075&gt;=5,"",MAX($L1075:$Q1075)+CHOOSE($R1075+1,SETTINGS!$C$9,SETTINGS!$C$10,SETTINGS!$C$11,SETTINGS!$C$12,SETTINGS!$C$13)))</f>
        <v/>
      </c>
      <c r="T1075" s="34" t="str">
        <f aca="true">IF($H1075="","(chưa có nội dung)",IF($L1075="",IF($C1075&lt;TODAY(),"⚠ TRỄ HỌC",IF($C1075=TODAY(),"★ HỌC HÔM NAY","• Chưa tới")),IF($R1075&gt;=5,"✔ MASTER",IF($S1075&lt;TODAY(),"⚠ TRỄ ÔN",IF($S1075=TODAY(),"◆ ÔN HÔM NAY","✔ Đúng tiến độ")))))</f>
        <v>• Chưa tới</v>
      </c>
      <c r="U1075" s="38" t="n">
        <f aca="false">IF($H1075="","",$R1075/5)</f>
        <v>0</v>
      </c>
    </row>
    <row r="1076" customFormat="false" ht="15" hidden="false" customHeight="false" outlineLevel="0" collapsed="false">
      <c r="A1076" s="31" t="s">
        <v>6437</v>
      </c>
      <c r="B1076" s="31" t="n">
        <v>54</v>
      </c>
      <c r="C1076" s="32" t="n">
        <f aca="false">SETTINGS!$C$3+$B1076-1</f>
        <v>46353</v>
      </c>
      <c r="D1076" s="40" t="s">
        <v>3692</v>
      </c>
      <c r="E1076" s="34" t="s">
        <v>6365</v>
      </c>
      <c r="F1076" s="34" t="s">
        <v>280</v>
      </c>
      <c r="G1076" s="34" t="s">
        <v>6438</v>
      </c>
      <c r="H1076" s="35" t="s">
        <v>6439</v>
      </c>
      <c r="I1076" s="36" t="s">
        <v>6440</v>
      </c>
      <c r="J1076" s="34" t="s">
        <v>6441</v>
      </c>
      <c r="K1076" s="34" t="s">
        <v>6442</v>
      </c>
      <c r="L1076" s="37"/>
      <c r="M1076" s="37"/>
      <c r="N1076" s="37"/>
      <c r="O1076" s="37"/>
      <c r="P1076" s="37"/>
      <c r="Q1076" s="37"/>
      <c r="R1076" s="31" t="n">
        <f aca="false">COUNT($M1076:$Q1076)</f>
        <v>0</v>
      </c>
      <c r="S1076" s="32" t="str">
        <f aca="false">IF($L1076="","",IF($R1076&gt;=5,"",MAX($L1076:$Q1076)+CHOOSE($R1076+1,SETTINGS!$C$9,SETTINGS!$C$10,SETTINGS!$C$11,SETTINGS!$C$12,SETTINGS!$C$13)))</f>
        <v/>
      </c>
      <c r="T1076" s="34" t="str">
        <f aca="true">IF($H1076="","(chưa có nội dung)",IF($L1076="",IF($C1076&lt;TODAY(),"⚠ TRỄ HỌC",IF($C1076=TODAY(),"★ HỌC HÔM NAY","• Chưa tới")),IF($R1076&gt;=5,"✔ MASTER",IF($S1076&lt;TODAY(),"⚠ TRỄ ÔN",IF($S1076=TODAY(),"◆ ÔN HÔM NAY","✔ Đúng tiến độ")))))</f>
        <v>• Chưa tới</v>
      </c>
      <c r="U1076" s="38" t="n">
        <f aca="false">IF($H1076="","",$R1076/5)</f>
        <v>0</v>
      </c>
    </row>
    <row r="1077" customFormat="false" ht="26.85" hidden="false" customHeight="false" outlineLevel="0" collapsed="false">
      <c r="A1077" s="31" t="s">
        <v>6443</v>
      </c>
      <c r="B1077" s="31" t="n">
        <v>54</v>
      </c>
      <c r="C1077" s="32" t="n">
        <f aca="false">SETTINGS!$C$3+$B1077-1</f>
        <v>46353</v>
      </c>
      <c r="D1077" s="40" t="s">
        <v>3692</v>
      </c>
      <c r="E1077" s="34" t="s">
        <v>6365</v>
      </c>
      <c r="F1077" s="34" t="s">
        <v>163</v>
      </c>
      <c r="G1077" s="34" t="s">
        <v>6444</v>
      </c>
      <c r="H1077" s="35" t="s">
        <v>6445</v>
      </c>
      <c r="I1077" s="36" t="s">
        <v>6446</v>
      </c>
      <c r="J1077" s="34" t="s">
        <v>6447</v>
      </c>
      <c r="K1077" s="34" t="s">
        <v>6444</v>
      </c>
      <c r="L1077" s="37"/>
      <c r="M1077" s="37"/>
      <c r="N1077" s="37"/>
      <c r="O1077" s="37"/>
      <c r="P1077" s="37"/>
      <c r="Q1077" s="37"/>
      <c r="R1077" s="31" t="n">
        <f aca="false">COUNT($M1077:$Q1077)</f>
        <v>0</v>
      </c>
      <c r="S1077" s="32" t="str">
        <f aca="false">IF($L1077="","",IF($R1077&gt;=5,"",MAX($L1077:$Q1077)+CHOOSE($R1077+1,SETTINGS!$C$9,SETTINGS!$C$10,SETTINGS!$C$11,SETTINGS!$C$12,SETTINGS!$C$13)))</f>
        <v/>
      </c>
      <c r="T1077" s="34" t="str">
        <f aca="true">IF($H1077="","(chưa có nội dung)",IF($L1077="",IF($C1077&lt;TODAY(),"⚠ TRỄ HỌC",IF($C1077=TODAY(),"★ HỌC HÔM NAY","• Chưa tới")),IF($R1077&gt;=5,"✔ MASTER",IF($S1077&lt;TODAY(),"⚠ TRỄ ÔN",IF($S1077=TODAY(),"◆ ÔN HÔM NAY","✔ Đúng tiến độ")))))</f>
        <v>• Chưa tới</v>
      </c>
      <c r="U1077" s="38" t="n">
        <f aca="false">IF($H1077="","",$R1077/5)</f>
        <v>0</v>
      </c>
    </row>
    <row r="1078" customFormat="false" ht="15" hidden="false" customHeight="false" outlineLevel="0" collapsed="false">
      <c r="A1078" s="31" t="s">
        <v>6448</v>
      </c>
      <c r="B1078" s="31" t="n">
        <v>54</v>
      </c>
      <c r="C1078" s="32" t="n">
        <f aca="false">SETTINGS!$C$3+$B1078-1</f>
        <v>46353</v>
      </c>
      <c r="D1078" s="40" t="s">
        <v>3692</v>
      </c>
      <c r="E1078" s="34" t="s">
        <v>6365</v>
      </c>
      <c r="F1078" s="34" t="s">
        <v>280</v>
      </c>
      <c r="G1078" s="34" t="s">
        <v>6449</v>
      </c>
      <c r="H1078" s="35" t="s">
        <v>6450</v>
      </c>
      <c r="I1078" s="36" t="s">
        <v>6451</v>
      </c>
      <c r="J1078" s="34" t="s">
        <v>6452</v>
      </c>
      <c r="K1078" s="34" t="s">
        <v>3679</v>
      </c>
      <c r="L1078" s="37"/>
      <c r="M1078" s="37"/>
      <c r="N1078" s="37"/>
      <c r="O1078" s="37"/>
      <c r="P1078" s="37"/>
      <c r="Q1078" s="37"/>
      <c r="R1078" s="31" t="n">
        <f aca="false">COUNT($M1078:$Q1078)</f>
        <v>0</v>
      </c>
      <c r="S1078" s="32" t="str">
        <f aca="false">IF($L1078="","",IF($R1078&gt;=5,"",MAX($L1078:$Q1078)+CHOOSE($R1078+1,SETTINGS!$C$9,SETTINGS!$C$10,SETTINGS!$C$11,SETTINGS!$C$12,SETTINGS!$C$13)))</f>
        <v/>
      </c>
      <c r="T1078" s="34" t="str">
        <f aca="true">IF($H1078="","(chưa có nội dung)",IF($L1078="",IF($C1078&lt;TODAY(),"⚠ TRỄ HỌC",IF($C1078=TODAY(),"★ HỌC HÔM NAY","• Chưa tới")),IF($R1078&gt;=5,"✔ MASTER",IF($S1078&lt;TODAY(),"⚠ TRỄ ÔN",IF($S1078=TODAY(),"◆ ÔN HÔM NAY","✔ Đúng tiến độ")))))</f>
        <v>• Chưa tới</v>
      </c>
      <c r="U1078" s="38" t="n">
        <f aca="false">IF($H1078="","",$R1078/5)</f>
        <v>0</v>
      </c>
    </row>
    <row r="1079" customFormat="false" ht="15" hidden="false" customHeight="false" outlineLevel="0" collapsed="false">
      <c r="A1079" s="31" t="s">
        <v>6453</v>
      </c>
      <c r="B1079" s="31" t="n">
        <v>54</v>
      </c>
      <c r="C1079" s="32" t="n">
        <f aca="false">SETTINGS!$C$3+$B1079-1</f>
        <v>46353</v>
      </c>
      <c r="D1079" s="40" t="s">
        <v>3692</v>
      </c>
      <c r="E1079" s="34" t="s">
        <v>6365</v>
      </c>
      <c r="F1079" s="34" t="s">
        <v>156</v>
      </c>
      <c r="G1079" s="34" t="s">
        <v>6454</v>
      </c>
      <c r="H1079" s="35" t="s">
        <v>6455</v>
      </c>
      <c r="I1079" s="36" t="s">
        <v>6456</v>
      </c>
      <c r="J1079" s="34" t="s">
        <v>6457</v>
      </c>
      <c r="K1079" s="34" t="s">
        <v>6458</v>
      </c>
      <c r="L1079" s="37"/>
      <c r="M1079" s="37"/>
      <c r="N1079" s="37"/>
      <c r="O1079" s="37"/>
      <c r="P1079" s="37"/>
      <c r="Q1079" s="37"/>
      <c r="R1079" s="31" t="n">
        <f aca="false">COUNT($M1079:$Q1079)</f>
        <v>0</v>
      </c>
      <c r="S1079" s="32" t="str">
        <f aca="false">IF($L1079="","",IF($R1079&gt;=5,"",MAX($L1079:$Q1079)+CHOOSE($R1079+1,SETTINGS!$C$9,SETTINGS!$C$10,SETTINGS!$C$11,SETTINGS!$C$12,SETTINGS!$C$13)))</f>
        <v/>
      </c>
      <c r="T1079" s="34" t="str">
        <f aca="true">IF($H1079="","(chưa có nội dung)",IF($L1079="",IF($C1079&lt;TODAY(),"⚠ TRỄ HỌC",IF($C1079=TODAY(),"★ HỌC HÔM NAY","• Chưa tới")),IF($R1079&gt;=5,"✔ MASTER",IF($S1079&lt;TODAY(),"⚠ TRỄ ÔN",IF($S1079=TODAY(),"◆ ÔN HÔM NAY","✔ Đúng tiến độ")))))</f>
        <v>• Chưa tới</v>
      </c>
      <c r="U1079" s="38" t="n">
        <f aca="false">IF($H1079="","",$R1079/5)</f>
        <v>0</v>
      </c>
    </row>
    <row r="1080" customFormat="false" ht="15" hidden="false" customHeight="false" outlineLevel="0" collapsed="false">
      <c r="A1080" s="31" t="s">
        <v>6459</v>
      </c>
      <c r="B1080" s="31" t="n">
        <v>54</v>
      </c>
      <c r="C1080" s="32" t="n">
        <f aca="false">SETTINGS!$C$3+$B1080-1</f>
        <v>46353</v>
      </c>
      <c r="D1080" s="40" t="s">
        <v>3692</v>
      </c>
      <c r="E1080" s="34" t="s">
        <v>6365</v>
      </c>
      <c r="F1080" s="34" t="s">
        <v>280</v>
      </c>
      <c r="G1080" s="34" t="s">
        <v>6460</v>
      </c>
      <c r="H1080" s="35" t="s">
        <v>6461</v>
      </c>
      <c r="I1080" s="36" t="s">
        <v>6462</v>
      </c>
      <c r="J1080" s="34" t="s">
        <v>6463</v>
      </c>
      <c r="K1080" s="34" t="s">
        <v>6464</v>
      </c>
      <c r="L1080" s="37"/>
      <c r="M1080" s="37"/>
      <c r="N1080" s="37"/>
      <c r="O1080" s="37"/>
      <c r="P1080" s="37"/>
      <c r="Q1080" s="37"/>
      <c r="R1080" s="31" t="n">
        <f aca="false">COUNT($M1080:$Q1080)</f>
        <v>0</v>
      </c>
      <c r="S1080" s="32" t="str">
        <f aca="false">IF($L1080="","",IF($R1080&gt;=5,"",MAX($L1080:$Q1080)+CHOOSE($R1080+1,SETTINGS!$C$9,SETTINGS!$C$10,SETTINGS!$C$11,SETTINGS!$C$12,SETTINGS!$C$13)))</f>
        <v/>
      </c>
      <c r="T1080" s="34" t="str">
        <f aca="true">IF($H1080="","(chưa có nội dung)",IF($L1080="",IF($C1080&lt;TODAY(),"⚠ TRỄ HỌC",IF($C1080=TODAY(),"★ HỌC HÔM NAY","• Chưa tới")),IF($R1080&gt;=5,"✔ MASTER",IF($S1080&lt;TODAY(),"⚠ TRỄ ÔN",IF($S1080=TODAY(),"◆ ÔN HÔM NAY","✔ Đúng tiến độ")))))</f>
        <v>• Chưa tới</v>
      </c>
      <c r="U1080" s="38" t="n">
        <f aca="false">IF($H1080="","",$R1080/5)</f>
        <v>0</v>
      </c>
    </row>
    <row r="1081" customFormat="false" ht="15" hidden="false" customHeight="false" outlineLevel="0" collapsed="false">
      <c r="A1081" s="31" t="s">
        <v>6465</v>
      </c>
      <c r="B1081" s="31" t="n">
        <v>54</v>
      </c>
      <c r="C1081" s="32" t="n">
        <f aca="false">SETTINGS!$C$3+$B1081-1</f>
        <v>46353</v>
      </c>
      <c r="D1081" s="40" t="s">
        <v>3692</v>
      </c>
      <c r="E1081" s="34" t="s">
        <v>6365</v>
      </c>
      <c r="F1081" s="34" t="s">
        <v>280</v>
      </c>
      <c r="G1081" s="34" t="s">
        <v>6466</v>
      </c>
      <c r="H1081" s="35" t="s">
        <v>6467</v>
      </c>
      <c r="I1081" s="36" t="s">
        <v>6468</v>
      </c>
      <c r="J1081" s="34" t="s">
        <v>6469</v>
      </c>
      <c r="K1081" s="34" t="s">
        <v>6466</v>
      </c>
      <c r="L1081" s="37"/>
      <c r="M1081" s="37"/>
      <c r="N1081" s="37"/>
      <c r="O1081" s="37"/>
      <c r="P1081" s="37"/>
      <c r="Q1081" s="37"/>
      <c r="R1081" s="31" t="n">
        <f aca="false">COUNT($M1081:$Q1081)</f>
        <v>0</v>
      </c>
      <c r="S1081" s="32" t="str">
        <f aca="false">IF($L1081="","",IF($R1081&gt;=5,"",MAX($L1081:$Q1081)+CHOOSE($R1081+1,SETTINGS!$C$9,SETTINGS!$C$10,SETTINGS!$C$11,SETTINGS!$C$12,SETTINGS!$C$13)))</f>
        <v/>
      </c>
      <c r="T1081" s="34" t="str">
        <f aca="true">IF($H1081="","(chưa có nội dung)",IF($L1081="",IF($C1081&lt;TODAY(),"⚠ TRỄ HỌC",IF($C1081=TODAY(),"★ HỌC HÔM NAY","• Chưa tới")),IF($R1081&gt;=5,"✔ MASTER",IF($S1081&lt;TODAY(),"⚠ TRỄ ÔN",IF($S1081=TODAY(),"◆ ÔN HÔM NAY","✔ Đúng tiến độ")))))</f>
        <v>• Chưa tới</v>
      </c>
      <c r="U1081" s="38" t="n">
        <f aca="false">IF($H1081="","",$R1081/5)</f>
        <v>0</v>
      </c>
    </row>
    <row r="1082" customFormat="false" ht="26.85" hidden="false" customHeight="false" outlineLevel="0" collapsed="false">
      <c r="A1082" s="31" t="s">
        <v>6470</v>
      </c>
      <c r="B1082" s="31" t="n">
        <v>54</v>
      </c>
      <c r="C1082" s="32" t="n">
        <f aca="false">SETTINGS!$C$3+$B1082-1</f>
        <v>46353</v>
      </c>
      <c r="D1082" s="40" t="s">
        <v>3692</v>
      </c>
      <c r="E1082" s="34" t="s">
        <v>6365</v>
      </c>
      <c r="F1082" s="34" t="s">
        <v>3694</v>
      </c>
      <c r="G1082" s="34" t="s">
        <v>6471</v>
      </c>
      <c r="H1082" s="35" t="s">
        <v>6472</v>
      </c>
      <c r="I1082" s="36" t="s">
        <v>6473</v>
      </c>
      <c r="J1082" s="34" t="s">
        <v>6474</v>
      </c>
      <c r="K1082" s="34" t="s">
        <v>5970</v>
      </c>
      <c r="L1082" s="37"/>
      <c r="M1082" s="37"/>
      <c r="N1082" s="37"/>
      <c r="O1082" s="37"/>
      <c r="P1082" s="37"/>
      <c r="Q1082" s="37"/>
      <c r="R1082" s="31" t="n">
        <f aca="false">COUNT($M1082:$Q1082)</f>
        <v>0</v>
      </c>
      <c r="S1082" s="32" t="str">
        <f aca="false">IF($L1082="","",IF($R1082&gt;=5,"",MAX($L1082:$Q1082)+CHOOSE($R1082+1,SETTINGS!$C$9,SETTINGS!$C$10,SETTINGS!$C$11,SETTINGS!$C$12,SETTINGS!$C$13)))</f>
        <v/>
      </c>
      <c r="T1082" s="34" t="str">
        <f aca="true">IF($H1082="","(chưa có nội dung)",IF($L1082="",IF($C1082&lt;TODAY(),"⚠ TRỄ HỌC",IF($C1082=TODAY(),"★ HỌC HÔM NAY","• Chưa tới")),IF($R1082&gt;=5,"✔ MASTER",IF($S1082&lt;TODAY(),"⚠ TRỄ ÔN",IF($S1082=TODAY(),"◆ ÔN HÔM NAY","✔ Đúng tiến độ")))))</f>
        <v>• Chưa tới</v>
      </c>
      <c r="U1082" s="38" t="n">
        <f aca="false">IF($H1082="","",$R1082/5)</f>
        <v>0</v>
      </c>
    </row>
    <row r="1083" customFormat="false" ht="26.85" hidden="false" customHeight="false" outlineLevel="0" collapsed="false">
      <c r="A1083" s="31" t="s">
        <v>6475</v>
      </c>
      <c r="B1083" s="31" t="n">
        <v>55</v>
      </c>
      <c r="C1083" s="32" t="n">
        <f aca="false">SETTINGS!$C$3+$B1083-1</f>
        <v>46354</v>
      </c>
      <c r="D1083" s="40" t="s">
        <v>3692</v>
      </c>
      <c r="E1083" s="34" t="s">
        <v>6476</v>
      </c>
      <c r="F1083" s="34" t="s">
        <v>280</v>
      </c>
      <c r="G1083" s="34" t="s">
        <v>5496</v>
      </c>
      <c r="H1083" s="35" t="s">
        <v>6477</v>
      </c>
      <c r="I1083" s="36" t="s">
        <v>6478</v>
      </c>
      <c r="J1083" s="34" t="s">
        <v>6479</v>
      </c>
      <c r="K1083" s="34" t="s">
        <v>6480</v>
      </c>
      <c r="L1083" s="37"/>
      <c r="M1083" s="37"/>
      <c r="N1083" s="37"/>
      <c r="O1083" s="37"/>
      <c r="P1083" s="37"/>
      <c r="Q1083" s="37"/>
      <c r="R1083" s="31" t="n">
        <f aca="false">COUNT($M1083:$Q1083)</f>
        <v>0</v>
      </c>
      <c r="S1083" s="32" t="str">
        <f aca="false">IF($L1083="","",IF($R1083&gt;=5,"",MAX($L1083:$Q1083)+CHOOSE($R1083+1,SETTINGS!$C$9,SETTINGS!$C$10,SETTINGS!$C$11,SETTINGS!$C$12,SETTINGS!$C$13)))</f>
        <v/>
      </c>
      <c r="T1083" s="34" t="str">
        <f aca="true">IF($H1083="","(chưa có nội dung)",IF($L1083="",IF($C1083&lt;TODAY(),"⚠ TRỄ HỌC",IF($C1083=TODAY(),"★ HỌC HÔM NAY","• Chưa tới")),IF($R1083&gt;=5,"✔ MASTER",IF($S1083&lt;TODAY(),"⚠ TRỄ ÔN",IF($S1083=TODAY(),"◆ ÔN HÔM NAY","✔ Đúng tiến độ")))))</f>
        <v>• Chưa tới</v>
      </c>
      <c r="U1083" s="38" t="n">
        <f aca="false">IF($H1083="","",$R1083/5)</f>
        <v>0</v>
      </c>
    </row>
    <row r="1084" customFormat="false" ht="15" hidden="false" customHeight="false" outlineLevel="0" collapsed="false">
      <c r="A1084" s="31" t="s">
        <v>6481</v>
      </c>
      <c r="B1084" s="31" t="n">
        <v>55</v>
      </c>
      <c r="C1084" s="32" t="n">
        <f aca="false">SETTINGS!$C$3+$B1084-1</f>
        <v>46354</v>
      </c>
      <c r="D1084" s="40" t="s">
        <v>3692</v>
      </c>
      <c r="E1084" s="34" t="s">
        <v>6476</v>
      </c>
      <c r="F1084" s="34" t="s">
        <v>280</v>
      </c>
      <c r="G1084" s="34" t="s">
        <v>554</v>
      </c>
      <c r="H1084" s="35" t="s">
        <v>6482</v>
      </c>
      <c r="I1084" s="36" t="s">
        <v>6483</v>
      </c>
      <c r="J1084" s="34" t="s">
        <v>6484</v>
      </c>
      <c r="K1084" s="34" t="s">
        <v>6485</v>
      </c>
      <c r="L1084" s="37"/>
      <c r="M1084" s="37"/>
      <c r="N1084" s="37"/>
      <c r="O1084" s="37"/>
      <c r="P1084" s="37"/>
      <c r="Q1084" s="37"/>
      <c r="R1084" s="31" t="n">
        <f aca="false">COUNT($M1084:$Q1084)</f>
        <v>0</v>
      </c>
      <c r="S1084" s="32" t="str">
        <f aca="false">IF($L1084="","",IF($R1084&gt;=5,"",MAX($L1084:$Q1084)+CHOOSE($R1084+1,SETTINGS!$C$9,SETTINGS!$C$10,SETTINGS!$C$11,SETTINGS!$C$12,SETTINGS!$C$13)))</f>
        <v/>
      </c>
      <c r="T1084" s="34" t="str">
        <f aca="true">IF($H1084="","(chưa có nội dung)",IF($L1084="",IF($C1084&lt;TODAY(),"⚠ TRỄ HỌC",IF($C1084=TODAY(),"★ HỌC HÔM NAY","• Chưa tới")),IF($R1084&gt;=5,"✔ MASTER",IF($S1084&lt;TODAY(),"⚠ TRỄ ÔN",IF($S1084=TODAY(),"◆ ÔN HÔM NAY","✔ Đúng tiến độ")))))</f>
        <v>• Chưa tới</v>
      </c>
      <c r="U1084" s="38" t="n">
        <f aca="false">IF($H1084="","",$R1084/5)</f>
        <v>0</v>
      </c>
    </row>
    <row r="1085" customFormat="false" ht="26.85" hidden="false" customHeight="false" outlineLevel="0" collapsed="false">
      <c r="A1085" s="31" t="s">
        <v>6486</v>
      </c>
      <c r="B1085" s="31" t="n">
        <v>55</v>
      </c>
      <c r="C1085" s="32" t="n">
        <f aca="false">SETTINGS!$C$3+$B1085-1</f>
        <v>46354</v>
      </c>
      <c r="D1085" s="40" t="s">
        <v>3692</v>
      </c>
      <c r="E1085" s="34" t="s">
        <v>6476</v>
      </c>
      <c r="F1085" s="34" t="s">
        <v>280</v>
      </c>
      <c r="G1085" s="34" t="s">
        <v>6487</v>
      </c>
      <c r="H1085" s="35" t="s">
        <v>6488</v>
      </c>
      <c r="I1085" s="36" t="s">
        <v>6489</v>
      </c>
      <c r="J1085" s="34" t="s">
        <v>6490</v>
      </c>
      <c r="K1085" s="34" t="s">
        <v>6491</v>
      </c>
      <c r="L1085" s="37"/>
      <c r="M1085" s="37"/>
      <c r="N1085" s="37"/>
      <c r="O1085" s="37"/>
      <c r="P1085" s="37"/>
      <c r="Q1085" s="37"/>
      <c r="R1085" s="31" t="n">
        <f aca="false">COUNT($M1085:$Q1085)</f>
        <v>0</v>
      </c>
      <c r="S1085" s="32" t="str">
        <f aca="false">IF($L1085="","",IF($R1085&gt;=5,"",MAX($L1085:$Q1085)+CHOOSE($R1085+1,SETTINGS!$C$9,SETTINGS!$C$10,SETTINGS!$C$11,SETTINGS!$C$12,SETTINGS!$C$13)))</f>
        <v/>
      </c>
      <c r="T1085" s="34" t="str">
        <f aca="true">IF($H1085="","(chưa có nội dung)",IF($L1085="",IF($C1085&lt;TODAY(),"⚠ TRỄ HỌC",IF($C1085=TODAY(),"★ HỌC HÔM NAY","• Chưa tới")),IF($R1085&gt;=5,"✔ MASTER",IF($S1085&lt;TODAY(),"⚠ TRỄ ÔN",IF($S1085=TODAY(),"◆ ÔN HÔM NAY","✔ Đúng tiến độ")))))</f>
        <v>• Chưa tới</v>
      </c>
      <c r="U1085" s="38" t="n">
        <f aca="false">IF($H1085="","",$R1085/5)</f>
        <v>0</v>
      </c>
    </row>
    <row r="1086" customFormat="false" ht="15" hidden="false" customHeight="false" outlineLevel="0" collapsed="false">
      <c r="A1086" s="31" t="s">
        <v>6492</v>
      </c>
      <c r="B1086" s="31" t="n">
        <v>55</v>
      </c>
      <c r="C1086" s="32" t="n">
        <f aca="false">SETTINGS!$C$3+$B1086-1</f>
        <v>46354</v>
      </c>
      <c r="D1086" s="40" t="s">
        <v>3692</v>
      </c>
      <c r="E1086" s="34" t="s">
        <v>6476</v>
      </c>
      <c r="F1086" s="34" t="s">
        <v>280</v>
      </c>
      <c r="G1086" s="34" t="s">
        <v>6493</v>
      </c>
      <c r="H1086" s="35" t="s">
        <v>6494</v>
      </c>
      <c r="I1086" s="36" t="s">
        <v>6495</v>
      </c>
      <c r="J1086" s="34" t="s">
        <v>6496</v>
      </c>
      <c r="K1086" s="34" t="s">
        <v>6497</v>
      </c>
      <c r="L1086" s="37"/>
      <c r="M1086" s="37"/>
      <c r="N1086" s="37"/>
      <c r="O1086" s="37"/>
      <c r="P1086" s="37"/>
      <c r="Q1086" s="37"/>
      <c r="R1086" s="31" t="n">
        <f aca="false">COUNT($M1086:$Q1086)</f>
        <v>0</v>
      </c>
      <c r="S1086" s="32" t="str">
        <f aca="false">IF($L1086="","",IF($R1086&gt;=5,"",MAX($L1086:$Q1086)+CHOOSE($R1086+1,SETTINGS!$C$9,SETTINGS!$C$10,SETTINGS!$C$11,SETTINGS!$C$12,SETTINGS!$C$13)))</f>
        <v/>
      </c>
      <c r="T1086" s="34" t="str">
        <f aca="true">IF($H1086="","(chưa có nội dung)",IF($L1086="",IF($C1086&lt;TODAY(),"⚠ TRỄ HỌC",IF($C1086=TODAY(),"★ HỌC HÔM NAY","• Chưa tới")),IF($R1086&gt;=5,"✔ MASTER",IF($S1086&lt;TODAY(),"⚠ TRỄ ÔN",IF($S1086=TODAY(),"◆ ÔN HÔM NAY","✔ Đúng tiến độ")))))</f>
        <v>• Chưa tới</v>
      </c>
      <c r="U1086" s="38" t="n">
        <f aca="false">IF($H1086="","",$R1086/5)</f>
        <v>0</v>
      </c>
    </row>
    <row r="1087" customFormat="false" ht="15" hidden="false" customHeight="false" outlineLevel="0" collapsed="false">
      <c r="A1087" s="31" t="s">
        <v>6498</v>
      </c>
      <c r="B1087" s="31" t="n">
        <v>55</v>
      </c>
      <c r="C1087" s="32" t="n">
        <f aca="false">SETTINGS!$C$3+$B1087-1</f>
        <v>46354</v>
      </c>
      <c r="D1087" s="40" t="s">
        <v>3692</v>
      </c>
      <c r="E1087" s="34" t="s">
        <v>6476</v>
      </c>
      <c r="F1087" s="34" t="s">
        <v>163</v>
      </c>
      <c r="G1087" s="34" t="s">
        <v>3255</v>
      </c>
      <c r="H1087" s="35" t="s">
        <v>6499</v>
      </c>
      <c r="I1087" s="36" t="s">
        <v>6500</v>
      </c>
      <c r="J1087" s="34" t="s">
        <v>6501</v>
      </c>
      <c r="K1087" s="34" t="s">
        <v>985</v>
      </c>
      <c r="L1087" s="37"/>
      <c r="M1087" s="37"/>
      <c r="N1087" s="37"/>
      <c r="O1087" s="37"/>
      <c r="P1087" s="37"/>
      <c r="Q1087" s="37"/>
      <c r="R1087" s="31" t="n">
        <f aca="false">COUNT($M1087:$Q1087)</f>
        <v>0</v>
      </c>
      <c r="S1087" s="32" t="str">
        <f aca="false">IF($L1087="","",IF($R1087&gt;=5,"",MAX($L1087:$Q1087)+CHOOSE($R1087+1,SETTINGS!$C$9,SETTINGS!$C$10,SETTINGS!$C$11,SETTINGS!$C$12,SETTINGS!$C$13)))</f>
        <v/>
      </c>
      <c r="T1087" s="34" t="str">
        <f aca="true">IF($H1087="","(chưa có nội dung)",IF($L1087="",IF($C1087&lt;TODAY(),"⚠ TRỄ HỌC",IF($C1087=TODAY(),"★ HỌC HÔM NAY","• Chưa tới")),IF($R1087&gt;=5,"✔ MASTER",IF($S1087&lt;TODAY(),"⚠ TRỄ ÔN",IF($S1087=TODAY(),"◆ ÔN HÔM NAY","✔ Đúng tiến độ")))))</f>
        <v>• Chưa tới</v>
      </c>
      <c r="U1087" s="38" t="n">
        <f aca="false">IF($H1087="","",$R1087/5)</f>
        <v>0</v>
      </c>
    </row>
    <row r="1088" customFormat="false" ht="15" hidden="false" customHeight="false" outlineLevel="0" collapsed="false">
      <c r="A1088" s="31" t="s">
        <v>6502</v>
      </c>
      <c r="B1088" s="31" t="n">
        <v>55</v>
      </c>
      <c r="C1088" s="32" t="n">
        <f aca="false">SETTINGS!$C$3+$B1088-1</f>
        <v>46354</v>
      </c>
      <c r="D1088" s="40" t="s">
        <v>3692</v>
      </c>
      <c r="E1088" s="34" t="s">
        <v>6476</v>
      </c>
      <c r="F1088" s="34" t="s">
        <v>280</v>
      </c>
      <c r="G1088" s="34" t="s">
        <v>6503</v>
      </c>
      <c r="H1088" s="35" t="s">
        <v>6504</v>
      </c>
      <c r="I1088" s="36" t="s">
        <v>6505</v>
      </c>
      <c r="J1088" s="34" t="s">
        <v>6506</v>
      </c>
      <c r="K1088" s="34" t="s">
        <v>6507</v>
      </c>
      <c r="L1088" s="37"/>
      <c r="M1088" s="37"/>
      <c r="N1088" s="37"/>
      <c r="O1088" s="37"/>
      <c r="P1088" s="37"/>
      <c r="Q1088" s="37"/>
      <c r="R1088" s="31" t="n">
        <f aca="false">COUNT($M1088:$Q1088)</f>
        <v>0</v>
      </c>
      <c r="S1088" s="32" t="str">
        <f aca="false">IF($L1088="","",IF($R1088&gt;=5,"",MAX($L1088:$Q1088)+CHOOSE($R1088+1,SETTINGS!$C$9,SETTINGS!$C$10,SETTINGS!$C$11,SETTINGS!$C$12,SETTINGS!$C$13)))</f>
        <v/>
      </c>
      <c r="T1088" s="34" t="str">
        <f aca="true">IF($H1088="","(chưa có nội dung)",IF($L1088="",IF($C1088&lt;TODAY(),"⚠ TRỄ HỌC",IF($C1088=TODAY(),"★ HỌC HÔM NAY","• Chưa tới")),IF($R1088&gt;=5,"✔ MASTER",IF($S1088&lt;TODAY(),"⚠ TRỄ ÔN",IF($S1088=TODAY(),"◆ ÔN HÔM NAY","✔ Đúng tiến độ")))))</f>
        <v>• Chưa tới</v>
      </c>
      <c r="U1088" s="38" t="n">
        <f aca="false">IF($H1088="","",$R1088/5)</f>
        <v>0</v>
      </c>
    </row>
    <row r="1089" customFormat="false" ht="15" hidden="false" customHeight="false" outlineLevel="0" collapsed="false">
      <c r="A1089" s="31" t="s">
        <v>6508</v>
      </c>
      <c r="B1089" s="31" t="n">
        <v>55</v>
      </c>
      <c r="C1089" s="32" t="n">
        <f aca="false">SETTINGS!$C$3+$B1089-1</f>
        <v>46354</v>
      </c>
      <c r="D1089" s="40" t="s">
        <v>3692</v>
      </c>
      <c r="E1089" s="34" t="s">
        <v>6476</v>
      </c>
      <c r="F1089" s="34" t="s">
        <v>280</v>
      </c>
      <c r="G1089" s="34" t="s">
        <v>6509</v>
      </c>
      <c r="H1089" s="35" t="s">
        <v>6510</v>
      </c>
      <c r="I1089" s="36" t="s">
        <v>6511</v>
      </c>
      <c r="J1089" s="34" t="s">
        <v>6512</v>
      </c>
      <c r="K1089" s="34" t="s">
        <v>6513</v>
      </c>
      <c r="L1089" s="37"/>
      <c r="M1089" s="37"/>
      <c r="N1089" s="37"/>
      <c r="O1089" s="37"/>
      <c r="P1089" s="37"/>
      <c r="Q1089" s="37"/>
      <c r="R1089" s="31" t="n">
        <f aca="false">COUNT($M1089:$Q1089)</f>
        <v>0</v>
      </c>
      <c r="S1089" s="32" t="str">
        <f aca="false">IF($L1089="","",IF($R1089&gt;=5,"",MAX($L1089:$Q1089)+CHOOSE($R1089+1,SETTINGS!$C$9,SETTINGS!$C$10,SETTINGS!$C$11,SETTINGS!$C$12,SETTINGS!$C$13)))</f>
        <v/>
      </c>
      <c r="T1089" s="34" t="str">
        <f aca="true">IF($H1089="","(chưa có nội dung)",IF($L1089="",IF($C1089&lt;TODAY(),"⚠ TRỄ HỌC",IF($C1089=TODAY(),"★ HỌC HÔM NAY","• Chưa tới")),IF($R1089&gt;=5,"✔ MASTER",IF($S1089&lt;TODAY(),"⚠ TRỄ ÔN",IF($S1089=TODAY(),"◆ ÔN HÔM NAY","✔ Đúng tiến độ")))))</f>
        <v>• Chưa tới</v>
      </c>
      <c r="U1089" s="38" t="n">
        <f aca="false">IF($H1089="","",$R1089/5)</f>
        <v>0</v>
      </c>
    </row>
    <row r="1090" customFormat="false" ht="26.85" hidden="false" customHeight="false" outlineLevel="0" collapsed="false">
      <c r="A1090" s="31" t="s">
        <v>6514</v>
      </c>
      <c r="B1090" s="31" t="n">
        <v>55</v>
      </c>
      <c r="C1090" s="32" t="n">
        <f aca="false">SETTINGS!$C$3+$B1090-1</f>
        <v>46354</v>
      </c>
      <c r="D1090" s="40" t="s">
        <v>3692</v>
      </c>
      <c r="E1090" s="34" t="s">
        <v>6476</v>
      </c>
      <c r="F1090" s="34" t="s">
        <v>280</v>
      </c>
      <c r="G1090" s="34" t="s">
        <v>6515</v>
      </c>
      <c r="H1090" s="35" t="s">
        <v>6516</v>
      </c>
      <c r="I1090" s="36" t="s">
        <v>6517</v>
      </c>
      <c r="J1090" s="34" t="s">
        <v>6518</v>
      </c>
      <c r="K1090" s="34" t="s">
        <v>6519</v>
      </c>
      <c r="L1090" s="37"/>
      <c r="M1090" s="37"/>
      <c r="N1090" s="37"/>
      <c r="O1090" s="37"/>
      <c r="P1090" s="37"/>
      <c r="Q1090" s="37"/>
      <c r="R1090" s="31" t="n">
        <f aca="false">COUNT($M1090:$Q1090)</f>
        <v>0</v>
      </c>
      <c r="S1090" s="32" t="str">
        <f aca="false">IF($L1090="","",IF($R1090&gt;=5,"",MAX($L1090:$Q1090)+CHOOSE($R1090+1,SETTINGS!$C$9,SETTINGS!$C$10,SETTINGS!$C$11,SETTINGS!$C$12,SETTINGS!$C$13)))</f>
        <v/>
      </c>
      <c r="T1090" s="34" t="str">
        <f aca="true">IF($H1090="","(chưa có nội dung)",IF($L1090="",IF($C1090&lt;TODAY(),"⚠ TRỄ HỌC",IF($C1090=TODAY(),"★ HỌC HÔM NAY","• Chưa tới")),IF($R1090&gt;=5,"✔ MASTER",IF($S1090&lt;TODAY(),"⚠ TRỄ ÔN",IF($S1090=TODAY(),"◆ ÔN HÔM NAY","✔ Đúng tiến độ")))))</f>
        <v>• Chưa tới</v>
      </c>
      <c r="U1090" s="38" t="n">
        <f aca="false">IF($H1090="","",$R1090/5)</f>
        <v>0</v>
      </c>
    </row>
    <row r="1091" customFormat="false" ht="15" hidden="false" customHeight="false" outlineLevel="0" collapsed="false">
      <c r="A1091" s="31" t="s">
        <v>6520</v>
      </c>
      <c r="B1091" s="31" t="n">
        <v>55</v>
      </c>
      <c r="C1091" s="32" t="n">
        <f aca="false">SETTINGS!$C$3+$B1091-1</f>
        <v>46354</v>
      </c>
      <c r="D1091" s="40" t="s">
        <v>3692</v>
      </c>
      <c r="E1091" s="34" t="s">
        <v>6476</v>
      </c>
      <c r="F1091" s="34" t="s">
        <v>163</v>
      </c>
      <c r="G1091" s="34" t="s">
        <v>6521</v>
      </c>
      <c r="H1091" s="35" t="s">
        <v>6522</v>
      </c>
      <c r="I1091" s="36" t="s">
        <v>6523</v>
      </c>
      <c r="J1091" s="34" t="s">
        <v>6524</v>
      </c>
      <c r="K1091" s="34" t="s">
        <v>6525</v>
      </c>
      <c r="L1091" s="37"/>
      <c r="M1091" s="37"/>
      <c r="N1091" s="37"/>
      <c r="O1091" s="37"/>
      <c r="P1091" s="37"/>
      <c r="Q1091" s="37"/>
      <c r="R1091" s="31" t="n">
        <f aca="false">COUNT($M1091:$Q1091)</f>
        <v>0</v>
      </c>
      <c r="S1091" s="32" t="str">
        <f aca="false">IF($L1091="","",IF($R1091&gt;=5,"",MAX($L1091:$Q1091)+CHOOSE($R1091+1,SETTINGS!$C$9,SETTINGS!$C$10,SETTINGS!$C$11,SETTINGS!$C$12,SETTINGS!$C$13)))</f>
        <v/>
      </c>
      <c r="T1091" s="34" t="str">
        <f aca="true">IF($H1091="","(chưa có nội dung)",IF($L1091="",IF($C1091&lt;TODAY(),"⚠ TRỄ HỌC",IF($C1091=TODAY(),"★ HỌC HÔM NAY","• Chưa tới")),IF($R1091&gt;=5,"✔ MASTER",IF($S1091&lt;TODAY(),"⚠ TRỄ ÔN",IF($S1091=TODAY(),"◆ ÔN HÔM NAY","✔ Đúng tiến độ")))))</f>
        <v>• Chưa tới</v>
      </c>
      <c r="U1091" s="38" t="n">
        <f aca="false">IF($H1091="","",$R1091/5)</f>
        <v>0</v>
      </c>
    </row>
    <row r="1092" customFormat="false" ht="15" hidden="false" customHeight="false" outlineLevel="0" collapsed="false">
      <c r="A1092" s="31" t="s">
        <v>6526</v>
      </c>
      <c r="B1092" s="31" t="n">
        <v>55</v>
      </c>
      <c r="C1092" s="32" t="n">
        <f aca="false">SETTINGS!$C$3+$B1092-1</f>
        <v>46354</v>
      </c>
      <c r="D1092" s="40" t="s">
        <v>3692</v>
      </c>
      <c r="E1092" s="34" t="s">
        <v>6476</v>
      </c>
      <c r="F1092" s="34" t="s">
        <v>280</v>
      </c>
      <c r="G1092" s="34" t="s">
        <v>6527</v>
      </c>
      <c r="H1092" s="35" t="s">
        <v>6528</v>
      </c>
      <c r="I1092" s="36" t="s">
        <v>6529</v>
      </c>
      <c r="J1092" s="34" t="s">
        <v>6530</v>
      </c>
      <c r="K1092" s="34" t="s">
        <v>6091</v>
      </c>
      <c r="L1092" s="37"/>
      <c r="M1092" s="37"/>
      <c r="N1092" s="37"/>
      <c r="O1092" s="37"/>
      <c r="P1092" s="37"/>
      <c r="Q1092" s="37"/>
      <c r="R1092" s="31" t="n">
        <f aca="false">COUNT($M1092:$Q1092)</f>
        <v>0</v>
      </c>
      <c r="S1092" s="32" t="str">
        <f aca="false">IF($L1092="","",IF($R1092&gt;=5,"",MAX($L1092:$Q1092)+CHOOSE($R1092+1,SETTINGS!$C$9,SETTINGS!$C$10,SETTINGS!$C$11,SETTINGS!$C$12,SETTINGS!$C$13)))</f>
        <v/>
      </c>
      <c r="T1092" s="34" t="str">
        <f aca="true">IF($H1092="","(chưa có nội dung)",IF($L1092="",IF($C1092&lt;TODAY(),"⚠ TRỄ HỌC",IF($C1092=TODAY(),"★ HỌC HÔM NAY","• Chưa tới")),IF($R1092&gt;=5,"✔ MASTER",IF($S1092&lt;TODAY(),"⚠ TRỄ ÔN",IF($S1092=TODAY(),"◆ ÔN HÔM NAY","✔ Đúng tiến độ")))))</f>
        <v>• Chưa tới</v>
      </c>
      <c r="U1092" s="38" t="n">
        <f aca="false">IF($H1092="","",$R1092/5)</f>
        <v>0</v>
      </c>
    </row>
    <row r="1093" customFormat="false" ht="15" hidden="false" customHeight="false" outlineLevel="0" collapsed="false">
      <c r="A1093" s="31" t="s">
        <v>6531</v>
      </c>
      <c r="B1093" s="31" t="n">
        <v>55</v>
      </c>
      <c r="C1093" s="32" t="n">
        <f aca="false">SETTINGS!$C$3+$B1093-1</f>
        <v>46354</v>
      </c>
      <c r="D1093" s="40" t="s">
        <v>3692</v>
      </c>
      <c r="E1093" s="34" t="s">
        <v>6476</v>
      </c>
      <c r="F1093" s="34" t="s">
        <v>163</v>
      </c>
      <c r="G1093" s="34" t="s">
        <v>6532</v>
      </c>
      <c r="H1093" s="35" t="s">
        <v>6533</v>
      </c>
      <c r="I1093" s="36" t="s">
        <v>6534</v>
      </c>
      <c r="J1093" s="34" t="s">
        <v>6535</v>
      </c>
      <c r="K1093" s="34" t="s">
        <v>6536</v>
      </c>
      <c r="L1093" s="37"/>
      <c r="M1093" s="37"/>
      <c r="N1093" s="37"/>
      <c r="O1093" s="37"/>
      <c r="P1093" s="37"/>
      <c r="Q1093" s="37"/>
      <c r="R1093" s="31" t="n">
        <f aca="false">COUNT($M1093:$Q1093)</f>
        <v>0</v>
      </c>
      <c r="S1093" s="32" t="str">
        <f aca="false">IF($L1093="","",IF($R1093&gt;=5,"",MAX($L1093:$Q1093)+CHOOSE($R1093+1,SETTINGS!$C$9,SETTINGS!$C$10,SETTINGS!$C$11,SETTINGS!$C$12,SETTINGS!$C$13)))</f>
        <v/>
      </c>
      <c r="T1093" s="34" t="str">
        <f aca="true">IF($H1093="","(chưa có nội dung)",IF($L1093="",IF($C1093&lt;TODAY(),"⚠ TRỄ HỌC",IF($C1093=TODAY(),"★ HỌC HÔM NAY","• Chưa tới")),IF($R1093&gt;=5,"✔ MASTER",IF($S1093&lt;TODAY(),"⚠ TRỄ ÔN",IF($S1093=TODAY(),"◆ ÔN HÔM NAY","✔ Đúng tiến độ")))))</f>
        <v>• Chưa tới</v>
      </c>
      <c r="U1093" s="38" t="n">
        <f aca="false">IF($H1093="","",$R1093/5)</f>
        <v>0</v>
      </c>
    </row>
    <row r="1094" customFormat="false" ht="26.85" hidden="false" customHeight="false" outlineLevel="0" collapsed="false">
      <c r="A1094" s="31" t="s">
        <v>6537</v>
      </c>
      <c r="B1094" s="31" t="n">
        <v>55</v>
      </c>
      <c r="C1094" s="32" t="n">
        <f aca="false">SETTINGS!$C$3+$B1094-1</f>
        <v>46354</v>
      </c>
      <c r="D1094" s="40" t="s">
        <v>3692</v>
      </c>
      <c r="E1094" s="34" t="s">
        <v>6476</v>
      </c>
      <c r="F1094" s="34" t="s">
        <v>280</v>
      </c>
      <c r="G1094" s="34" t="s">
        <v>6538</v>
      </c>
      <c r="H1094" s="35" t="s">
        <v>6539</v>
      </c>
      <c r="I1094" s="36" t="s">
        <v>6540</v>
      </c>
      <c r="J1094" s="34" t="s">
        <v>6541</v>
      </c>
      <c r="K1094" s="34" t="s">
        <v>6542</v>
      </c>
      <c r="L1094" s="37"/>
      <c r="M1094" s="37"/>
      <c r="N1094" s="37"/>
      <c r="O1094" s="37"/>
      <c r="P1094" s="37"/>
      <c r="Q1094" s="37"/>
      <c r="R1094" s="31" t="n">
        <f aca="false">COUNT($M1094:$Q1094)</f>
        <v>0</v>
      </c>
      <c r="S1094" s="32" t="str">
        <f aca="false">IF($L1094="","",IF($R1094&gt;=5,"",MAX($L1094:$Q1094)+CHOOSE($R1094+1,SETTINGS!$C$9,SETTINGS!$C$10,SETTINGS!$C$11,SETTINGS!$C$12,SETTINGS!$C$13)))</f>
        <v/>
      </c>
      <c r="T1094" s="34" t="str">
        <f aca="true">IF($H1094="","(chưa có nội dung)",IF($L1094="",IF($C1094&lt;TODAY(),"⚠ TRỄ HỌC",IF($C1094=TODAY(),"★ HỌC HÔM NAY","• Chưa tới")),IF($R1094&gt;=5,"✔ MASTER",IF($S1094&lt;TODAY(),"⚠ TRỄ ÔN",IF($S1094=TODAY(),"◆ ÔN HÔM NAY","✔ Đúng tiến độ")))))</f>
        <v>• Chưa tới</v>
      </c>
      <c r="U1094" s="38" t="n">
        <f aca="false">IF($H1094="","",$R1094/5)</f>
        <v>0</v>
      </c>
    </row>
    <row r="1095" customFormat="false" ht="15" hidden="false" customHeight="false" outlineLevel="0" collapsed="false">
      <c r="A1095" s="31" t="s">
        <v>6543</v>
      </c>
      <c r="B1095" s="31" t="n">
        <v>55</v>
      </c>
      <c r="C1095" s="32" t="n">
        <f aca="false">SETTINGS!$C$3+$B1095-1</f>
        <v>46354</v>
      </c>
      <c r="D1095" s="40" t="s">
        <v>3692</v>
      </c>
      <c r="E1095" s="34" t="s">
        <v>6476</v>
      </c>
      <c r="F1095" s="34" t="s">
        <v>280</v>
      </c>
      <c r="G1095" s="34" t="s">
        <v>6544</v>
      </c>
      <c r="H1095" s="35" t="s">
        <v>6545</v>
      </c>
      <c r="I1095" s="36" t="s">
        <v>6546</v>
      </c>
      <c r="J1095" s="34" t="s">
        <v>6547</v>
      </c>
      <c r="K1095" s="34" t="s">
        <v>6548</v>
      </c>
      <c r="L1095" s="37"/>
      <c r="M1095" s="37"/>
      <c r="N1095" s="37"/>
      <c r="O1095" s="37"/>
      <c r="P1095" s="37"/>
      <c r="Q1095" s="37"/>
      <c r="R1095" s="31" t="n">
        <f aca="false">COUNT($M1095:$Q1095)</f>
        <v>0</v>
      </c>
      <c r="S1095" s="32" t="str">
        <f aca="false">IF($L1095="","",IF($R1095&gt;=5,"",MAX($L1095:$Q1095)+CHOOSE($R1095+1,SETTINGS!$C$9,SETTINGS!$C$10,SETTINGS!$C$11,SETTINGS!$C$12,SETTINGS!$C$13)))</f>
        <v/>
      </c>
      <c r="T1095" s="34" t="str">
        <f aca="true">IF($H1095="","(chưa có nội dung)",IF($L1095="",IF($C1095&lt;TODAY(),"⚠ TRỄ HỌC",IF($C1095=TODAY(),"★ HỌC HÔM NAY","• Chưa tới")),IF($R1095&gt;=5,"✔ MASTER",IF($S1095&lt;TODAY(),"⚠ TRỄ ÔN",IF($S1095=TODAY(),"◆ ÔN HÔM NAY","✔ Đúng tiến độ")))))</f>
        <v>• Chưa tới</v>
      </c>
      <c r="U1095" s="38" t="n">
        <f aca="false">IF($H1095="","",$R1095/5)</f>
        <v>0</v>
      </c>
    </row>
    <row r="1096" customFormat="false" ht="15" hidden="false" customHeight="false" outlineLevel="0" collapsed="false">
      <c r="A1096" s="31" t="s">
        <v>6549</v>
      </c>
      <c r="B1096" s="31" t="n">
        <v>55</v>
      </c>
      <c r="C1096" s="32" t="n">
        <f aca="false">SETTINGS!$C$3+$B1096-1</f>
        <v>46354</v>
      </c>
      <c r="D1096" s="40" t="s">
        <v>3692</v>
      </c>
      <c r="E1096" s="34" t="s">
        <v>6476</v>
      </c>
      <c r="F1096" s="34" t="s">
        <v>280</v>
      </c>
      <c r="G1096" s="34" t="s">
        <v>6550</v>
      </c>
      <c r="H1096" s="35" t="s">
        <v>6551</v>
      </c>
      <c r="I1096" s="36" t="s">
        <v>6552</v>
      </c>
      <c r="J1096" s="34" t="s">
        <v>6553</v>
      </c>
      <c r="K1096" s="34" t="s">
        <v>6554</v>
      </c>
      <c r="L1096" s="37"/>
      <c r="M1096" s="37"/>
      <c r="N1096" s="37"/>
      <c r="O1096" s="37"/>
      <c r="P1096" s="37"/>
      <c r="Q1096" s="37"/>
      <c r="R1096" s="31" t="n">
        <f aca="false">COUNT($M1096:$Q1096)</f>
        <v>0</v>
      </c>
      <c r="S1096" s="32" t="str">
        <f aca="false">IF($L1096="","",IF($R1096&gt;=5,"",MAX($L1096:$Q1096)+CHOOSE($R1096+1,SETTINGS!$C$9,SETTINGS!$C$10,SETTINGS!$C$11,SETTINGS!$C$12,SETTINGS!$C$13)))</f>
        <v/>
      </c>
      <c r="T1096" s="34" t="str">
        <f aca="true">IF($H1096="","(chưa có nội dung)",IF($L1096="",IF($C1096&lt;TODAY(),"⚠ TRỄ HỌC",IF($C1096=TODAY(),"★ HỌC HÔM NAY","• Chưa tới")),IF($R1096&gt;=5,"✔ MASTER",IF($S1096&lt;TODAY(),"⚠ TRỄ ÔN",IF($S1096=TODAY(),"◆ ÔN HÔM NAY","✔ Đúng tiến độ")))))</f>
        <v>• Chưa tới</v>
      </c>
      <c r="U1096" s="38" t="n">
        <f aca="false">IF($H1096="","",$R1096/5)</f>
        <v>0</v>
      </c>
    </row>
    <row r="1097" customFormat="false" ht="15" hidden="false" customHeight="false" outlineLevel="0" collapsed="false">
      <c r="A1097" s="31" t="s">
        <v>6555</v>
      </c>
      <c r="B1097" s="31" t="n">
        <v>55</v>
      </c>
      <c r="C1097" s="32" t="n">
        <f aca="false">SETTINGS!$C$3+$B1097-1</f>
        <v>46354</v>
      </c>
      <c r="D1097" s="40" t="s">
        <v>3692</v>
      </c>
      <c r="E1097" s="34" t="s">
        <v>6476</v>
      </c>
      <c r="F1097" s="34" t="s">
        <v>163</v>
      </c>
      <c r="G1097" s="34" t="s">
        <v>6556</v>
      </c>
      <c r="H1097" s="35" t="s">
        <v>6557</v>
      </c>
      <c r="I1097" s="36" t="s">
        <v>6558</v>
      </c>
      <c r="J1097" s="34" t="s">
        <v>6559</v>
      </c>
      <c r="K1097" s="34" t="s">
        <v>6560</v>
      </c>
      <c r="L1097" s="37"/>
      <c r="M1097" s="37"/>
      <c r="N1097" s="37"/>
      <c r="O1097" s="37"/>
      <c r="P1097" s="37"/>
      <c r="Q1097" s="37"/>
      <c r="R1097" s="31" t="n">
        <f aca="false">COUNT($M1097:$Q1097)</f>
        <v>0</v>
      </c>
      <c r="S1097" s="32" t="str">
        <f aca="false">IF($L1097="","",IF($R1097&gt;=5,"",MAX($L1097:$Q1097)+CHOOSE($R1097+1,SETTINGS!$C$9,SETTINGS!$C$10,SETTINGS!$C$11,SETTINGS!$C$12,SETTINGS!$C$13)))</f>
        <v/>
      </c>
      <c r="T1097" s="34" t="str">
        <f aca="true">IF($H1097="","(chưa có nội dung)",IF($L1097="",IF($C1097&lt;TODAY(),"⚠ TRỄ HỌC",IF($C1097=TODAY(),"★ HỌC HÔM NAY","• Chưa tới")),IF($R1097&gt;=5,"✔ MASTER",IF($S1097&lt;TODAY(),"⚠ TRỄ ÔN",IF($S1097=TODAY(),"◆ ÔN HÔM NAY","✔ Đúng tiến độ")))))</f>
        <v>• Chưa tới</v>
      </c>
      <c r="U1097" s="38" t="n">
        <f aca="false">IF($H1097="","",$R1097/5)</f>
        <v>0</v>
      </c>
    </row>
    <row r="1098" customFormat="false" ht="15" hidden="false" customHeight="false" outlineLevel="0" collapsed="false">
      <c r="A1098" s="31" t="s">
        <v>6561</v>
      </c>
      <c r="B1098" s="31" t="n">
        <v>55</v>
      </c>
      <c r="C1098" s="32" t="n">
        <f aca="false">SETTINGS!$C$3+$B1098-1</f>
        <v>46354</v>
      </c>
      <c r="D1098" s="40" t="s">
        <v>3692</v>
      </c>
      <c r="E1098" s="34" t="s">
        <v>6476</v>
      </c>
      <c r="F1098" s="34" t="s">
        <v>280</v>
      </c>
      <c r="G1098" s="34" t="s">
        <v>6562</v>
      </c>
      <c r="H1098" s="35" t="s">
        <v>6563</v>
      </c>
      <c r="I1098" s="36" t="s">
        <v>6564</v>
      </c>
      <c r="J1098" s="34" t="s">
        <v>6565</v>
      </c>
      <c r="K1098" s="34" t="s">
        <v>6566</v>
      </c>
      <c r="L1098" s="37"/>
      <c r="M1098" s="37"/>
      <c r="N1098" s="37"/>
      <c r="O1098" s="37"/>
      <c r="P1098" s="37"/>
      <c r="Q1098" s="37"/>
      <c r="R1098" s="31" t="n">
        <f aca="false">COUNT($M1098:$Q1098)</f>
        <v>0</v>
      </c>
      <c r="S1098" s="32" t="str">
        <f aca="false">IF($L1098="","",IF($R1098&gt;=5,"",MAX($L1098:$Q1098)+CHOOSE($R1098+1,SETTINGS!$C$9,SETTINGS!$C$10,SETTINGS!$C$11,SETTINGS!$C$12,SETTINGS!$C$13)))</f>
        <v/>
      </c>
      <c r="T1098" s="34" t="str">
        <f aca="true">IF($H1098="","(chưa có nội dung)",IF($L1098="",IF($C1098&lt;TODAY(),"⚠ TRỄ HỌC",IF($C1098=TODAY(),"★ HỌC HÔM NAY","• Chưa tới")),IF($R1098&gt;=5,"✔ MASTER",IF($S1098&lt;TODAY(),"⚠ TRỄ ÔN",IF($S1098=TODAY(),"◆ ÔN HÔM NAY","✔ Đúng tiến độ")))))</f>
        <v>• Chưa tới</v>
      </c>
      <c r="U1098" s="38" t="n">
        <f aca="false">IF($H1098="","",$R1098/5)</f>
        <v>0</v>
      </c>
    </row>
    <row r="1099" customFormat="false" ht="15" hidden="false" customHeight="false" outlineLevel="0" collapsed="false">
      <c r="A1099" s="31" t="s">
        <v>6567</v>
      </c>
      <c r="B1099" s="31" t="n">
        <v>55</v>
      </c>
      <c r="C1099" s="32" t="n">
        <f aca="false">SETTINGS!$C$3+$B1099-1</f>
        <v>46354</v>
      </c>
      <c r="D1099" s="40" t="s">
        <v>3692</v>
      </c>
      <c r="E1099" s="34" t="s">
        <v>6476</v>
      </c>
      <c r="F1099" s="34" t="s">
        <v>280</v>
      </c>
      <c r="G1099" s="34" t="s">
        <v>6568</v>
      </c>
      <c r="H1099" s="35" t="s">
        <v>6569</v>
      </c>
      <c r="I1099" s="36" t="s">
        <v>6570</v>
      </c>
      <c r="J1099" s="34" t="s">
        <v>6571</v>
      </c>
      <c r="K1099" s="34" t="s">
        <v>6568</v>
      </c>
      <c r="L1099" s="37"/>
      <c r="M1099" s="37"/>
      <c r="N1099" s="37"/>
      <c r="O1099" s="37"/>
      <c r="P1099" s="37"/>
      <c r="Q1099" s="37"/>
      <c r="R1099" s="31" t="n">
        <f aca="false">COUNT($M1099:$Q1099)</f>
        <v>0</v>
      </c>
      <c r="S1099" s="32" t="str">
        <f aca="false">IF($L1099="","",IF($R1099&gt;=5,"",MAX($L1099:$Q1099)+CHOOSE($R1099+1,SETTINGS!$C$9,SETTINGS!$C$10,SETTINGS!$C$11,SETTINGS!$C$12,SETTINGS!$C$13)))</f>
        <v/>
      </c>
      <c r="T1099" s="34" t="str">
        <f aca="true">IF($H1099="","(chưa có nội dung)",IF($L1099="",IF($C1099&lt;TODAY(),"⚠ TRỄ HỌC",IF($C1099=TODAY(),"★ HỌC HÔM NAY","• Chưa tới")),IF($R1099&gt;=5,"✔ MASTER",IF($S1099&lt;TODAY(),"⚠ TRỄ ÔN",IF($S1099=TODAY(),"◆ ÔN HÔM NAY","✔ Đúng tiến độ")))))</f>
        <v>• Chưa tới</v>
      </c>
      <c r="U1099" s="38" t="n">
        <f aca="false">IF($H1099="","",$R1099/5)</f>
        <v>0</v>
      </c>
    </row>
    <row r="1100" customFormat="false" ht="15" hidden="false" customHeight="false" outlineLevel="0" collapsed="false">
      <c r="A1100" s="31" t="s">
        <v>6572</v>
      </c>
      <c r="B1100" s="31" t="n">
        <v>55</v>
      </c>
      <c r="C1100" s="32" t="n">
        <f aca="false">SETTINGS!$C$3+$B1100-1</f>
        <v>46354</v>
      </c>
      <c r="D1100" s="40" t="s">
        <v>3692</v>
      </c>
      <c r="E1100" s="34" t="s">
        <v>6476</v>
      </c>
      <c r="F1100" s="34" t="s">
        <v>280</v>
      </c>
      <c r="G1100" s="34" t="s">
        <v>5355</v>
      </c>
      <c r="H1100" s="35" t="s">
        <v>6573</v>
      </c>
      <c r="I1100" s="36" t="s">
        <v>6574</v>
      </c>
      <c r="J1100" s="34" t="s">
        <v>6575</v>
      </c>
      <c r="K1100" s="34" t="s">
        <v>5359</v>
      </c>
      <c r="L1100" s="37"/>
      <c r="M1100" s="37"/>
      <c r="N1100" s="37"/>
      <c r="O1100" s="37"/>
      <c r="P1100" s="37"/>
      <c r="Q1100" s="37"/>
      <c r="R1100" s="31" t="n">
        <f aca="false">COUNT($M1100:$Q1100)</f>
        <v>0</v>
      </c>
      <c r="S1100" s="32" t="str">
        <f aca="false">IF($L1100="","",IF($R1100&gt;=5,"",MAX($L1100:$Q1100)+CHOOSE($R1100+1,SETTINGS!$C$9,SETTINGS!$C$10,SETTINGS!$C$11,SETTINGS!$C$12,SETTINGS!$C$13)))</f>
        <v/>
      </c>
      <c r="T1100" s="34" t="str">
        <f aca="true">IF($H1100="","(chưa có nội dung)",IF($L1100="",IF($C1100&lt;TODAY(),"⚠ TRỄ HỌC",IF($C1100=TODAY(),"★ HỌC HÔM NAY","• Chưa tới")),IF($R1100&gt;=5,"✔ MASTER",IF($S1100&lt;TODAY(),"⚠ TRỄ ÔN",IF($S1100=TODAY(),"◆ ÔN HÔM NAY","✔ Đúng tiến độ")))))</f>
        <v>• Chưa tới</v>
      </c>
      <c r="U1100" s="38" t="n">
        <f aca="false">IF($H1100="","",$R1100/5)</f>
        <v>0</v>
      </c>
    </row>
    <row r="1101" customFormat="false" ht="23.85" hidden="false" customHeight="false" outlineLevel="0" collapsed="false">
      <c r="A1101" s="31" t="s">
        <v>6576</v>
      </c>
      <c r="B1101" s="31" t="n">
        <v>55</v>
      </c>
      <c r="C1101" s="32" t="n">
        <f aca="false">SETTINGS!$C$3+$B1101-1</f>
        <v>46354</v>
      </c>
      <c r="D1101" s="40" t="s">
        <v>3692</v>
      </c>
      <c r="E1101" s="34" t="s">
        <v>6476</v>
      </c>
      <c r="F1101" s="34" t="s">
        <v>5676</v>
      </c>
      <c r="G1101" s="34" t="s">
        <v>6577</v>
      </c>
      <c r="H1101" s="35" t="s">
        <v>6578</v>
      </c>
      <c r="I1101" s="36" t="s">
        <v>6579</v>
      </c>
      <c r="J1101" s="34" t="s">
        <v>6580</v>
      </c>
      <c r="K1101" s="34" t="s">
        <v>6581</v>
      </c>
      <c r="L1101" s="37"/>
      <c r="M1101" s="37"/>
      <c r="N1101" s="37"/>
      <c r="O1101" s="37"/>
      <c r="P1101" s="37"/>
      <c r="Q1101" s="37"/>
      <c r="R1101" s="31" t="n">
        <f aca="false">COUNT($M1101:$Q1101)</f>
        <v>0</v>
      </c>
      <c r="S1101" s="32" t="str">
        <f aca="false">IF($L1101="","",IF($R1101&gt;=5,"",MAX($L1101:$Q1101)+CHOOSE($R1101+1,SETTINGS!$C$9,SETTINGS!$C$10,SETTINGS!$C$11,SETTINGS!$C$12,SETTINGS!$C$13)))</f>
        <v/>
      </c>
      <c r="T1101" s="34" t="str">
        <f aca="true">IF($H1101="","(chưa có nội dung)",IF($L1101="",IF($C1101&lt;TODAY(),"⚠ TRỄ HỌC",IF($C1101=TODAY(),"★ HỌC HÔM NAY","• Chưa tới")),IF($R1101&gt;=5,"✔ MASTER",IF($S1101&lt;TODAY(),"⚠ TRỄ ÔN",IF($S1101=TODAY(),"◆ ÔN HÔM NAY","✔ Đúng tiến độ")))))</f>
        <v>• Chưa tới</v>
      </c>
      <c r="U1101" s="38" t="n">
        <f aca="false">IF($H1101="","",$R1101/5)</f>
        <v>0</v>
      </c>
    </row>
    <row r="1102" customFormat="false" ht="15" hidden="false" customHeight="false" outlineLevel="0" collapsed="false">
      <c r="A1102" s="31" t="s">
        <v>6582</v>
      </c>
      <c r="B1102" s="31" t="n">
        <v>55</v>
      </c>
      <c r="C1102" s="32" t="n">
        <f aca="false">SETTINGS!$C$3+$B1102-1</f>
        <v>46354</v>
      </c>
      <c r="D1102" s="40" t="s">
        <v>3692</v>
      </c>
      <c r="E1102" s="34" t="s">
        <v>6476</v>
      </c>
      <c r="F1102" s="34" t="s">
        <v>280</v>
      </c>
      <c r="G1102" s="34" t="s">
        <v>6583</v>
      </c>
      <c r="H1102" s="35" t="s">
        <v>6584</v>
      </c>
      <c r="I1102" s="36" t="s">
        <v>6585</v>
      </c>
      <c r="J1102" s="34" t="s">
        <v>6586</v>
      </c>
      <c r="K1102" s="34" t="s">
        <v>6587</v>
      </c>
      <c r="L1102" s="37"/>
      <c r="M1102" s="37"/>
      <c r="N1102" s="37"/>
      <c r="O1102" s="37"/>
      <c r="P1102" s="37"/>
      <c r="Q1102" s="37"/>
      <c r="R1102" s="31" t="n">
        <f aca="false">COUNT($M1102:$Q1102)</f>
        <v>0</v>
      </c>
      <c r="S1102" s="32" t="str">
        <f aca="false">IF($L1102="","",IF($R1102&gt;=5,"",MAX($L1102:$Q1102)+CHOOSE($R1102+1,SETTINGS!$C$9,SETTINGS!$C$10,SETTINGS!$C$11,SETTINGS!$C$12,SETTINGS!$C$13)))</f>
        <v/>
      </c>
      <c r="T1102" s="34" t="str">
        <f aca="true">IF($H1102="","(chưa có nội dung)",IF($L1102="",IF($C1102&lt;TODAY(),"⚠ TRỄ HỌC",IF($C1102=TODAY(),"★ HỌC HÔM NAY","• Chưa tới")),IF($R1102&gt;=5,"✔ MASTER",IF($S1102&lt;TODAY(),"⚠ TRỄ ÔN",IF($S1102=TODAY(),"◆ ÔN HÔM NAY","✔ Đúng tiến độ")))))</f>
        <v>• Chưa tới</v>
      </c>
      <c r="U1102" s="38" t="n">
        <f aca="false">IF($H1102="","",$R1102/5)</f>
        <v>0</v>
      </c>
    </row>
    <row r="1103" customFormat="false" ht="23.85" hidden="false" customHeight="false" outlineLevel="0" collapsed="false">
      <c r="A1103" s="31" t="s">
        <v>6588</v>
      </c>
      <c r="B1103" s="31" t="n">
        <v>56</v>
      </c>
      <c r="C1103" s="32" t="n">
        <f aca="false">SETTINGS!$C$3+$B1103-1</f>
        <v>46355</v>
      </c>
      <c r="D1103" s="40" t="s">
        <v>3692</v>
      </c>
      <c r="E1103" s="34" t="s">
        <v>6589</v>
      </c>
      <c r="F1103" s="34" t="s">
        <v>163</v>
      </c>
      <c r="G1103" s="34" t="s">
        <v>6590</v>
      </c>
      <c r="H1103" s="35" t="s">
        <v>6591</v>
      </c>
      <c r="I1103" s="36" t="s">
        <v>6592</v>
      </c>
      <c r="J1103" s="34" t="s">
        <v>6593</v>
      </c>
      <c r="K1103" s="34" t="s">
        <v>6594</v>
      </c>
      <c r="L1103" s="37"/>
      <c r="M1103" s="37"/>
      <c r="N1103" s="37"/>
      <c r="O1103" s="37"/>
      <c r="P1103" s="37"/>
      <c r="Q1103" s="37"/>
      <c r="R1103" s="31" t="n">
        <f aca="false">COUNT($M1103:$Q1103)</f>
        <v>0</v>
      </c>
      <c r="S1103" s="32" t="str">
        <f aca="false">IF($L1103="","",IF($R1103&gt;=5,"",MAX($L1103:$Q1103)+CHOOSE($R1103+1,SETTINGS!$C$9,SETTINGS!$C$10,SETTINGS!$C$11,SETTINGS!$C$12,SETTINGS!$C$13)))</f>
        <v/>
      </c>
      <c r="T1103" s="34" t="str">
        <f aca="true">IF($H1103="","(chưa có nội dung)",IF($L1103="",IF($C1103&lt;TODAY(),"⚠ TRỄ HỌC",IF($C1103=TODAY(),"★ HỌC HÔM NAY","• Chưa tới")),IF($R1103&gt;=5,"✔ MASTER",IF($S1103&lt;TODAY(),"⚠ TRỄ ÔN",IF($S1103=TODAY(),"◆ ÔN HÔM NAY","✔ Đúng tiến độ")))))</f>
        <v>• Chưa tới</v>
      </c>
      <c r="U1103" s="38" t="n">
        <f aca="false">IF($H1103="","",$R1103/5)</f>
        <v>0</v>
      </c>
    </row>
    <row r="1104" customFormat="false" ht="15" hidden="false" customHeight="false" outlineLevel="0" collapsed="false">
      <c r="A1104" s="31" t="s">
        <v>6595</v>
      </c>
      <c r="B1104" s="31" t="n">
        <v>56</v>
      </c>
      <c r="C1104" s="32" t="n">
        <f aca="false">SETTINGS!$C$3+$B1104-1</f>
        <v>46355</v>
      </c>
      <c r="D1104" s="40" t="s">
        <v>3692</v>
      </c>
      <c r="E1104" s="34" t="s">
        <v>6589</v>
      </c>
      <c r="F1104" s="34" t="s">
        <v>280</v>
      </c>
      <c r="G1104" s="34" t="s">
        <v>6596</v>
      </c>
      <c r="H1104" s="35" t="s">
        <v>6597</v>
      </c>
      <c r="I1104" s="36" t="s">
        <v>6598</v>
      </c>
      <c r="J1104" s="34" t="s">
        <v>6599</v>
      </c>
      <c r="K1104" s="34" t="s">
        <v>6600</v>
      </c>
      <c r="L1104" s="37"/>
      <c r="M1104" s="37"/>
      <c r="N1104" s="37"/>
      <c r="O1104" s="37"/>
      <c r="P1104" s="37"/>
      <c r="Q1104" s="37"/>
      <c r="R1104" s="31" t="n">
        <f aca="false">COUNT($M1104:$Q1104)</f>
        <v>0</v>
      </c>
      <c r="S1104" s="32" t="str">
        <f aca="false">IF($L1104="","",IF($R1104&gt;=5,"",MAX($L1104:$Q1104)+CHOOSE($R1104+1,SETTINGS!$C$9,SETTINGS!$C$10,SETTINGS!$C$11,SETTINGS!$C$12,SETTINGS!$C$13)))</f>
        <v/>
      </c>
      <c r="T1104" s="34" t="str">
        <f aca="true">IF($H1104="","(chưa có nội dung)",IF($L1104="",IF($C1104&lt;TODAY(),"⚠ TRỄ HỌC",IF($C1104=TODAY(),"★ HỌC HÔM NAY","• Chưa tới")),IF($R1104&gt;=5,"✔ MASTER",IF($S1104&lt;TODAY(),"⚠ TRỄ ÔN",IF($S1104=TODAY(),"◆ ÔN HÔM NAY","✔ Đúng tiến độ")))))</f>
        <v>• Chưa tới</v>
      </c>
      <c r="U1104" s="38" t="n">
        <f aca="false">IF($H1104="","",$R1104/5)</f>
        <v>0</v>
      </c>
    </row>
    <row r="1105" customFormat="false" ht="15" hidden="false" customHeight="false" outlineLevel="0" collapsed="false">
      <c r="A1105" s="31" t="s">
        <v>6601</v>
      </c>
      <c r="B1105" s="31" t="n">
        <v>56</v>
      </c>
      <c r="C1105" s="32" t="n">
        <f aca="false">SETTINGS!$C$3+$B1105-1</f>
        <v>46355</v>
      </c>
      <c r="D1105" s="40" t="s">
        <v>3692</v>
      </c>
      <c r="E1105" s="34" t="s">
        <v>6589</v>
      </c>
      <c r="F1105" s="34" t="s">
        <v>280</v>
      </c>
      <c r="G1105" s="34" t="s">
        <v>1895</v>
      </c>
      <c r="H1105" s="35" t="s">
        <v>6602</v>
      </c>
      <c r="I1105" s="36" t="s">
        <v>6603</v>
      </c>
      <c r="J1105" s="34" t="s">
        <v>6604</v>
      </c>
      <c r="K1105" s="34" t="s">
        <v>6605</v>
      </c>
      <c r="L1105" s="37"/>
      <c r="M1105" s="37"/>
      <c r="N1105" s="37"/>
      <c r="O1105" s="37"/>
      <c r="P1105" s="37"/>
      <c r="Q1105" s="37"/>
      <c r="R1105" s="31" t="n">
        <f aca="false">COUNT($M1105:$Q1105)</f>
        <v>0</v>
      </c>
      <c r="S1105" s="32" t="str">
        <f aca="false">IF($L1105="","",IF($R1105&gt;=5,"",MAX($L1105:$Q1105)+CHOOSE($R1105+1,SETTINGS!$C$9,SETTINGS!$C$10,SETTINGS!$C$11,SETTINGS!$C$12,SETTINGS!$C$13)))</f>
        <v/>
      </c>
      <c r="T1105" s="34" t="str">
        <f aca="true">IF($H1105="","(chưa có nội dung)",IF($L1105="",IF($C1105&lt;TODAY(),"⚠ TRỄ HỌC",IF($C1105=TODAY(),"★ HỌC HÔM NAY","• Chưa tới")),IF($R1105&gt;=5,"✔ MASTER",IF($S1105&lt;TODAY(),"⚠ TRỄ ÔN",IF($S1105=TODAY(),"◆ ÔN HÔM NAY","✔ Đúng tiến độ")))))</f>
        <v>• Chưa tới</v>
      </c>
      <c r="U1105" s="38" t="n">
        <f aca="false">IF($H1105="","",$R1105/5)</f>
        <v>0</v>
      </c>
    </row>
    <row r="1106" customFormat="false" ht="15" hidden="false" customHeight="false" outlineLevel="0" collapsed="false">
      <c r="A1106" s="31" t="s">
        <v>6606</v>
      </c>
      <c r="B1106" s="31" t="n">
        <v>56</v>
      </c>
      <c r="C1106" s="32" t="n">
        <f aca="false">SETTINGS!$C$3+$B1106-1</f>
        <v>46355</v>
      </c>
      <c r="D1106" s="40" t="s">
        <v>3692</v>
      </c>
      <c r="E1106" s="34" t="s">
        <v>6589</v>
      </c>
      <c r="F1106" s="34" t="s">
        <v>163</v>
      </c>
      <c r="G1106" s="34" t="s">
        <v>6607</v>
      </c>
      <c r="H1106" s="35" t="s">
        <v>6608</v>
      </c>
      <c r="I1106" s="36" t="s">
        <v>6609</v>
      </c>
      <c r="J1106" s="34" t="s">
        <v>6610</v>
      </c>
      <c r="K1106" s="34" t="s">
        <v>6611</v>
      </c>
      <c r="L1106" s="37"/>
      <c r="M1106" s="37"/>
      <c r="N1106" s="37"/>
      <c r="O1106" s="37"/>
      <c r="P1106" s="37"/>
      <c r="Q1106" s="37"/>
      <c r="R1106" s="31" t="n">
        <f aca="false">COUNT($M1106:$Q1106)</f>
        <v>0</v>
      </c>
      <c r="S1106" s="32" t="str">
        <f aca="false">IF($L1106="","",IF($R1106&gt;=5,"",MAX($L1106:$Q1106)+CHOOSE($R1106+1,SETTINGS!$C$9,SETTINGS!$C$10,SETTINGS!$C$11,SETTINGS!$C$12,SETTINGS!$C$13)))</f>
        <v/>
      </c>
      <c r="T1106" s="34" t="str">
        <f aca="true">IF($H1106="","(chưa có nội dung)",IF($L1106="",IF($C1106&lt;TODAY(),"⚠ TRỄ HỌC",IF($C1106=TODAY(),"★ HỌC HÔM NAY","• Chưa tới")),IF($R1106&gt;=5,"✔ MASTER",IF($S1106&lt;TODAY(),"⚠ TRỄ ÔN",IF($S1106=TODAY(),"◆ ÔN HÔM NAY","✔ Đúng tiến độ")))))</f>
        <v>• Chưa tới</v>
      </c>
      <c r="U1106" s="38" t="n">
        <f aca="false">IF($H1106="","",$R1106/5)</f>
        <v>0</v>
      </c>
    </row>
    <row r="1107" customFormat="false" ht="15" hidden="false" customHeight="false" outlineLevel="0" collapsed="false">
      <c r="A1107" s="31" t="s">
        <v>6612</v>
      </c>
      <c r="B1107" s="31" t="n">
        <v>56</v>
      </c>
      <c r="C1107" s="32" t="n">
        <f aca="false">SETTINGS!$C$3+$B1107-1</f>
        <v>46355</v>
      </c>
      <c r="D1107" s="40" t="s">
        <v>3692</v>
      </c>
      <c r="E1107" s="34" t="s">
        <v>6589</v>
      </c>
      <c r="F1107" s="34" t="s">
        <v>280</v>
      </c>
      <c r="G1107" s="34" t="s">
        <v>6613</v>
      </c>
      <c r="H1107" s="35" t="s">
        <v>6614</v>
      </c>
      <c r="I1107" s="36" t="s">
        <v>6615</v>
      </c>
      <c r="J1107" s="34" t="s">
        <v>6616</v>
      </c>
      <c r="K1107" s="34" t="s">
        <v>6617</v>
      </c>
      <c r="L1107" s="37"/>
      <c r="M1107" s="37"/>
      <c r="N1107" s="37"/>
      <c r="O1107" s="37"/>
      <c r="P1107" s="37"/>
      <c r="Q1107" s="37"/>
      <c r="R1107" s="31" t="n">
        <f aca="false">COUNT($M1107:$Q1107)</f>
        <v>0</v>
      </c>
      <c r="S1107" s="32" t="str">
        <f aca="false">IF($L1107="","",IF($R1107&gt;=5,"",MAX($L1107:$Q1107)+CHOOSE($R1107+1,SETTINGS!$C$9,SETTINGS!$C$10,SETTINGS!$C$11,SETTINGS!$C$12,SETTINGS!$C$13)))</f>
        <v/>
      </c>
      <c r="T1107" s="34" t="str">
        <f aca="true">IF($H1107="","(chưa có nội dung)",IF($L1107="",IF($C1107&lt;TODAY(),"⚠ TRỄ HỌC",IF($C1107=TODAY(),"★ HỌC HÔM NAY","• Chưa tới")),IF($R1107&gt;=5,"✔ MASTER",IF($S1107&lt;TODAY(),"⚠ TRỄ ÔN",IF($S1107=TODAY(),"◆ ÔN HÔM NAY","✔ Đúng tiến độ")))))</f>
        <v>• Chưa tới</v>
      </c>
      <c r="U1107" s="38" t="n">
        <f aca="false">IF($H1107="","",$R1107/5)</f>
        <v>0</v>
      </c>
    </row>
    <row r="1108" customFormat="false" ht="15" hidden="false" customHeight="false" outlineLevel="0" collapsed="false">
      <c r="A1108" s="31" t="s">
        <v>6618</v>
      </c>
      <c r="B1108" s="31" t="n">
        <v>56</v>
      </c>
      <c r="C1108" s="32" t="n">
        <f aca="false">SETTINGS!$C$3+$B1108-1</f>
        <v>46355</v>
      </c>
      <c r="D1108" s="40" t="s">
        <v>3692</v>
      </c>
      <c r="E1108" s="34" t="s">
        <v>6589</v>
      </c>
      <c r="F1108" s="34" t="s">
        <v>202</v>
      </c>
      <c r="G1108" s="34" t="s">
        <v>6619</v>
      </c>
      <c r="H1108" s="35" t="s">
        <v>6620</v>
      </c>
      <c r="I1108" s="36" t="s">
        <v>6621</v>
      </c>
      <c r="J1108" s="34" t="s">
        <v>6622</v>
      </c>
      <c r="K1108" s="34" t="s">
        <v>6623</v>
      </c>
      <c r="L1108" s="37"/>
      <c r="M1108" s="37"/>
      <c r="N1108" s="37"/>
      <c r="O1108" s="37"/>
      <c r="P1108" s="37"/>
      <c r="Q1108" s="37"/>
      <c r="R1108" s="31" t="n">
        <f aca="false">COUNT($M1108:$Q1108)</f>
        <v>0</v>
      </c>
      <c r="S1108" s="32" t="str">
        <f aca="false">IF($L1108="","",IF($R1108&gt;=5,"",MAX($L1108:$Q1108)+CHOOSE($R1108+1,SETTINGS!$C$9,SETTINGS!$C$10,SETTINGS!$C$11,SETTINGS!$C$12,SETTINGS!$C$13)))</f>
        <v/>
      </c>
      <c r="T1108" s="34" t="str">
        <f aca="true">IF($H1108="","(chưa có nội dung)",IF($L1108="",IF($C1108&lt;TODAY(),"⚠ TRỄ HỌC",IF($C1108=TODAY(),"★ HỌC HÔM NAY","• Chưa tới")),IF($R1108&gt;=5,"✔ MASTER",IF($S1108&lt;TODAY(),"⚠ TRỄ ÔN",IF($S1108=TODAY(),"◆ ÔN HÔM NAY","✔ Đúng tiến độ")))))</f>
        <v>• Chưa tới</v>
      </c>
      <c r="U1108" s="38" t="n">
        <f aca="false">IF($H1108="","",$R1108/5)</f>
        <v>0</v>
      </c>
    </row>
    <row r="1109" customFormat="false" ht="15" hidden="false" customHeight="false" outlineLevel="0" collapsed="false">
      <c r="A1109" s="31" t="s">
        <v>6624</v>
      </c>
      <c r="B1109" s="31" t="n">
        <v>56</v>
      </c>
      <c r="C1109" s="32" t="n">
        <f aca="false">SETTINGS!$C$3+$B1109-1</f>
        <v>46355</v>
      </c>
      <c r="D1109" s="40" t="s">
        <v>3692</v>
      </c>
      <c r="E1109" s="34" t="s">
        <v>6589</v>
      </c>
      <c r="F1109" s="34" t="s">
        <v>3656</v>
      </c>
      <c r="G1109" s="34" t="s">
        <v>6625</v>
      </c>
      <c r="H1109" s="35" t="s">
        <v>6626</v>
      </c>
      <c r="I1109" s="36" t="s">
        <v>6627</v>
      </c>
      <c r="J1109" s="34" t="s">
        <v>6628</v>
      </c>
      <c r="K1109" s="34" t="s">
        <v>6625</v>
      </c>
      <c r="L1109" s="37"/>
      <c r="M1109" s="37"/>
      <c r="N1109" s="37"/>
      <c r="O1109" s="37"/>
      <c r="P1109" s="37"/>
      <c r="Q1109" s="37"/>
      <c r="R1109" s="31" t="n">
        <f aca="false">COUNT($M1109:$Q1109)</f>
        <v>0</v>
      </c>
      <c r="S1109" s="32" t="str">
        <f aca="false">IF($L1109="","",IF($R1109&gt;=5,"",MAX($L1109:$Q1109)+CHOOSE($R1109+1,SETTINGS!$C$9,SETTINGS!$C$10,SETTINGS!$C$11,SETTINGS!$C$12,SETTINGS!$C$13)))</f>
        <v/>
      </c>
      <c r="T1109" s="34" t="str">
        <f aca="true">IF($H1109="","(chưa có nội dung)",IF($L1109="",IF($C1109&lt;TODAY(),"⚠ TRỄ HỌC",IF($C1109=TODAY(),"★ HỌC HÔM NAY","• Chưa tới")),IF($R1109&gt;=5,"✔ MASTER",IF($S1109&lt;TODAY(),"⚠ TRỄ ÔN",IF($S1109=TODAY(),"◆ ÔN HÔM NAY","✔ Đúng tiến độ")))))</f>
        <v>• Chưa tới</v>
      </c>
      <c r="U1109" s="38" t="n">
        <f aca="false">IF($H1109="","",$R1109/5)</f>
        <v>0</v>
      </c>
    </row>
    <row r="1110" customFormat="false" ht="15" hidden="false" customHeight="false" outlineLevel="0" collapsed="false">
      <c r="A1110" s="31" t="s">
        <v>6629</v>
      </c>
      <c r="B1110" s="31" t="n">
        <v>56</v>
      </c>
      <c r="C1110" s="32" t="n">
        <f aca="false">SETTINGS!$C$3+$B1110-1</f>
        <v>46355</v>
      </c>
      <c r="D1110" s="40" t="s">
        <v>3692</v>
      </c>
      <c r="E1110" s="34" t="s">
        <v>6589</v>
      </c>
      <c r="F1110" s="34" t="s">
        <v>280</v>
      </c>
      <c r="G1110" s="34" t="s">
        <v>6630</v>
      </c>
      <c r="H1110" s="35" t="s">
        <v>6631</v>
      </c>
      <c r="I1110" s="36" t="s">
        <v>6632</v>
      </c>
      <c r="J1110" s="34" t="s">
        <v>6633</v>
      </c>
      <c r="K1110" s="34" t="s">
        <v>6634</v>
      </c>
      <c r="L1110" s="37"/>
      <c r="M1110" s="37"/>
      <c r="N1110" s="37"/>
      <c r="O1110" s="37"/>
      <c r="P1110" s="37"/>
      <c r="Q1110" s="37"/>
      <c r="R1110" s="31" t="n">
        <f aca="false">COUNT($M1110:$Q1110)</f>
        <v>0</v>
      </c>
      <c r="S1110" s="32" t="str">
        <f aca="false">IF($L1110="","",IF($R1110&gt;=5,"",MAX($L1110:$Q1110)+CHOOSE($R1110+1,SETTINGS!$C$9,SETTINGS!$C$10,SETTINGS!$C$11,SETTINGS!$C$12,SETTINGS!$C$13)))</f>
        <v/>
      </c>
      <c r="T1110" s="34" t="str">
        <f aca="true">IF($H1110="","(chưa có nội dung)",IF($L1110="",IF($C1110&lt;TODAY(),"⚠ TRỄ HỌC",IF($C1110=TODAY(),"★ HỌC HÔM NAY","• Chưa tới")),IF($R1110&gt;=5,"✔ MASTER",IF($S1110&lt;TODAY(),"⚠ TRỄ ÔN",IF($S1110=TODAY(),"◆ ÔN HÔM NAY","✔ Đúng tiến độ")))))</f>
        <v>• Chưa tới</v>
      </c>
      <c r="U1110" s="38" t="n">
        <f aca="false">IF($H1110="","",$R1110/5)</f>
        <v>0</v>
      </c>
    </row>
    <row r="1111" customFormat="false" ht="15" hidden="false" customHeight="false" outlineLevel="0" collapsed="false">
      <c r="A1111" s="31" t="s">
        <v>6635</v>
      </c>
      <c r="B1111" s="31" t="n">
        <v>56</v>
      </c>
      <c r="C1111" s="32" t="n">
        <f aca="false">SETTINGS!$C$3+$B1111-1</f>
        <v>46355</v>
      </c>
      <c r="D1111" s="40" t="s">
        <v>3692</v>
      </c>
      <c r="E1111" s="34" t="s">
        <v>6589</v>
      </c>
      <c r="F1111" s="34" t="s">
        <v>163</v>
      </c>
      <c r="G1111" s="34" t="s">
        <v>6636</v>
      </c>
      <c r="H1111" s="35" t="s">
        <v>6637</v>
      </c>
      <c r="I1111" s="36" t="s">
        <v>6638</v>
      </c>
      <c r="J1111" s="34" t="s">
        <v>6639</v>
      </c>
      <c r="K1111" s="34" t="s">
        <v>6640</v>
      </c>
      <c r="L1111" s="37"/>
      <c r="M1111" s="37"/>
      <c r="N1111" s="37"/>
      <c r="O1111" s="37"/>
      <c r="P1111" s="37"/>
      <c r="Q1111" s="37"/>
      <c r="R1111" s="31" t="n">
        <f aca="false">COUNT($M1111:$Q1111)</f>
        <v>0</v>
      </c>
      <c r="S1111" s="32" t="str">
        <f aca="false">IF($L1111="","",IF($R1111&gt;=5,"",MAX($L1111:$Q1111)+CHOOSE($R1111+1,SETTINGS!$C$9,SETTINGS!$C$10,SETTINGS!$C$11,SETTINGS!$C$12,SETTINGS!$C$13)))</f>
        <v/>
      </c>
      <c r="T1111" s="34" t="str">
        <f aca="true">IF($H1111="","(chưa có nội dung)",IF($L1111="",IF($C1111&lt;TODAY(),"⚠ TRỄ HỌC",IF($C1111=TODAY(),"★ HỌC HÔM NAY","• Chưa tới")),IF($R1111&gt;=5,"✔ MASTER",IF($S1111&lt;TODAY(),"⚠ TRỄ ÔN",IF($S1111=TODAY(),"◆ ÔN HÔM NAY","✔ Đúng tiến độ")))))</f>
        <v>• Chưa tới</v>
      </c>
      <c r="U1111" s="38" t="n">
        <f aca="false">IF($H1111="","",$R1111/5)</f>
        <v>0</v>
      </c>
    </row>
    <row r="1112" customFormat="false" ht="15" hidden="false" customHeight="false" outlineLevel="0" collapsed="false">
      <c r="A1112" s="31" t="s">
        <v>6641</v>
      </c>
      <c r="B1112" s="31" t="n">
        <v>56</v>
      </c>
      <c r="C1112" s="32" t="n">
        <f aca="false">SETTINGS!$C$3+$B1112-1</f>
        <v>46355</v>
      </c>
      <c r="D1112" s="40" t="s">
        <v>3692</v>
      </c>
      <c r="E1112" s="34" t="s">
        <v>6589</v>
      </c>
      <c r="F1112" s="34" t="s">
        <v>280</v>
      </c>
      <c r="G1112" s="34" t="s">
        <v>6642</v>
      </c>
      <c r="H1112" s="35" t="s">
        <v>6643</v>
      </c>
      <c r="I1112" s="36" t="s">
        <v>6644</v>
      </c>
      <c r="J1112" s="34" t="s">
        <v>6645</v>
      </c>
      <c r="K1112" s="34" t="s">
        <v>6646</v>
      </c>
      <c r="L1112" s="37"/>
      <c r="M1112" s="37"/>
      <c r="N1112" s="37"/>
      <c r="O1112" s="37"/>
      <c r="P1112" s="37"/>
      <c r="Q1112" s="37"/>
      <c r="R1112" s="31" t="n">
        <f aca="false">COUNT($M1112:$Q1112)</f>
        <v>0</v>
      </c>
      <c r="S1112" s="32" t="str">
        <f aca="false">IF($L1112="","",IF($R1112&gt;=5,"",MAX($L1112:$Q1112)+CHOOSE($R1112+1,SETTINGS!$C$9,SETTINGS!$C$10,SETTINGS!$C$11,SETTINGS!$C$12,SETTINGS!$C$13)))</f>
        <v/>
      </c>
      <c r="T1112" s="34" t="str">
        <f aca="true">IF($H1112="","(chưa có nội dung)",IF($L1112="",IF($C1112&lt;TODAY(),"⚠ TRỄ HỌC",IF($C1112=TODAY(),"★ HỌC HÔM NAY","• Chưa tới")),IF($R1112&gt;=5,"✔ MASTER",IF($S1112&lt;TODAY(),"⚠ TRỄ ÔN",IF($S1112=TODAY(),"◆ ÔN HÔM NAY","✔ Đúng tiến độ")))))</f>
        <v>• Chưa tới</v>
      </c>
      <c r="U1112" s="38" t="n">
        <f aca="false">IF($H1112="","",$R1112/5)</f>
        <v>0</v>
      </c>
    </row>
    <row r="1113" customFormat="false" ht="15" hidden="false" customHeight="false" outlineLevel="0" collapsed="false">
      <c r="A1113" s="31" t="s">
        <v>6647</v>
      </c>
      <c r="B1113" s="31" t="n">
        <v>56</v>
      </c>
      <c r="C1113" s="32" t="n">
        <f aca="false">SETTINGS!$C$3+$B1113-1</f>
        <v>46355</v>
      </c>
      <c r="D1113" s="40" t="s">
        <v>3692</v>
      </c>
      <c r="E1113" s="34" t="s">
        <v>6589</v>
      </c>
      <c r="F1113" s="34" t="s">
        <v>280</v>
      </c>
      <c r="G1113" s="34" t="s">
        <v>6648</v>
      </c>
      <c r="H1113" s="35" t="s">
        <v>6649</v>
      </c>
      <c r="I1113" s="36" t="s">
        <v>6650</v>
      </c>
      <c r="J1113" s="34" t="s">
        <v>6651</v>
      </c>
      <c r="K1113" s="34" t="s">
        <v>6652</v>
      </c>
      <c r="L1113" s="37"/>
      <c r="M1113" s="37"/>
      <c r="N1113" s="37"/>
      <c r="O1113" s="37"/>
      <c r="P1113" s="37"/>
      <c r="Q1113" s="37"/>
      <c r="R1113" s="31" t="n">
        <f aca="false">COUNT($M1113:$Q1113)</f>
        <v>0</v>
      </c>
      <c r="S1113" s="32" t="str">
        <f aca="false">IF($L1113="","",IF($R1113&gt;=5,"",MAX($L1113:$Q1113)+CHOOSE($R1113+1,SETTINGS!$C$9,SETTINGS!$C$10,SETTINGS!$C$11,SETTINGS!$C$12,SETTINGS!$C$13)))</f>
        <v/>
      </c>
      <c r="T1113" s="34" t="str">
        <f aca="true">IF($H1113="","(chưa có nội dung)",IF($L1113="",IF($C1113&lt;TODAY(),"⚠ TRỄ HỌC",IF($C1113=TODAY(),"★ HỌC HÔM NAY","• Chưa tới")),IF($R1113&gt;=5,"✔ MASTER",IF($S1113&lt;TODAY(),"⚠ TRỄ ÔN",IF($S1113=TODAY(),"◆ ÔN HÔM NAY","✔ Đúng tiến độ")))))</f>
        <v>• Chưa tới</v>
      </c>
      <c r="U1113" s="38" t="n">
        <f aca="false">IF($H1113="","",$R1113/5)</f>
        <v>0</v>
      </c>
    </row>
    <row r="1114" customFormat="false" ht="15" hidden="false" customHeight="false" outlineLevel="0" collapsed="false">
      <c r="A1114" s="31" t="s">
        <v>6653</v>
      </c>
      <c r="B1114" s="31" t="n">
        <v>56</v>
      </c>
      <c r="C1114" s="32" t="n">
        <f aca="false">SETTINGS!$C$3+$B1114-1</f>
        <v>46355</v>
      </c>
      <c r="D1114" s="40" t="s">
        <v>3692</v>
      </c>
      <c r="E1114" s="34" t="s">
        <v>6589</v>
      </c>
      <c r="F1114" s="34" t="s">
        <v>280</v>
      </c>
      <c r="G1114" s="34" t="s">
        <v>6654</v>
      </c>
      <c r="H1114" s="35" t="s">
        <v>6655</v>
      </c>
      <c r="I1114" s="36" t="s">
        <v>6656</v>
      </c>
      <c r="J1114" s="34" t="s">
        <v>6657</v>
      </c>
      <c r="K1114" s="34" t="s">
        <v>5958</v>
      </c>
      <c r="L1114" s="37"/>
      <c r="M1114" s="37"/>
      <c r="N1114" s="37"/>
      <c r="O1114" s="37"/>
      <c r="P1114" s="37"/>
      <c r="Q1114" s="37"/>
      <c r="R1114" s="31" t="n">
        <f aca="false">COUNT($M1114:$Q1114)</f>
        <v>0</v>
      </c>
      <c r="S1114" s="32" t="str">
        <f aca="false">IF($L1114="","",IF($R1114&gt;=5,"",MAX($L1114:$Q1114)+CHOOSE($R1114+1,SETTINGS!$C$9,SETTINGS!$C$10,SETTINGS!$C$11,SETTINGS!$C$12,SETTINGS!$C$13)))</f>
        <v/>
      </c>
      <c r="T1114" s="34" t="str">
        <f aca="true">IF($H1114="","(chưa có nội dung)",IF($L1114="",IF($C1114&lt;TODAY(),"⚠ TRỄ HỌC",IF($C1114=TODAY(),"★ HỌC HÔM NAY","• Chưa tới")),IF($R1114&gt;=5,"✔ MASTER",IF($S1114&lt;TODAY(),"⚠ TRỄ ÔN",IF($S1114=TODAY(),"◆ ÔN HÔM NAY","✔ Đúng tiến độ")))))</f>
        <v>• Chưa tới</v>
      </c>
      <c r="U1114" s="38" t="n">
        <f aca="false">IF($H1114="","",$R1114/5)</f>
        <v>0</v>
      </c>
    </row>
    <row r="1115" customFormat="false" ht="15" hidden="false" customHeight="false" outlineLevel="0" collapsed="false">
      <c r="A1115" s="31" t="s">
        <v>6658</v>
      </c>
      <c r="B1115" s="31" t="n">
        <v>56</v>
      </c>
      <c r="C1115" s="32" t="n">
        <f aca="false">SETTINGS!$C$3+$B1115-1</f>
        <v>46355</v>
      </c>
      <c r="D1115" s="40" t="s">
        <v>3692</v>
      </c>
      <c r="E1115" s="34" t="s">
        <v>6589</v>
      </c>
      <c r="F1115" s="34" t="s">
        <v>280</v>
      </c>
      <c r="G1115" s="34" t="s">
        <v>6659</v>
      </c>
      <c r="H1115" s="35" t="s">
        <v>6660</v>
      </c>
      <c r="I1115" s="36" t="s">
        <v>6661</v>
      </c>
      <c r="J1115" s="34" t="s">
        <v>6662</v>
      </c>
      <c r="K1115" s="34" t="s">
        <v>6663</v>
      </c>
      <c r="L1115" s="37"/>
      <c r="M1115" s="37"/>
      <c r="N1115" s="37"/>
      <c r="O1115" s="37"/>
      <c r="P1115" s="37"/>
      <c r="Q1115" s="37"/>
      <c r="R1115" s="31" t="n">
        <f aca="false">COUNT($M1115:$Q1115)</f>
        <v>0</v>
      </c>
      <c r="S1115" s="32" t="str">
        <f aca="false">IF($L1115="","",IF($R1115&gt;=5,"",MAX($L1115:$Q1115)+CHOOSE($R1115+1,SETTINGS!$C$9,SETTINGS!$C$10,SETTINGS!$C$11,SETTINGS!$C$12,SETTINGS!$C$13)))</f>
        <v/>
      </c>
      <c r="T1115" s="34" t="str">
        <f aca="true">IF($H1115="","(chưa có nội dung)",IF($L1115="",IF($C1115&lt;TODAY(),"⚠ TRỄ HỌC",IF($C1115=TODAY(),"★ HỌC HÔM NAY","• Chưa tới")),IF($R1115&gt;=5,"✔ MASTER",IF($S1115&lt;TODAY(),"⚠ TRỄ ÔN",IF($S1115=TODAY(),"◆ ÔN HÔM NAY","✔ Đúng tiến độ")))))</f>
        <v>• Chưa tới</v>
      </c>
      <c r="U1115" s="38" t="n">
        <f aca="false">IF($H1115="","",$R1115/5)</f>
        <v>0</v>
      </c>
    </row>
    <row r="1116" customFormat="false" ht="15" hidden="false" customHeight="false" outlineLevel="0" collapsed="false">
      <c r="A1116" s="31" t="s">
        <v>6664</v>
      </c>
      <c r="B1116" s="31" t="n">
        <v>56</v>
      </c>
      <c r="C1116" s="32" t="n">
        <f aca="false">SETTINGS!$C$3+$B1116-1</f>
        <v>46355</v>
      </c>
      <c r="D1116" s="40" t="s">
        <v>3692</v>
      </c>
      <c r="E1116" s="34" t="s">
        <v>6589</v>
      </c>
      <c r="F1116" s="34" t="s">
        <v>202</v>
      </c>
      <c r="G1116" s="34" t="s">
        <v>6665</v>
      </c>
      <c r="H1116" s="35" t="s">
        <v>6666</v>
      </c>
      <c r="I1116" s="36" t="s">
        <v>6667</v>
      </c>
      <c r="J1116" s="34" t="s">
        <v>6668</v>
      </c>
      <c r="K1116" s="34" t="s">
        <v>6669</v>
      </c>
      <c r="L1116" s="37"/>
      <c r="M1116" s="37"/>
      <c r="N1116" s="37"/>
      <c r="O1116" s="37"/>
      <c r="P1116" s="37"/>
      <c r="Q1116" s="37"/>
      <c r="R1116" s="31" t="n">
        <f aca="false">COUNT($M1116:$Q1116)</f>
        <v>0</v>
      </c>
      <c r="S1116" s="32" t="str">
        <f aca="false">IF($L1116="","",IF($R1116&gt;=5,"",MAX($L1116:$Q1116)+CHOOSE($R1116+1,SETTINGS!$C$9,SETTINGS!$C$10,SETTINGS!$C$11,SETTINGS!$C$12,SETTINGS!$C$13)))</f>
        <v/>
      </c>
      <c r="T1116" s="34" t="str">
        <f aca="true">IF($H1116="","(chưa có nội dung)",IF($L1116="",IF($C1116&lt;TODAY(),"⚠ TRỄ HỌC",IF($C1116=TODAY(),"★ HỌC HÔM NAY","• Chưa tới")),IF($R1116&gt;=5,"✔ MASTER",IF($S1116&lt;TODAY(),"⚠ TRỄ ÔN",IF($S1116=TODAY(),"◆ ÔN HÔM NAY","✔ Đúng tiến độ")))))</f>
        <v>• Chưa tới</v>
      </c>
      <c r="U1116" s="38" t="n">
        <f aca="false">IF($H1116="","",$R1116/5)</f>
        <v>0</v>
      </c>
    </row>
    <row r="1117" customFormat="false" ht="15" hidden="false" customHeight="false" outlineLevel="0" collapsed="false">
      <c r="A1117" s="31" t="s">
        <v>6670</v>
      </c>
      <c r="B1117" s="31" t="n">
        <v>56</v>
      </c>
      <c r="C1117" s="32" t="n">
        <f aca="false">SETTINGS!$C$3+$B1117-1</f>
        <v>46355</v>
      </c>
      <c r="D1117" s="40" t="s">
        <v>3692</v>
      </c>
      <c r="E1117" s="34" t="s">
        <v>6589</v>
      </c>
      <c r="F1117" s="34" t="s">
        <v>280</v>
      </c>
      <c r="G1117" s="34" t="s">
        <v>6671</v>
      </c>
      <c r="H1117" s="35" t="s">
        <v>6672</v>
      </c>
      <c r="I1117" s="36" t="s">
        <v>6673</v>
      </c>
      <c r="J1117" s="34" t="s">
        <v>6674</v>
      </c>
      <c r="K1117" s="34" t="s">
        <v>6675</v>
      </c>
      <c r="L1117" s="37"/>
      <c r="M1117" s="37"/>
      <c r="N1117" s="37"/>
      <c r="O1117" s="37"/>
      <c r="P1117" s="37"/>
      <c r="Q1117" s="37"/>
      <c r="R1117" s="31" t="n">
        <f aca="false">COUNT($M1117:$Q1117)</f>
        <v>0</v>
      </c>
      <c r="S1117" s="32" t="str">
        <f aca="false">IF($L1117="","",IF($R1117&gt;=5,"",MAX($L1117:$Q1117)+CHOOSE($R1117+1,SETTINGS!$C$9,SETTINGS!$C$10,SETTINGS!$C$11,SETTINGS!$C$12,SETTINGS!$C$13)))</f>
        <v/>
      </c>
      <c r="T1117" s="34" t="str">
        <f aca="true">IF($H1117="","(chưa có nội dung)",IF($L1117="",IF($C1117&lt;TODAY(),"⚠ TRỄ HỌC",IF($C1117=TODAY(),"★ HỌC HÔM NAY","• Chưa tới")),IF($R1117&gt;=5,"✔ MASTER",IF($S1117&lt;TODAY(),"⚠ TRỄ ÔN",IF($S1117=TODAY(),"◆ ÔN HÔM NAY","✔ Đúng tiến độ")))))</f>
        <v>• Chưa tới</v>
      </c>
      <c r="U1117" s="38" t="n">
        <f aca="false">IF($H1117="","",$R1117/5)</f>
        <v>0</v>
      </c>
    </row>
    <row r="1118" customFormat="false" ht="15" hidden="false" customHeight="false" outlineLevel="0" collapsed="false">
      <c r="A1118" s="31" t="s">
        <v>6676</v>
      </c>
      <c r="B1118" s="31" t="n">
        <v>56</v>
      </c>
      <c r="C1118" s="32" t="n">
        <f aca="false">SETTINGS!$C$3+$B1118-1</f>
        <v>46355</v>
      </c>
      <c r="D1118" s="40" t="s">
        <v>3692</v>
      </c>
      <c r="E1118" s="34" t="s">
        <v>6589</v>
      </c>
      <c r="F1118" s="34" t="s">
        <v>280</v>
      </c>
      <c r="G1118" s="34" t="s">
        <v>6677</v>
      </c>
      <c r="H1118" s="35" t="s">
        <v>6678</v>
      </c>
      <c r="I1118" s="36" t="s">
        <v>6679</v>
      </c>
      <c r="J1118" s="34" t="s">
        <v>6680</v>
      </c>
      <c r="K1118" s="34" t="s">
        <v>1063</v>
      </c>
      <c r="L1118" s="37"/>
      <c r="M1118" s="37"/>
      <c r="N1118" s="37"/>
      <c r="O1118" s="37"/>
      <c r="P1118" s="37"/>
      <c r="Q1118" s="37"/>
      <c r="R1118" s="31" t="n">
        <f aca="false">COUNT($M1118:$Q1118)</f>
        <v>0</v>
      </c>
      <c r="S1118" s="32" t="str">
        <f aca="false">IF($L1118="","",IF($R1118&gt;=5,"",MAX($L1118:$Q1118)+CHOOSE($R1118+1,SETTINGS!$C$9,SETTINGS!$C$10,SETTINGS!$C$11,SETTINGS!$C$12,SETTINGS!$C$13)))</f>
        <v/>
      </c>
      <c r="T1118" s="34" t="str">
        <f aca="true">IF($H1118="","(chưa có nội dung)",IF($L1118="",IF($C1118&lt;TODAY(),"⚠ TRỄ HỌC",IF($C1118=TODAY(),"★ HỌC HÔM NAY","• Chưa tới")),IF($R1118&gt;=5,"✔ MASTER",IF($S1118&lt;TODAY(),"⚠ TRỄ ÔN",IF($S1118=TODAY(),"◆ ÔN HÔM NAY","✔ Đúng tiến độ")))))</f>
        <v>• Chưa tới</v>
      </c>
      <c r="U1118" s="38" t="n">
        <f aca="false">IF($H1118="","",$R1118/5)</f>
        <v>0</v>
      </c>
    </row>
    <row r="1119" customFormat="false" ht="15" hidden="false" customHeight="false" outlineLevel="0" collapsed="false">
      <c r="A1119" s="31" t="s">
        <v>6681</v>
      </c>
      <c r="B1119" s="31" t="n">
        <v>56</v>
      </c>
      <c r="C1119" s="32" t="n">
        <f aca="false">SETTINGS!$C$3+$B1119-1</f>
        <v>46355</v>
      </c>
      <c r="D1119" s="40" t="s">
        <v>3692</v>
      </c>
      <c r="E1119" s="34" t="s">
        <v>6589</v>
      </c>
      <c r="F1119" s="34" t="s">
        <v>163</v>
      </c>
      <c r="G1119" s="34" t="s">
        <v>6682</v>
      </c>
      <c r="H1119" s="35" t="s">
        <v>6683</v>
      </c>
      <c r="I1119" s="36" t="s">
        <v>6684</v>
      </c>
      <c r="J1119" s="34" t="s">
        <v>6685</v>
      </c>
      <c r="K1119" s="34" t="s">
        <v>6686</v>
      </c>
      <c r="L1119" s="37"/>
      <c r="M1119" s="37"/>
      <c r="N1119" s="37"/>
      <c r="O1119" s="37"/>
      <c r="P1119" s="37"/>
      <c r="Q1119" s="37"/>
      <c r="R1119" s="31" t="n">
        <f aca="false">COUNT($M1119:$Q1119)</f>
        <v>0</v>
      </c>
      <c r="S1119" s="32" t="str">
        <f aca="false">IF($L1119="","",IF($R1119&gt;=5,"",MAX($L1119:$Q1119)+CHOOSE($R1119+1,SETTINGS!$C$9,SETTINGS!$C$10,SETTINGS!$C$11,SETTINGS!$C$12,SETTINGS!$C$13)))</f>
        <v/>
      </c>
      <c r="T1119" s="34" t="str">
        <f aca="true">IF($H1119="","(chưa có nội dung)",IF($L1119="",IF($C1119&lt;TODAY(),"⚠ TRỄ HỌC",IF($C1119=TODAY(),"★ HỌC HÔM NAY","• Chưa tới")),IF($R1119&gt;=5,"✔ MASTER",IF($S1119&lt;TODAY(),"⚠ TRỄ ÔN",IF($S1119=TODAY(),"◆ ÔN HÔM NAY","✔ Đúng tiến độ")))))</f>
        <v>• Chưa tới</v>
      </c>
      <c r="U1119" s="38" t="n">
        <f aca="false">IF($H1119="","",$R1119/5)</f>
        <v>0</v>
      </c>
    </row>
    <row r="1120" customFormat="false" ht="15" hidden="false" customHeight="false" outlineLevel="0" collapsed="false">
      <c r="A1120" s="31" t="s">
        <v>6687</v>
      </c>
      <c r="B1120" s="31" t="n">
        <v>56</v>
      </c>
      <c r="C1120" s="32" t="n">
        <f aca="false">SETTINGS!$C$3+$B1120-1</f>
        <v>46355</v>
      </c>
      <c r="D1120" s="40" t="s">
        <v>3692</v>
      </c>
      <c r="E1120" s="34" t="s">
        <v>6589</v>
      </c>
      <c r="F1120" s="34" t="s">
        <v>280</v>
      </c>
      <c r="G1120" s="34" t="s">
        <v>6688</v>
      </c>
      <c r="H1120" s="35" t="s">
        <v>6689</v>
      </c>
      <c r="I1120" s="36" t="s">
        <v>6690</v>
      </c>
      <c r="J1120" s="34" t="s">
        <v>6691</v>
      </c>
      <c r="K1120" s="34" t="s">
        <v>6692</v>
      </c>
      <c r="L1120" s="37"/>
      <c r="M1120" s="37"/>
      <c r="N1120" s="37"/>
      <c r="O1120" s="37"/>
      <c r="P1120" s="37"/>
      <c r="Q1120" s="37"/>
      <c r="R1120" s="31" t="n">
        <f aca="false">COUNT($M1120:$Q1120)</f>
        <v>0</v>
      </c>
      <c r="S1120" s="32" t="str">
        <f aca="false">IF($L1120="","",IF($R1120&gt;=5,"",MAX($L1120:$Q1120)+CHOOSE($R1120+1,SETTINGS!$C$9,SETTINGS!$C$10,SETTINGS!$C$11,SETTINGS!$C$12,SETTINGS!$C$13)))</f>
        <v/>
      </c>
      <c r="T1120" s="34" t="str">
        <f aca="true">IF($H1120="","(chưa có nội dung)",IF($L1120="",IF($C1120&lt;TODAY(),"⚠ TRỄ HỌC",IF($C1120=TODAY(),"★ HỌC HÔM NAY","• Chưa tới")),IF($R1120&gt;=5,"✔ MASTER",IF($S1120&lt;TODAY(),"⚠ TRỄ ÔN",IF($S1120=TODAY(),"◆ ÔN HÔM NAY","✔ Đúng tiến độ")))))</f>
        <v>• Chưa tới</v>
      </c>
      <c r="U1120" s="38" t="n">
        <f aca="false">IF($H1120="","",$R1120/5)</f>
        <v>0</v>
      </c>
    </row>
    <row r="1121" customFormat="false" ht="15" hidden="false" customHeight="false" outlineLevel="0" collapsed="false">
      <c r="A1121" s="31" t="s">
        <v>6693</v>
      </c>
      <c r="B1121" s="31" t="n">
        <v>56</v>
      </c>
      <c r="C1121" s="32" t="n">
        <f aca="false">SETTINGS!$C$3+$B1121-1</f>
        <v>46355</v>
      </c>
      <c r="D1121" s="40" t="s">
        <v>3692</v>
      </c>
      <c r="E1121" s="34" t="s">
        <v>6589</v>
      </c>
      <c r="F1121" s="34" t="s">
        <v>280</v>
      </c>
      <c r="G1121" s="34" t="s">
        <v>6694</v>
      </c>
      <c r="H1121" s="35" t="s">
        <v>6695</v>
      </c>
      <c r="I1121" s="36" t="s">
        <v>6696</v>
      </c>
      <c r="J1121" s="34" t="s">
        <v>6697</v>
      </c>
      <c r="K1121" s="34" t="s">
        <v>6698</v>
      </c>
      <c r="L1121" s="37"/>
      <c r="M1121" s="37"/>
      <c r="N1121" s="37"/>
      <c r="O1121" s="37"/>
      <c r="P1121" s="37"/>
      <c r="Q1121" s="37"/>
      <c r="R1121" s="31" t="n">
        <f aca="false">COUNT($M1121:$Q1121)</f>
        <v>0</v>
      </c>
      <c r="S1121" s="32" t="str">
        <f aca="false">IF($L1121="","",IF($R1121&gt;=5,"",MAX($L1121:$Q1121)+CHOOSE($R1121+1,SETTINGS!$C$9,SETTINGS!$C$10,SETTINGS!$C$11,SETTINGS!$C$12,SETTINGS!$C$13)))</f>
        <v/>
      </c>
      <c r="T1121" s="34" t="str">
        <f aca="true">IF($H1121="","(chưa có nội dung)",IF($L1121="",IF($C1121&lt;TODAY(),"⚠ TRỄ HỌC",IF($C1121=TODAY(),"★ HỌC HÔM NAY","• Chưa tới")),IF($R1121&gt;=5,"✔ MASTER",IF($S1121&lt;TODAY(),"⚠ TRỄ ÔN",IF($S1121=TODAY(),"◆ ÔN HÔM NAY","✔ Đúng tiến độ")))))</f>
        <v>• Chưa tới</v>
      </c>
      <c r="U1121" s="38" t="n">
        <f aca="false">IF($H1121="","",$R1121/5)</f>
        <v>0</v>
      </c>
    </row>
    <row r="1122" customFormat="false" ht="23.85" hidden="false" customHeight="false" outlineLevel="0" collapsed="false">
      <c r="A1122" s="31" t="s">
        <v>6699</v>
      </c>
      <c r="B1122" s="31" t="n">
        <v>56</v>
      </c>
      <c r="C1122" s="32" t="n">
        <f aca="false">SETTINGS!$C$3+$B1122-1</f>
        <v>46355</v>
      </c>
      <c r="D1122" s="40" t="s">
        <v>3692</v>
      </c>
      <c r="E1122" s="34" t="s">
        <v>6589</v>
      </c>
      <c r="F1122" s="34" t="s">
        <v>202</v>
      </c>
      <c r="G1122" s="34" t="s">
        <v>6700</v>
      </c>
      <c r="H1122" s="35" t="s">
        <v>6701</v>
      </c>
      <c r="I1122" s="36" t="s">
        <v>6702</v>
      </c>
      <c r="J1122" s="34" t="s">
        <v>6703</v>
      </c>
      <c r="K1122" s="34" t="s">
        <v>6704</v>
      </c>
      <c r="L1122" s="37"/>
      <c r="M1122" s="37"/>
      <c r="N1122" s="37"/>
      <c r="O1122" s="37"/>
      <c r="P1122" s="37"/>
      <c r="Q1122" s="37"/>
      <c r="R1122" s="31" t="n">
        <f aca="false">COUNT($M1122:$Q1122)</f>
        <v>0</v>
      </c>
      <c r="S1122" s="32" t="str">
        <f aca="false">IF($L1122="","",IF($R1122&gt;=5,"",MAX($L1122:$Q1122)+CHOOSE($R1122+1,SETTINGS!$C$9,SETTINGS!$C$10,SETTINGS!$C$11,SETTINGS!$C$12,SETTINGS!$C$13)))</f>
        <v/>
      </c>
      <c r="T1122" s="34" t="str">
        <f aca="true">IF($H1122="","(chưa có nội dung)",IF($L1122="",IF($C1122&lt;TODAY(),"⚠ TRỄ HỌC",IF($C1122=TODAY(),"★ HỌC HÔM NAY","• Chưa tới")),IF($R1122&gt;=5,"✔ MASTER",IF($S1122&lt;TODAY(),"⚠ TRỄ ÔN",IF($S1122=TODAY(),"◆ ÔN HÔM NAY","✔ Đúng tiến độ")))))</f>
        <v>• Chưa tới</v>
      </c>
      <c r="U1122" s="38" t="n">
        <f aca="false">IF($H1122="","",$R1122/5)</f>
        <v>0</v>
      </c>
    </row>
    <row r="1123" customFormat="false" ht="15" hidden="false" customHeight="false" outlineLevel="0" collapsed="false">
      <c r="A1123" s="31" t="s">
        <v>6705</v>
      </c>
      <c r="B1123" s="31" t="n">
        <v>57</v>
      </c>
      <c r="C1123" s="32" t="n">
        <f aca="false">SETTINGS!$C$3+$B1123-1</f>
        <v>46356</v>
      </c>
      <c r="D1123" s="40" t="s">
        <v>3692</v>
      </c>
      <c r="E1123" s="34" t="s">
        <v>6706</v>
      </c>
      <c r="F1123" s="34" t="s">
        <v>280</v>
      </c>
      <c r="G1123" s="34" t="s">
        <v>6707</v>
      </c>
      <c r="H1123" s="35" t="s">
        <v>6708</v>
      </c>
      <c r="I1123" s="36" t="s">
        <v>6709</v>
      </c>
      <c r="J1123" s="34" t="s">
        <v>6710</v>
      </c>
      <c r="K1123" s="34" t="s">
        <v>6711</v>
      </c>
      <c r="L1123" s="37"/>
      <c r="M1123" s="37"/>
      <c r="N1123" s="37"/>
      <c r="O1123" s="37"/>
      <c r="P1123" s="37"/>
      <c r="Q1123" s="37"/>
      <c r="R1123" s="31" t="n">
        <f aca="false">COUNT($M1123:$Q1123)</f>
        <v>0</v>
      </c>
      <c r="S1123" s="32" t="str">
        <f aca="false">IF($L1123="","",IF($R1123&gt;=5,"",MAX($L1123:$Q1123)+CHOOSE($R1123+1,SETTINGS!$C$9,SETTINGS!$C$10,SETTINGS!$C$11,SETTINGS!$C$12,SETTINGS!$C$13)))</f>
        <v/>
      </c>
      <c r="T1123" s="34" t="str">
        <f aca="true">IF($H1123="","(chưa có nội dung)",IF($L1123="",IF($C1123&lt;TODAY(),"⚠ TRỄ HỌC",IF($C1123=TODAY(),"★ HỌC HÔM NAY","• Chưa tới")),IF($R1123&gt;=5,"✔ MASTER",IF($S1123&lt;TODAY(),"⚠ TRỄ ÔN",IF($S1123=TODAY(),"◆ ÔN HÔM NAY","✔ Đúng tiến độ")))))</f>
        <v>• Chưa tới</v>
      </c>
      <c r="U1123" s="38" t="n">
        <f aca="false">IF($H1123="","",$R1123/5)</f>
        <v>0</v>
      </c>
    </row>
    <row r="1124" customFormat="false" ht="15" hidden="false" customHeight="false" outlineLevel="0" collapsed="false">
      <c r="A1124" s="31" t="s">
        <v>6712</v>
      </c>
      <c r="B1124" s="31" t="n">
        <v>57</v>
      </c>
      <c r="C1124" s="32" t="n">
        <f aca="false">SETTINGS!$C$3+$B1124-1</f>
        <v>46356</v>
      </c>
      <c r="D1124" s="40" t="s">
        <v>3692</v>
      </c>
      <c r="E1124" s="34" t="s">
        <v>6706</v>
      </c>
      <c r="F1124" s="34" t="s">
        <v>280</v>
      </c>
      <c r="G1124" s="34" t="s">
        <v>6713</v>
      </c>
      <c r="H1124" s="35" t="s">
        <v>6714</v>
      </c>
      <c r="I1124" s="36" t="s">
        <v>6715</v>
      </c>
      <c r="J1124" s="34" t="s">
        <v>6716</v>
      </c>
      <c r="K1124" s="34" t="s">
        <v>6717</v>
      </c>
      <c r="L1124" s="37"/>
      <c r="M1124" s="37"/>
      <c r="N1124" s="37"/>
      <c r="O1124" s="37"/>
      <c r="P1124" s="37"/>
      <c r="Q1124" s="37"/>
      <c r="R1124" s="31" t="n">
        <f aca="false">COUNT($M1124:$Q1124)</f>
        <v>0</v>
      </c>
      <c r="S1124" s="32" t="str">
        <f aca="false">IF($L1124="","",IF($R1124&gt;=5,"",MAX($L1124:$Q1124)+CHOOSE($R1124+1,SETTINGS!$C$9,SETTINGS!$C$10,SETTINGS!$C$11,SETTINGS!$C$12,SETTINGS!$C$13)))</f>
        <v/>
      </c>
      <c r="T1124" s="34" t="str">
        <f aca="true">IF($H1124="","(chưa có nội dung)",IF($L1124="",IF($C1124&lt;TODAY(),"⚠ TRỄ HỌC",IF($C1124=TODAY(),"★ HỌC HÔM NAY","• Chưa tới")),IF($R1124&gt;=5,"✔ MASTER",IF($S1124&lt;TODAY(),"⚠ TRỄ ÔN",IF($S1124=TODAY(),"◆ ÔN HÔM NAY","✔ Đúng tiến độ")))))</f>
        <v>• Chưa tới</v>
      </c>
      <c r="U1124" s="38" t="n">
        <f aca="false">IF($H1124="","",$R1124/5)</f>
        <v>0</v>
      </c>
    </row>
    <row r="1125" customFormat="false" ht="15" hidden="false" customHeight="false" outlineLevel="0" collapsed="false">
      <c r="A1125" s="31" t="s">
        <v>6718</v>
      </c>
      <c r="B1125" s="31" t="n">
        <v>57</v>
      </c>
      <c r="C1125" s="32" t="n">
        <f aca="false">SETTINGS!$C$3+$B1125-1</f>
        <v>46356</v>
      </c>
      <c r="D1125" s="40" t="s">
        <v>3692</v>
      </c>
      <c r="E1125" s="34" t="s">
        <v>6706</v>
      </c>
      <c r="F1125" s="34" t="s">
        <v>280</v>
      </c>
      <c r="G1125" s="34" t="s">
        <v>3607</v>
      </c>
      <c r="H1125" s="35" t="s">
        <v>6719</v>
      </c>
      <c r="I1125" s="36" t="s">
        <v>6720</v>
      </c>
      <c r="J1125" s="34" t="s">
        <v>6721</v>
      </c>
      <c r="K1125" s="34" t="s">
        <v>6722</v>
      </c>
      <c r="L1125" s="37"/>
      <c r="M1125" s="37"/>
      <c r="N1125" s="37"/>
      <c r="O1125" s="37"/>
      <c r="P1125" s="37"/>
      <c r="Q1125" s="37"/>
      <c r="R1125" s="31" t="n">
        <f aca="false">COUNT($M1125:$Q1125)</f>
        <v>0</v>
      </c>
      <c r="S1125" s="32" t="str">
        <f aca="false">IF($L1125="","",IF($R1125&gt;=5,"",MAX($L1125:$Q1125)+CHOOSE($R1125+1,SETTINGS!$C$9,SETTINGS!$C$10,SETTINGS!$C$11,SETTINGS!$C$12,SETTINGS!$C$13)))</f>
        <v/>
      </c>
      <c r="T1125" s="34" t="str">
        <f aca="true">IF($H1125="","(chưa có nội dung)",IF($L1125="",IF($C1125&lt;TODAY(),"⚠ TRỄ HỌC",IF($C1125=TODAY(),"★ HỌC HÔM NAY","• Chưa tới")),IF($R1125&gt;=5,"✔ MASTER",IF($S1125&lt;TODAY(),"⚠ TRỄ ÔN",IF($S1125=TODAY(),"◆ ÔN HÔM NAY","✔ Đúng tiến độ")))))</f>
        <v>• Chưa tới</v>
      </c>
      <c r="U1125" s="38" t="n">
        <f aca="false">IF($H1125="","",$R1125/5)</f>
        <v>0</v>
      </c>
    </row>
    <row r="1126" customFormat="false" ht="15" hidden="false" customHeight="false" outlineLevel="0" collapsed="false">
      <c r="A1126" s="31" t="s">
        <v>6723</v>
      </c>
      <c r="B1126" s="31" t="n">
        <v>57</v>
      </c>
      <c r="C1126" s="32" t="n">
        <f aca="false">SETTINGS!$C$3+$B1126-1</f>
        <v>46356</v>
      </c>
      <c r="D1126" s="40" t="s">
        <v>3692</v>
      </c>
      <c r="E1126" s="34" t="s">
        <v>6706</v>
      </c>
      <c r="F1126" s="34" t="s">
        <v>280</v>
      </c>
      <c r="G1126" s="34" t="s">
        <v>2244</v>
      </c>
      <c r="H1126" s="35" t="s">
        <v>6724</v>
      </c>
      <c r="I1126" s="36" t="s">
        <v>6725</v>
      </c>
      <c r="J1126" s="34" t="s">
        <v>6726</v>
      </c>
      <c r="K1126" s="34" t="s">
        <v>6727</v>
      </c>
      <c r="L1126" s="37"/>
      <c r="M1126" s="37"/>
      <c r="N1126" s="37"/>
      <c r="O1126" s="37"/>
      <c r="P1126" s="37"/>
      <c r="Q1126" s="37"/>
      <c r="R1126" s="31" t="n">
        <f aca="false">COUNT($M1126:$Q1126)</f>
        <v>0</v>
      </c>
      <c r="S1126" s="32" t="str">
        <f aca="false">IF($L1126="","",IF($R1126&gt;=5,"",MAX($L1126:$Q1126)+CHOOSE($R1126+1,SETTINGS!$C$9,SETTINGS!$C$10,SETTINGS!$C$11,SETTINGS!$C$12,SETTINGS!$C$13)))</f>
        <v/>
      </c>
      <c r="T1126" s="34" t="str">
        <f aca="true">IF($H1126="","(chưa có nội dung)",IF($L1126="",IF($C1126&lt;TODAY(),"⚠ TRỄ HỌC",IF($C1126=TODAY(),"★ HỌC HÔM NAY","• Chưa tới")),IF($R1126&gt;=5,"✔ MASTER",IF($S1126&lt;TODAY(),"⚠ TRỄ ÔN",IF($S1126=TODAY(),"◆ ÔN HÔM NAY","✔ Đúng tiến độ")))))</f>
        <v>• Chưa tới</v>
      </c>
      <c r="U1126" s="38" t="n">
        <f aca="false">IF($H1126="","",$R1126/5)</f>
        <v>0</v>
      </c>
    </row>
    <row r="1127" customFormat="false" ht="15" hidden="false" customHeight="false" outlineLevel="0" collapsed="false">
      <c r="A1127" s="31" t="s">
        <v>6728</v>
      </c>
      <c r="B1127" s="31" t="n">
        <v>57</v>
      </c>
      <c r="C1127" s="32" t="n">
        <f aca="false">SETTINGS!$C$3+$B1127-1</f>
        <v>46356</v>
      </c>
      <c r="D1127" s="40" t="s">
        <v>3692</v>
      </c>
      <c r="E1127" s="34" t="s">
        <v>6706</v>
      </c>
      <c r="F1127" s="34" t="s">
        <v>280</v>
      </c>
      <c r="G1127" s="34" t="s">
        <v>6729</v>
      </c>
      <c r="H1127" s="35" t="s">
        <v>6730</v>
      </c>
      <c r="I1127" s="36" t="s">
        <v>6731</v>
      </c>
      <c r="J1127" s="34" t="s">
        <v>6732</v>
      </c>
      <c r="K1127" s="34" t="s">
        <v>6733</v>
      </c>
      <c r="L1127" s="37"/>
      <c r="M1127" s="37"/>
      <c r="N1127" s="37"/>
      <c r="O1127" s="37"/>
      <c r="P1127" s="37"/>
      <c r="Q1127" s="37"/>
      <c r="R1127" s="31" t="n">
        <f aca="false">COUNT($M1127:$Q1127)</f>
        <v>0</v>
      </c>
      <c r="S1127" s="32" t="str">
        <f aca="false">IF($L1127="","",IF($R1127&gt;=5,"",MAX($L1127:$Q1127)+CHOOSE($R1127+1,SETTINGS!$C$9,SETTINGS!$C$10,SETTINGS!$C$11,SETTINGS!$C$12,SETTINGS!$C$13)))</f>
        <v/>
      </c>
      <c r="T1127" s="34" t="str">
        <f aca="true">IF($H1127="","(chưa có nội dung)",IF($L1127="",IF($C1127&lt;TODAY(),"⚠ TRỄ HỌC",IF($C1127=TODAY(),"★ HỌC HÔM NAY","• Chưa tới")),IF($R1127&gt;=5,"✔ MASTER",IF($S1127&lt;TODAY(),"⚠ TRỄ ÔN",IF($S1127=TODAY(),"◆ ÔN HÔM NAY","✔ Đúng tiến độ")))))</f>
        <v>• Chưa tới</v>
      </c>
      <c r="U1127" s="38" t="n">
        <f aca="false">IF($H1127="","",$R1127/5)</f>
        <v>0</v>
      </c>
    </row>
    <row r="1128" customFormat="false" ht="15" hidden="false" customHeight="false" outlineLevel="0" collapsed="false">
      <c r="A1128" s="31" t="s">
        <v>6734</v>
      </c>
      <c r="B1128" s="31" t="n">
        <v>57</v>
      </c>
      <c r="C1128" s="32" t="n">
        <f aca="false">SETTINGS!$C$3+$B1128-1</f>
        <v>46356</v>
      </c>
      <c r="D1128" s="40" t="s">
        <v>3692</v>
      </c>
      <c r="E1128" s="34" t="s">
        <v>6706</v>
      </c>
      <c r="F1128" s="34" t="s">
        <v>280</v>
      </c>
      <c r="G1128" s="34" t="s">
        <v>6735</v>
      </c>
      <c r="H1128" s="35" t="s">
        <v>6736</v>
      </c>
      <c r="I1128" s="36" t="s">
        <v>6737</v>
      </c>
      <c r="J1128" s="34" t="s">
        <v>6738</v>
      </c>
      <c r="K1128" s="34" t="s">
        <v>6739</v>
      </c>
      <c r="L1128" s="37"/>
      <c r="M1128" s="37"/>
      <c r="N1128" s="37"/>
      <c r="O1128" s="37"/>
      <c r="P1128" s="37"/>
      <c r="Q1128" s="37"/>
      <c r="R1128" s="31" t="n">
        <f aca="false">COUNT($M1128:$Q1128)</f>
        <v>0</v>
      </c>
      <c r="S1128" s="32" t="str">
        <f aca="false">IF($L1128="","",IF($R1128&gt;=5,"",MAX($L1128:$Q1128)+CHOOSE($R1128+1,SETTINGS!$C$9,SETTINGS!$C$10,SETTINGS!$C$11,SETTINGS!$C$12,SETTINGS!$C$13)))</f>
        <v/>
      </c>
      <c r="T1128" s="34" t="str">
        <f aca="true">IF($H1128="","(chưa có nội dung)",IF($L1128="",IF($C1128&lt;TODAY(),"⚠ TRỄ HỌC",IF($C1128=TODAY(),"★ HỌC HÔM NAY","• Chưa tới")),IF($R1128&gt;=5,"✔ MASTER",IF($S1128&lt;TODAY(),"⚠ TRỄ ÔN",IF($S1128=TODAY(),"◆ ÔN HÔM NAY","✔ Đúng tiến độ")))))</f>
        <v>• Chưa tới</v>
      </c>
      <c r="U1128" s="38" t="n">
        <f aca="false">IF($H1128="","",$R1128/5)</f>
        <v>0</v>
      </c>
    </row>
    <row r="1129" customFormat="false" ht="15" hidden="false" customHeight="false" outlineLevel="0" collapsed="false">
      <c r="A1129" s="31" t="s">
        <v>6740</v>
      </c>
      <c r="B1129" s="31" t="n">
        <v>57</v>
      </c>
      <c r="C1129" s="32" t="n">
        <f aca="false">SETTINGS!$C$3+$B1129-1</f>
        <v>46356</v>
      </c>
      <c r="D1129" s="40" t="s">
        <v>3692</v>
      </c>
      <c r="E1129" s="34" t="s">
        <v>6706</v>
      </c>
      <c r="F1129" s="34" t="s">
        <v>280</v>
      </c>
      <c r="G1129" s="34" t="s">
        <v>6741</v>
      </c>
      <c r="H1129" s="35" t="s">
        <v>6742</v>
      </c>
      <c r="I1129" s="36" t="s">
        <v>6743</v>
      </c>
      <c r="J1129" s="34" t="s">
        <v>6744</v>
      </c>
      <c r="K1129" s="34" t="s">
        <v>6745</v>
      </c>
      <c r="L1129" s="37"/>
      <c r="M1129" s="37"/>
      <c r="N1129" s="37"/>
      <c r="O1129" s="37"/>
      <c r="P1129" s="37"/>
      <c r="Q1129" s="37"/>
      <c r="R1129" s="31" t="n">
        <f aca="false">COUNT($M1129:$Q1129)</f>
        <v>0</v>
      </c>
      <c r="S1129" s="32" t="str">
        <f aca="false">IF($L1129="","",IF($R1129&gt;=5,"",MAX($L1129:$Q1129)+CHOOSE($R1129+1,SETTINGS!$C$9,SETTINGS!$C$10,SETTINGS!$C$11,SETTINGS!$C$12,SETTINGS!$C$13)))</f>
        <v/>
      </c>
      <c r="T1129" s="34" t="str">
        <f aca="true">IF($H1129="","(chưa có nội dung)",IF($L1129="",IF($C1129&lt;TODAY(),"⚠ TRỄ HỌC",IF($C1129=TODAY(),"★ HỌC HÔM NAY","• Chưa tới")),IF($R1129&gt;=5,"✔ MASTER",IF($S1129&lt;TODAY(),"⚠ TRỄ ÔN",IF($S1129=TODAY(),"◆ ÔN HÔM NAY","✔ Đúng tiến độ")))))</f>
        <v>• Chưa tới</v>
      </c>
      <c r="U1129" s="38" t="n">
        <f aca="false">IF($H1129="","",$R1129/5)</f>
        <v>0</v>
      </c>
    </row>
    <row r="1130" customFormat="false" ht="15" hidden="false" customHeight="false" outlineLevel="0" collapsed="false">
      <c r="A1130" s="31" t="s">
        <v>6746</v>
      </c>
      <c r="B1130" s="31" t="n">
        <v>57</v>
      </c>
      <c r="C1130" s="32" t="n">
        <f aca="false">SETTINGS!$C$3+$B1130-1</f>
        <v>46356</v>
      </c>
      <c r="D1130" s="40" t="s">
        <v>3692</v>
      </c>
      <c r="E1130" s="34" t="s">
        <v>6706</v>
      </c>
      <c r="F1130" s="34" t="s">
        <v>280</v>
      </c>
      <c r="G1130" s="34" t="s">
        <v>6268</v>
      </c>
      <c r="H1130" s="35" t="s">
        <v>6747</v>
      </c>
      <c r="I1130" s="36" t="s">
        <v>6748</v>
      </c>
      <c r="J1130" s="34" t="s">
        <v>6749</v>
      </c>
      <c r="K1130" s="34" t="s">
        <v>6750</v>
      </c>
      <c r="L1130" s="37"/>
      <c r="M1130" s="37"/>
      <c r="N1130" s="37"/>
      <c r="O1130" s="37"/>
      <c r="P1130" s="37"/>
      <c r="Q1130" s="37"/>
      <c r="R1130" s="31" t="n">
        <f aca="false">COUNT($M1130:$Q1130)</f>
        <v>0</v>
      </c>
      <c r="S1130" s="32" t="str">
        <f aca="false">IF($L1130="","",IF($R1130&gt;=5,"",MAX($L1130:$Q1130)+CHOOSE($R1130+1,SETTINGS!$C$9,SETTINGS!$C$10,SETTINGS!$C$11,SETTINGS!$C$12,SETTINGS!$C$13)))</f>
        <v/>
      </c>
      <c r="T1130" s="34" t="str">
        <f aca="true">IF($H1130="","(chưa có nội dung)",IF($L1130="",IF($C1130&lt;TODAY(),"⚠ TRỄ HỌC",IF($C1130=TODAY(),"★ HỌC HÔM NAY","• Chưa tới")),IF($R1130&gt;=5,"✔ MASTER",IF($S1130&lt;TODAY(),"⚠ TRỄ ÔN",IF($S1130=TODAY(),"◆ ÔN HÔM NAY","✔ Đúng tiến độ")))))</f>
        <v>• Chưa tới</v>
      </c>
      <c r="U1130" s="38" t="n">
        <f aca="false">IF($H1130="","",$R1130/5)</f>
        <v>0</v>
      </c>
    </row>
    <row r="1131" customFormat="false" ht="15" hidden="false" customHeight="false" outlineLevel="0" collapsed="false">
      <c r="A1131" s="31" t="s">
        <v>6751</v>
      </c>
      <c r="B1131" s="31" t="n">
        <v>57</v>
      </c>
      <c r="C1131" s="32" t="n">
        <f aca="false">SETTINGS!$C$3+$B1131-1</f>
        <v>46356</v>
      </c>
      <c r="D1131" s="40" t="s">
        <v>3692</v>
      </c>
      <c r="E1131" s="34" t="s">
        <v>6706</v>
      </c>
      <c r="F1131" s="34" t="s">
        <v>163</v>
      </c>
      <c r="G1131" s="34" t="s">
        <v>795</v>
      </c>
      <c r="H1131" s="35" t="s">
        <v>6752</v>
      </c>
      <c r="I1131" s="36" t="s">
        <v>6753</v>
      </c>
      <c r="J1131" s="34" t="s">
        <v>6754</v>
      </c>
      <c r="K1131" s="34" t="s">
        <v>6755</v>
      </c>
      <c r="L1131" s="37"/>
      <c r="M1131" s="37"/>
      <c r="N1131" s="37"/>
      <c r="O1131" s="37"/>
      <c r="P1131" s="37"/>
      <c r="Q1131" s="37"/>
      <c r="R1131" s="31" t="n">
        <f aca="false">COUNT($M1131:$Q1131)</f>
        <v>0</v>
      </c>
      <c r="S1131" s="32" t="str">
        <f aca="false">IF($L1131="","",IF($R1131&gt;=5,"",MAX($L1131:$Q1131)+CHOOSE($R1131+1,SETTINGS!$C$9,SETTINGS!$C$10,SETTINGS!$C$11,SETTINGS!$C$12,SETTINGS!$C$13)))</f>
        <v/>
      </c>
      <c r="T1131" s="34" t="str">
        <f aca="true">IF($H1131="","(chưa có nội dung)",IF($L1131="",IF($C1131&lt;TODAY(),"⚠ TRỄ HỌC",IF($C1131=TODAY(),"★ HỌC HÔM NAY","• Chưa tới")),IF($R1131&gt;=5,"✔ MASTER",IF($S1131&lt;TODAY(),"⚠ TRỄ ÔN",IF($S1131=TODAY(),"◆ ÔN HÔM NAY","✔ Đúng tiến độ")))))</f>
        <v>• Chưa tới</v>
      </c>
      <c r="U1131" s="38" t="n">
        <f aca="false">IF($H1131="","",$R1131/5)</f>
        <v>0</v>
      </c>
    </row>
    <row r="1132" customFormat="false" ht="15" hidden="false" customHeight="false" outlineLevel="0" collapsed="false">
      <c r="A1132" s="31" t="s">
        <v>6756</v>
      </c>
      <c r="B1132" s="31" t="n">
        <v>57</v>
      </c>
      <c r="C1132" s="32" t="n">
        <f aca="false">SETTINGS!$C$3+$B1132-1</f>
        <v>46356</v>
      </c>
      <c r="D1132" s="40" t="s">
        <v>3692</v>
      </c>
      <c r="E1132" s="34" t="s">
        <v>6706</v>
      </c>
      <c r="F1132" s="34" t="s">
        <v>280</v>
      </c>
      <c r="G1132" s="34" t="s">
        <v>4655</v>
      </c>
      <c r="H1132" s="35" t="s">
        <v>6757</v>
      </c>
      <c r="I1132" s="36" t="s">
        <v>6758</v>
      </c>
      <c r="J1132" s="34" t="s">
        <v>6759</v>
      </c>
      <c r="K1132" s="34" t="s">
        <v>6760</v>
      </c>
      <c r="L1132" s="37"/>
      <c r="M1132" s="37"/>
      <c r="N1132" s="37"/>
      <c r="O1132" s="37"/>
      <c r="P1132" s="37"/>
      <c r="Q1132" s="37"/>
      <c r="R1132" s="31" t="n">
        <f aca="false">COUNT($M1132:$Q1132)</f>
        <v>0</v>
      </c>
      <c r="S1132" s="32" t="str">
        <f aca="false">IF($L1132="","",IF($R1132&gt;=5,"",MAX($L1132:$Q1132)+CHOOSE($R1132+1,SETTINGS!$C$9,SETTINGS!$C$10,SETTINGS!$C$11,SETTINGS!$C$12,SETTINGS!$C$13)))</f>
        <v/>
      </c>
      <c r="T1132" s="34" t="str">
        <f aca="true">IF($H1132="","(chưa có nội dung)",IF($L1132="",IF($C1132&lt;TODAY(),"⚠ TRỄ HỌC",IF($C1132=TODAY(),"★ HỌC HÔM NAY","• Chưa tới")),IF($R1132&gt;=5,"✔ MASTER",IF($S1132&lt;TODAY(),"⚠ TRỄ ÔN",IF($S1132=TODAY(),"◆ ÔN HÔM NAY","✔ Đúng tiến độ")))))</f>
        <v>• Chưa tới</v>
      </c>
      <c r="U1132" s="38" t="n">
        <f aca="false">IF($H1132="","",$R1132/5)</f>
        <v>0</v>
      </c>
    </row>
    <row r="1133" customFormat="false" ht="15" hidden="false" customHeight="false" outlineLevel="0" collapsed="false">
      <c r="A1133" s="31" t="s">
        <v>6761</v>
      </c>
      <c r="B1133" s="31" t="n">
        <v>57</v>
      </c>
      <c r="C1133" s="32" t="n">
        <f aca="false">SETTINGS!$C$3+$B1133-1</f>
        <v>46356</v>
      </c>
      <c r="D1133" s="40" t="s">
        <v>3692</v>
      </c>
      <c r="E1133" s="34" t="s">
        <v>6706</v>
      </c>
      <c r="F1133" s="34" t="s">
        <v>280</v>
      </c>
      <c r="G1133" s="34" t="s">
        <v>6762</v>
      </c>
      <c r="H1133" s="35" t="s">
        <v>6763</v>
      </c>
      <c r="I1133" s="36" t="s">
        <v>6764</v>
      </c>
      <c r="J1133" s="34" t="s">
        <v>6765</v>
      </c>
      <c r="K1133" s="34" t="s">
        <v>6766</v>
      </c>
      <c r="L1133" s="37"/>
      <c r="M1133" s="37"/>
      <c r="N1133" s="37"/>
      <c r="O1133" s="37"/>
      <c r="P1133" s="37"/>
      <c r="Q1133" s="37"/>
      <c r="R1133" s="31" t="n">
        <f aca="false">COUNT($M1133:$Q1133)</f>
        <v>0</v>
      </c>
      <c r="S1133" s="32" t="str">
        <f aca="false">IF($L1133="","",IF($R1133&gt;=5,"",MAX($L1133:$Q1133)+CHOOSE($R1133+1,SETTINGS!$C$9,SETTINGS!$C$10,SETTINGS!$C$11,SETTINGS!$C$12,SETTINGS!$C$13)))</f>
        <v/>
      </c>
      <c r="T1133" s="34" t="str">
        <f aca="true">IF($H1133="","(chưa có nội dung)",IF($L1133="",IF($C1133&lt;TODAY(),"⚠ TRỄ HỌC",IF($C1133=TODAY(),"★ HỌC HÔM NAY","• Chưa tới")),IF($R1133&gt;=5,"✔ MASTER",IF($S1133&lt;TODAY(),"⚠ TRỄ ÔN",IF($S1133=TODAY(),"◆ ÔN HÔM NAY","✔ Đúng tiến độ")))))</f>
        <v>• Chưa tới</v>
      </c>
      <c r="U1133" s="38" t="n">
        <f aca="false">IF($H1133="","",$R1133/5)</f>
        <v>0</v>
      </c>
    </row>
    <row r="1134" customFormat="false" ht="15" hidden="false" customHeight="false" outlineLevel="0" collapsed="false">
      <c r="A1134" s="31" t="s">
        <v>6767</v>
      </c>
      <c r="B1134" s="31" t="n">
        <v>57</v>
      </c>
      <c r="C1134" s="32" t="n">
        <f aca="false">SETTINGS!$C$3+$B1134-1</f>
        <v>46356</v>
      </c>
      <c r="D1134" s="40" t="s">
        <v>3692</v>
      </c>
      <c r="E1134" s="34" t="s">
        <v>6706</v>
      </c>
      <c r="F1134" s="34" t="s">
        <v>183</v>
      </c>
      <c r="G1134" s="34" t="s">
        <v>6768</v>
      </c>
      <c r="H1134" s="35" t="s">
        <v>6769</v>
      </c>
      <c r="I1134" s="36" t="s">
        <v>6770</v>
      </c>
      <c r="J1134" s="34" t="s">
        <v>6771</v>
      </c>
      <c r="K1134" s="34" t="s">
        <v>6772</v>
      </c>
      <c r="L1134" s="37"/>
      <c r="M1134" s="37"/>
      <c r="N1134" s="37"/>
      <c r="O1134" s="37"/>
      <c r="P1134" s="37"/>
      <c r="Q1134" s="37"/>
      <c r="R1134" s="31" t="n">
        <f aca="false">COUNT($M1134:$Q1134)</f>
        <v>0</v>
      </c>
      <c r="S1134" s="32" t="str">
        <f aca="false">IF($L1134="","",IF($R1134&gt;=5,"",MAX($L1134:$Q1134)+CHOOSE($R1134+1,SETTINGS!$C$9,SETTINGS!$C$10,SETTINGS!$C$11,SETTINGS!$C$12,SETTINGS!$C$13)))</f>
        <v/>
      </c>
      <c r="T1134" s="34" t="str">
        <f aca="true">IF($H1134="","(chưa có nội dung)",IF($L1134="",IF($C1134&lt;TODAY(),"⚠ TRỄ HỌC",IF($C1134=TODAY(),"★ HỌC HÔM NAY","• Chưa tới")),IF($R1134&gt;=5,"✔ MASTER",IF($S1134&lt;TODAY(),"⚠ TRỄ ÔN",IF($S1134=TODAY(),"◆ ÔN HÔM NAY","✔ Đúng tiến độ")))))</f>
        <v>• Chưa tới</v>
      </c>
      <c r="U1134" s="38" t="n">
        <f aca="false">IF($H1134="","",$R1134/5)</f>
        <v>0</v>
      </c>
    </row>
    <row r="1135" customFormat="false" ht="15" hidden="false" customHeight="false" outlineLevel="0" collapsed="false">
      <c r="A1135" s="31" t="s">
        <v>6773</v>
      </c>
      <c r="B1135" s="31" t="n">
        <v>57</v>
      </c>
      <c r="C1135" s="32" t="n">
        <f aca="false">SETTINGS!$C$3+$B1135-1</f>
        <v>46356</v>
      </c>
      <c r="D1135" s="40" t="s">
        <v>3692</v>
      </c>
      <c r="E1135" s="34" t="s">
        <v>6706</v>
      </c>
      <c r="F1135" s="34" t="s">
        <v>280</v>
      </c>
      <c r="G1135" s="34" t="s">
        <v>6774</v>
      </c>
      <c r="H1135" s="35" t="s">
        <v>6775</v>
      </c>
      <c r="I1135" s="36" t="s">
        <v>6776</v>
      </c>
      <c r="J1135" s="34" t="s">
        <v>6777</v>
      </c>
      <c r="K1135" s="34" t="s">
        <v>6778</v>
      </c>
      <c r="L1135" s="37"/>
      <c r="M1135" s="37"/>
      <c r="N1135" s="37"/>
      <c r="O1135" s="37"/>
      <c r="P1135" s="37"/>
      <c r="Q1135" s="37"/>
      <c r="R1135" s="31" t="n">
        <f aca="false">COUNT($M1135:$Q1135)</f>
        <v>0</v>
      </c>
      <c r="S1135" s="32" t="str">
        <f aca="false">IF($L1135="","",IF($R1135&gt;=5,"",MAX($L1135:$Q1135)+CHOOSE($R1135+1,SETTINGS!$C$9,SETTINGS!$C$10,SETTINGS!$C$11,SETTINGS!$C$12,SETTINGS!$C$13)))</f>
        <v/>
      </c>
      <c r="T1135" s="34" t="str">
        <f aca="true">IF($H1135="","(chưa có nội dung)",IF($L1135="",IF($C1135&lt;TODAY(),"⚠ TRỄ HỌC",IF($C1135=TODAY(),"★ HỌC HÔM NAY","• Chưa tới")),IF($R1135&gt;=5,"✔ MASTER",IF($S1135&lt;TODAY(),"⚠ TRỄ ÔN",IF($S1135=TODAY(),"◆ ÔN HÔM NAY","✔ Đúng tiến độ")))))</f>
        <v>• Chưa tới</v>
      </c>
      <c r="U1135" s="38" t="n">
        <f aca="false">IF($H1135="","",$R1135/5)</f>
        <v>0</v>
      </c>
    </row>
    <row r="1136" customFormat="false" ht="15" hidden="false" customHeight="false" outlineLevel="0" collapsed="false">
      <c r="A1136" s="31" t="s">
        <v>6779</v>
      </c>
      <c r="B1136" s="31" t="n">
        <v>57</v>
      </c>
      <c r="C1136" s="32" t="n">
        <f aca="false">SETTINGS!$C$3+$B1136-1</f>
        <v>46356</v>
      </c>
      <c r="D1136" s="40" t="s">
        <v>3692</v>
      </c>
      <c r="E1136" s="34" t="s">
        <v>6706</v>
      </c>
      <c r="F1136" s="34" t="s">
        <v>163</v>
      </c>
      <c r="G1136" s="34" t="s">
        <v>1589</v>
      </c>
      <c r="H1136" s="35" t="s">
        <v>6780</v>
      </c>
      <c r="I1136" s="36" t="s">
        <v>6781</v>
      </c>
      <c r="J1136" s="34" t="s">
        <v>6782</v>
      </c>
      <c r="K1136" s="34" t="s">
        <v>6783</v>
      </c>
      <c r="L1136" s="37"/>
      <c r="M1136" s="37"/>
      <c r="N1136" s="37"/>
      <c r="O1136" s="37"/>
      <c r="P1136" s="37"/>
      <c r="Q1136" s="37"/>
      <c r="R1136" s="31" t="n">
        <f aca="false">COUNT($M1136:$Q1136)</f>
        <v>0</v>
      </c>
      <c r="S1136" s="32" t="str">
        <f aca="false">IF($L1136="","",IF($R1136&gt;=5,"",MAX($L1136:$Q1136)+CHOOSE($R1136+1,SETTINGS!$C$9,SETTINGS!$C$10,SETTINGS!$C$11,SETTINGS!$C$12,SETTINGS!$C$13)))</f>
        <v/>
      </c>
      <c r="T1136" s="34" t="str">
        <f aca="true">IF($H1136="","(chưa có nội dung)",IF($L1136="",IF($C1136&lt;TODAY(),"⚠ TRỄ HỌC",IF($C1136=TODAY(),"★ HỌC HÔM NAY","• Chưa tới")),IF($R1136&gt;=5,"✔ MASTER",IF($S1136&lt;TODAY(),"⚠ TRỄ ÔN",IF($S1136=TODAY(),"◆ ÔN HÔM NAY","✔ Đúng tiến độ")))))</f>
        <v>• Chưa tới</v>
      </c>
      <c r="U1136" s="38" t="n">
        <f aca="false">IF($H1136="","",$R1136/5)</f>
        <v>0</v>
      </c>
    </row>
    <row r="1137" customFormat="false" ht="15" hidden="false" customHeight="false" outlineLevel="0" collapsed="false">
      <c r="A1137" s="31" t="s">
        <v>6784</v>
      </c>
      <c r="B1137" s="31" t="n">
        <v>57</v>
      </c>
      <c r="C1137" s="32" t="n">
        <f aca="false">SETTINGS!$C$3+$B1137-1</f>
        <v>46356</v>
      </c>
      <c r="D1137" s="40" t="s">
        <v>3692</v>
      </c>
      <c r="E1137" s="34" t="s">
        <v>6706</v>
      </c>
      <c r="F1137" s="34" t="s">
        <v>3656</v>
      </c>
      <c r="G1137" s="34" t="s">
        <v>6785</v>
      </c>
      <c r="H1137" s="35" t="s">
        <v>6786</v>
      </c>
      <c r="I1137" s="36" t="s">
        <v>6787</v>
      </c>
      <c r="J1137" s="34" t="s">
        <v>6788</v>
      </c>
      <c r="K1137" s="34" t="s">
        <v>6789</v>
      </c>
      <c r="L1137" s="37"/>
      <c r="M1137" s="37"/>
      <c r="N1137" s="37"/>
      <c r="O1137" s="37"/>
      <c r="P1137" s="37"/>
      <c r="Q1137" s="37"/>
      <c r="R1137" s="31" t="n">
        <f aca="false">COUNT($M1137:$Q1137)</f>
        <v>0</v>
      </c>
      <c r="S1137" s="32" t="str">
        <f aca="false">IF($L1137="","",IF($R1137&gt;=5,"",MAX($L1137:$Q1137)+CHOOSE($R1137+1,SETTINGS!$C$9,SETTINGS!$C$10,SETTINGS!$C$11,SETTINGS!$C$12,SETTINGS!$C$13)))</f>
        <v/>
      </c>
      <c r="T1137" s="34" t="str">
        <f aca="true">IF($H1137="","(chưa có nội dung)",IF($L1137="",IF($C1137&lt;TODAY(),"⚠ TRỄ HỌC",IF($C1137=TODAY(),"★ HỌC HÔM NAY","• Chưa tới")),IF($R1137&gt;=5,"✔ MASTER",IF($S1137&lt;TODAY(),"⚠ TRỄ ÔN",IF($S1137=TODAY(),"◆ ÔN HÔM NAY","✔ Đúng tiến độ")))))</f>
        <v>• Chưa tới</v>
      </c>
      <c r="U1137" s="38" t="n">
        <f aca="false">IF($H1137="","",$R1137/5)</f>
        <v>0</v>
      </c>
    </row>
    <row r="1138" customFormat="false" ht="15" hidden="false" customHeight="false" outlineLevel="0" collapsed="false">
      <c r="A1138" s="31" t="s">
        <v>6790</v>
      </c>
      <c r="B1138" s="31" t="n">
        <v>57</v>
      </c>
      <c r="C1138" s="32" t="n">
        <f aca="false">SETTINGS!$C$3+$B1138-1</f>
        <v>46356</v>
      </c>
      <c r="D1138" s="40" t="s">
        <v>3692</v>
      </c>
      <c r="E1138" s="34" t="s">
        <v>6706</v>
      </c>
      <c r="F1138" s="34" t="s">
        <v>280</v>
      </c>
      <c r="G1138" s="34" t="s">
        <v>6791</v>
      </c>
      <c r="H1138" s="35" t="s">
        <v>6792</v>
      </c>
      <c r="I1138" s="36" t="s">
        <v>6793</v>
      </c>
      <c r="J1138" s="34" t="s">
        <v>6794</v>
      </c>
      <c r="K1138" s="34" t="s">
        <v>6795</v>
      </c>
      <c r="L1138" s="37"/>
      <c r="M1138" s="37"/>
      <c r="N1138" s="37"/>
      <c r="O1138" s="37"/>
      <c r="P1138" s="37"/>
      <c r="Q1138" s="37"/>
      <c r="R1138" s="31" t="n">
        <f aca="false">COUNT($M1138:$Q1138)</f>
        <v>0</v>
      </c>
      <c r="S1138" s="32" t="str">
        <f aca="false">IF($L1138="","",IF($R1138&gt;=5,"",MAX($L1138:$Q1138)+CHOOSE($R1138+1,SETTINGS!$C$9,SETTINGS!$C$10,SETTINGS!$C$11,SETTINGS!$C$12,SETTINGS!$C$13)))</f>
        <v/>
      </c>
      <c r="T1138" s="34" t="str">
        <f aca="true">IF($H1138="","(chưa có nội dung)",IF($L1138="",IF($C1138&lt;TODAY(),"⚠ TRỄ HỌC",IF($C1138=TODAY(),"★ HỌC HÔM NAY","• Chưa tới")),IF($R1138&gt;=5,"✔ MASTER",IF($S1138&lt;TODAY(),"⚠ TRỄ ÔN",IF($S1138=TODAY(),"◆ ÔN HÔM NAY","✔ Đúng tiến độ")))))</f>
        <v>• Chưa tới</v>
      </c>
      <c r="U1138" s="38" t="n">
        <f aca="false">IF($H1138="","",$R1138/5)</f>
        <v>0</v>
      </c>
    </row>
    <row r="1139" customFormat="false" ht="15" hidden="false" customHeight="false" outlineLevel="0" collapsed="false">
      <c r="A1139" s="31" t="s">
        <v>6796</v>
      </c>
      <c r="B1139" s="31" t="n">
        <v>57</v>
      </c>
      <c r="C1139" s="32" t="n">
        <f aca="false">SETTINGS!$C$3+$B1139-1</f>
        <v>46356</v>
      </c>
      <c r="D1139" s="40" t="s">
        <v>3692</v>
      </c>
      <c r="E1139" s="34" t="s">
        <v>6706</v>
      </c>
      <c r="F1139" s="34" t="s">
        <v>280</v>
      </c>
      <c r="G1139" s="34" t="s">
        <v>6797</v>
      </c>
      <c r="H1139" s="35" t="s">
        <v>6798</v>
      </c>
      <c r="I1139" s="36" t="s">
        <v>6799</v>
      </c>
      <c r="J1139" s="34" t="s">
        <v>6800</v>
      </c>
      <c r="K1139" s="34" t="s">
        <v>6801</v>
      </c>
      <c r="L1139" s="37"/>
      <c r="M1139" s="37"/>
      <c r="N1139" s="37"/>
      <c r="O1139" s="37"/>
      <c r="P1139" s="37"/>
      <c r="Q1139" s="37"/>
      <c r="R1139" s="31" t="n">
        <f aca="false">COUNT($M1139:$Q1139)</f>
        <v>0</v>
      </c>
      <c r="S1139" s="32" t="str">
        <f aca="false">IF($L1139="","",IF($R1139&gt;=5,"",MAX($L1139:$Q1139)+CHOOSE($R1139+1,SETTINGS!$C$9,SETTINGS!$C$10,SETTINGS!$C$11,SETTINGS!$C$12,SETTINGS!$C$13)))</f>
        <v/>
      </c>
      <c r="T1139" s="34" t="str">
        <f aca="true">IF($H1139="","(chưa có nội dung)",IF($L1139="",IF($C1139&lt;TODAY(),"⚠ TRỄ HỌC",IF($C1139=TODAY(),"★ HỌC HÔM NAY","• Chưa tới")),IF($R1139&gt;=5,"✔ MASTER",IF($S1139&lt;TODAY(),"⚠ TRỄ ÔN",IF($S1139=TODAY(),"◆ ÔN HÔM NAY","✔ Đúng tiến độ")))))</f>
        <v>• Chưa tới</v>
      </c>
      <c r="U1139" s="38" t="n">
        <f aca="false">IF($H1139="","",$R1139/5)</f>
        <v>0</v>
      </c>
    </row>
    <row r="1140" customFormat="false" ht="15" hidden="false" customHeight="false" outlineLevel="0" collapsed="false">
      <c r="A1140" s="31" t="s">
        <v>6802</v>
      </c>
      <c r="B1140" s="31" t="n">
        <v>57</v>
      </c>
      <c r="C1140" s="32" t="n">
        <f aca="false">SETTINGS!$C$3+$B1140-1</f>
        <v>46356</v>
      </c>
      <c r="D1140" s="40" t="s">
        <v>3692</v>
      </c>
      <c r="E1140" s="34" t="s">
        <v>6706</v>
      </c>
      <c r="F1140" s="34" t="s">
        <v>280</v>
      </c>
      <c r="G1140" s="34" t="s">
        <v>1183</v>
      </c>
      <c r="H1140" s="35" t="s">
        <v>6803</v>
      </c>
      <c r="I1140" s="36" t="s">
        <v>6804</v>
      </c>
      <c r="J1140" s="34" t="s">
        <v>6805</v>
      </c>
      <c r="K1140" s="34" t="s">
        <v>6806</v>
      </c>
      <c r="L1140" s="37"/>
      <c r="M1140" s="37"/>
      <c r="N1140" s="37"/>
      <c r="O1140" s="37"/>
      <c r="P1140" s="37"/>
      <c r="Q1140" s="37"/>
      <c r="R1140" s="31" t="n">
        <f aca="false">COUNT($M1140:$Q1140)</f>
        <v>0</v>
      </c>
      <c r="S1140" s="32" t="str">
        <f aca="false">IF($L1140="","",IF($R1140&gt;=5,"",MAX($L1140:$Q1140)+CHOOSE($R1140+1,SETTINGS!$C$9,SETTINGS!$C$10,SETTINGS!$C$11,SETTINGS!$C$12,SETTINGS!$C$13)))</f>
        <v/>
      </c>
      <c r="T1140" s="34" t="str">
        <f aca="true">IF($H1140="","(chưa có nội dung)",IF($L1140="",IF($C1140&lt;TODAY(),"⚠ TRỄ HỌC",IF($C1140=TODAY(),"★ HỌC HÔM NAY","• Chưa tới")),IF($R1140&gt;=5,"✔ MASTER",IF($S1140&lt;TODAY(),"⚠ TRỄ ÔN",IF($S1140=TODAY(),"◆ ÔN HÔM NAY","✔ Đúng tiến độ")))))</f>
        <v>• Chưa tới</v>
      </c>
      <c r="U1140" s="38" t="n">
        <f aca="false">IF($H1140="","",$R1140/5)</f>
        <v>0</v>
      </c>
    </row>
    <row r="1141" customFormat="false" ht="15" hidden="false" customHeight="false" outlineLevel="0" collapsed="false">
      <c r="A1141" s="31" t="s">
        <v>6807</v>
      </c>
      <c r="B1141" s="31" t="n">
        <v>57</v>
      </c>
      <c r="C1141" s="32" t="n">
        <f aca="false">SETTINGS!$C$3+$B1141-1</f>
        <v>46356</v>
      </c>
      <c r="D1141" s="40" t="s">
        <v>3692</v>
      </c>
      <c r="E1141" s="34" t="s">
        <v>6706</v>
      </c>
      <c r="F1141" s="34" t="s">
        <v>280</v>
      </c>
      <c r="G1141" s="34" t="s">
        <v>6808</v>
      </c>
      <c r="H1141" s="35" t="s">
        <v>6809</v>
      </c>
      <c r="I1141" s="36" t="s">
        <v>6810</v>
      </c>
      <c r="J1141" s="34" t="s">
        <v>6811</v>
      </c>
      <c r="K1141" s="34" t="s">
        <v>6812</v>
      </c>
      <c r="L1141" s="37"/>
      <c r="M1141" s="37"/>
      <c r="N1141" s="37"/>
      <c r="O1141" s="37"/>
      <c r="P1141" s="37"/>
      <c r="Q1141" s="37"/>
      <c r="R1141" s="31" t="n">
        <f aca="false">COUNT($M1141:$Q1141)</f>
        <v>0</v>
      </c>
      <c r="S1141" s="32" t="str">
        <f aca="false">IF($L1141="","",IF($R1141&gt;=5,"",MAX($L1141:$Q1141)+CHOOSE($R1141+1,SETTINGS!$C$9,SETTINGS!$C$10,SETTINGS!$C$11,SETTINGS!$C$12,SETTINGS!$C$13)))</f>
        <v/>
      </c>
      <c r="T1141" s="34" t="str">
        <f aca="true">IF($H1141="","(chưa có nội dung)",IF($L1141="",IF($C1141&lt;TODAY(),"⚠ TRỄ HỌC",IF($C1141=TODAY(),"★ HỌC HÔM NAY","• Chưa tới")),IF($R1141&gt;=5,"✔ MASTER",IF($S1141&lt;TODAY(),"⚠ TRỄ ÔN",IF($S1141=TODAY(),"◆ ÔN HÔM NAY","✔ Đúng tiến độ")))))</f>
        <v>• Chưa tới</v>
      </c>
      <c r="U1141" s="38" t="n">
        <f aca="false">IF($H1141="","",$R1141/5)</f>
        <v>0</v>
      </c>
    </row>
    <row r="1142" customFormat="false" ht="15" hidden="false" customHeight="false" outlineLevel="0" collapsed="false">
      <c r="A1142" s="31" t="s">
        <v>6813</v>
      </c>
      <c r="B1142" s="31" t="n">
        <v>57</v>
      </c>
      <c r="C1142" s="32" t="n">
        <f aca="false">SETTINGS!$C$3+$B1142-1</f>
        <v>46356</v>
      </c>
      <c r="D1142" s="40" t="s">
        <v>3692</v>
      </c>
      <c r="E1142" s="34" t="s">
        <v>6706</v>
      </c>
      <c r="F1142" s="34" t="s">
        <v>280</v>
      </c>
      <c r="G1142" s="34" t="s">
        <v>6814</v>
      </c>
      <c r="H1142" s="35" t="s">
        <v>6815</v>
      </c>
      <c r="I1142" s="36" t="s">
        <v>6816</v>
      </c>
      <c r="J1142" s="34" t="s">
        <v>6817</v>
      </c>
      <c r="K1142" s="34" t="s">
        <v>6818</v>
      </c>
      <c r="L1142" s="37"/>
      <c r="M1142" s="37"/>
      <c r="N1142" s="37"/>
      <c r="O1142" s="37"/>
      <c r="P1142" s="37"/>
      <c r="Q1142" s="37"/>
      <c r="R1142" s="31" t="n">
        <f aca="false">COUNT($M1142:$Q1142)</f>
        <v>0</v>
      </c>
      <c r="S1142" s="32" t="str">
        <f aca="false">IF($L1142="","",IF($R1142&gt;=5,"",MAX($L1142:$Q1142)+CHOOSE($R1142+1,SETTINGS!$C$9,SETTINGS!$C$10,SETTINGS!$C$11,SETTINGS!$C$12,SETTINGS!$C$13)))</f>
        <v/>
      </c>
      <c r="T1142" s="34" t="str">
        <f aca="true">IF($H1142="","(chưa có nội dung)",IF($L1142="",IF($C1142&lt;TODAY(),"⚠ TRỄ HỌC",IF($C1142=TODAY(),"★ HỌC HÔM NAY","• Chưa tới")),IF($R1142&gt;=5,"✔ MASTER",IF($S1142&lt;TODAY(),"⚠ TRỄ ÔN",IF($S1142=TODAY(),"◆ ÔN HÔM NAY","✔ Đúng tiến độ")))))</f>
        <v>• Chưa tới</v>
      </c>
      <c r="U1142" s="38" t="n">
        <f aca="false">IF($H1142="","",$R1142/5)</f>
        <v>0</v>
      </c>
    </row>
    <row r="1143" customFormat="false" ht="26.85" hidden="false" customHeight="false" outlineLevel="0" collapsed="false">
      <c r="A1143" s="31" t="s">
        <v>6819</v>
      </c>
      <c r="B1143" s="31" t="n">
        <v>58</v>
      </c>
      <c r="C1143" s="32" t="n">
        <f aca="false">SETTINGS!$C$3+$B1143-1</f>
        <v>46357</v>
      </c>
      <c r="D1143" s="40" t="s">
        <v>3692</v>
      </c>
      <c r="E1143" s="34" t="s">
        <v>6820</v>
      </c>
      <c r="F1143" s="34" t="s">
        <v>280</v>
      </c>
      <c r="G1143" s="34" t="s">
        <v>6821</v>
      </c>
      <c r="H1143" s="35" t="s">
        <v>6822</v>
      </c>
      <c r="I1143" s="36" t="s">
        <v>6823</v>
      </c>
      <c r="J1143" s="34" t="s">
        <v>6824</v>
      </c>
      <c r="K1143" s="34" t="s">
        <v>6825</v>
      </c>
      <c r="L1143" s="37"/>
      <c r="M1143" s="37"/>
      <c r="N1143" s="37"/>
      <c r="O1143" s="37"/>
      <c r="P1143" s="37"/>
      <c r="Q1143" s="37"/>
      <c r="R1143" s="31" t="n">
        <f aca="false">COUNT($M1143:$Q1143)</f>
        <v>0</v>
      </c>
      <c r="S1143" s="32" t="str">
        <f aca="false">IF($L1143="","",IF($R1143&gt;=5,"",MAX($L1143:$Q1143)+CHOOSE($R1143+1,SETTINGS!$C$9,SETTINGS!$C$10,SETTINGS!$C$11,SETTINGS!$C$12,SETTINGS!$C$13)))</f>
        <v/>
      </c>
      <c r="T1143" s="34" t="str">
        <f aca="true">IF($H1143="","(chưa có nội dung)",IF($L1143="",IF($C1143&lt;TODAY(),"⚠ TRỄ HỌC",IF($C1143=TODAY(),"★ HỌC HÔM NAY","• Chưa tới")),IF($R1143&gt;=5,"✔ MASTER",IF($S1143&lt;TODAY(),"⚠ TRỄ ÔN",IF($S1143=TODAY(),"◆ ÔN HÔM NAY","✔ Đúng tiến độ")))))</f>
        <v>• Chưa tới</v>
      </c>
      <c r="U1143" s="38" t="n">
        <f aca="false">IF($H1143="","",$R1143/5)</f>
        <v>0</v>
      </c>
    </row>
    <row r="1144" customFormat="false" ht="15" hidden="false" customHeight="false" outlineLevel="0" collapsed="false">
      <c r="A1144" s="31" t="s">
        <v>6826</v>
      </c>
      <c r="B1144" s="31" t="n">
        <v>58</v>
      </c>
      <c r="C1144" s="32" t="n">
        <f aca="false">SETTINGS!$C$3+$B1144-1</f>
        <v>46357</v>
      </c>
      <c r="D1144" s="40" t="s">
        <v>3692</v>
      </c>
      <c r="E1144" s="34" t="s">
        <v>6820</v>
      </c>
      <c r="F1144" s="34" t="s">
        <v>163</v>
      </c>
      <c r="G1144" s="34" t="s">
        <v>6827</v>
      </c>
      <c r="H1144" s="35" t="s">
        <v>6828</v>
      </c>
      <c r="I1144" s="36" t="s">
        <v>6829</v>
      </c>
      <c r="J1144" s="34" t="s">
        <v>6830</v>
      </c>
      <c r="K1144" s="34" t="s">
        <v>6831</v>
      </c>
      <c r="L1144" s="37"/>
      <c r="M1144" s="37"/>
      <c r="N1144" s="37"/>
      <c r="O1144" s="37"/>
      <c r="P1144" s="37"/>
      <c r="Q1144" s="37"/>
      <c r="R1144" s="31" t="n">
        <f aca="false">COUNT($M1144:$Q1144)</f>
        <v>0</v>
      </c>
      <c r="S1144" s="32" t="str">
        <f aca="false">IF($L1144="","",IF($R1144&gt;=5,"",MAX($L1144:$Q1144)+CHOOSE($R1144+1,SETTINGS!$C$9,SETTINGS!$C$10,SETTINGS!$C$11,SETTINGS!$C$12,SETTINGS!$C$13)))</f>
        <v/>
      </c>
      <c r="T1144" s="34" t="str">
        <f aca="true">IF($H1144="","(chưa có nội dung)",IF($L1144="",IF($C1144&lt;TODAY(),"⚠ TRỄ HỌC",IF($C1144=TODAY(),"★ HỌC HÔM NAY","• Chưa tới")),IF($R1144&gt;=5,"✔ MASTER",IF($S1144&lt;TODAY(),"⚠ TRỄ ÔN",IF($S1144=TODAY(),"◆ ÔN HÔM NAY","✔ Đúng tiến độ")))))</f>
        <v>• Chưa tới</v>
      </c>
      <c r="U1144" s="38" t="n">
        <f aca="false">IF($H1144="","",$R1144/5)</f>
        <v>0</v>
      </c>
    </row>
    <row r="1145" customFormat="false" ht="15" hidden="false" customHeight="false" outlineLevel="0" collapsed="false">
      <c r="A1145" s="31" t="s">
        <v>6832</v>
      </c>
      <c r="B1145" s="31" t="n">
        <v>58</v>
      </c>
      <c r="C1145" s="32" t="n">
        <f aca="false">SETTINGS!$C$3+$B1145-1</f>
        <v>46357</v>
      </c>
      <c r="D1145" s="40" t="s">
        <v>3692</v>
      </c>
      <c r="E1145" s="34" t="s">
        <v>6820</v>
      </c>
      <c r="F1145" s="34" t="s">
        <v>280</v>
      </c>
      <c r="G1145" s="34" t="s">
        <v>6833</v>
      </c>
      <c r="H1145" s="35" t="s">
        <v>6834</v>
      </c>
      <c r="I1145" s="36" t="s">
        <v>6835</v>
      </c>
      <c r="J1145" s="34" t="s">
        <v>6836</v>
      </c>
      <c r="K1145" s="34" t="s">
        <v>6837</v>
      </c>
      <c r="L1145" s="37"/>
      <c r="M1145" s="37"/>
      <c r="N1145" s="37"/>
      <c r="O1145" s="37"/>
      <c r="P1145" s="37"/>
      <c r="Q1145" s="37"/>
      <c r="R1145" s="31" t="n">
        <f aca="false">COUNT($M1145:$Q1145)</f>
        <v>0</v>
      </c>
      <c r="S1145" s="32" t="str">
        <f aca="false">IF($L1145="","",IF($R1145&gt;=5,"",MAX($L1145:$Q1145)+CHOOSE($R1145+1,SETTINGS!$C$9,SETTINGS!$C$10,SETTINGS!$C$11,SETTINGS!$C$12,SETTINGS!$C$13)))</f>
        <v/>
      </c>
      <c r="T1145" s="34" t="str">
        <f aca="true">IF($H1145="","(chưa có nội dung)",IF($L1145="",IF($C1145&lt;TODAY(),"⚠ TRỄ HỌC",IF($C1145=TODAY(),"★ HỌC HÔM NAY","• Chưa tới")),IF($R1145&gt;=5,"✔ MASTER",IF($S1145&lt;TODAY(),"⚠ TRỄ ÔN",IF($S1145=TODAY(),"◆ ÔN HÔM NAY","✔ Đúng tiến độ")))))</f>
        <v>• Chưa tới</v>
      </c>
      <c r="U1145" s="38" t="n">
        <f aca="false">IF($H1145="","",$R1145/5)</f>
        <v>0</v>
      </c>
    </row>
    <row r="1146" customFormat="false" ht="15" hidden="false" customHeight="false" outlineLevel="0" collapsed="false">
      <c r="A1146" s="31" t="s">
        <v>6838</v>
      </c>
      <c r="B1146" s="31" t="n">
        <v>58</v>
      </c>
      <c r="C1146" s="32" t="n">
        <f aca="false">SETTINGS!$C$3+$B1146-1</f>
        <v>46357</v>
      </c>
      <c r="D1146" s="40" t="s">
        <v>3692</v>
      </c>
      <c r="E1146" s="34" t="s">
        <v>6820</v>
      </c>
      <c r="F1146" s="34" t="s">
        <v>163</v>
      </c>
      <c r="G1146" s="34" t="s">
        <v>6839</v>
      </c>
      <c r="H1146" s="35" t="s">
        <v>6840</v>
      </c>
      <c r="I1146" s="36" t="s">
        <v>6841</v>
      </c>
      <c r="J1146" s="34" t="s">
        <v>6842</v>
      </c>
      <c r="K1146" s="34" t="s">
        <v>6843</v>
      </c>
      <c r="L1146" s="37"/>
      <c r="M1146" s="37"/>
      <c r="N1146" s="37"/>
      <c r="O1146" s="37"/>
      <c r="P1146" s="37"/>
      <c r="Q1146" s="37"/>
      <c r="R1146" s="31" t="n">
        <f aca="false">COUNT($M1146:$Q1146)</f>
        <v>0</v>
      </c>
      <c r="S1146" s="32" t="str">
        <f aca="false">IF($L1146="","",IF($R1146&gt;=5,"",MAX($L1146:$Q1146)+CHOOSE($R1146+1,SETTINGS!$C$9,SETTINGS!$C$10,SETTINGS!$C$11,SETTINGS!$C$12,SETTINGS!$C$13)))</f>
        <v/>
      </c>
      <c r="T1146" s="34" t="str">
        <f aca="true">IF($H1146="","(chưa có nội dung)",IF($L1146="",IF($C1146&lt;TODAY(),"⚠ TRỄ HỌC",IF($C1146=TODAY(),"★ HỌC HÔM NAY","• Chưa tới")),IF($R1146&gt;=5,"✔ MASTER",IF($S1146&lt;TODAY(),"⚠ TRỄ ÔN",IF($S1146=TODAY(),"◆ ÔN HÔM NAY","✔ Đúng tiến độ")))))</f>
        <v>• Chưa tới</v>
      </c>
      <c r="U1146" s="38" t="n">
        <f aca="false">IF($H1146="","",$R1146/5)</f>
        <v>0</v>
      </c>
    </row>
    <row r="1147" customFormat="false" ht="15" hidden="false" customHeight="false" outlineLevel="0" collapsed="false">
      <c r="A1147" s="31" t="s">
        <v>6844</v>
      </c>
      <c r="B1147" s="31" t="n">
        <v>58</v>
      </c>
      <c r="C1147" s="32" t="n">
        <f aca="false">SETTINGS!$C$3+$B1147-1</f>
        <v>46357</v>
      </c>
      <c r="D1147" s="40" t="s">
        <v>3692</v>
      </c>
      <c r="E1147" s="34" t="s">
        <v>6820</v>
      </c>
      <c r="F1147" s="34" t="s">
        <v>280</v>
      </c>
      <c r="G1147" s="34" t="s">
        <v>6845</v>
      </c>
      <c r="H1147" s="35" t="s">
        <v>6846</v>
      </c>
      <c r="I1147" s="36" t="s">
        <v>6847</v>
      </c>
      <c r="J1147" s="34" t="s">
        <v>6848</v>
      </c>
      <c r="K1147" s="34" t="s">
        <v>6849</v>
      </c>
      <c r="L1147" s="37"/>
      <c r="M1147" s="37"/>
      <c r="N1147" s="37"/>
      <c r="O1147" s="37"/>
      <c r="P1147" s="37"/>
      <c r="Q1147" s="37"/>
      <c r="R1147" s="31" t="n">
        <f aca="false">COUNT($M1147:$Q1147)</f>
        <v>0</v>
      </c>
      <c r="S1147" s="32" t="str">
        <f aca="false">IF($L1147="","",IF($R1147&gt;=5,"",MAX($L1147:$Q1147)+CHOOSE($R1147+1,SETTINGS!$C$9,SETTINGS!$C$10,SETTINGS!$C$11,SETTINGS!$C$12,SETTINGS!$C$13)))</f>
        <v/>
      </c>
      <c r="T1147" s="34" t="str">
        <f aca="true">IF($H1147="","(chưa có nội dung)",IF($L1147="",IF($C1147&lt;TODAY(),"⚠ TRỄ HỌC",IF($C1147=TODAY(),"★ HỌC HÔM NAY","• Chưa tới")),IF($R1147&gt;=5,"✔ MASTER",IF($S1147&lt;TODAY(),"⚠ TRỄ ÔN",IF($S1147=TODAY(),"◆ ÔN HÔM NAY","✔ Đúng tiến độ")))))</f>
        <v>• Chưa tới</v>
      </c>
      <c r="U1147" s="38" t="n">
        <f aca="false">IF($H1147="","",$R1147/5)</f>
        <v>0</v>
      </c>
    </row>
    <row r="1148" customFormat="false" ht="15" hidden="false" customHeight="false" outlineLevel="0" collapsed="false">
      <c r="A1148" s="31" t="s">
        <v>6850</v>
      </c>
      <c r="B1148" s="31" t="n">
        <v>58</v>
      </c>
      <c r="C1148" s="32" t="n">
        <f aca="false">SETTINGS!$C$3+$B1148-1</f>
        <v>46357</v>
      </c>
      <c r="D1148" s="40" t="s">
        <v>3692</v>
      </c>
      <c r="E1148" s="34" t="s">
        <v>6820</v>
      </c>
      <c r="F1148" s="34" t="s">
        <v>163</v>
      </c>
      <c r="G1148" s="34" t="s">
        <v>6851</v>
      </c>
      <c r="H1148" s="35" t="s">
        <v>6852</v>
      </c>
      <c r="I1148" s="36" t="s">
        <v>6853</v>
      </c>
      <c r="J1148" s="34" t="s">
        <v>6854</v>
      </c>
      <c r="K1148" s="34" t="s">
        <v>6855</v>
      </c>
      <c r="L1148" s="37"/>
      <c r="M1148" s="37"/>
      <c r="N1148" s="37"/>
      <c r="O1148" s="37"/>
      <c r="P1148" s="37"/>
      <c r="Q1148" s="37"/>
      <c r="R1148" s="31" t="n">
        <f aca="false">COUNT($M1148:$Q1148)</f>
        <v>0</v>
      </c>
      <c r="S1148" s="32" t="str">
        <f aca="false">IF($L1148="","",IF($R1148&gt;=5,"",MAX($L1148:$Q1148)+CHOOSE($R1148+1,SETTINGS!$C$9,SETTINGS!$C$10,SETTINGS!$C$11,SETTINGS!$C$12,SETTINGS!$C$13)))</f>
        <v/>
      </c>
      <c r="T1148" s="34" t="str">
        <f aca="true">IF($H1148="","(chưa có nội dung)",IF($L1148="",IF($C1148&lt;TODAY(),"⚠ TRỄ HỌC",IF($C1148=TODAY(),"★ HỌC HÔM NAY","• Chưa tới")),IF($R1148&gt;=5,"✔ MASTER",IF($S1148&lt;TODAY(),"⚠ TRỄ ÔN",IF($S1148=TODAY(),"◆ ÔN HÔM NAY","✔ Đúng tiến độ")))))</f>
        <v>• Chưa tới</v>
      </c>
      <c r="U1148" s="38" t="n">
        <f aca="false">IF($H1148="","",$R1148/5)</f>
        <v>0</v>
      </c>
    </row>
    <row r="1149" customFormat="false" ht="15" hidden="false" customHeight="false" outlineLevel="0" collapsed="false">
      <c r="A1149" s="31" t="s">
        <v>6856</v>
      </c>
      <c r="B1149" s="31" t="n">
        <v>58</v>
      </c>
      <c r="C1149" s="32" t="n">
        <f aca="false">SETTINGS!$C$3+$B1149-1</f>
        <v>46357</v>
      </c>
      <c r="D1149" s="40" t="s">
        <v>3692</v>
      </c>
      <c r="E1149" s="34" t="s">
        <v>6820</v>
      </c>
      <c r="F1149" s="34" t="s">
        <v>280</v>
      </c>
      <c r="G1149" s="34" t="s">
        <v>1183</v>
      </c>
      <c r="H1149" s="35" t="s">
        <v>6857</v>
      </c>
      <c r="I1149" s="36" t="s">
        <v>6858</v>
      </c>
      <c r="J1149" s="34" t="s">
        <v>6859</v>
      </c>
      <c r="K1149" s="34" t="s">
        <v>6860</v>
      </c>
      <c r="L1149" s="37"/>
      <c r="M1149" s="37"/>
      <c r="N1149" s="37"/>
      <c r="O1149" s="37"/>
      <c r="P1149" s="37"/>
      <c r="Q1149" s="37"/>
      <c r="R1149" s="31" t="n">
        <f aca="false">COUNT($M1149:$Q1149)</f>
        <v>0</v>
      </c>
      <c r="S1149" s="32" t="str">
        <f aca="false">IF($L1149="","",IF($R1149&gt;=5,"",MAX($L1149:$Q1149)+CHOOSE($R1149+1,SETTINGS!$C$9,SETTINGS!$C$10,SETTINGS!$C$11,SETTINGS!$C$12,SETTINGS!$C$13)))</f>
        <v/>
      </c>
      <c r="T1149" s="34" t="str">
        <f aca="true">IF($H1149="","(chưa có nội dung)",IF($L1149="",IF($C1149&lt;TODAY(),"⚠ TRỄ HỌC",IF($C1149=TODAY(),"★ HỌC HÔM NAY","• Chưa tới")),IF($R1149&gt;=5,"✔ MASTER",IF($S1149&lt;TODAY(),"⚠ TRỄ ÔN",IF($S1149=TODAY(),"◆ ÔN HÔM NAY","✔ Đúng tiến độ")))))</f>
        <v>• Chưa tới</v>
      </c>
      <c r="U1149" s="38" t="n">
        <f aca="false">IF($H1149="","",$R1149/5)</f>
        <v>0</v>
      </c>
    </row>
    <row r="1150" customFormat="false" ht="26.85" hidden="false" customHeight="false" outlineLevel="0" collapsed="false">
      <c r="A1150" s="31" t="s">
        <v>6861</v>
      </c>
      <c r="B1150" s="31" t="n">
        <v>58</v>
      </c>
      <c r="C1150" s="32" t="n">
        <f aca="false">SETTINGS!$C$3+$B1150-1</f>
        <v>46357</v>
      </c>
      <c r="D1150" s="40" t="s">
        <v>3692</v>
      </c>
      <c r="E1150" s="34" t="s">
        <v>6820</v>
      </c>
      <c r="F1150" s="34" t="s">
        <v>280</v>
      </c>
      <c r="G1150" s="34" t="s">
        <v>6862</v>
      </c>
      <c r="H1150" s="35" t="s">
        <v>6863</v>
      </c>
      <c r="I1150" s="36" t="s">
        <v>6864</v>
      </c>
      <c r="J1150" s="34" t="s">
        <v>6865</v>
      </c>
      <c r="K1150" s="34" t="s">
        <v>6866</v>
      </c>
      <c r="L1150" s="37"/>
      <c r="M1150" s="37"/>
      <c r="N1150" s="37"/>
      <c r="O1150" s="37"/>
      <c r="P1150" s="37"/>
      <c r="Q1150" s="37"/>
      <c r="R1150" s="31" t="n">
        <f aca="false">COUNT($M1150:$Q1150)</f>
        <v>0</v>
      </c>
      <c r="S1150" s="32" t="str">
        <f aca="false">IF($L1150="","",IF($R1150&gt;=5,"",MAX($L1150:$Q1150)+CHOOSE($R1150+1,SETTINGS!$C$9,SETTINGS!$C$10,SETTINGS!$C$11,SETTINGS!$C$12,SETTINGS!$C$13)))</f>
        <v/>
      </c>
      <c r="T1150" s="34" t="str">
        <f aca="true">IF($H1150="","(chưa có nội dung)",IF($L1150="",IF($C1150&lt;TODAY(),"⚠ TRỄ HỌC",IF($C1150=TODAY(),"★ HỌC HÔM NAY","• Chưa tới")),IF($R1150&gt;=5,"✔ MASTER",IF($S1150&lt;TODAY(),"⚠ TRỄ ÔN",IF($S1150=TODAY(),"◆ ÔN HÔM NAY","✔ Đúng tiến độ")))))</f>
        <v>• Chưa tới</v>
      </c>
      <c r="U1150" s="38" t="n">
        <f aca="false">IF($H1150="","",$R1150/5)</f>
        <v>0</v>
      </c>
    </row>
    <row r="1151" customFormat="false" ht="15" hidden="false" customHeight="false" outlineLevel="0" collapsed="false">
      <c r="A1151" s="31" t="s">
        <v>6867</v>
      </c>
      <c r="B1151" s="31" t="n">
        <v>58</v>
      </c>
      <c r="C1151" s="32" t="n">
        <f aca="false">SETTINGS!$C$3+$B1151-1</f>
        <v>46357</v>
      </c>
      <c r="D1151" s="40" t="s">
        <v>3692</v>
      </c>
      <c r="E1151" s="34" t="s">
        <v>6820</v>
      </c>
      <c r="F1151" s="34" t="s">
        <v>280</v>
      </c>
      <c r="G1151" s="34" t="s">
        <v>6868</v>
      </c>
      <c r="H1151" s="35" t="s">
        <v>6869</v>
      </c>
      <c r="I1151" s="36" t="s">
        <v>6870</v>
      </c>
      <c r="J1151" s="34" t="s">
        <v>6871</v>
      </c>
      <c r="K1151" s="34" t="s">
        <v>2230</v>
      </c>
      <c r="L1151" s="37"/>
      <c r="M1151" s="37"/>
      <c r="N1151" s="37"/>
      <c r="O1151" s="37"/>
      <c r="P1151" s="37"/>
      <c r="Q1151" s="37"/>
      <c r="R1151" s="31" t="n">
        <f aca="false">COUNT($M1151:$Q1151)</f>
        <v>0</v>
      </c>
      <c r="S1151" s="32" t="str">
        <f aca="false">IF($L1151="","",IF($R1151&gt;=5,"",MAX($L1151:$Q1151)+CHOOSE($R1151+1,SETTINGS!$C$9,SETTINGS!$C$10,SETTINGS!$C$11,SETTINGS!$C$12,SETTINGS!$C$13)))</f>
        <v/>
      </c>
      <c r="T1151" s="34" t="str">
        <f aca="true">IF($H1151="","(chưa có nội dung)",IF($L1151="",IF($C1151&lt;TODAY(),"⚠ TRỄ HỌC",IF($C1151=TODAY(),"★ HỌC HÔM NAY","• Chưa tới")),IF($R1151&gt;=5,"✔ MASTER",IF($S1151&lt;TODAY(),"⚠ TRỄ ÔN",IF($S1151=TODAY(),"◆ ÔN HÔM NAY","✔ Đúng tiến độ")))))</f>
        <v>• Chưa tới</v>
      </c>
      <c r="U1151" s="38" t="n">
        <f aca="false">IF($H1151="","",$R1151/5)</f>
        <v>0</v>
      </c>
    </row>
    <row r="1152" customFormat="false" ht="15" hidden="false" customHeight="false" outlineLevel="0" collapsed="false">
      <c r="A1152" s="31" t="s">
        <v>6872</v>
      </c>
      <c r="B1152" s="31" t="n">
        <v>58</v>
      </c>
      <c r="C1152" s="32" t="n">
        <f aca="false">SETTINGS!$C$3+$B1152-1</f>
        <v>46357</v>
      </c>
      <c r="D1152" s="40" t="s">
        <v>3692</v>
      </c>
      <c r="E1152" s="34" t="s">
        <v>6820</v>
      </c>
      <c r="F1152" s="34" t="s">
        <v>163</v>
      </c>
      <c r="G1152" s="34" t="s">
        <v>6873</v>
      </c>
      <c r="H1152" s="35" t="s">
        <v>6874</v>
      </c>
      <c r="I1152" s="36" t="s">
        <v>6875</v>
      </c>
      <c r="J1152" s="34" t="s">
        <v>6876</v>
      </c>
      <c r="K1152" s="34" t="s">
        <v>6877</v>
      </c>
      <c r="L1152" s="37"/>
      <c r="M1152" s="37"/>
      <c r="N1152" s="37"/>
      <c r="O1152" s="37"/>
      <c r="P1152" s="37"/>
      <c r="Q1152" s="37"/>
      <c r="R1152" s="31" t="n">
        <f aca="false">COUNT($M1152:$Q1152)</f>
        <v>0</v>
      </c>
      <c r="S1152" s="32" t="str">
        <f aca="false">IF($L1152="","",IF($R1152&gt;=5,"",MAX($L1152:$Q1152)+CHOOSE($R1152+1,SETTINGS!$C$9,SETTINGS!$C$10,SETTINGS!$C$11,SETTINGS!$C$12,SETTINGS!$C$13)))</f>
        <v/>
      </c>
      <c r="T1152" s="34" t="str">
        <f aca="true">IF($H1152="","(chưa có nội dung)",IF($L1152="",IF($C1152&lt;TODAY(),"⚠ TRỄ HỌC",IF($C1152=TODAY(),"★ HỌC HÔM NAY","• Chưa tới")),IF($R1152&gt;=5,"✔ MASTER",IF($S1152&lt;TODAY(),"⚠ TRỄ ÔN",IF($S1152=TODAY(),"◆ ÔN HÔM NAY","✔ Đúng tiến độ")))))</f>
        <v>• Chưa tới</v>
      </c>
      <c r="U1152" s="38" t="n">
        <f aca="false">IF($H1152="","",$R1152/5)</f>
        <v>0</v>
      </c>
    </row>
    <row r="1153" customFormat="false" ht="15" hidden="false" customHeight="false" outlineLevel="0" collapsed="false">
      <c r="A1153" s="31" t="s">
        <v>6878</v>
      </c>
      <c r="B1153" s="31" t="n">
        <v>58</v>
      </c>
      <c r="C1153" s="32" t="n">
        <f aca="false">SETTINGS!$C$3+$B1153-1</f>
        <v>46357</v>
      </c>
      <c r="D1153" s="40" t="s">
        <v>3692</v>
      </c>
      <c r="E1153" s="34" t="s">
        <v>6820</v>
      </c>
      <c r="F1153" s="34" t="s">
        <v>183</v>
      </c>
      <c r="G1153" s="34" t="s">
        <v>6879</v>
      </c>
      <c r="H1153" s="35" t="s">
        <v>6880</v>
      </c>
      <c r="I1153" s="36" t="s">
        <v>6881</v>
      </c>
      <c r="J1153" s="34" t="s">
        <v>6882</v>
      </c>
      <c r="K1153" s="34" t="s">
        <v>6883</v>
      </c>
      <c r="L1153" s="37"/>
      <c r="M1153" s="37"/>
      <c r="N1153" s="37"/>
      <c r="O1153" s="37"/>
      <c r="P1153" s="37"/>
      <c r="Q1153" s="37"/>
      <c r="R1153" s="31" t="n">
        <f aca="false">COUNT($M1153:$Q1153)</f>
        <v>0</v>
      </c>
      <c r="S1153" s="32" t="str">
        <f aca="false">IF($L1153="","",IF($R1153&gt;=5,"",MAX($L1153:$Q1153)+CHOOSE($R1153+1,SETTINGS!$C$9,SETTINGS!$C$10,SETTINGS!$C$11,SETTINGS!$C$12,SETTINGS!$C$13)))</f>
        <v/>
      </c>
      <c r="T1153" s="34" t="str">
        <f aca="true">IF($H1153="","(chưa có nội dung)",IF($L1153="",IF($C1153&lt;TODAY(),"⚠ TRỄ HỌC",IF($C1153=TODAY(),"★ HỌC HÔM NAY","• Chưa tới")),IF($R1153&gt;=5,"✔ MASTER",IF($S1153&lt;TODAY(),"⚠ TRỄ ÔN",IF($S1153=TODAY(),"◆ ÔN HÔM NAY","✔ Đúng tiến độ")))))</f>
        <v>• Chưa tới</v>
      </c>
      <c r="U1153" s="38" t="n">
        <f aca="false">IF($H1153="","",$R1153/5)</f>
        <v>0</v>
      </c>
    </row>
    <row r="1154" customFormat="false" ht="15" hidden="false" customHeight="false" outlineLevel="0" collapsed="false">
      <c r="A1154" s="31" t="s">
        <v>6884</v>
      </c>
      <c r="B1154" s="31" t="n">
        <v>58</v>
      </c>
      <c r="C1154" s="32" t="n">
        <f aca="false">SETTINGS!$C$3+$B1154-1</f>
        <v>46357</v>
      </c>
      <c r="D1154" s="40" t="s">
        <v>3692</v>
      </c>
      <c r="E1154" s="34" t="s">
        <v>6820</v>
      </c>
      <c r="F1154" s="34" t="s">
        <v>280</v>
      </c>
      <c r="G1154" s="34" t="s">
        <v>6230</v>
      </c>
      <c r="H1154" s="35" t="s">
        <v>6885</v>
      </c>
      <c r="I1154" s="36" t="s">
        <v>6886</v>
      </c>
      <c r="J1154" s="34" t="s">
        <v>6887</v>
      </c>
      <c r="K1154" s="34" t="s">
        <v>3102</v>
      </c>
      <c r="L1154" s="37"/>
      <c r="M1154" s="37"/>
      <c r="N1154" s="37"/>
      <c r="O1154" s="37"/>
      <c r="P1154" s="37"/>
      <c r="Q1154" s="37"/>
      <c r="R1154" s="31" t="n">
        <f aca="false">COUNT($M1154:$Q1154)</f>
        <v>0</v>
      </c>
      <c r="S1154" s="32" t="str">
        <f aca="false">IF($L1154="","",IF($R1154&gt;=5,"",MAX($L1154:$Q1154)+CHOOSE($R1154+1,SETTINGS!$C$9,SETTINGS!$C$10,SETTINGS!$C$11,SETTINGS!$C$12,SETTINGS!$C$13)))</f>
        <v/>
      </c>
      <c r="T1154" s="34" t="str">
        <f aca="true">IF($H1154="","(chưa có nội dung)",IF($L1154="",IF($C1154&lt;TODAY(),"⚠ TRỄ HỌC",IF($C1154=TODAY(),"★ HỌC HÔM NAY","• Chưa tới")),IF($R1154&gt;=5,"✔ MASTER",IF($S1154&lt;TODAY(),"⚠ TRỄ ÔN",IF($S1154=TODAY(),"◆ ÔN HÔM NAY","✔ Đúng tiến độ")))))</f>
        <v>• Chưa tới</v>
      </c>
      <c r="U1154" s="38" t="n">
        <f aca="false">IF($H1154="","",$R1154/5)</f>
        <v>0</v>
      </c>
    </row>
    <row r="1155" customFormat="false" ht="15" hidden="false" customHeight="false" outlineLevel="0" collapsed="false">
      <c r="A1155" s="31" t="s">
        <v>6888</v>
      </c>
      <c r="B1155" s="31" t="n">
        <v>58</v>
      </c>
      <c r="C1155" s="32" t="n">
        <f aca="false">SETTINGS!$C$3+$B1155-1</f>
        <v>46357</v>
      </c>
      <c r="D1155" s="40" t="s">
        <v>3692</v>
      </c>
      <c r="E1155" s="34" t="s">
        <v>6820</v>
      </c>
      <c r="F1155" s="34" t="s">
        <v>280</v>
      </c>
      <c r="G1155" s="34" t="s">
        <v>6889</v>
      </c>
      <c r="H1155" s="35" t="s">
        <v>6890</v>
      </c>
      <c r="I1155" s="36" t="s">
        <v>6891</v>
      </c>
      <c r="J1155" s="34" t="s">
        <v>6892</v>
      </c>
      <c r="K1155" s="34" t="s">
        <v>6893</v>
      </c>
      <c r="L1155" s="37"/>
      <c r="M1155" s="37"/>
      <c r="N1155" s="37"/>
      <c r="O1155" s="37"/>
      <c r="P1155" s="37"/>
      <c r="Q1155" s="37"/>
      <c r="R1155" s="31" t="n">
        <f aca="false">COUNT($M1155:$Q1155)</f>
        <v>0</v>
      </c>
      <c r="S1155" s="32" t="str">
        <f aca="false">IF($L1155="","",IF($R1155&gt;=5,"",MAX($L1155:$Q1155)+CHOOSE($R1155+1,SETTINGS!$C$9,SETTINGS!$C$10,SETTINGS!$C$11,SETTINGS!$C$12,SETTINGS!$C$13)))</f>
        <v/>
      </c>
      <c r="T1155" s="34" t="str">
        <f aca="true">IF($H1155="","(chưa có nội dung)",IF($L1155="",IF($C1155&lt;TODAY(),"⚠ TRỄ HỌC",IF($C1155=TODAY(),"★ HỌC HÔM NAY","• Chưa tới")),IF($R1155&gt;=5,"✔ MASTER",IF($S1155&lt;TODAY(),"⚠ TRỄ ÔN",IF($S1155=TODAY(),"◆ ÔN HÔM NAY","✔ Đúng tiến độ")))))</f>
        <v>• Chưa tới</v>
      </c>
      <c r="U1155" s="38" t="n">
        <f aca="false">IF($H1155="","",$R1155/5)</f>
        <v>0</v>
      </c>
    </row>
    <row r="1156" customFormat="false" ht="26.85" hidden="false" customHeight="false" outlineLevel="0" collapsed="false">
      <c r="A1156" s="31" t="s">
        <v>6894</v>
      </c>
      <c r="B1156" s="31" t="n">
        <v>58</v>
      </c>
      <c r="C1156" s="32" t="n">
        <f aca="false">SETTINGS!$C$3+$B1156-1</f>
        <v>46357</v>
      </c>
      <c r="D1156" s="40" t="s">
        <v>3692</v>
      </c>
      <c r="E1156" s="34" t="s">
        <v>6820</v>
      </c>
      <c r="F1156" s="34" t="s">
        <v>3656</v>
      </c>
      <c r="G1156" s="34" t="s">
        <v>6895</v>
      </c>
      <c r="H1156" s="35" t="s">
        <v>6896</v>
      </c>
      <c r="I1156" s="36" t="s">
        <v>6897</v>
      </c>
      <c r="J1156" s="34" t="s">
        <v>6898</v>
      </c>
      <c r="K1156" s="34" t="s">
        <v>6899</v>
      </c>
      <c r="L1156" s="37"/>
      <c r="M1156" s="37"/>
      <c r="N1156" s="37"/>
      <c r="O1156" s="37"/>
      <c r="P1156" s="37"/>
      <c r="Q1156" s="37"/>
      <c r="R1156" s="31" t="n">
        <f aca="false">COUNT($M1156:$Q1156)</f>
        <v>0</v>
      </c>
      <c r="S1156" s="32" t="str">
        <f aca="false">IF($L1156="","",IF($R1156&gt;=5,"",MAX($L1156:$Q1156)+CHOOSE($R1156+1,SETTINGS!$C$9,SETTINGS!$C$10,SETTINGS!$C$11,SETTINGS!$C$12,SETTINGS!$C$13)))</f>
        <v/>
      </c>
      <c r="T1156" s="34" t="str">
        <f aca="true">IF($H1156="","(chưa có nội dung)",IF($L1156="",IF($C1156&lt;TODAY(),"⚠ TRỄ HỌC",IF($C1156=TODAY(),"★ HỌC HÔM NAY","• Chưa tới")),IF($R1156&gt;=5,"✔ MASTER",IF($S1156&lt;TODAY(),"⚠ TRỄ ÔN",IF($S1156=TODAY(),"◆ ÔN HÔM NAY","✔ Đúng tiến độ")))))</f>
        <v>• Chưa tới</v>
      </c>
      <c r="U1156" s="38" t="n">
        <f aca="false">IF($H1156="","",$R1156/5)</f>
        <v>0</v>
      </c>
    </row>
    <row r="1157" customFormat="false" ht="15" hidden="false" customHeight="false" outlineLevel="0" collapsed="false">
      <c r="A1157" s="31" t="s">
        <v>6900</v>
      </c>
      <c r="B1157" s="31" t="n">
        <v>58</v>
      </c>
      <c r="C1157" s="32" t="n">
        <f aca="false">SETTINGS!$C$3+$B1157-1</f>
        <v>46357</v>
      </c>
      <c r="D1157" s="40" t="s">
        <v>3692</v>
      </c>
      <c r="E1157" s="34" t="s">
        <v>6820</v>
      </c>
      <c r="F1157" s="34" t="s">
        <v>3656</v>
      </c>
      <c r="G1157" s="34" t="s">
        <v>6901</v>
      </c>
      <c r="H1157" s="35" t="s">
        <v>6902</v>
      </c>
      <c r="I1157" s="36" t="s">
        <v>6903</v>
      </c>
      <c r="J1157" s="34" t="s">
        <v>6904</v>
      </c>
      <c r="K1157" s="34" t="s">
        <v>6905</v>
      </c>
      <c r="L1157" s="37"/>
      <c r="M1157" s="37"/>
      <c r="N1157" s="37"/>
      <c r="O1157" s="37"/>
      <c r="P1157" s="37"/>
      <c r="Q1157" s="37"/>
      <c r="R1157" s="31" t="n">
        <f aca="false">COUNT($M1157:$Q1157)</f>
        <v>0</v>
      </c>
      <c r="S1157" s="32" t="str">
        <f aca="false">IF($L1157="","",IF($R1157&gt;=5,"",MAX($L1157:$Q1157)+CHOOSE($R1157+1,SETTINGS!$C$9,SETTINGS!$C$10,SETTINGS!$C$11,SETTINGS!$C$12,SETTINGS!$C$13)))</f>
        <v/>
      </c>
      <c r="T1157" s="34" t="str">
        <f aca="true">IF($H1157="","(chưa có nội dung)",IF($L1157="",IF($C1157&lt;TODAY(),"⚠ TRỄ HỌC",IF($C1157=TODAY(),"★ HỌC HÔM NAY","• Chưa tới")),IF($R1157&gt;=5,"✔ MASTER",IF($S1157&lt;TODAY(),"⚠ TRỄ ÔN",IF($S1157=TODAY(),"◆ ÔN HÔM NAY","✔ Đúng tiến độ")))))</f>
        <v>• Chưa tới</v>
      </c>
      <c r="U1157" s="38" t="n">
        <f aca="false">IF($H1157="","",$R1157/5)</f>
        <v>0</v>
      </c>
    </row>
    <row r="1158" customFormat="false" ht="15" hidden="false" customHeight="false" outlineLevel="0" collapsed="false">
      <c r="A1158" s="31" t="s">
        <v>6906</v>
      </c>
      <c r="B1158" s="31" t="n">
        <v>58</v>
      </c>
      <c r="C1158" s="32" t="n">
        <f aca="false">SETTINGS!$C$3+$B1158-1</f>
        <v>46357</v>
      </c>
      <c r="D1158" s="40" t="s">
        <v>3692</v>
      </c>
      <c r="E1158" s="34" t="s">
        <v>6820</v>
      </c>
      <c r="F1158" s="34" t="s">
        <v>280</v>
      </c>
      <c r="G1158" s="34" t="s">
        <v>3464</v>
      </c>
      <c r="H1158" s="35" t="s">
        <v>6907</v>
      </c>
      <c r="I1158" s="36" t="s">
        <v>6908</v>
      </c>
      <c r="J1158" s="34" t="s">
        <v>6909</v>
      </c>
      <c r="K1158" s="34" t="s">
        <v>6910</v>
      </c>
      <c r="L1158" s="37"/>
      <c r="M1158" s="37"/>
      <c r="N1158" s="37"/>
      <c r="O1158" s="37"/>
      <c r="P1158" s="37"/>
      <c r="Q1158" s="37"/>
      <c r="R1158" s="31" t="n">
        <f aca="false">COUNT($M1158:$Q1158)</f>
        <v>0</v>
      </c>
      <c r="S1158" s="32" t="str">
        <f aca="false">IF($L1158="","",IF($R1158&gt;=5,"",MAX($L1158:$Q1158)+CHOOSE($R1158+1,SETTINGS!$C$9,SETTINGS!$C$10,SETTINGS!$C$11,SETTINGS!$C$12,SETTINGS!$C$13)))</f>
        <v/>
      </c>
      <c r="T1158" s="34" t="str">
        <f aca="true">IF($H1158="","(chưa có nội dung)",IF($L1158="",IF($C1158&lt;TODAY(),"⚠ TRỄ HỌC",IF($C1158=TODAY(),"★ HỌC HÔM NAY","• Chưa tới")),IF($R1158&gt;=5,"✔ MASTER",IF($S1158&lt;TODAY(),"⚠ TRỄ ÔN",IF($S1158=TODAY(),"◆ ÔN HÔM NAY","✔ Đúng tiến độ")))))</f>
        <v>• Chưa tới</v>
      </c>
      <c r="U1158" s="38" t="n">
        <f aca="false">IF($H1158="","",$R1158/5)</f>
        <v>0</v>
      </c>
    </row>
    <row r="1159" customFormat="false" ht="15" hidden="false" customHeight="false" outlineLevel="0" collapsed="false">
      <c r="A1159" s="31" t="s">
        <v>6911</v>
      </c>
      <c r="B1159" s="31" t="n">
        <v>58</v>
      </c>
      <c r="C1159" s="32" t="n">
        <f aca="false">SETTINGS!$C$3+$B1159-1</f>
        <v>46357</v>
      </c>
      <c r="D1159" s="40" t="s">
        <v>3692</v>
      </c>
      <c r="E1159" s="34" t="s">
        <v>6820</v>
      </c>
      <c r="F1159" s="34" t="s">
        <v>472</v>
      </c>
      <c r="G1159" s="34" t="s">
        <v>6912</v>
      </c>
      <c r="H1159" s="35" t="s">
        <v>6913</v>
      </c>
      <c r="I1159" s="36" t="s">
        <v>6914</v>
      </c>
      <c r="J1159" s="34" t="s">
        <v>6915</v>
      </c>
      <c r="K1159" s="34" t="s">
        <v>6916</v>
      </c>
      <c r="L1159" s="37"/>
      <c r="M1159" s="37"/>
      <c r="N1159" s="37"/>
      <c r="O1159" s="37"/>
      <c r="P1159" s="37"/>
      <c r="Q1159" s="37"/>
      <c r="R1159" s="31" t="n">
        <f aca="false">COUNT($M1159:$Q1159)</f>
        <v>0</v>
      </c>
      <c r="S1159" s="32" t="str">
        <f aca="false">IF($L1159="","",IF($R1159&gt;=5,"",MAX($L1159:$Q1159)+CHOOSE($R1159+1,SETTINGS!$C$9,SETTINGS!$C$10,SETTINGS!$C$11,SETTINGS!$C$12,SETTINGS!$C$13)))</f>
        <v/>
      </c>
      <c r="T1159" s="34" t="str">
        <f aca="true">IF($H1159="","(chưa có nội dung)",IF($L1159="",IF($C1159&lt;TODAY(),"⚠ TRỄ HỌC",IF($C1159=TODAY(),"★ HỌC HÔM NAY","• Chưa tới")),IF($R1159&gt;=5,"✔ MASTER",IF($S1159&lt;TODAY(),"⚠ TRỄ ÔN",IF($S1159=TODAY(),"◆ ÔN HÔM NAY","✔ Đúng tiến độ")))))</f>
        <v>• Chưa tới</v>
      </c>
      <c r="U1159" s="38" t="n">
        <f aca="false">IF($H1159="","",$R1159/5)</f>
        <v>0</v>
      </c>
    </row>
    <row r="1160" customFormat="false" ht="15" hidden="false" customHeight="false" outlineLevel="0" collapsed="false">
      <c r="A1160" s="31" t="s">
        <v>6917</v>
      </c>
      <c r="B1160" s="31" t="n">
        <v>58</v>
      </c>
      <c r="C1160" s="32" t="n">
        <f aca="false">SETTINGS!$C$3+$B1160-1</f>
        <v>46357</v>
      </c>
      <c r="D1160" s="40" t="s">
        <v>3692</v>
      </c>
      <c r="E1160" s="34" t="s">
        <v>6820</v>
      </c>
      <c r="F1160" s="34" t="s">
        <v>280</v>
      </c>
      <c r="G1160" s="34" t="s">
        <v>6918</v>
      </c>
      <c r="H1160" s="35" t="s">
        <v>6919</v>
      </c>
      <c r="I1160" s="36" t="s">
        <v>6920</v>
      </c>
      <c r="J1160" s="34" t="s">
        <v>6921</v>
      </c>
      <c r="K1160" s="34" t="s">
        <v>6922</v>
      </c>
      <c r="L1160" s="37"/>
      <c r="M1160" s="37"/>
      <c r="N1160" s="37"/>
      <c r="O1160" s="37"/>
      <c r="P1160" s="37"/>
      <c r="Q1160" s="37"/>
      <c r="R1160" s="31" t="n">
        <f aca="false">COUNT($M1160:$Q1160)</f>
        <v>0</v>
      </c>
      <c r="S1160" s="32" t="str">
        <f aca="false">IF($L1160="","",IF($R1160&gt;=5,"",MAX($L1160:$Q1160)+CHOOSE($R1160+1,SETTINGS!$C$9,SETTINGS!$C$10,SETTINGS!$C$11,SETTINGS!$C$12,SETTINGS!$C$13)))</f>
        <v/>
      </c>
      <c r="T1160" s="34" t="str">
        <f aca="true">IF($H1160="","(chưa có nội dung)",IF($L1160="",IF($C1160&lt;TODAY(),"⚠ TRỄ HỌC",IF($C1160=TODAY(),"★ HỌC HÔM NAY","• Chưa tới")),IF($R1160&gt;=5,"✔ MASTER",IF($S1160&lt;TODAY(),"⚠ TRỄ ÔN",IF($S1160=TODAY(),"◆ ÔN HÔM NAY","✔ Đúng tiến độ")))))</f>
        <v>• Chưa tới</v>
      </c>
      <c r="U1160" s="38" t="n">
        <f aca="false">IF($H1160="","",$R1160/5)</f>
        <v>0</v>
      </c>
    </row>
    <row r="1161" customFormat="false" ht="15" hidden="false" customHeight="false" outlineLevel="0" collapsed="false">
      <c r="A1161" s="31" t="s">
        <v>6923</v>
      </c>
      <c r="B1161" s="31" t="n">
        <v>58</v>
      </c>
      <c r="C1161" s="32" t="n">
        <f aca="false">SETTINGS!$C$3+$B1161-1</f>
        <v>46357</v>
      </c>
      <c r="D1161" s="40" t="s">
        <v>3692</v>
      </c>
      <c r="E1161" s="34" t="s">
        <v>6820</v>
      </c>
      <c r="F1161" s="34" t="s">
        <v>280</v>
      </c>
      <c r="G1161" s="34" t="s">
        <v>6924</v>
      </c>
      <c r="H1161" s="35" t="s">
        <v>6925</v>
      </c>
      <c r="I1161" s="36" t="s">
        <v>6926</v>
      </c>
      <c r="J1161" s="34" t="s">
        <v>6927</v>
      </c>
      <c r="K1161" s="34" t="s">
        <v>6928</v>
      </c>
      <c r="L1161" s="37"/>
      <c r="M1161" s="37"/>
      <c r="N1161" s="37"/>
      <c r="O1161" s="37"/>
      <c r="P1161" s="37"/>
      <c r="Q1161" s="37"/>
      <c r="R1161" s="31" t="n">
        <f aca="false">COUNT($M1161:$Q1161)</f>
        <v>0</v>
      </c>
      <c r="S1161" s="32" t="str">
        <f aca="false">IF($L1161="","",IF($R1161&gt;=5,"",MAX($L1161:$Q1161)+CHOOSE($R1161+1,SETTINGS!$C$9,SETTINGS!$C$10,SETTINGS!$C$11,SETTINGS!$C$12,SETTINGS!$C$13)))</f>
        <v/>
      </c>
      <c r="T1161" s="34" t="str">
        <f aca="true">IF($H1161="","(chưa có nội dung)",IF($L1161="",IF($C1161&lt;TODAY(),"⚠ TRỄ HỌC",IF($C1161=TODAY(),"★ HỌC HÔM NAY","• Chưa tới")),IF($R1161&gt;=5,"✔ MASTER",IF($S1161&lt;TODAY(),"⚠ TRỄ ÔN",IF($S1161=TODAY(),"◆ ÔN HÔM NAY","✔ Đúng tiến độ")))))</f>
        <v>• Chưa tới</v>
      </c>
      <c r="U1161" s="38" t="n">
        <f aca="false">IF($H1161="","",$R1161/5)</f>
        <v>0</v>
      </c>
    </row>
    <row r="1162" customFormat="false" ht="15" hidden="false" customHeight="false" outlineLevel="0" collapsed="false">
      <c r="A1162" s="31" t="s">
        <v>6929</v>
      </c>
      <c r="B1162" s="31" t="n">
        <v>58</v>
      </c>
      <c r="C1162" s="32" t="n">
        <f aca="false">SETTINGS!$C$3+$B1162-1</f>
        <v>46357</v>
      </c>
      <c r="D1162" s="40" t="s">
        <v>3692</v>
      </c>
      <c r="E1162" s="34" t="s">
        <v>6820</v>
      </c>
      <c r="F1162" s="34" t="s">
        <v>280</v>
      </c>
      <c r="G1162" s="34" t="s">
        <v>6930</v>
      </c>
      <c r="H1162" s="35" t="s">
        <v>6931</v>
      </c>
      <c r="I1162" s="36" t="s">
        <v>6932</v>
      </c>
      <c r="J1162" s="34" t="s">
        <v>6933</v>
      </c>
      <c r="K1162" s="34" t="s">
        <v>6934</v>
      </c>
      <c r="L1162" s="37"/>
      <c r="M1162" s="37"/>
      <c r="N1162" s="37"/>
      <c r="O1162" s="37"/>
      <c r="P1162" s="37"/>
      <c r="Q1162" s="37"/>
      <c r="R1162" s="31" t="n">
        <f aca="false">COUNT($M1162:$Q1162)</f>
        <v>0</v>
      </c>
      <c r="S1162" s="32" t="str">
        <f aca="false">IF($L1162="","",IF($R1162&gt;=5,"",MAX($L1162:$Q1162)+CHOOSE($R1162+1,SETTINGS!$C$9,SETTINGS!$C$10,SETTINGS!$C$11,SETTINGS!$C$12,SETTINGS!$C$13)))</f>
        <v/>
      </c>
      <c r="T1162" s="34" t="str">
        <f aca="true">IF($H1162="","(chưa có nội dung)",IF($L1162="",IF($C1162&lt;TODAY(),"⚠ TRỄ HỌC",IF($C1162=TODAY(),"★ HỌC HÔM NAY","• Chưa tới")),IF($R1162&gt;=5,"✔ MASTER",IF($S1162&lt;TODAY(),"⚠ TRỄ ÔN",IF($S1162=TODAY(),"◆ ÔN HÔM NAY","✔ Đúng tiến độ")))))</f>
        <v>• Chưa tới</v>
      </c>
      <c r="U1162" s="38" t="n">
        <f aca="false">IF($H1162="","",$R1162/5)</f>
        <v>0</v>
      </c>
    </row>
    <row r="1163" customFormat="false" ht="26.85" hidden="false" customHeight="false" outlineLevel="0" collapsed="false">
      <c r="A1163" s="31" t="s">
        <v>6935</v>
      </c>
      <c r="B1163" s="31" t="n">
        <v>59</v>
      </c>
      <c r="C1163" s="32" t="n">
        <f aca="false">SETTINGS!$C$3+$B1163-1</f>
        <v>46358</v>
      </c>
      <c r="D1163" s="40" t="s">
        <v>3692</v>
      </c>
      <c r="E1163" s="34" t="s">
        <v>6936</v>
      </c>
      <c r="F1163" s="34" t="s">
        <v>280</v>
      </c>
      <c r="G1163" s="34" t="s">
        <v>3081</v>
      </c>
      <c r="H1163" s="35" t="s">
        <v>6937</v>
      </c>
      <c r="I1163" s="36" t="s">
        <v>6938</v>
      </c>
      <c r="J1163" s="34" t="s">
        <v>6939</v>
      </c>
      <c r="K1163" s="34" t="s">
        <v>6940</v>
      </c>
      <c r="L1163" s="37"/>
      <c r="M1163" s="37"/>
      <c r="N1163" s="37"/>
      <c r="O1163" s="37"/>
      <c r="P1163" s="37"/>
      <c r="Q1163" s="37"/>
      <c r="R1163" s="31" t="n">
        <f aca="false">COUNT($M1163:$Q1163)</f>
        <v>0</v>
      </c>
      <c r="S1163" s="32" t="str">
        <f aca="false">IF($L1163="","",IF($R1163&gt;=5,"",MAX($L1163:$Q1163)+CHOOSE($R1163+1,SETTINGS!$C$9,SETTINGS!$C$10,SETTINGS!$C$11,SETTINGS!$C$12,SETTINGS!$C$13)))</f>
        <v/>
      </c>
      <c r="T1163" s="34" t="str">
        <f aca="true">IF($H1163="","(chưa có nội dung)",IF($L1163="",IF($C1163&lt;TODAY(),"⚠ TRỄ HỌC",IF($C1163=TODAY(),"★ HỌC HÔM NAY","• Chưa tới")),IF($R1163&gt;=5,"✔ MASTER",IF($S1163&lt;TODAY(),"⚠ TRỄ ÔN",IF($S1163=TODAY(),"◆ ÔN HÔM NAY","✔ Đúng tiến độ")))))</f>
        <v>• Chưa tới</v>
      </c>
      <c r="U1163" s="38" t="n">
        <f aca="false">IF($H1163="","",$R1163/5)</f>
        <v>0</v>
      </c>
    </row>
    <row r="1164" customFormat="false" ht="15" hidden="false" customHeight="false" outlineLevel="0" collapsed="false">
      <c r="A1164" s="31" t="s">
        <v>6941</v>
      </c>
      <c r="B1164" s="31" t="n">
        <v>59</v>
      </c>
      <c r="C1164" s="32" t="n">
        <f aca="false">SETTINGS!$C$3+$B1164-1</f>
        <v>46358</v>
      </c>
      <c r="D1164" s="40" t="s">
        <v>3692</v>
      </c>
      <c r="E1164" s="34" t="s">
        <v>6936</v>
      </c>
      <c r="F1164" s="34" t="s">
        <v>163</v>
      </c>
      <c r="G1164" s="34" t="s">
        <v>6942</v>
      </c>
      <c r="H1164" s="35" t="s">
        <v>6943</v>
      </c>
      <c r="I1164" s="36" t="s">
        <v>6944</v>
      </c>
      <c r="J1164" s="34" t="s">
        <v>6945</v>
      </c>
      <c r="K1164" s="34" t="s">
        <v>6946</v>
      </c>
      <c r="L1164" s="37"/>
      <c r="M1164" s="37"/>
      <c r="N1164" s="37"/>
      <c r="O1164" s="37"/>
      <c r="P1164" s="37"/>
      <c r="Q1164" s="37"/>
      <c r="R1164" s="31" t="n">
        <f aca="false">COUNT($M1164:$Q1164)</f>
        <v>0</v>
      </c>
      <c r="S1164" s="32" t="str">
        <f aca="false">IF($L1164="","",IF($R1164&gt;=5,"",MAX($L1164:$Q1164)+CHOOSE($R1164+1,SETTINGS!$C$9,SETTINGS!$C$10,SETTINGS!$C$11,SETTINGS!$C$12,SETTINGS!$C$13)))</f>
        <v/>
      </c>
      <c r="T1164" s="34" t="str">
        <f aca="true">IF($H1164="","(chưa có nội dung)",IF($L1164="",IF($C1164&lt;TODAY(),"⚠ TRỄ HỌC",IF($C1164=TODAY(),"★ HỌC HÔM NAY","• Chưa tới")),IF($R1164&gt;=5,"✔ MASTER",IF($S1164&lt;TODAY(),"⚠ TRỄ ÔN",IF($S1164=TODAY(),"◆ ÔN HÔM NAY","✔ Đúng tiến độ")))))</f>
        <v>• Chưa tới</v>
      </c>
      <c r="U1164" s="38" t="n">
        <f aca="false">IF($H1164="","",$R1164/5)</f>
        <v>0</v>
      </c>
    </row>
    <row r="1165" customFormat="false" ht="15" hidden="false" customHeight="false" outlineLevel="0" collapsed="false">
      <c r="A1165" s="31" t="s">
        <v>6947</v>
      </c>
      <c r="B1165" s="31" t="n">
        <v>59</v>
      </c>
      <c r="C1165" s="32" t="n">
        <f aca="false">SETTINGS!$C$3+$B1165-1</f>
        <v>46358</v>
      </c>
      <c r="D1165" s="40" t="s">
        <v>3692</v>
      </c>
      <c r="E1165" s="34" t="s">
        <v>6936</v>
      </c>
      <c r="F1165" s="34" t="s">
        <v>163</v>
      </c>
      <c r="G1165" s="34" t="s">
        <v>6948</v>
      </c>
      <c r="H1165" s="35" t="s">
        <v>6949</v>
      </c>
      <c r="I1165" s="36" t="s">
        <v>6950</v>
      </c>
      <c r="J1165" s="34" t="s">
        <v>6951</v>
      </c>
      <c r="K1165" s="34" t="s">
        <v>6952</v>
      </c>
      <c r="L1165" s="37"/>
      <c r="M1165" s="37"/>
      <c r="N1165" s="37"/>
      <c r="O1165" s="37"/>
      <c r="P1165" s="37"/>
      <c r="Q1165" s="37"/>
      <c r="R1165" s="31" t="n">
        <f aca="false">COUNT($M1165:$Q1165)</f>
        <v>0</v>
      </c>
      <c r="S1165" s="32" t="str">
        <f aca="false">IF($L1165="","",IF($R1165&gt;=5,"",MAX($L1165:$Q1165)+CHOOSE($R1165+1,SETTINGS!$C$9,SETTINGS!$C$10,SETTINGS!$C$11,SETTINGS!$C$12,SETTINGS!$C$13)))</f>
        <v/>
      </c>
      <c r="T1165" s="34" t="str">
        <f aca="true">IF($H1165="","(chưa có nội dung)",IF($L1165="",IF($C1165&lt;TODAY(),"⚠ TRỄ HỌC",IF($C1165=TODAY(),"★ HỌC HÔM NAY","• Chưa tới")),IF($R1165&gt;=5,"✔ MASTER",IF($S1165&lt;TODAY(),"⚠ TRỄ ÔN",IF($S1165=TODAY(),"◆ ÔN HÔM NAY","✔ Đúng tiến độ")))))</f>
        <v>• Chưa tới</v>
      </c>
      <c r="U1165" s="38" t="n">
        <f aca="false">IF($H1165="","",$R1165/5)</f>
        <v>0</v>
      </c>
    </row>
    <row r="1166" customFormat="false" ht="15" hidden="false" customHeight="false" outlineLevel="0" collapsed="false">
      <c r="A1166" s="31" t="s">
        <v>6953</v>
      </c>
      <c r="B1166" s="31" t="n">
        <v>59</v>
      </c>
      <c r="C1166" s="32" t="n">
        <f aca="false">SETTINGS!$C$3+$B1166-1</f>
        <v>46358</v>
      </c>
      <c r="D1166" s="40" t="s">
        <v>3692</v>
      </c>
      <c r="E1166" s="34" t="s">
        <v>6936</v>
      </c>
      <c r="F1166" s="34" t="s">
        <v>183</v>
      </c>
      <c r="G1166" s="34" t="s">
        <v>2897</v>
      </c>
      <c r="H1166" s="35" t="s">
        <v>6954</v>
      </c>
      <c r="I1166" s="36" t="s">
        <v>6955</v>
      </c>
      <c r="J1166" s="34" t="s">
        <v>6956</v>
      </c>
      <c r="K1166" s="34" t="s">
        <v>6957</v>
      </c>
      <c r="L1166" s="37"/>
      <c r="M1166" s="37"/>
      <c r="N1166" s="37"/>
      <c r="O1166" s="37"/>
      <c r="P1166" s="37"/>
      <c r="Q1166" s="37"/>
      <c r="R1166" s="31" t="n">
        <f aca="false">COUNT($M1166:$Q1166)</f>
        <v>0</v>
      </c>
      <c r="S1166" s="32" t="str">
        <f aca="false">IF($L1166="","",IF($R1166&gt;=5,"",MAX($L1166:$Q1166)+CHOOSE($R1166+1,SETTINGS!$C$9,SETTINGS!$C$10,SETTINGS!$C$11,SETTINGS!$C$12,SETTINGS!$C$13)))</f>
        <v/>
      </c>
      <c r="T1166" s="34" t="str">
        <f aca="true">IF($H1166="","(chưa có nội dung)",IF($L1166="",IF($C1166&lt;TODAY(),"⚠ TRỄ HỌC",IF($C1166=TODAY(),"★ HỌC HÔM NAY","• Chưa tới")),IF($R1166&gt;=5,"✔ MASTER",IF($S1166&lt;TODAY(),"⚠ TRỄ ÔN",IF($S1166=TODAY(),"◆ ÔN HÔM NAY","✔ Đúng tiến độ")))))</f>
        <v>• Chưa tới</v>
      </c>
      <c r="U1166" s="38" t="n">
        <f aca="false">IF($H1166="","",$R1166/5)</f>
        <v>0</v>
      </c>
    </row>
    <row r="1167" customFormat="false" ht="15" hidden="false" customHeight="false" outlineLevel="0" collapsed="false">
      <c r="A1167" s="31" t="s">
        <v>6958</v>
      </c>
      <c r="B1167" s="31" t="n">
        <v>59</v>
      </c>
      <c r="C1167" s="32" t="n">
        <f aca="false">SETTINGS!$C$3+$B1167-1</f>
        <v>46358</v>
      </c>
      <c r="D1167" s="40" t="s">
        <v>3692</v>
      </c>
      <c r="E1167" s="34" t="s">
        <v>6936</v>
      </c>
      <c r="F1167" s="34" t="s">
        <v>163</v>
      </c>
      <c r="G1167" s="34" t="s">
        <v>244</v>
      </c>
      <c r="H1167" s="35" t="s">
        <v>6959</v>
      </c>
      <c r="I1167" s="36" t="s">
        <v>6960</v>
      </c>
      <c r="J1167" s="34" t="s">
        <v>6961</v>
      </c>
      <c r="K1167" s="34" t="s">
        <v>6962</v>
      </c>
      <c r="L1167" s="37"/>
      <c r="M1167" s="37"/>
      <c r="N1167" s="37"/>
      <c r="O1167" s="37"/>
      <c r="P1167" s="37"/>
      <c r="Q1167" s="37"/>
      <c r="R1167" s="31" t="n">
        <f aca="false">COUNT($M1167:$Q1167)</f>
        <v>0</v>
      </c>
      <c r="S1167" s="32" t="str">
        <f aca="false">IF($L1167="","",IF($R1167&gt;=5,"",MAX($L1167:$Q1167)+CHOOSE($R1167+1,SETTINGS!$C$9,SETTINGS!$C$10,SETTINGS!$C$11,SETTINGS!$C$12,SETTINGS!$C$13)))</f>
        <v/>
      </c>
      <c r="T1167" s="34" t="str">
        <f aca="true">IF($H1167="","(chưa có nội dung)",IF($L1167="",IF($C1167&lt;TODAY(),"⚠ TRỄ HỌC",IF($C1167=TODAY(),"★ HỌC HÔM NAY","• Chưa tới")),IF($R1167&gt;=5,"✔ MASTER",IF($S1167&lt;TODAY(),"⚠ TRỄ ÔN",IF($S1167=TODAY(),"◆ ÔN HÔM NAY","✔ Đúng tiến độ")))))</f>
        <v>• Chưa tới</v>
      </c>
      <c r="U1167" s="38" t="n">
        <f aca="false">IF($H1167="","",$R1167/5)</f>
        <v>0</v>
      </c>
    </row>
    <row r="1168" customFormat="false" ht="15" hidden="false" customHeight="false" outlineLevel="0" collapsed="false">
      <c r="A1168" s="31" t="s">
        <v>6963</v>
      </c>
      <c r="B1168" s="31" t="n">
        <v>59</v>
      </c>
      <c r="C1168" s="32" t="n">
        <f aca="false">SETTINGS!$C$3+$B1168-1</f>
        <v>46358</v>
      </c>
      <c r="D1168" s="40" t="s">
        <v>3692</v>
      </c>
      <c r="E1168" s="34" t="s">
        <v>6936</v>
      </c>
      <c r="F1168" s="34" t="s">
        <v>280</v>
      </c>
      <c r="G1168" s="34" t="s">
        <v>6964</v>
      </c>
      <c r="H1168" s="35" t="s">
        <v>6965</v>
      </c>
      <c r="I1168" s="36" t="s">
        <v>6966</v>
      </c>
      <c r="J1168" s="34" t="s">
        <v>6967</v>
      </c>
      <c r="K1168" s="34" t="s">
        <v>6968</v>
      </c>
      <c r="L1168" s="37"/>
      <c r="M1168" s="37"/>
      <c r="N1168" s="37"/>
      <c r="O1168" s="37"/>
      <c r="P1168" s="37"/>
      <c r="Q1168" s="37"/>
      <c r="R1168" s="31" t="n">
        <f aca="false">COUNT($M1168:$Q1168)</f>
        <v>0</v>
      </c>
      <c r="S1168" s="32" t="str">
        <f aca="false">IF($L1168="","",IF($R1168&gt;=5,"",MAX($L1168:$Q1168)+CHOOSE($R1168+1,SETTINGS!$C$9,SETTINGS!$C$10,SETTINGS!$C$11,SETTINGS!$C$12,SETTINGS!$C$13)))</f>
        <v/>
      </c>
      <c r="T1168" s="34" t="str">
        <f aca="true">IF($H1168="","(chưa có nội dung)",IF($L1168="",IF($C1168&lt;TODAY(),"⚠ TRỄ HỌC",IF($C1168=TODAY(),"★ HỌC HÔM NAY","• Chưa tới")),IF($R1168&gt;=5,"✔ MASTER",IF($S1168&lt;TODAY(),"⚠ TRỄ ÔN",IF($S1168=TODAY(),"◆ ÔN HÔM NAY","✔ Đúng tiến độ")))))</f>
        <v>• Chưa tới</v>
      </c>
      <c r="U1168" s="38" t="n">
        <f aca="false">IF($H1168="","",$R1168/5)</f>
        <v>0</v>
      </c>
    </row>
    <row r="1169" customFormat="false" ht="15" hidden="false" customHeight="false" outlineLevel="0" collapsed="false">
      <c r="A1169" s="31" t="s">
        <v>6969</v>
      </c>
      <c r="B1169" s="31" t="n">
        <v>59</v>
      </c>
      <c r="C1169" s="32" t="n">
        <f aca="false">SETTINGS!$C$3+$B1169-1</f>
        <v>46358</v>
      </c>
      <c r="D1169" s="40" t="s">
        <v>3692</v>
      </c>
      <c r="E1169" s="34" t="s">
        <v>6936</v>
      </c>
      <c r="F1169" s="34" t="s">
        <v>280</v>
      </c>
      <c r="G1169" s="34" t="s">
        <v>6970</v>
      </c>
      <c r="H1169" s="35" t="s">
        <v>6971</v>
      </c>
      <c r="I1169" s="36" t="s">
        <v>6972</v>
      </c>
      <c r="J1169" s="34" t="s">
        <v>6973</v>
      </c>
      <c r="K1169" s="34" t="s">
        <v>6974</v>
      </c>
      <c r="L1169" s="37"/>
      <c r="M1169" s="37"/>
      <c r="N1169" s="37"/>
      <c r="O1169" s="37"/>
      <c r="P1169" s="37"/>
      <c r="Q1169" s="37"/>
      <c r="R1169" s="31" t="n">
        <f aca="false">COUNT($M1169:$Q1169)</f>
        <v>0</v>
      </c>
      <c r="S1169" s="32" t="str">
        <f aca="false">IF($L1169="","",IF($R1169&gt;=5,"",MAX($L1169:$Q1169)+CHOOSE($R1169+1,SETTINGS!$C$9,SETTINGS!$C$10,SETTINGS!$C$11,SETTINGS!$C$12,SETTINGS!$C$13)))</f>
        <v/>
      </c>
      <c r="T1169" s="34" t="str">
        <f aca="true">IF($H1169="","(chưa có nội dung)",IF($L1169="",IF($C1169&lt;TODAY(),"⚠ TRỄ HỌC",IF($C1169=TODAY(),"★ HỌC HÔM NAY","• Chưa tới")),IF($R1169&gt;=5,"✔ MASTER",IF($S1169&lt;TODAY(),"⚠ TRỄ ÔN",IF($S1169=TODAY(),"◆ ÔN HÔM NAY","✔ Đúng tiến độ")))))</f>
        <v>• Chưa tới</v>
      </c>
      <c r="U1169" s="38" t="n">
        <f aca="false">IF($H1169="","",$R1169/5)</f>
        <v>0</v>
      </c>
    </row>
    <row r="1170" customFormat="false" ht="15" hidden="false" customHeight="false" outlineLevel="0" collapsed="false">
      <c r="A1170" s="31" t="s">
        <v>6975</v>
      </c>
      <c r="B1170" s="31" t="n">
        <v>59</v>
      </c>
      <c r="C1170" s="32" t="n">
        <f aca="false">SETTINGS!$C$3+$B1170-1</f>
        <v>46358</v>
      </c>
      <c r="D1170" s="40" t="s">
        <v>3692</v>
      </c>
      <c r="E1170" s="34" t="s">
        <v>6936</v>
      </c>
      <c r="F1170" s="34" t="s">
        <v>163</v>
      </c>
      <c r="G1170" s="34" t="s">
        <v>6976</v>
      </c>
      <c r="H1170" s="35" t="s">
        <v>6977</v>
      </c>
      <c r="I1170" s="36" t="s">
        <v>6978</v>
      </c>
      <c r="J1170" s="34" t="s">
        <v>6979</v>
      </c>
      <c r="K1170" s="34" t="s">
        <v>5102</v>
      </c>
      <c r="L1170" s="37"/>
      <c r="M1170" s="37"/>
      <c r="N1170" s="37"/>
      <c r="O1170" s="37"/>
      <c r="P1170" s="37"/>
      <c r="Q1170" s="37"/>
      <c r="R1170" s="31" t="n">
        <f aca="false">COUNT($M1170:$Q1170)</f>
        <v>0</v>
      </c>
      <c r="S1170" s="32" t="str">
        <f aca="false">IF($L1170="","",IF($R1170&gt;=5,"",MAX($L1170:$Q1170)+CHOOSE($R1170+1,SETTINGS!$C$9,SETTINGS!$C$10,SETTINGS!$C$11,SETTINGS!$C$12,SETTINGS!$C$13)))</f>
        <v/>
      </c>
      <c r="T1170" s="34" t="str">
        <f aca="true">IF($H1170="","(chưa có nội dung)",IF($L1170="",IF($C1170&lt;TODAY(),"⚠ TRỄ HỌC",IF($C1170=TODAY(),"★ HỌC HÔM NAY","• Chưa tới")),IF($R1170&gt;=5,"✔ MASTER",IF($S1170&lt;TODAY(),"⚠ TRỄ ÔN",IF($S1170=TODAY(),"◆ ÔN HÔM NAY","✔ Đúng tiến độ")))))</f>
        <v>• Chưa tới</v>
      </c>
      <c r="U1170" s="38" t="n">
        <f aca="false">IF($H1170="","",$R1170/5)</f>
        <v>0</v>
      </c>
    </row>
    <row r="1171" customFormat="false" ht="15" hidden="false" customHeight="false" outlineLevel="0" collapsed="false">
      <c r="A1171" s="31" t="s">
        <v>6980</v>
      </c>
      <c r="B1171" s="31" t="n">
        <v>59</v>
      </c>
      <c r="C1171" s="32" t="n">
        <f aca="false">SETTINGS!$C$3+$B1171-1</f>
        <v>46358</v>
      </c>
      <c r="D1171" s="40" t="s">
        <v>3692</v>
      </c>
      <c r="E1171" s="34" t="s">
        <v>6936</v>
      </c>
      <c r="F1171" s="34" t="s">
        <v>183</v>
      </c>
      <c r="G1171" s="34" t="s">
        <v>6981</v>
      </c>
      <c r="H1171" s="35" t="s">
        <v>6982</v>
      </c>
      <c r="I1171" s="36" t="s">
        <v>6983</v>
      </c>
      <c r="J1171" s="34" t="s">
        <v>6984</v>
      </c>
      <c r="K1171" s="34" t="s">
        <v>6985</v>
      </c>
      <c r="L1171" s="37"/>
      <c r="M1171" s="37"/>
      <c r="N1171" s="37"/>
      <c r="O1171" s="37"/>
      <c r="P1171" s="37"/>
      <c r="Q1171" s="37"/>
      <c r="R1171" s="31" t="n">
        <f aca="false">COUNT($M1171:$Q1171)</f>
        <v>0</v>
      </c>
      <c r="S1171" s="32" t="str">
        <f aca="false">IF($L1171="","",IF($R1171&gt;=5,"",MAX($L1171:$Q1171)+CHOOSE($R1171+1,SETTINGS!$C$9,SETTINGS!$C$10,SETTINGS!$C$11,SETTINGS!$C$12,SETTINGS!$C$13)))</f>
        <v/>
      </c>
      <c r="T1171" s="34" t="str">
        <f aca="true">IF($H1171="","(chưa có nội dung)",IF($L1171="",IF($C1171&lt;TODAY(),"⚠ TRỄ HỌC",IF($C1171=TODAY(),"★ HỌC HÔM NAY","• Chưa tới")),IF($R1171&gt;=5,"✔ MASTER",IF($S1171&lt;TODAY(),"⚠ TRỄ ÔN",IF($S1171=TODAY(),"◆ ÔN HÔM NAY","✔ Đúng tiến độ")))))</f>
        <v>• Chưa tới</v>
      </c>
      <c r="U1171" s="38" t="n">
        <f aca="false">IF($H1171="","",$R1171/5)</f>
        <v>0</v>
      </c>
    </row>
    <row r="1172" customFormat="false" ht="26.85" hidden="false" customHeight="false" outlineLevel="0" collapsed="false">
      <c r="A1172" s="31" t="s">
        <v>6986</v>
      </c>
      <c r="B1172" s="31" t="n">
        <v>59</v>
      </c>
      <c r="C1172" s="32" t="n">
        <f aca="false">SETTINGS!$C$3+$B1172-1</f>
        <v>46358</v>
      </c>
      <c r="D1172" s="40" t="s">
        <v>3692</v>
      </c>
      <c r="E1172" s="34" t="s">
        <v>6936</v>
      </c>
      <c r="F1172" s="34" t="s">
        <v>4047</v>
      </c>
      <c r="G1172" s="34" t="s">
        <v>6987</v>
      </c>
      <c r="H1172" s="35" t="s">
        <v>6988</v>
      </c>
      <c r="I1172" s="36" t="s">
        <v>6989</v>
      </c>
      <c r="J1172" s="34" t="s">
        <v>6990</v>
      </c>
      <c r="K1172" s="34" t="s">
        <v>6991</v>
      </c>
      <c r="L1172" s="37"/>
      <c r="M1172" s="37"/>
      <c r="N1172" s="37"/>
      <c r="O1172" s="37"/>
      <c r="P1172" s="37"/>
      <c r="Q1172" s="37"/>
      <c r="R1172" s="31" t="n">
        <f aca="false">COUNT($M1172:$Q1172)</f>
        <v>0</v>
      </c>
      <c r="S1172" s="32" t="str">
        <f aca="false">IF($L1172="","",IF($R1172&gt;=5,"",MAX($L1172:$Q1172)+CHOOSE($R1172+1,SETTINGS!$C$9,SETTINGS!$C$10,SETTINGS!$C$11,SETTINGS!$C$12,SETTINGS!$C$13)))</f>
        <v/>
      </c>
      <c r="T1172" s="34" t="str">
        <f aca="true">IF($H1172="","(chưa có nội dung)",IF($L1172="",IF($C1172&lt;TODAY(),"⚠ TRỄ HỌC",IF($C1172=TODAY(),"★ HỌC HÔM NAY","• Chưa tới")),IF($R1172&gt;=5,"✔ MASTER",IF($S1172&lt;TODAY(),"⚠ TRỄ ÔN",IF($S1172=TODAY(),"◆ ÔN HÔM NAY","✔ Đúng tiến độ")))))</f>
        <v>• Chưa tới</v>
      </c>
      <c r="U1172" s="38" t="n">
        <f aca="false">IF($H1172="","",$R1172/5)</f>
        <v>0</v>
      </c>
    </row>
    <row r="1173" customFormat="false" ht="15" hidden="false" customHeight="false" outlineLevel="0" collapsed="false">
      <c r="A1173" s="31" t="s">
        <v>6992</v>
      </c>
      <c r="B1173" s="31" t="n">
        <v>59</v>
      </c>
      <c r="C1173" s="32" t="n">
        <f aca="false">SETTINGS!$C$3+$B1173-1</f>
        <v>46358</v>
      </c>
      <c r="D1173" s="40" t="s">
        <v>3692</v>
      </c>
      <c r="E1173" s="34" t="s">
        <v>6936</v>
      </c>
      <c r="F1173" s="34" t="s">
        <v>280</v>
      </c>
      <c r="G1173" s="34" t="s">
        <v>6993</v>
      </c>
      <c r="H1173" s="35" t="s">
        <v>6994</v>
      </c>
      <c r="I1173" s="36" t="s">
        <v>6995</v>
      </c>
      <c r="J1173" s="34" t="s">
        <v>6996</v>
      </c>
      <c r="K1173" s="34" t="s">
        <v>6997</v>
      </c>
      <c r="L1173" s="37"/>
      <c r="M1173" s="37"/>
      <c r="N1173" s="37"/>
      <c r="O1173" s="37"/>
      <c r="P1173" s="37"/>
      <c r="Q1173" s="37"/>
      <c r="R1173" s="31" t="n">
        <f aca="false">COUNT($M1173:$Q1173)</f>
        <v>0</v>
      </c>
      <c r="S1173" s="32" t="str">
        <f aca="false">IF($L1173="","",IF($R1173&gt;=5,"",MAX($L1173:$Q1173)+CHOOSE($R1173+1,SETTINGS!$C$9,SETTINGS!$C$10,SETTINGS!$C$11,SETTINGS!$C$12,SETTINGS!$C$13)))</f>
        <v/>
      </c>
      <c r="T1173" s="34" t="str">
        <f aca="true">IF($H1173="","(chưa có nội dung)",IF($L1173="",IF($C1173&lt;TODAY(),"⚠ TRỄ HỌC",IF($C1173=TODAY(),"★ HỌC HÔM NAY","• Chưa tới")),IF($R1173&gt;=5,"✔ MASTER",IF($S1173&lt;TODAY(),"⚠ TRỄ ÔN",IF($S1173=TODAY(),"◆ ÔN HÔM NAY","✔ Đúng tiến độ")))))</f>
        <v>• Chưa tới</v>
      </c>
      <c r="U1173" s="38" t="n">
        <f aca="false">IF($H1173="","",$R1173/5)</f>
        <v>0</v>
      </c>
    </row>
    <row r="1174" customFormat="false" ht="15" hidden="false" customHeight="false" outlineLevel="0" collapsed="false">
      <c r="A1174" s="31" t="s">
        <v>6998</v>
      </c>
      <c r="B1174" s="31" t="n">
        <v>59</v>
      </c>
      <c r="C1174" s="32" t="n">
        <f aca="false">SETTINGS!$C$3+$B1174-1</f>
        <v>46358</v>
      </c>
      <c r="D1174" s="40" t="s">
        <v>3692</v>
      </c>
      <c r="E1174" s="34" t="s">
        <v>6936</v>
      </c>
      <c r="F1174" s="34" t="s">
        <v>163</v>
      </c>
      <c r="G1174" s="34" t="s">
        <v>6999</v>
      </c>
      <c r="H1174" s="35" t="s">
        <v>7000</v>
      </c>
      <c r="I1174" s="36" t="s">
        <v>7001</v>
      </c>
      <c r="J1174" s="34" t="s">
        <v>7002</v>
      </c>
      <c r="K1174" s="34" t="s">
        <v>7003</v>
      </c>
      <c r="L1174" s="37"/>
      <c r="M1174" s="37"/>
      <c r="N1174" s="37"/>
      <c r="O1174" s="37"/>
      <c r="P1174" s="37"/>
      <c r="Q1174" s="37"/>
      <c r="R1174" s="31" t="n">
        <f aca="false">COUNT($M1174:$Q1174)</f>
        <v>0</v>
      </c>
      <c r="S1174" s="32" t="str">
        <f aca="false">IF($L1174="","",IF($R1174&gt;=5,"",MAX($L1174:$Q1174)+CHOOSE($R1174+1,SETTINGS!$C$9,SETTINGS!$C$10,SETTINGS!$C$11,SETTINGS!$C$12,SETTINGS!$C$13)))</f>
        <v/>
      </c>
      <c r="T1174" s="34" t="str">
        <f aca="true">IF($H1174="","(chưa có nội dung)",IF($L1174="",IF($C1174&lt;TODAY(),"⚠ TRỄ HỌC",IF($C1174=TODAY(),"★ HỌC HÔM NAY","• Chưa tới")),IF($R1174&gt;=5,"✔ MASTER",IF($S1174&lt;TODAY(),"⚠ TRỄ ÔN",IF($S1174=TODAY(),"◆ ÔN HÔM NAY","✔ Đúng tiến độ")))))</f>
        <v>• Chưa tới</v>
      </c>
      <c r="U1174" s="38" t="n">
        <f aca="false">IF($H1174="","",$R1174/5)</f>
        <v>0</v>
      </c>
    </row>
    <row r="1175" customFormat="false" ht="15" hidden="false" customHeight="false" outlineLevel="0" collapsed="false">
      <c r="A1175" s="31" t="s">
        <v>7004</v>
      </c>
      <c r="B1175" s="31" t="n">
        <v>59</v>
      </c>
      <c r="C1175" s="32" t="n">
        <f aca="false">SETTINGS!$C$3+$B1175-1</f>
        <v>46358</v>
      </c>
      <c r="D1175" s="40" t="s">
        <v>3692</v>
      </c>
      <c r="E1175" s="34" t="s">
        <v>6936</v>
      </c>
      <c r="F1175" s="34" t="s">
        <v>280</v>
      </c>
      <c r="G1175" s="34" t="s">
        <v>7005</v>
      </c>
      <c r="H1175" s="35" t="s">
        <v>7006</v>
      </c>
      <c r="I1175" s="36" t="s">
        <v>7007</v>
      </c>
      <c r="J1175" s="34" t="s">
        <v>7008</v>
      </c>
      <c r="K1175" s="34" t="s">
        <v>7009</v>
      </c>
      <c r="L1175" s="37"/>
      <c r="M1175" s="37"/>
      <c r="N1175" s="37"/>
      <c r="O1175" s="37"/>
      <c r="P1175" s="37"/>
      <c r="Q1175" s="37"/>
      <c r="R1175" s="31" t="n">
        <f aca="false">COUNT($M1175:$Q1175)</f>
        <v>0</v>
      </c>
      <c r="S1175" s="32" t="str">
        <f aca="false">IF($L1175="","",IF($R1175&gt;=5,"",MAX($L1175:$Q1175)+CHOOSE($R1175+1,SETTINGS!$C$9,SETTINGS!$C$10,SETTINGS!$C$11,SETTINGS!$C$12,SETTINGS!$C$13)))</f>
        <v/>
      </c>
      <c r="T1175" s="34" t="str">
        <f aca="true">IF($H1175="","(chưa có nội dung)",IF($L1175="",IF($C1175&lt;TODAY(),"⚠ TRỄ HỌC",IF($C1175=TODAY(),"★ HỌC HÔM NAY","• Chưa tới")),IF($R1175&gt;=5,"✔ MASTER",IF($S1175&lt;TODAY(),"⚠ TRỄ ÔN",IF($S1175=TODAY(),"◆ ÔN HÔM NAY","✔ Đúng tiến độ")))))</f>
        <v>• Chưa tới</v>
      </c>
      <c r="U1175" s="38" t="n">
        <f aca="false">IF($H1175="","",$R1175/5)</f>
        <v>0</v>
      </c>
    </row>
    <row r="1176" customFormat="false" ht="15" hidden="false" customHeight="false" outlineLevel="0" collapsed="false">
      <c r="A1176" s="31" t="s">
        <v>7010</v>
      </c>
      <c r="B1176" s="31" t="n">
        <v>59</v>
      </c>
      <c r="C1176" s="32" t="n">
        <f aca="false">SETTINGS!$C$3+$B1176-1</f>
        <v>46358</v>
      </c>
      <c r="D1176" s="40" t="s">
        <v>3692</v>
      </c>
      <c r="E1176" s="34" t="s">
        <v>6936</v>
      </c>
      <c r="F1176" s="34" t="s">
        <v>280</v>
      </c>
      <c r="G1176" s="34" t="s">
        <v>7011</v>
      </c>
      <c r="H1176" s="35" t="s">
        <v>7012</v>
      </c>
      <c r="I1176" s="36" t="s">
        <v>7013</v>
      </c>
      <c r="J1176" s="34" t="s">
        <v>7014</v>
      </c>
      <c r="K1176" s="34" t="s">
        <v>7015</v>
      </c>
      <c r="L1176" s="37"/>
      <c r="M1176" s="37"/>
      <c r="N1176" s="37"/>
      <c r="O1176" s="37"/>
      <c r="P1176" s="37"/>
      <c r="Q1176" s="37"/>
      <c r="R1176" s="31" t="n">
        <f aca="false">COUNT($M1176:$Q1176)</f>
        <v>0</v>
      </c>
      <c r="S1176" s="32" t="str">
        <f aca="false">IF($L1176="","",IF($R1176&gt;=5,"",MAX($L1176:$Q1176)+CHOOSE($R1176+1,SETTINGS!$C$9,SETTINGS!$C$10,SETTINGS!$C$11,SETTINGS!$C$12,SETTINGS!$C$13)))</f>
        <v/>
      </c>
      <c r="T1176" s="34" t="str">
        <f aca="true">IF($H1176="","(chưa có nội dung)",IF($L1176="",IF($C1176&lt;TODAY(),"⚠ TRỄ HỌC",IF($C1176=TODAY(),"★ HỌC HÔM NAY","• Chưa tới")),IF($R1176&gt;=5,"✔ MASTER",IF($S1176&lt;TODAY(),"⚠ TRỄ ÔN",IF($S1176=TODAY(),"◆ ÔN HÔM NAY","✔ Đúng tiến độ")))))</f>
        <v>• Chưa tới</v>
      </c>
      <c r="U1176" s="38" t="n">
        <f aca="false">IF($H1176="","",$R1176/5)</f>
        <v>0</v>
      </c>
    </row>
    <row r="1177" customFormat="false" ht="15" hidden="false" customHeight="false" outlineLevel="0" collapsed="false">
      <c r="A1177" s="31" t="s">
        <v>7016</v>
      </c>
      <c r="B1177" s="31" t="n">
        <v>59</v>
      </c>
      <c r="C1177" s="32" t="n">
        <f aca="false">SETTINGS!$C$3+$B1177-1</f>
        <v>46358</v>
      </c>
      <c r="D1177" s="40" t="s">
        <v>3692</v>
      </c>
      <c r="E1177" s="34" t="s">
        <v>6936</v>
      </c>
      <c r="F1177" s="34" t="s">
        <v>280</v>
      </c>
      <c r="G1177" s="34" t="s">
        <v>7017</v>
      </c>
      <c r="H1177" s="35" t="s">
        <v>7018</v>
      </c>
      <c r="I1177" s="36" t="s">
        <v>7019</v>
      </c>
      <c r="J1177" s="34" t="s">
        <v>7020</v>
      </c>
      <c r="K1177" s="34" t="s">
        <v>7021</v>
      </c>
      <c r="L1177" s="37"/>
      <c r="M1177" s="37"/>
      <c r="N1177" s="37"/>
      <c r="O1177" s="37"/>
      <c r="P1177" s="37"/>
      <c r="Q1177" s="37"/>
      <c r="R1177" s="31" t="n">
        <f aca="false">COUNT($M1177:$Q1177)</f>
        <v>0</v>
      </c>
      <c r="S1177" s="32" t="str">
        <f aca="false">IF($L1177="","",IF($R1177&gt;=5,"",MAX($L1177:$Q1177)+CHOOSE($R1177+1,SETTINGS!$C$9,SETTINGS!$C$10,SETTINGS!$C$11,SETTINGS!$C$12,SETTINGS!$C$13)))</f>
        <v/>
      </c>
      <c r="T1177" s="34" t="str">
        <f aca="true">IF($H1177="","(chưa có nội dung)",IF($L1177="",IF($C1177&lt;TODAY(),"⚠ TRỄ HỌC",IF($C1177=TODAY(),"★ HỌC HÔM NAY","• Chưa tới")),IF($R1177&gt;=5,"✔ MASTER",IF($S1177&lt;TODAY(),"⚠ TRỄ ÔN",IF($S1177=TODAY(),"◆ ÔN HÔM NAY","✔ Đúng tiến độ")))))</f>
        <v>• Chưa tới</v>
      </c>
      <c r="U1177" s="38" t="n">
        <f aca="false">IF($H1177="","",$R1177/5)</f>
        <v>0</v>
      </c>
    </row>
    <row r="1178" customFormat="false" ht="15" hidden="false" customHeight="false" outlineLevel="0" collapsed="false">
      <c r="A1178" s="31" t="s">
        <v>7022</v>
      </c>
      <c r="B1178" s="31" t="n">
        <v>59</v>
      </c>
      <c r="C1178" s="32" t="n">
        <f aca="false">SETTINGS!$C$3+$B1178-1</f>
        <v>46358</v>
      </c>
      <c r="D1178" s="40" t="s">
        <v>3692</v>
      </c>
      <c r="E1178" s="34" t="s">
        <v>6936</v>
      </c>
      <c r="F1178" s="34" t="s">
        <v>202</v>
      </c>
      <c r="G1178" s="34" t="s">
        <v>7023</v>
      </c>
      <c r="H1178" s="35" t="s">
        <v>7024</v>
      </c>
      <c r="I1178" s="36" t="s">
        <v>7025</v>
      </c>
      <c r="J1178" s="34" t="s">
        <v>7026</v>
      </c>
      <c r="K1178" s="34" t="s">
        <v>7027</v>
      </c>
      <c r="L1178" s="37"/>
      <c r="M1178" s="37"/>
      <c r="N1178" s="37"/>
      <c r="O1178" s="37"/>
      <c r="P1178" s="37"/>
      <c r="Q1178" s="37"/>
      <c r="R1178" s="31" t="n">
        <f aca="false">COUNT($M1178:$Q1178)</f>
        <v>0</v>
      </c>
      <c r="S1178" s="32" t="str">
        <f aca="false">IF($L1178="","",IF($R1178&gt;=5,"",MAX($L1178:$Q1178)+CHOOSE($R1178+1,SETTINGS!$C$9,SETTINGS!$C$10,SETTINGS!$C$11,SETTINGS!$C$12,SETTINGS!$C$13)))</f>
        <v/>
      </c>
      <c r="T1178" s="34" t="str">
        <f aca="true">IF($H1178="","(chưa có nội dung)",IF($L1178="",IF($C1178&lt;TODAY(),"⚠ TRỄ HỌC",IF($C1178=TODAY(),"★ HỌC HÔM NAY","• Chưa tới")),IF($R1178&gt;=5,"✔ MASTER",IF($S1178&lt;TODAY(),"⚠ TRỄ ÔN",IF($S1178=TODAY(),"◆ ÔN HÔM NAY","✔ Đúng tiến độ")))))</f>
        <v>• Chưa tới</v>
      </c>
      <c r="U1178" s="38" t="n">
        <f aca="false">IF($H1178="","",$R1178/5)</f>
        <v>0</v>
      </c>
    </row>
    <row r="1179" customFormat="false" ht="15" hidden="false" customHeight="false" outlineLevel="0" collapsed="false">
      <c r="A1179" s="31" t="s">
        <v>7028</v>
      </c>
      <c r="B1179" s="31" t="n">
        <v>59</v>
      </c>
      <c r="C1179" s="32" t="n">
        <f aca="false">SETTINGS!$C$3+$B1179-1</f>
        <v>46358</v>
      </c>
      <c r="D1179" s="40" t="s">
        <v>3692</v>
      </c>
      <c r="E1179" s="34" t="s">
        <v>6936</v>
      </c>
      <c r="F1179" s="34" t="s">
        <v>280</v>
      </c>
      <c r="G1179" s="34" t="s">
        <v>7029</v>
      </c>
      <c r="H1179" s="35" t="s">
        <v>7030</v>
      </c>
      <c r="I1179" s="36" t="s">
        <v>7031</v>
      </c>
      <c r="J1179" s="34" t="s">
        <v>7032</v>
      </c>
      <c r="K1179" s="34" t="s">
        <v>7033</v>
      </c>
      <c r="L1179" s="37"/>
      <c r="M1179" s="37"/>
      <c r="N1179" s="37"/>
      <c r="O1179" s="37"/>
      <c r="P1179" s="37"/>
      <c r="Q1179" s="37"/>
      <c r="R1179" s="31" t="n">
        <f aca="false">COUNT($M1179:$Q1179)</f>
        <v>0</v>
      </c>
      <c r="S1179" s="32" t="str">
        <f aca="false">IF($L1179="","",IF($R1179&gt;=5,"",MAX($L1179:$Q1179)+CHOOSE($R1179+1,SETTINGS!$C$9,SETTINGS!$C$10,SETTINGS!$C$11,SETTINGS!$C$12,SETTINGS!$C$13)))</f>
        <v/>
      </c>
      <c r="T1179" s="34" t="str">
        <f aca="true">IF($H1179="","(chưa có nội dung)",IF($L1179="",IF($C1179&lt;TODAY(),"⚠ TRỄ HỌC",IF($C1179=TODAY(),"★ HỌC HÔM NAY","• Chưa tới")),IF($R1179&gt;=5,"✔ MASTER",IF($S1179&lt;TODAY(),"⚠ TRỄ ÔN",IF($S1179=TODAY(),"◆ ÔN HÔM NAY","✔ Đúng tiến độ")))))</f>
        <v>• Chưa tới</v>
      </c>
      <c r="U1179" s="38" t="n">
        <f aca="false">IF($H1179="","",$R1179/5)</f>
        <v>0</v>
      </c>
    </row>
    <row r="1180" customFormat="false" ht="15" hidden="false" customHeight="false" outlineLevel="0" collapsed="false">
      <c r="A1180" s="31" t="s">
        <v>7034</v>
      </c>
      <c r="B1180" s="31" t="n">
        <v>59</v>
      </c>
      <c r="C1180" s="32" t="n">
        <f aca="false">SETTINGS!$C$3+$B1180-1</f>
        <v>46358</v>
      </c>
      <c r="D1180" s="40" t="s">
        <v>3692</v>
      </c>
      <c r="E1180" s="34" t="s">
        <v>6936</v>
      </c>
      <c r="F1180" s="34" t="s">
        <v>163</v>
      </c>
      <c r="G1180" s="34" t="s">
        <v>244</v>
      </c>
      <c r="H1180" s="35" t="s">
        <v>7035</v>
      </c>
      <c r="I1180" s="36" t="s">
        <v>7036</v>
      </c>
      <c r="J1180" s="34" t="s">
        <v>7037</v>
      </c>
      <c r="K1180" s="34" t="s">
        <v>7038</v>
      </c>
      <c r="L1180" s="37"/>
      <c r="M1180" s="37"/>
      <c r="N1180" s="37"/>
      <c r="O1180" s="37"/>
      <c r="P1180" s="37"/>
      <c r="Q1180" s="37"/>
      <c r="R1180" s="31" t="n">
        <f aca="false">COUNT($M1180:$Q1180)</f>
        <v>0</v>
      </c>
      <c r="S1180" s="32" t="str">
        <f aca="false">IF($L1180="","",IF($R1180&gt;=5,"",MAX($L1180:$Q1180)+CHOOSE($R1180+1,SETTINGS!$C$9,SETTINGS!$C$10,SETTINGS!$C$11,SETTINGS!$C$12,SETTINGS!$C$13)))</f>
        <v/>
      </c>
      <c r="T1180" s="34" t="str">
        <f aca="true">IF($H1180="","(chưa có nội dung)",IF($L1180="",IF($C1180&lt;TODAY(),"⚠ TRỄ HỌC",IF($C1180=TODAY(),"★ HỌC HÔM NAY","• Chưa tới")),IF($R1180&gt;=5,"✔ MASTER",IF($S1180&lt;TODAY(),"⚠ TRỄ ÔN",IF($S1180=TODAY(),"◆ ÔN HÔM NAY","✔ Đúng tiến độ")))))</f>
        <v>• Chưa tới</v>
      </c>
      <c r="U1180" s="38" t="n">
        <f aca="false">IF($H1180="","",$R1180/5)</f>
        <v>0</v>
      </c>
    </row>
    <row r="1181" customFormat="false" ht="15" hidden="false" customHeight="false" outlineLevel="0" collapsed="false">
      <c r="A1181" s="31" t="s">
        <v>7039</v>
      </c>
      <c r="B1181" s="31" t="n">
        <v>59</v>
      </c>
      <c r="C1181" s="32" t="n">
        <f aca="false">SETTINGS!$C$3+$B1181-1</f>
        <v>46358</v>
      </c>
      <c r="D1181" s="40" t="s">
        <v>3692</v>
      </c>
      <c r="E1181" s="34" t="s">
        <v>6936</v>
      </c>
      <c r="F1181" s="34" t="s">
        <v>280</v>
      </c>
      <c r="G1181" s="34" t="s">
        <v>7040</v>
      </c>
      <c r="H1181" s="35" t="s">
        <v>7041</v>
      </c>
      <c r="I1181" s="36" t="s">
        <v>7042</v>
      </c>
      <c r="J1181" s="34" t="s">
        <v>7043</v>
      </c>
      <c r="K1181" s="34" t="s">
        <v>7044</v>
      </c>
      <c r="L1181" s="37"/>
      <c r="M1181" s="37"/>
      <c r="N1181" s="37"/>
      <c r="O1181" s="37"/>
      <c r="P1181" s="37"/>
      <c r="Q1181" s="37"/>
      <c r="R1181" s="31" t="n">
        <f aca="false">COUNT($M1181:$Q1181)</f>
        <v>0</v>
      </c>
      <c r="S1181" s="32" t="str">
        <f aca="false">IF($L1181="","",IF($R1181&gt;=5,"",MAX($L1181:$Q1181)+CHOOSE($R1181+1,SETTINGS!$C$9,SETTINGS!$C$10,SETTINGS!$C$11,SETTINGS!$C$12,SETTINGS!$C$13)))</f>
        <v/>
      </c>
      <c r="T1181" s="34" t="str">
        <f aca="true">IF($H1181="","(chưa có nội dung)",IF($L1181="",IF($C1181&lt;TODAY(),"⚠ TRỄ HỌC",IF($C1181=TODAY(),"★ HỌC HÔM NAY","• Chưa tới")),IF($R1181&gt;=5,"✔ MASTER",IF($S1181&lt;TODAY(),"⚠ TRỄ ÔN",IF($S1181=TODAY(),"◆ ÔN HÔM NAY","✔ Đúng tiến độ")))))</f>
        <v>• Chưa tới</v>
      </c>
      <c r="U1181" s="38" t="n">
        <f aca="false">IF($H1181="","",$R1181/5)</f>
        <v>0</v>
      </c>
    </row>
    <row r="1182" customFormat="false" ht="15" hidden="false" customHeight="false" outlineLevel="0" collapsed="false">
      <c r="A1182" s="31" t="s">
        <v>7045</v>
      </c>
      <c r="B1182" s="31" t="n">
        <v>59</v>
      </c>
      <c r="C1182" s="32" t="n">
        <f aca="false">SETTINGS!$C$3+$B1182-1</f>
        <v>46358</v>
      </c>
      <c r="D1182" s="40" t="s">
        <v>3692</v>
      </c>
      <c r="E1182" s="34" t="s">
        <v>6936</v>
      </c>
      <c r="F1182" s="34" t="s">
        <v>3656</v>
      </c>
      <c r="G1182" s="34" t="s">
        <v>7046</v>
      </c>
      <c r="H1182" s="35" t="s">
        <v>7047</v>
      </c>
      <c r="I1182" s="36" t="s">
        <v>7048</v>
      </c>
      <c r="J1182" s="34" t="s">
        <v>7049</v>
      </c>
      <c r="K1182" s="34" t="s">
        <v>7050</v>
      </c>
      <c r="L1182" s="37"/>
      <c r="M1182" s="37"/>
      <c r="N1182" s="37"/>
      <c r="O1182" s="37"/>
      <c r="P1182" s="37"/>
      <c r="Q1182" s="37"/>
      <c r="R1182" s="31" t="n">
        <f aca="false">COUNT($M1182:$Q1182)</f>
        <v>0</v>
      </c>
      <c r="S1182" s="32" t="str">
        <f aca="false">IF($L1182="","",IF($R1182&gt;=5,"",MAX($L1182:$Q1182)+CHOOSE($R1182+1,SETTINGS!$C$9,SETTINGS!$C$10,SETTINGS!$C$11,SETTINGS!$C$12,SETTINGS!$C$13)))</f>
        <v/>
      </c>
      <c r="T1182" s="34" t="str">
        <f aca="true">IF($H1182="","(chưa có nội dung)",IF($L1182="",IF($C1182&lt;TODAY(),"⚠ TRỄ HỌC",IF($C1182=TODAY(),"★ HỌC HÔM NAY","• Chưa tới")),IF($R1182&gt;=5,"✔ MASTER",IF($S1182&lt;TODAY(),"⚠ TRỄ ÔN",IF($S1182=TODAY(),"◆ ÔN HÔM NAY","✔ Đúng tiến độ")))))</f>
        <v>• Chưa tới</v>
      </c>
      <c r="U1182" s="38" t="n">
        <f aca="false">IF($H1182="","",$R1182/5)</f>
        <v>0</v>
      </c>
    </row>
    <row r="1183" customFormat="false" ht="15" hidden="false" customHeight="false" outlineLevel="0" collapsed="false">
      <c r="A1183" s="31" t="s">
        <v>7051</v>
      </c>
      <c r="B1183" s="31" t="n">
        <v>60</v>
      </c>
      <c r="C1183" s="32" t="n">
        <f aca="false">SETTINGS!$C$3+$B1183-1</f>
        <v>46359</v>
      </c>
      <c r="D1183" s="40" t="s">
        <v>3692</v>
      </c>
      <c r="E1183" s="34" t="s">
        <v>7052</v>
      </c>
      <c r="F1183" s="34" t="s">
        <v>280</v>
      </c>
      <c r="G1183" s="34" t="s">
        <v>7053</v>
      </c>
      <c r="H1183" s="35" t="s">
        <v>7054</v>
      </c>
      <c r="I1183" s="36" t="s">
        <v>7055</v>
      </c>
      <c r="J1183" s="34" t="s">
        <v>7056</v>
      </c>
      <c r="K1183" s="34" t="s">
        <v>7057</v>
      </c>
      <c r="L1183" s="37"/>
      <c r="M1183" s="37"/>
      <c r="N1183" s="37"/>
      <c r="O1183" s="37"/>
      <c r="P1183" s="37"/>
      <c r="Q1183" s="37"/>
      <c r="R1183" s="31" t="n">
        <f aca="false">COUNT($M1183:$Q1183)</f>
        <v>0</v>
      </c>
      <c r="S1183" s="32" t="str">
        <f aca="false">IF($L1183="","",IF($R1183&gt;=5,"",MAX($L1183:$Q1183)+CHOOSE($R1183+1,SETTINGS!$C$9,SETTINGS!$C$10,SETTINGS!$C$11,SETTINGS!$C$12,SETTINGS!$C$13)))</f>
        <v/>
      </c>
      <c r="T1183" s="34" t="str">
        <f aca="true">IF($H1183="","(chưa có nội dung)",IF($L1183="",IF($C1183&lt;TODAY(),"⚠ TRỄ HỌC",IF($C1183=TODAY(),"★ HỌC HÔM NAY","• Chưa tới")),IF($R1183&gt;=5,"✔ MASTER",IF($S1183&lt;TODAY(),"⚠ TRỄ ÔN",IF($S1183=TODAY(),"◆ ÔN HÔM NAY","✔ Đúng tiến độ")))))</f>
        <v>• Chưa tới</v>
      </c>
      <c r="U1183" s="38" t="n">
        <f aca="false">IF($H1183="","",$R1183/5)</f>
        <v>0</v>
      </c>
    </row>
    <row r="1184" customFormat="false" ht="15" hidden="false" customHeight="false" outlineLevel="0" collapsed="false">
      <c r="A1184" s="31" t="s">
        <v>7058</v>
      </c>
      <c r="B1184" s="31" t="n">
        <v>60</v>
      </c>
      <c r="C1184" s="32" t="n">
        <f aca="false">SETTINGS!$C$3+$B1184-1</f>
        <v>46359</v>
      </c>
      <c r="D1184" s="40" t="s">
        <v>3692</v>
      </c>
      <c r="E1184" s="34" t="s">
        <v>7052</v>
      </c>
      <c r="F1184" s="34" t="s">
        <v>280</v>
      </c>
      <c r="G1184" s="34" t="s">
        <v>7059</v>
      </c>
      <c r="H1184" s="35" t="s">
        <v>7060</v>
      </c>
      <c r="I1184" s="36" t="s">
        <v>7061</v>
      </c>
      <c r="J1184" s="34" t="s">
        <v>7062</v>
      </c>
      <c r="K1184" s="34" t="s">
        <v>7063</v>
      </c>
      <c r="L1184" s="37"/>
      <c r="M1184" s="37"/>
      <c r="N1184" s="37"/>
      <c r="O1184" s="37"/>
      <c r="P1184" s="37"/>
      <c r="Q1184" s="37"/>
      <c r="R1184" s="31" t="n">
        <f aca="false">COUNT($M1184:$Q1184)</f>
        <v>0</v>
      </c>
      <c r="S1184" s="32" t="str">
        <f aca="false">IF($L1184="","",IF($R1184&gt;=5,"",MAX($L1184:$Q1184)+CHOOSE($R1184+1,SETTINGS!$C$9,SETTINGS!$C$10,SETTINGS!$C$11,SETTINGS!$C$12,SETTINGS!$C$13)))</f>
        <v/>
      </c>
      <c r="T1184" s="34" t="str">
        <f aca="true">IF($H1184="","(chưa có nội dung)",IF($L1184="",IF($C1184&lt;TODAY(),"⚠ TRỄ HỌC",IF($C1184=TODAY(),"★ HỌC HÔM NAY","• Chưa tới")),IF($R1184&gt;=5,"✔ MASTER",IF($S1184&lt;TODAY(),"⚠ TRỄ ÔN",IF($S1184=TODAY(),"◆ ÔN HÔM NAY","✔ Đúng tiến độ")))))</f>
        <v>• Chưa tới</v>
      </c>
      <c r="U1184" s="38" t="n">
        <f aca="false">IF($H1184="","",$R1184/5)</f>
        <v>0</v>
      </c>
    </row>
    <row r="1185" customFormat="false" ht="15" hidden="false" customHeight="false" outlineLevel="0" collapsed="false">
      <c r="A1185" s="31" t="s">
        <v>7064</v>
      </c>
      <c r="B1185" s="31" t="n">
        <v>60</v>
      </c>
      <c r="C1185" s="32" t="n">
        <f aca="false">SETTINGS!$C$3+$B1185-1</f>
        <v>46359</v>
      </c>
      <c r="D1185" s="40" t="s">
        <v>3692</v>
      </c>
      <c r="E1185" s="34" t="s">
        <v>7052</v>
      </c>
      <c r="F1185" s="34" t="s">
        <v>280</v>
      </c>
      <c r="G1185" s="34" t="s">
        <v>7065</v>
      </c>
      <c r="H1185" s="35" t="s">
        <v>7066</v>
      </c>
      <c r="I1185" s="36" t="s">
        <v>7067</v>
      </c>
      <c r="J1185" s="34" t="s">
        <v>7068</v>
      </c>
      <c r="K1185" s="34" t="s">
        <v>7069</v>
      </c>
      <c r="L1185" s="37"/>
      <c r="M1185" s="37"/>
      <c r="N1185" s="37"/>
      <c r="O1185" s="37"/>
      <c r="P1185" s="37"/>
      <c r="Q1185" s="37"/>
      <c r="R1185" s="31" t="n">
        <f aca="false">COUNT($M1185:$Q1185)</f>
        <v>0</v>
      </c>
      <c r="S1185" s="32" t="str">
        <f aca="false">IF($L1185="","",IF($R1185&gt;=5,"",MAX($L1185:$Q1185)+CHOOSE($R1185+1,SETTINGS!$C$9,SETTINGS!$C$10,SETTINGS!$C$11,SETTINGS!$C$12,SETTINGS!$C$13)))</f>
        <v/>
      </c>
      <c r="T1185" s="34" t="str">
        <f aca="true">IF($H1185="","(chưa có nội dung)",IF($L1185="",IF($C1185&lt;TODAY(),"⚠ TRỄ HỌC",IF($C1185=TODAY(),"★ HỌC HÔM NAY","• Chưa tới")),IF($R1185&gt;=5,"✔ MASTER",IF($S1185&lt;TODAY(),"⚠ TRỄ ÔN",IF($S1185=TODAY(),"◆ ÔN HÔM NAY","✔ Đúng tiến độ")))))</f>
        <v>• Chưa tới</v>
      </c>
      <c r="U1185" s="38" t="n">
        <f aca="false">IF($H1185="","",$R1185/5)</f>
        <v>0</v>
      </c>
    </row>
    <row r="1186" customFormat="false" ht="15" hidden="false" customHeight="false" outlineLevel="0" collapsed="false">
      <c r="A1186" s="31" t="s">
        <v>7070</v>
      </c>
      <c r="B1186" s="31" t="n">
        <v>60</v>
      </c>
      <c r="C1186" s="32" t="n">
        <f aca="false">SETTINGS!$C$3+$B1186-1</f>
        <v>46359</v>
      </c>
      <c r="D1186" s="40" t="s">
        <v>3692</v>
      </c>
      <c r="E1186" s="34" t="s">
        <v>7052</v>
      </c>
      <c r="F1186" s="34" t="s">
        <v>280</v>
      </c>
      <c r="G1186" s="34" t="s">
        <v>7071</v>
      </c>
      <c r="H1186" s="35" t="s">
        <v>7072</v>
      </c>
      <c r="I1186" s="36" t="s">
        <v>7073</v>
      </c>
      <c r="J1186" s="34" t="s">
        <v>7074</v>
      </c>
      <c r="K1186" s="34" t="s">
        <v>7075</v>
      </c>
      <c r="L1186" s="37"/>
      <c r="M1186" s="37"/>
      <c r="N1186" s="37"/>
      <c r="O1186" s="37"/>
      <c r="P1186" s="37"/>
      <c r="Q1186" s="37"/>
      <c r="R1186" s="31" t="n">
        <f aca="false">COUNT($M1186:$Q1186)</f>
        <v>0</v>
      </c>
      <c r="S1186" s="32" t="str">
        <f aca="false">IF($L1186="","",IF($R1186&gt;=5,"",MAX($L1186:$Q1186)+CHOOSE($R1186+1,SETTINGS!$C$9,SETTINGS!$C$10,SETTINGS!$C$11,SETTINGS!$C$12,SETTINGS!$C$13)))</f>
        <v/>
      </c>
      <c r="T1186" s="34" t="str">
        <f aca="true">IF($H1186="","(chưa có nội dung)",IF($L1186="",IF($C1186&lt;TODAY(),"⚠ TRỄ HỌC",IF($C1186=TODAY(),"★ HỌC HÔM NAY","• Chưa tới")),IF($R1186&gt;=5,"✔ MASTER",IF($S1186&lt;TODAY(),"⚠ TRỄ ÔN",IF($S1186=TODAY(),"◆ ÔN HÔM NAY","✔ Đúng tiến độ")))))</f>
        <v>• Chưa tới</v>
      </c>
      <c r="U1186" s="38" t="n">
        <f aca="false">IF($H1186="","",$R1186/5)</f>
        <v>0</v>
      </c>
    </row>
    <row r="1187" customFormat="false" ht="15" hidden="false" customHeight="false" outlineLevel="0" collapsed="false">
      <c r="A1187" s="31" t="s">
        <v>7076</v>
      </c>
      <c r="B1187" s="31" t="n">
        <v>60</v>
      </c>
      <c r="C1187" s="32" t="n">
        <f aca="false">SETTINGS!$C$3+$B1187-1</f>
        <v>46359</v>
      </c>
      <c r="D1187" s="40" t="s">
        <v>3692</v>
      </c>
      <c r="E1187" s="34" t="s">
        <v>7052</v>
      </c>
      <c r="F1187" s="34" t="s">
        <v>163</v>
      </c>
      <c r="G1187" s="34" t="s">
        <v>7077</v>
      </c>
      <c r="H1187" s="35" t="s">
        <v>7078</v>
      </c>
      <c r="I1187" s="36" t="s">
        <v>7079</v>
      </c>
      <c r="J1187" s="34" t="s">
        <v>7080</v>
      </c>
      <c r="K1187" s="34" t="s">
        <v>7081</v>
      </c>
      <c r="L1187" s="37"/>
      <c r="M1187" s="37"/>
      <c r="N1187" s="37"/>
      <c r="O1187" s="37"/>
      <c r="P1187" s="37"/>
      <c r="Q1187" s="37"/>
      <c r="R1187" s="31" t="n">
        <f aca="false">COUNT($M1187:$Q1187)</f>
        <v>0</v>
      </c>
      <c r="S1187" s="32" t="str">
        <f aca="false">IF($L1187="","",IF($R1187&gt;=5,"",MAX($L1187:$Q1187)+CHOOSE($R1187+1,SETTINGS!$C$9,SETTINGS!$C$10,SETTINGS!$C$11,SETTINGS!$C$12,SETTINGS!$C$13)))</f>
        <v/>
      </c>
      <c r="T1187" s="34" t="str">
        <f aca="true">IF($H1187="","(chưa có nội dung)",IF($L1187="",IF($C1187&lt;TODAY(),"⚠ TRỄ HỌC",IF($C1187=TODAY(),"★ HỌC HÔM NAY","• Chưa tới")),IF($R1187&gt;=5,"✔ MASTER",IF($S1187&lt;TODAY(),"⚠ TRỄ ÔN",IF($S1187=TODAY(),"◆ ÔN HÔM NAY","✔ Đúng tiến độ")))))</f>
        <v>• Chưa tới</v>
      </c>
      <c r="U1187" s="38" t="n">
        <f aca="false">IF($H1187="","",$R1187/5)</f>
        <v>0</v>
      </c>
    </row>
    <row r="1188" customFormat="false" ht="15" hidden="false" customHeight="false" outlineLevel="0" collapsed="false">
      <c r="A1188" s="31" t="s">
        <v>7082</v>
      </c>
      <c r="B1188" s="31" t="n">
        <v>60</v>
      </c>
      <c r="C1188" s="32" t="n">
        <f aca="false">SETTINGS!$C$3+$B1188-1</f>
        <v>46359</v>
      </c>
      <c r="D1188" s="40" t="s">
        <v>3692</v>
      </c>
      <c r="E1188" s="34" t="s">
        <v>7052</v>
      </c>
      <c r="F1188" s="34" t="s">
        <v>280</v>
      </c>
      <c r="G1188" s="34" t="s">
        <v>7083</v>
      </c>
      <c r="H1188" s="35" t="s">
        <v>7084</v>
      </c>
      <c r="I1188" s="36" t="s">
        <v>7085</v>
      </c>
      <c r="J1188" s="34" t="s">
        <v>7086</v>
      </c>
      <c r="K1188" s="34" t="s">
        <v>7087</v>
      </c>
      <c r="L1188" s="37"/>
      <c r="M1188" s="37"/>
      <c r="N1188" s="37"/>
      <c r="O1188" s="37"/>
      <c r="P1188" s="37"/>
      <c r="Q1188" s="37"/>
      <c r="R1188" s="31" t="n">
        <f aca="false">COUNT($M1188:$Q1188)</f>
        <v>0</v>
      </c>
      <c r="S1188" s="32" t="str">
        <f aca="false">IF($L1188="","",IF($R1188&gt;=5,"",MAX($L1188:$Q1188)+CHOOSE($R1188+1,SETTINGS!$C$9,SETTINGS!$C$10,SETTINGS!$C$11,SETTINGS!$C$12,SETTINGS!$C$13)))</f>
        <v/>
      </c>
      <c r="T1188" s="34" t="str">
        <f aca="true">IF($H1188="","(chưa có nội dung)",IF($L1188="",IF($C1188&lt;TODAY(),"⚠ TRỄ HỌC",IF($C1188=TODAY(),"★ HỌC HÔM NAY","• Chưa tới")),IF($R1188&gt;=5,"✔ MASTER",IF($S1188&lt;TODAY(),"⚠ TRỄ ÔN",IF($S1188=TODAY(),"◆ ÔN HÔM NAY","✔ Đúng tiến độ")))))</f>
        <v>• Chưa tới</v>
      </c>
      <c r="U1188" s="38" t="n">
        <f aca="false">IF($H1188="","",$R1188/5)</f>
        <v>0</v>
      </c>
    </row>
    <row r="1189" customFormat="false" ht="15" hidden="false" customHeight="false" outlineLevel="0" collapsed="false">
      <c r="A1189" s="31" t="s">
        <v>7088</v>
      </c>
      <c r="B1189" s="31" t="n">
        <v>60</v>
      </c>
      <c r="C1189" s="32" t="n">
        <f aca="false">SETTINGS!$C$3+$B1189-1</f>
        <v>46359</v>
      </c>
      <c r="D1189" s="40" t="s">
        <v>3692</v>
      </c>
      <c r="E1189" s="34" t="s">
        <v>7052</v>
      </c>
      <c r="F1189" s="34" t="s">
        <v>280</v>
      </c>
      <c r="G1189" s="34" t="s">
        <v>7089</v>
      </c>
      <c r="H1189" s="35" t="s">
        <v>7090</v>
      </c>
      <c r="I1189" s="36" t="s">
        <v>7091</v>
      </c>
      <c r="J1189" s="34" t="s">
        <v>7092</v>
      </c>
      <c r="K1189" s="34" t="s">
        <v>7093</v>
      </c>
      <c r="L1189" s="37"/>
      <c r="M1189" s="37"/>
      <c r="N1189" s="37"/>
      <c r="O1189" s="37"/>
      <c r="P1189" s="37"/>
      <c r="Q1189" s="37"/>
      <c r="R1189" s="31" t="n">
        <f aca="false">COUNT($M1189:$Q1189)</f>
        <v>0</v>
      </c>
      <c r="S1189" s="32" t="str">
        <f aca="false">IF($L1189="","",IF($R1189&gt;=5,"",MAX($L1189:$Q1189)+CHOOSE($R1189+1,SETTINGS!$C$9,SETTINGS!$C$10,SETTINGS!$C$11,SETTINGS!$C$12,SETTINGS!$C$13)))</f>
        <v/>
      </c>
      <c r="T1189" s="34" t="str">
        <f aca="true">IF($H1189="","(chưa có nội dung)",IF($L1189="",IF($C1189&lt;TODAY(),"⚠ TRỄ HỌC",IF($C1189=TODAY(),"★ HỌC HÔM NAY","• Chưa tới")),IF($R1189&gt;=5,"✔ MASTER",IF($S1189&lt;TODAY(),"⚠ TRỄ ÔN",IF($S1189=TODAY(),"◆ ÔN HÔM NAY","✔ Đúng tiến độ")))))</f>
        <v>• Chưa tới</v>
      </c>
      <c r="U1189" s="38" t="n">
        <f aca="false">IF($H1189="","",$R1189/5)</f>
        <v>0</v>
      </c>
    </row>
    <row r="1190" customFormat="false" ht="15" hidden="false" customHeight="false" outlineLevel="0" collapsed="false">
      <c r="A1190" s="31" t="s">
        <v>7094</v>
      </c>
      <c r="B1190" s="31" t="n">
        <v>60</v>
      </c>
      <c r="C1190" s="32" t="n">
        <f aca="false">SETTINGS!$C$3+$B1190-1</f>
        <v>46359</v>
      </c>
      <c r="D1190" s="40" t="s">
        <v>3692</v>
      </c>
      <c r="E1190" s="34" t="s">
        <v>7052</v>
      </c>
      <c r="F1190" s="34" t="s">
        <v>280</v>
      </c>
      <c r="G1190" s="34" t="s">
        <v>7095</v>
      </c>
      <c r="H1190" s="35" t="s">
        <v>7096</v>
      </c>
      <c r="I1190" s="36" t="s">
        <v>7097</v>
      </c>
      <c r="J1190" s="34" t="s">
        <v>7098</v>
      </c>
      <c r="K1190" s="34" t="s">
        <v>7095</v>
      </c>
      <c r="L1190" s="37"/>
      <c r="M1190" s="37"/>
      <c r="N1190" s="37"/>
      <c r="O1190" s="37"/>
      <c r="P1190" s="37"/>
      <c r="Q1190" s="37"/>
      <c r="R1190" s="31" t="n">
        <f aca="false">COUNT($M1190:$Q1190)</f>
        <v>0</v>
      </c>
      <c r="S1190" s="32" t="str">
        <f aca="false">IF($L1190="","",IF($R1190&gt;=5,"",MAX($L1190:$Q1190)+CHOOSE($R1190+1,SETTINGS!$C$9,SETTINGS!$C$10,SETTINGS!$C$11,SETTINGS!$C$12,SETTINGS!$C$13)))</f>
        <v/>
      </c>
      <c r="T1190" s="34" t="str">
        <f aca="true">IF($H1190="","(chưa có nội dung)",IF($L1190="",IF($C1190&lt;TODAY(),"⚠ TRỄ HỌC",IF($C1190=TODAY(),"★ HỌC HÔM NAY","• Chưa tới")),IF($R1190&gt;=5,"✔ MASTER",IF($S1190&lt;TODAY(),"⚠ TRỄ ÔN",IF($S1190=TODAY(),"◆ ÔN HÔM NAY","✔ Đúng tiến độ")))))</f>
        <v>• Chưa tới</v>
      </c>
      <c r="U1190" s="38" t="n">
        <f aca="false">IF($H1190="","",$R1190/5)</f>
        <v>0</v>
      </c>
    </row>
    <row r="1191" customFormat="false" ht="15" hidden="false" customHeight="false" outlineLevel="0" collapsed="false">
      <c r="A1191" s="31" t="s">
        <v>7099</v>
      </c>
      <c r="B1191" s="31" t="n">
        <v>60</v>
      </c>
      <c r="C1191" s="32" t="n">
        <f aca="false">SETTINGS!$C$3+$B1191-1</f>
        <v>46359</v>
      </c>
      <c r="D1191" s="40" t="s">
        <v>3692</v>
      </c>
      <c r="E1191" s="34" t="s">
        <v>7052</v>
      </c>
      <c r="F1191" s="34" t="s">
        <v>202</v>
      </c>
      <c r="G1191" s="34" t="s">
        <v>7100</v>
      </c>
      <c r="H1191" s="35" t="s">
        <v>7101</v>
      </c>
      <c r="I1191" s="36" t="s">
        <v>7102</v>
      </c>
      <c r="J1191" s="34" t="s">
        <v>7103</v>
      </c>
      <c r="K1191" s="34" t="s">
        <v>7104</v>
      </c>
      <c r="L1191" s="37"/>
      <c r="M1191" s="37"/>
      <c r="N1191" s="37"/>
      <c r="O1191" s="37"/>
      <c r="P1191" s="37"/>
      <c r="Q1191" s="37"/>
      <c r="R1191" s="31" t="n">
        <f aca="false">COUNT($M1191:$Q1191)</f>
        <v>0</v>
      </c>
      <c r="S1191" s="32" t="str">
        <f aca="false">IF($L1191="","",IF($R1191&gt;=5,"",MAX($L1191:$Q1191)+CHOOSE($R1191+1,SETTINGS!$C$9,SETTINGS!$C$10,SETTINGS!$C$11,SETTINGS!$C$12,SETTINGS!$C$13)))</f>
        <v/>
      </c>
      <c r="T1191" s="34" t="str">
        <f aca="true">IF($H1191="","(chưa có nội dung)",IF($L1191="",IF($C1191&lt;TODAY(),"⚠ TRỄ HỌC",IF($C1191=TODAY(),"★ HỌC HÔM NAY","• Chưa tới")),IF($R1191&gt;=5,"✔ MASTER",IF($S1191&lt;TODAY(),"⚠ TRỄ ÔN",IF($S1191=TODAY(),"◆ ÔN HÔM NAY","✔ Đúng tiến độ")))))</f>
        <v>• Chưa tới</v>
      </c>
      <c r="U1191" s="38" t="n">
        <f aca="false">IF($H1191="","",$R1191/5)</f>
        <v>0</v>
      </c>
    </row>
    <row r="1192" customFormat="false" ht="15" hidden="false" customHeight="false" outlineLevel="0" collapsed="false">
      <c r="A1192" s="31" t="s">
        <v>7105</v>
      </c>
      <c r="B1192" s="31" t="n">
        <v>60</v>
      </c>
      <c r="C1192" s="32" t="n">
        <f aca="false">SETTINGS!$C$3+$B1192-1</f>
        <v>46359</v>
      </c>
      <c r="D1192" s="40" t="s">
        <v>3692</v>
      </c>
      <c r="E1192" s="34" t="s">
        <v>7052</v>
      </c>
      <c r="F1192" s="34" t="s">
        <v>183</v>
      </c>
      <c r="G1192" s="34" t="s">
        <v>7106</v>
      </c>
      <c r="H1192" s="35" t="s">
        <v>7107</v>
      </c>
      <c r="I1192" s="36" t="s">
        <v>7108</v>
      </c>
      <c r="J1192" s="34" t="s">
        <v>7109</v>
      </c>
      <c r="K1192" s="34" t="s">
        <v>7110</v>
      </c>
      <c r="L1192" s="37"/>
      <c r="M1192" s="37"/>
      <c r="N1192" s="37"/>
      <c r="O1192" s="37"/>
      <c r="P1192" s="37"/>
      <c r="Q1192" s="37"/>
      <c r="R1192" s="31" t="n">
        <f aca="false">COUNT($M1192:$Q1192)</f>
        <v>0</v>
      </c>
      <c r="S1192" s="32" t="str">
        <f aca="false">IF($L1192="","",IF($R1192&gt;=5,"",MAX($L1192:$Q1192)+CHOOSE($R1192+1,SETTINGS!$C$9,SETTINGS!$C$10,SETTINGS!$C$11,SETTINGS!$C$12,SETTINGS!$C$13)))</f>
        <v/>
      </c>
      <c r="T1192" s="34" t="str">
        <f aca="true">IF($H1192="","(chưa có nội dung)",IF($L1192="",IF($C1192&lt;TODAY(),"⚠ TRỄ HỌC",IF($C1192=TODAY(),"★ HỌC HÔM NAY","• Chưa tới")),IF($R1192&gt;=5,"✔ MASTER",IF($S1192&lt;TODAY(),"⚠ TRỄ ÔN",IF($S1192=TODAY(),"◆ ÔN HÔM NAY","✔ Đúng tiến độ")))))</f>
        <v>• Chưa tới</v>
      </c>
      <c r="U1192" s="38" t="n">
        <f aca="false">IF($H1192="","",$R1192/5)</f>
        <v>0</v>
      </c>
    </row>
    <row r="1193" customFormat="false" ht="23.85" hidden="false" customHeight="false" outlineLevel="0" collapsed="false">
      <c r="A1193" s="31" t="s">
        <v>7111</v>
      </c>
      <c r="B1193" s="31" t="n">
        <v>60</v>
      </c>
      <c r="C1193" s="32" t="n">
        <f aca="false">SETTINGS!$C$3+$B1193-1</f>
        <v>46359</v>
      </c>
      <c r="D1193" s="40" t="s">
        <v>3692</v>
      </c>
      <c r="E1193" s="34" t="s">
        <v>7052</v>
      </c>
      <c r="F1193" s="34" t="s">
        <v>280</v>
      </c>
      <c r="G1193" s="34" t="s">
        <v>7112</v>
      </c>
      <c r="H1193" s="35" t="s">
        <v>7113</v>
      </c>
      <c r="I1193" s="36" t="s">
        <v>7114</v>
      </c>
      <c r="J1193" s="34" t="s">
        <v>7115</v>
      </c>
      <c r="K1193" s="34" t="s">
        <v>7116</v>
      </c>
      <c r="L1193" s="37"/>
      <c r="M1193" s="37"/>
      <c r="N1193" s="37"/>
      <c r="O1193" s="37"/>
      <c r="P1193" s="37"/>
      <c r="Q1193" s="37"/>
      <c r="R1193" s="31" t="n">
        <f aca="false">COUNT($M1193:$Q1193)</f>
        <v>0</v>
      </c>
      <c r="S1193" s="32" t="str">
        <f aca="false">IF($L1193="","",IF($R1193&gt;=5,"",MAX($L1193:$Q1193)+CHOOSE($R1193+1,SETTINGS!$C$9,SETTINGS!$C$10,SETTINGS!$C$11,SETTINGS!$C$12,SETTINGS!$C$13)))</f>
        <v/>
      </c>
      <c r="T1193" s="34" t="str">
        <f aca="true">IF($H1193="","(chưa có nội dung)",IF($L1193="",IF($C1193&lt;TODAY(),"⚠ TRỄ HỌC",IF($C1193=TODAY(),"★ HỌC HÔM NAY","• Chưa tới")),IF($R1193&gt;=5,"✔ MASTER",IF($S1193&lt;TODAY(),"⚠ TRỄ ÔN",IF($S1193=TODAY(),"◆ ÔN HÔM NAY","✔ Đúng tiến độ")))))</f>
        <v>• Chưa tới</v>
      </c>
      <c r="U1193" s="38" t="n">
        <f aca="false">IF($H1193="","",$R1193/5)</f>
        <v>0</v>
      </c>
    </row>
    <row r="1194" customFormat="false" ht="15" hidden="false" customHeight="false" outlineLevel="0" collapsed="false">
      <c r="A1194" s="31" t="s">
        <v>7117</v>
      </c>
      <c r="B1194" s="31" t="n">
        <v>60</v>
      </c>
      <c r="C1194" s="32" t="n">
        <f aca="false">SETTINGS!$C$3+$B1194-1</f>
        <v>46359</v>
      </c>
      <c r="D1194" s="40" t="s">
        <v>3692</v>
      </c>
      <c r="E1194" s="34" t="s">
        <v>7052</v>
      </c>
      <c r="F1194" s="34" t="s">
        <v>280</v>
      </c>
      <c r="G1194" s="34" t="s">
        <v>6232</v>
      </c>
      <c r="H1194" s="35" t="s">
        <v>7118</v>
      </c>
      <c r="I1194" s="36" t="s">
        <v>7119</v>
      </c>
      <c r="J1194" s="34" t="s">
        <v>7120</v>
      </c>
      <c r="K1194" s="34" t="s">
        <v>7121</v>
      </c>
      <c r="L1194" s="37"/>
      <c r="M1194" s="37"/>
      <c r="N1194" s="37"/>
      <c r="O1194" s="37"/>
      <c r="P1194" s="37"/>
      <c r="Q1194" s="37"/>
      <c r="R1194" s="31" t="n">
        <f aca="false">COUNT($M1194:$Q1194)</f>
        <v>0</v>
      </c>
      <c r="S1194" s="32" t="str">
        <f aca="false">IF($L1194="","",IF($R1194&gt;=5,"",MAX($L1194:$Q1194)+CHOOSE($R1194+1,SETTINGS!$C$9,SETTINGS!$C$10,SETTINGS!$C$11,SETTINGS!$C$12,SETTINGS!$C$13)))</f>
        <v/>
      </c>
      <c r="T1194" s="34" t="str">
        <f aca="true">IF($H1194="","(chưa có nội dung)",IF($L1194="",IF($C1194&lt;TODAY(),"⚠ TRỄ HỌC",IF($C1194=TODAY(),"★ HỌC HÔM NAY","• Chưa tới")),IF($R1194&gt;=5,"✔ MASTER",IF($S1194&lt;TODAY(),"⚠ TRỄ ÔN",IF($S1194=TODAY(),"◆ ÔN HÔM NAY","✔ Đúng tiến độ")))))</f>
        <v>• Chưa tới</v>
      </c>
      <c r="U1194" s="38" t="n">
        <f aca="false">IF($H1194="","",$R1194/5)</f>
        <v>0</v>
      </c>
    </row>
    <row r="1195" customFormat="false" ht="15" hidden="false" customHeight="false" outlineLevel="0" collapsed="false">
      <c r="A1195" s="31" t="s">
        <v>7122</v>
      </c>
      <c r="B1195" s="31" t="n">
        <v>60</v>
      </c>
      <c r="C1195" s="32" t="n">
        <f aca="false">SETTINGS!$C$3+$B1195-1</f>
        <v>46359</v>
      </c>
      <c r="D1195" s="40" t="s">
        <v>3692</v>
      </c>
      <c r="E1195" s="34" t="s">
        <v>7052</v>
      </c>
      <c r="F1195" s="34" t="s">
        <v>163</v>
      </c>
      <c r="G1195" s="34" t="s">
        <v>1652</v>
      </c>
      <c r="H1195" s="35" t="s">
        <v>7123</v>
      </c>
      <c r="I1195" s="36" t="s">
        <v>7124</v>
      </c>
      <c r="J1195" s="34" t="s">
        <v>7125</v>
      </c>
      <c r="K1195" s="34" t="s">
        <v>7126</v>
      </c>
      <c r="L1195" s="37"/>
      <c r="M1195" s="37"/>
      <c r="N1195" s="37"/>
      <c r="O1195" s="37"/>
      <c r="P1195" s="37"/>
      <c r="Q1195" s="37"/>
      <c r="R1195" s="31" t="n">
        <f aca="false">COUNT($M1195:$Q1195)</f>
        <v>0</v>
      </c>
      <c r="S1195" s="32" t="str">
        <f aca="false">IF($L1195="","",IF($R1195&gt;=5,"",MAX($L1195:$Q1195)+CHOOSE($R1195+1,SETTINGS!$C$9,SETTINGS!$C$10,SETTINGS!$C$11,SETTINGS!$C$12,SETTINGS!$C$13)))</f>
        <v/>
      </c>
      <c r="T1195" s="34" t="str">
        <f aca="true">IF($H1195="","(chưa có nội dung)",IF($L1195="",IF($C1195&lt;TODAY(),"⚠ TRỄ HỌC",IF($C1195=TODAY(),"★ HỌC HÔM NAY","• Chưa tới")),IF($R1195&gt;=5,"✔ MASTER",IF($S1195&lt;TODAY(),"⚠ TRỄ ÔN",IF($S1195=TODAY(),"◆ ÔN HÔM NAY","✔ Đúng tiến độ")))))</f>
        <v>• Chưa tới</v>
      </c>
      <c r="U1195" s="38" t="n">
        <f aca="false">IF($H1195="","",$R1195/5)</f>
        <v>0</v>
      </c>
    </row>
    <row r="1196" customFormat="false" ht="15" hidden="false" customHeight="false" outlineLevel="0" collapsed="false">
      <c r="A1196" s="31" t="s">
        <v>7127</v>
      </c>
      <c r="B1196" s="31" t="n">
        <v>60</v>
      </c>
      <c r="C1196" s="32" t="n">
        <f aca="false">SETTINGS!$C$3+$B1196-1</f>
        <v>46359</v>
      </c>
      <c r="D1196" s="40" t="s">
        <v>3692</v>
      </c>
      <c r="E1196" s="34" t="s">
        <v>7052</v>
      </c>
      <c r="F1196" s="34" t="s">
        <v>280</v>
      </c>
      <c r="G1196" s="34" t="s">
        <v>7128</v>
      </c>
      <c r="H1196" s="35" t="s">
        <v>7129</v>
      </c>
      <c r="I1196" s="36" t="s">
        <v>7130</v>
      </c>
      <c r="J1196" s="34" t="s">
        <v>7131</v>
      </c>
      <c r="K1196" s="34" t="s">
        <v>7132</v>
      </c>
      <c r="L1196" s="37"/>
      <c r="M1196" s="37"/>
      <c r="N1196" s="37"/>
      <c r="O1196" s="37"/>
      <c r="P1196" s="37"/>
      <c r="Q1196" s="37"/>
      <c r="R1196" s="31" t="n">
        <f aca="false">COUNT($M1196:$Q1196)</f>
        <v>0</v>
      </c>
      <c r="S1196" s="32" t="str">
        <f aca="false">IF($L1196="","",IF($R1196&gt;=5,"",MAX($L1196:$Q1196)+CHOOSE($R1196+1,SETTINGS!$C$9,SETTINGS!$C$10,SETTINGS!$C$11,SETTINGS!$C$12,SETTINGS!$C$13)))</f>
        <v/>
      </c>
      <c r="T1196" s="34" t="str">
        <f aca="true">IF($H1196="","(chưa có nội dung)",IF($L1196="",IF($C1196&lt;TODAY(),"⚠ TRỄ HỌC",IF($C1196=TODAY(),"★ HỌC HÔM NAY","• Chưa tới")),IF($R1196&gt;=5,"✔ MASTER",IF($S1196&lt;TODAY(),"⚠ TRỄ ÔN",IF($S1196=TODAY(),"◆ ÔN HÔM NAY","✔ Đúng tiến độ")))))</f>
        <v>• Chưa tới</v>
      </c>
      <c r="U1196" s="38" t="n">
        <f aca="false">IF($H1196="","",$R1196/5)</f>
        <v>0</v>
      </c>
    </row>
    <row r="1197" customFormat="false" ht="26.85" hidden="false" customHeight="false" outlineLevel="0" collapsed="false">
      <c r="A1197" s="31" t="s">
        <v>7133</v>
      </c>
      <c r="B1197" s="31" t="n">
        <v>60</v>
      </c>
      <c r="C1197" s="32" t="n">
        <f aca="false">SETTINGS!$C$3+$B1197-1</f>
        <v>46359</v>
      </c>
      <c r="D1197" s="40" t="s">
        <v>3692</v>
      </c>
      <c r="E1197" s="34" t="s">
        <v>7052</v>
      </c>
      <c r="F1197" s="34" t="s">
        <v>280</v>
      </c>
      <c r="G1197" s="34" t="s">
        <v>7134</v>
      </c>
      <c r="H1197" s="35" t="s">
        <v>7135</v>
      </c>
      <c r="I1197" s="36" t="s">
        <v>7136</v>
      </c>
      <c r="J1197" s="34" t="s">
        <v>7137</v>
      </c>
      <c r="K1197" s="34" t="s">
        <v>5308</v>
      </c>
      <c r="L1197" s="37"/>
      <c r="M1197" s="37"/>
      <c r="N1197" s="37"/>
      <c r="O1197" s="37"/>
      <c r="P1197" s="37"/>
      <c r="Q1197" s="37"/>
      <c r="R1197" s="31" t="n">
        <f aca="false">COUNT($M1197:$Q1197)</f>
        <v>0</v>
      </c>
      <c r="S1197" s="32" t="str">
        <f aca="false">IF($L1197="","",IF($R1197&gt;=5,"",MAX($L1197:$Q1197)+CHOOSE($R1197+1,SETTINGS!$C$9,SETTINGS!$C$10,SETTINGS!$C$11,SETTINGS!$C$12,SETTINGS!$C$13)))</f>
        <v/>
      </c>
      <c r="T1197" s="34" t="str">
        <f aca="true">IF($H1197="","(chưa có nội dung)",IF($L1197="",IF($C1197&lt;TODAY(),"⚠ TRỄ HỌC",IF($C1197=TODAY(),"★ HỌC HÔM NAY","• Chưa tới")),IF($R1197&gt;=5,"✔ MASTER",IF($S1197&lt;TODAY(),"⚠ TRỄ ÔN",IF($S1197=TODAY(),"◆ ÔN HÔM NAY","✔ Đúng tiến độ")))))</f>
        <v>• Chưa tới</v>
      </c>
      <c r="U1197" s="38" t="n">
        <f aca="false">IF($H1197="","",$R1197/5)</f>
        <v>0</v>
      </c>
    </row>
    <row r="1198" customFormat="false" ht="15" hidden="false" customHeight="false" outlineLevel="0" collapsed="false">
      <c r="A1198" s="31" t="s">
        <v>7138</v>
      </c>
      <c r="B1198" s="31" t="n">
        <v>60</v>
      </c>
      <c r="C1198" s="32" t="n">
        <f aca="false">SETTINGS!$C$3+$B1198-1</f>
        <v>46359</v>
      </c>
      <c r="D1198" s="40" t="s">
        <v>3692</v>
      </c>
      <c r="E1198" s="34" t="s">
        <v>7052</v>
      </c>
      <c r="F1198" s="34" t="s">
        <v>3656</v>
      </c>
      <c r="G1198" s="34" t="s">
        <v>7139</v>
      </c>
      <c r="H1198" s="35" t="s">
        <v>7140</v>
      </c>
      <c r="I1198" s="36" t="s">
        <v>7141</v>
      </c>
      <c r="J1198" s="34" t="s">
        <v>7142</v>
      </c>
      <c r="K1198" s="34" t="s">
        <v>7143</v>
      </c>
      <c r="L1198" s="37"/>
      <c r="M1198" s="37"/>
      <c r="N1198" s="37"/>
      <c r="O1198" s="37"/>
      <c r="P1198" s="37"/>
      <c r="Q1198" s="37"/>
      <c r="R1198" s="31" t="n">
        <f aca="false">COUNT($M1198:$Q1198)</f>
        <v>0</v>
      </c>
      <c r="S1198" s="32" t="str">
        <f aca="false">IF($L1198="","",IF($R1198&gt;=5,"",MAX($L1198:$Q1198)+CHOOSE($R1198+1,SETTINGS!$C$9,SETTINGS!$C$10,SETTINGS!$C$11,SETTINGS!$C$12,SETTINGS!$C$13)))</f>
        <v/>
      </c>
      <c r="T1198" s="34" t="str">
        <f aca="true">IF($H1198="","(chưa có nội dung)",IF($L1198="",IF($C1198&lt;TODAY(),"⚠ TRỄ HỌC",IF($C1198=TODAY(),"★ HỌC HÔM NAY","• Chưa tới")),IF($R1198&gt;=5,"✔ MASTER",IF($S1198&lt;TODAY(),"⚠ TRỄ ÔN",IF($S1198=TODAY(),"◆ ÔN HÔM NAY","✔ Đúng tiến độ")))))</f>
        <v>• Chưa tới</v>
      </c>
      <c r="U1198" s="38" t="n">
        <f aca="false">IF($H1198="","",$R1198/5)</f>
        <v>0</v>
      </c>
    </row>
    <row r="1199" customFormat="false" ht="26.85" hidden="false" customHeight="false" outlineLevel="0" collapsed="false">
      <c r="A1199" s="31" t="s">
        <v>7144</v>
      </c>
      <c r="B1199" s="31" t="n">
        <v>60</v>
      </c>
      <c r="C1199" s="32" t="n">
        <f aca="false">SETTINGS!$C$3+$B1199-1</f>
        <v>46359</v>
      </c>
      <c r="D1199" s="40" t="s">
        <v>3692</v>
      </c>
      <c r="E1199" s="34" t="s">
        <v>7052</v>
      </c>
      <c r="F1199" s="34" t="s">
        <v>163</v>
      </c>
      <c r="G1199" s="34" t="s">
        <v>7145</v>
      </c>
      <c r="H1199" s="35" t="s">
        <v>7146</v>
      </c>
      <c r="I1199" s="36" t="s">
        <v>7147</v>
      </c>
      <c r="J1199" s="34" t="s">
        <v>7148</v>
      </c>
      <c r="K1199" s="34" t="s">
        <v>1779</v>
      </c>
      <c r="L1199" s="37"/>
      <c r="M1199" s="37"/>
      <c r="N1199" s="37"/>
      <c r="O1199" s="37"/>
      <c r="P1199" s="37"/>
      <c r="Q1199" s="37"/>
      <c r="R1199" s="31" t="n">
        <f aca="false">COUNT($M1199:$Q1199)</f>
        <v>0</v>
      </c>
      <c r="S1199" s="32" t="str">
        <f aca="false">IF($L1199="","",IF($R1199&gt;=5,"",MAX($L1199:$Q1199)+CHOOSE($R1199+1,SETTINGS!$C$9,SETTINGS!$C$10,SETTINGS!$C$11,SETTINGS!$C$12,SETTINGS!$C$13)))</f>
        <v/>
      </c>
      <c r="T1199" s="34" t="str">
        <f aca="true">IF($H1199="","(chưa có nội dung)",IF($L1199="",IF($C1199&lt;TODAY(),"⚠ TRỄ HỌC",IF($C1199=TODAY(),"★ HỌC HÔM NAY","• Chưa tới")),IF($R1199&gt;=5,"✔ MASTER",IF($S1199&lt;TODAY(),"⚠ TRỄ ÔN",IF($S1199=TODAY(),"◆ ÔN HÔM NAY","✔ Đúng tiến độ")))))</f>
        <v>• Chưa tới</v>
      </c>
      <c r="U1199" s="38" t="n">
        <f aca="false">IF($H1199="","",$R1199/5)</f>
        <v>0</v>
      </c>
    </row>
    <row r="1200" customFormat="false" ht="15" hidden="false" customHeight="false" outlineLevel="0" collapsed="false">
      <c r="A1200" s="31" t="s">
        <v>7149</v>
      </c>
      <c r="B1200" s="31" t="n">
        <v>60</v>
      </c>
      <c r="C1200" s="32" t="n">
        <f aca="false">SETTINGS!$C$3+$B1200-1</f>
        <v>46359</v>
      </c>
      <c r="D1200" s="40" t="s">
        <v>3692</v>
      </c>
      <c r="E1200" s="34" t="s">
        <v>7052</v>
      </c>
      <c r="F1200" s="34" t="s">
        <v>3656</v>
      </c>
      <c r="G1200" s="34" t="s">
        <v>7150</v>
      </c>
      <c r="H1200" s="35" t="s">
        <v>7151</v>
      </c>
      <c r="I1200" s="36" t="s">
        <v>7152</v>
      </c>
      <c r="J1200" s="34" t="s">
        <v>7153</v>
      </c>
      <c r="K1200" s="34" t="s">
        <v>7154</v>
      </c>
      <c r="L1200" s="37"/>
      <c r="M1200" s="37"/>
      <c r="N1200" s="37"/>
      <c r="O1200" s="37"/>
      <c r="P1200" s="37"/>
      <c r="Q1200" s="37"/>
      <c r="R1200" s="31" t="n">
        <f aca="false">COUNT($M1200:$Q1200)</f>
        <v>0</v>
      </c>
      <c r="S1200" s="32" t="str">
        <f aca="false">IF($L1200="","",IF($R1200&gt;=5,"",MAX($L1200:$Q1200)+CHOOSE($R1200+1,SETTINGS!$C$9,SETTINGS!$C$10,SETTINGS!$C$11,SETTINGS!$C$12,SETTINGS!$C$13)))</f>
        <v/>
      </c>
      <c r="T1200" s="34" t="str">
        <f aca="true">IF($H1200="","(chưa có nội dung)",IF($L1200="",IF($C1200&lt;TODAY(),"⚠ TRỄ HỌC",IF($C1200=TODAY(),"★ HỌC HÔM NAY","• Chưa tới")),IF($R1200&gt;=5,"✔ MASTER",IF($S1200&lt;TODAY(),"⚠ TRỄ ÔN",IF($S1200=TODAY(),"◆ ÔN HÔM NAY","✔ Đúng tiến độ")))))</f>
        <v>• Chưa tới</v>
      </c>
      <c r="U1200" s="38" t="n">
        <f aca="false">IF($H1200="","",$R1200/5)</f>
        <v>0</v>
      </c>
    </row>
    <row r="1201" customFormat="false" ht="15" hidden="false" customHeight="false" outlineLevel="0" collapsed="false">
      <c r="A1201" s="31" t="s">
        <v>7155</v>
      </c>
      <c r="B1201" s="31" t="n">
        <v>60</v>
      </c>
      <c r="C1201" s="32" t="n">
        <f aca="false">SETTINGS!$C$3+$B1201-1</f>
        <v>46359</v>
      </c>
      <c r="D1201" s="40" t="s">
        <v>3692</v>
      </c>
      <c r="E1201" s="34" t="s">
        <v>7052</v>
      </c>
      <c r="F1201" s="34" t="s">
        <v>280</v>
      </c>
      <c r="G1201" s="34" t="s">
        <v>7156</v>
      </c>
      <c r="H1201" s="35" t="s">
        <v>7157</v>
      </c>
      <c r="I1201" s="36" t="s">
        <v>7158</v>
      </c>
      <c r="J1201" s="34" t="s">
        <v>7159</v>
      </c>
      <c r="K1201" s="34" t="s">
        <v>7160</v>
      </c>
      <c r="L1201" s="37"/>
      <c r="M1201" s="37"/>
      <c r="N1201" s="37"/>
      <c r="O1201" s="37"/>
      <c r="P1201" s="37"/>
      <c r="Q1201" s="37"/>
      <c r="R1201" s="31" t="n">
        <f aca="false">COUNT($M1201:$Q1201)</f>
        <v>0</v>
      </c>
      <c r="S1201" s="32" t="str">
        <f aca="false">IF($L1201="","",IF($R1201&gt;=5,"",MAX($L1201:$Q1201)+CHOOSE($R1201+1,SETTINGS!$C$9,SETTINGS!$C$10,SETTINGS!$C$11,SETTINGS!$C$12,SETTINGS!$C$13)))</f>
        <v/>
      </c>
      <c r="T1201" s="34" t="str">
        <f aca="true">IF($H1201="","(chưa có nội dung)",IF($L1201="",IF($C1201&lt;TODAY(),"⚠ TRỄ HỌC",IF($C1201=TODAY(),"★ HỌC HÔM NAY","• Chưa tới")),IF($R1201&gt;=5,"✔ MASTER",IF($S1201&lt;TODAY(),"⚠ TRỄ ÔN",IF($S1201=TODAY(),"◆ ÔN HÔM NAY","✔ Đúng tiến độ")))))</f>
        <v>• Chưa tới</v>
      </c>
      <c r="U1201" s="38" t="n">
        <f aca="false">IF($H1201="","",$R1201/5)</f>
        <v>0</v>
      </c>
    </row>
    <row r="1202" customFormat="false" ht="23.85" hidden="false" customHeight="false" outlineLevel="0" collapsed="false">
      <c r="A1202" s="31" t="s">
        <v>7161</v>
      </c>
      <c r="B1202" s="31" t="n">
        <v>60</v>
      </c>
      <c r="C1202" s="32" t="n">
        <f aca="false">SETTINGS!$C$3+$B1202-1</f>
        <v>46359</v>
      </c>
      <c r="D1202" s="40" t="s">
        <v>3692</v>
      </c>
      <c r="E1202" s="34" t="s">
        <v>7052</v>
      </c>
      <c r="F1202" s="34" t="s">
        <v>202</v>
      </c>
      <c r="G1202" s="34" t="s">
        <v>7162</v>
      </c>
      <c r="H1202" s="35" t="s">
        <v>7163</v>
      </c>
      <c r="I1202" s="36" t="s">
        <v>7164</v>
      </c>
      <c r="J1202" s="34" t="s">
        <v>7165</v>
      </c>
      <c r="K1202" s="34" t="s">
        <v>7166</v>
      </c>
      <c r="L1202" s="37"/>
      <c r="M1202" s="37"/>
      <c r="N1202" s="37"/>
      <c r="O1202" s="37"/>
      <c r="P1202" s="37"/>
      <c r="Q1202" s="37"/>
      <c r="R1202" s="31" t="n">
        <f aca="false">COUNT($M1202:$Q1202)</f>
        <v>0</v>
      </c>
      <c r="S1202" s="32" t="str">
        <f aca="false">IF($L1202="","",IF($R1202&gt;=5,"",MAX($L1202:$Q1202)+CHOOSE($R1202+1,SETTINGS!$C$9,SETTINGS!$C$10,SETTINGS!$C$11,SETTINGS!$C$12,SETTINGS!$C$13)))</f>
        <v/>
      </c>
      <c r="T1202" s="34" t="str">
        <f aca="true">IF($H1202="","(chưa có nội dung)",IF($L1202="",IF($C1202&lt;TODAY(),"⚠ TRỄ HỌC",IF($C1202=TODAY(),"★ HỌC HÔM NAY","• Chưa tới")),IF($R1202&gt;=5,"✔ MASTER",IF($S1202&lt;TODAY(),"⚠ TRỄ ÔN",IF($S1202=TODAY(),"◆ ÔN HÔM NAY","✔ Đúng tiến độ")))))</f>
        <v>• Chưa tới</v>
      </c>
      <c r="U1202" s="38" t="n">
        <f aca="false">IF($H1202="","",$R1202/5)</f>
        <v>0</v>
      </c>
    </row>
    <row r="1203" customFormat="false" ht="26.85" hidden="false" customHeight="false" outlineLevel="0" collapsed="false">
      <c r="A1203" s="31" t="s">
        <v>7167</v>
      </c>
      <c r="B1203" s="31" t="n">
        <v>61</v>
      </c>
      <c r="C1203" s="32" t="n">
        <f aca="false">SETTINGS!$C$3+$B1203-1</f>
        <v>46360</v>
      </c>
      <c r="D1203" s="41" t="s">
        <v>7168</v>
      </c>
      <c r="E1203" s="34" t="s">
        <v>7169</v>
      </c>
      <c r="F1203" s="34" t="s">
        <v>280</v>
      </c>
      <c r="G1203" s="34" t="s">
        <v>7170</v>
      </c>
      <c r="H1203" s="35" t="s">
        <v>7171</v>
      </c>
      <c r="I1203" s="36" t="s">
        <v>7172</v>
      </c>
      <c r="J1203" s="34" t="s">
        <v>7173</v>
      </c>
      <c r="K1203" s="34" t="s">
        <v>7174</v>
      </c>
      <c r="L1203" s="37"/>
      <c r="M1203" s="37"/>
      <c r="N1203" s="37"/>
      <c r="O1203" s="37"/>
      <c r="P1203" s="37"/>
      <c r="Q1203" s="37"/>
      <c r="R1203" s="31" t="n">
        <f aca="false">COUNT($M1203:$Q1203)</f>
        <v>0</v>
      </c>
      <c r="S1203" s="32" t="str">
        <f aca="false">IF($L1203="","",IF($R1203&gt;=5,"",MAX($L1203:$Q1203)+CHOOSE($R1203+1,SETTINGS!$C$9,SETTINGS!$C$10,SETTINGS!$C$11,SETTINGS!$C$12,SETTINGS!$C$13)))</f>
        <v/>
      </c>
      <c r="T1203" s="34" t="str">
        <f aca="true">IF($H1203="","(chưa có nội dung)",IF($L1203="",IF($C1203&lt;TODAY(),"⚠ TRỄ HỌC",IF($C1203=TODAY(),"★ HỌC HÔM NAY","• Chưa tới")),IF($R1203&gt;=5,"✔ MASTER",IF($S1203&lt;TODAY(),"⚠ TRỄ ÔN",IF($S1203=TODAY(),"◆ ÔN HÔM NAY","✔ Đúng tiến độ")))))</f>
        <v>• Chưa tới</v>
      </c>
      <c r="U1203" s="38" t="n">
        <f aca="false">IF($H1203="","",$R1203/5)</f>
        <v>0</v>
      </c>
    </row>
    <row r="1204" customFormat="false" ht="26.85" hidden="false" customHeight="false" outlineLevel="0" collapsed="false">
      <c r="A1204" s="31" t="s">
        <v>7175</v>
      </c>
      <c r="B1204" s="31" t="n">
        <v>61</v>
      </c>
      <c r="C1204" s="32" t="n">
        <f aca="false">SETTINGS!$C$3+$B1204-1</f>
        <v>46360</v>
      </c>
      <c r="D1204" s="41" t="s">
        <v>7168</v>
      </c>
      <c r="E1204" s="34" t="s">
        <v>7169</v>
      </c>
      <c r="F1204" s="34" t="s">
        <v>3694</v>
      </c>
      <c r="G1204" s="34" t="s">
        <v>7176</v>
      </c>
      <c r="H1204" s="35" t="s">
        <v>7177</v>
      </c>
      <c r="I1204" s="36" t="s">
        <v>7178</v>
      </c>
      <c r="J1204" s="34" t="s">
        <v>7179</v>
      </c>
      <c r="K1204" s="34" t="s">
        <v>7180</v>
      </c>
      <c r="L1204" s="37"/>
      <c r="M1204" s="37"/>
      <c r="N1204" s="37"/>
      <c r="O1204" s="37"/>
      <c r="P1204" s="37"/>
      <c r="Q1204" s="37"/>
      <c r="R1204" s="31" t="n">
        <f aca="false">COUNT($M1204:$Q1204)</f>
        <v>0</v>
      </c>
      <c r="S1204" s="32" t="str">
        <f aca="false">IF($L1204="","",IF($R1204&gt;=5,"",MAX($L1204:$Q1204)+CHOOSE($R1204+1,SETTINGS!$C$9,SETTINGS!$C$10,SETTINGS!$C$11,SETTINGS!$C$12,SETTINGS!$C$13)))</f>
        <v/>
      </c>
      <c r="T1204" s="34" t="str">
        <f aca="true">IF($H1204="","(chưa có nội dung)",IF($L1204="",IF($C1204&lt;TODAY(),"⚠ TRỄ HỌC",IF($C1204=TODAY(),"★ HỌC HÔM NAY","• Chưa tới")),IF($R1204&gt;=5,"✔ MASTER",IF($S1204&lt;TODAY(),"⚠ TRỄ ÔN",IF($S1204=TODAY(),"◆ ÔN HÔM NAY","✔ Đúng tiến độ")))))</f>
        <v>• Chưa tới</v>
      </c>
      <c r="U1204" s="38" t="n">
        <f aca="false">IF($H1204="","",$R1204/5)</f>
        <v>0</v>
      </c>
    </row>
    <row r="1205" customFormat="false" ht="15" hidden="false" customHeight="false" outlineLevel="0" collapsed="false">
      <c r="A1205" s="31" t="s">
        <v>7181</v>
      </c>
      <c r="B1205" s="31" t="n">
        <v>61</v>
      </c>
      <c r="C1205" s="32" t="n">
        <f aca="false">SETTINGS!$C$3+$B1205-1</f>
        <v>46360</v>
      </c>
      <c r="D1205" s="41" t="s">
        <v>7168</v>
      </c>
      <c r="E1205" s="34" t="s">
        <v>7169</v>
      </c>
      <c r="F1205" s="34" t="s">
        <v>280</v>
      </c>
      <c r="G1205" s="34" t="s">
        <v>7182</v>
      </c>
      <c r="H1205" s="35" t="s">
        <v>7183</v>
      </c>
      <c r="I1205" s="36" t="s">
        <v>7184</v>
      </c>
      <c r="J1205" s="34" t="s">
        <v>7185</v>
      </c>
      <c r="K1205" s="34" t="s">
        <v>7186</v>
      </c>
      <c r="L1205" s="37"/>
      <c r="M1205" s="37"/>
      <c r="N1205" s="37"/>
      <c r="O1205" s="37"/>
      <c r="P1205" s="37"/>
      <c r="Q1205" s="37"/>
      <c r="R1205" s="31" t="n">
        <f aca="false">COUNT($M1205:$Q1205)</f>
        <v>0</v>
      </c>
      <c r="S1205" s="32" t="str">
        <f aca="false">IF($L1205="","",IF($R1205&gt;=5,"",MAX($L1205:$Q1205)+CHOOSE($R1205+1,SETTINGS!$C$9,SETTINGS!$C$10,SETTINGS!$C$11,SETTINGS!$C$12,SETTINGS!$C$13)))</f>
        <v/>
      </c>
      <c r="T1205" s="34" t="str">
        <f aca="true">IF($H1205="","(chưa có nội dung)",IF($L1205="",IF($C1205&lt;TODAY(),"⚠ TRỄ HỌC",IF($C1205=TODAY(),"★ HỌC HÔM NAY","• Chưa tới")),IF($R1205&gt;=5,"✔ MASTER",IF($S1205&lt;TODAY(),"⚠ TRỄ ÔN",IF($S1205=TODAY(),"◆ ÔN HÔM NAY","✔ Đúng tiến độ")))))</f>
        <v>• Chưa tới</v>
      </c>
      <c r="U1205" s="38" t="n">
        <f aca="false">IF($H1205="","",$R1205/5)</f>
        <v>0</v>
      </c>
    </row>
    <row r="1206" customFormat="false" ht="15" hidden="false" customHeight="false" outlineLevel="0" collapsed="false">
      <c r="A1206" s="31" t="s">
        <v>7187</v>
      </c>
      <c r="B1206" s="31" t="n">
        <v>61</v>
      </c>
      <c r="C1206" s="32" t="n">
        <f aca="false">SETTINGS!$C$3+$B1206-1</f>
        <v>46360</v>
      </c>
      <c r="D1206" s="41" t="s">
        <v>7168</v>
      </c>
      <c r="E1206" s="34" t="s">
        <v>7169</v>
      </c>
      <c r="F1206" s="34" t="s">
        <v>280</v>
      </c>
      <c r="G1206" s="34" t="s">
        <v>7188</v>
      </c>
      <c r="H1206" s="35" t="s">
        <v>7189</v>
      </c>
      <c r="I1206" s="36" t="s">
        <v>7190</v>
      </c>
      <c r="J1206" s="34" t="s">
        <v>7191</v>
      </c>
      <c r="K1206" s="34" t="s">
        <v>7192</v>
      </c>
      <c r="L1206" s="37"/>
      <c r="M1206" s="37"/>
      <c r="N1206" s="37"/>
      <c r="O1206" s="37"/>
      <c r="P1206" s="37"/>
      <c r="Q1206" s="37"/>
      <c r="R1206" s="31" t="n">
        <f aca="false">COUNT($M1206:$Q1206)</f>
        <v>0</v>
      </c>
      <c r="S1206" s="32" t="str">
        <f aca="false">IF($L1206="","",IF($R1206&gt;=5,"",MAX($L1206:$Q1206)+CHOOSE($R1206+1,SETTINGS!$C$9,SETTINGS!$C$10,SETTINGS!$C$11,SETTINGS!$C$12,SETTINGS!$C$13)))</f>
        <v/>
      </c>
      <c r="T1206" s="34" t="str">
        <f aca="true">IF($H1206="","(chưa có nội dung)",IF($L1206="",IF($C1206&lt;TODAY(),"⚠ TRỄ HỌC",IF($C1206=TODAY(),"★ HỌC HÔM NAY","• Chưa tới")),IF($R1206&gt;=5,"✔ MASTER",IF($S1206&lt;TODAY(),"⚠ TRỄ ÔN",IF($S1206=TODAY(),"◆ ÔN HÔM NAY","✔ Đúng tiến độ")))))</f>
        <v>• Chưa tới</v>
      </c>
      <c r="U1206" s="38" t="n">
        <f aca="false">IF($H1206="","",$R1206/5)</f>
        <v>0</v>
      </c>
    </row>
    <row r="1207" customFormat="false" ht="15" hidden="false" customHeight="false" outlineLevel="0" collapsed="false">
      <c r="A1207" s="31" t="s">
        <v>7193</v>
      </c>
      <c r="B1207" s="31" t="n">
        <v>61</v>
      </c>
      <c r="C1207" s="32" t="n">
        <f aca="false">SETTINGS!$C$3+$B1207-1</f>
        <v>46360</v>
      </c>
      <c r="D1207" s="41" t="s">
        <v>7168</v>
      </c>
      <c r="E1207" s="34" t="s">
        <v>7169</v>
      </c>
      <c r="F1207" s="34" t="s">
        <v>3694</v>
      </c>
      <c r="G1207" s="34" t="s">
        <v>7194</v>
      </c>
      <c r="H1207" s="35" t="s">
        <v>7195</v>
      </c>
      <c r="I1207" s="36" t="s">
        <v>7196</v>
      </c>
      <c r="J1207" s="34" t="s">
        <v>7197</v>
      </c>
      <c r="K1207" s="34" t="s">
        <v>7198</v>
      </c>
      <c r="L1207" s="37"/>
      <c r="M1207" s="37"/>
      <c r="N1207" s="37"/>
      <c r="O1207" s="37"/>
      <c r="P1207" s="37"/>
      <c r="Q1207" s="37"/>
      <c r="R1207" s="31" t="n">
        <f aca="false">COUNT($M1207:$Q1207)</f>
        <v>0</v>
      </c>
      <c r="S1207" s="32" t="str">
        <f aca="false">IF($L1207="","",IF($R1207&gt;=5,"",MAX($L1207:$Q1207)+CHOOSE($R1207+1,SETTINGS!$C$9,SETTINGS!$C$10,SETTINGS!$C$11,SETTINGS!$C$12,SETTINGS!$C$13)))</f>
        <v/>
      </c>
      <c r="T1207" s="34" t="str">
        <f aca="true">IF($H1207="","(chưa có nội dung)",IF($L1207="",IF($C1207&lt;TODAY(),"⚠ TRỄ HỌC",IF($C1207=TODAY(),"★ HỌC HÔM NAY","• Chưa tới")),IF($R1207&gt;=5,"✔ MASTER",IF($S1207&lt;TODAY(),"⚠ TRỄ ÔN",IF($S1207=TODAY(),"◆ ÔN HÔM NAY","✔ Đúng tiến độ")))))</f>
        <v>• Chưa tới</v>
      </c>
      <c r="U1207" s="38" t="n">
        <f aca="false">IF($H1207="","",$R1207/5)</f>
        <v>0</v>
      </c>
    </row>
    <row r="1208" customFormat="false" ht="15" hidden="false" customHeight="false" outlineLevel="0" collapsed="false">
      <c r="A1208" s="31" t="s">
        <v>7199</v>
      </c>
      <c r="B1208" s="31" t="n">
        <v>61</v>
      </c>
      <c r="C1208" s="32" t="n">
        <f aca="false">SETTINGS!$C$3+$B1208-1</f>
        <v>46360</v>
      </c>
      <c r="D1208" s="41" t="s">
        <v>7168</v>
      </c>
      <c r="E1208" s="34" t="s">
        <v>7169</v>
      </c>
      <c r="F1208" s="34" t="s">
        <v>280</v>
      </c>
      <c r="G1208" s="34" t="s">
        <v>7200</v>
      </c>
      <c r="H1208" s="35" t="s">
        <v>7201</v>
      </c>
      <c r="I1208" s="36" t="s">
        <v>7202</v>
      </c>
      <c r="J1208" s="34" t="s">
        <v>7203</v>
      </c>
      <c r="K1208" s="34" t="s">
        <v>7204</v>
      </c>
      <c r="L1208" s="37"/>
      <c r="M1208" s="37"/>
      <c r="N1208" s="37"/>
      <c r="O1208" s="37"/>
      <c r="P1208" s="37"/>
      <c r="Q1208" s="37"/>
      <c r="R1208" s="31" t="n">
        <f aca="false">COUNT($M1208:$Q1208)</f>
        <v>0</v>
      </c>
      <c r="S1208" s="32" t="str">
        <f aca="false">IF($L1208="","",IF($R1208&gt;=5,"",MAX($L1208:$Q1208)+CHOOSE($R1208+1,SETTINGS!$C$9,SETTINGS!$C$10,SETTINGS!$C$11,SETTINGS!$C$12,SETTINGS!$C$13)))</f>
        <v/>
      </c>
      <c r="T1208" s="34" t="str">
        <f aca="true">IF($H1208="","(chưa có nội dung)",IF($L1208="",IF($C1208&lt;TODAY(),"⚠ TRỄ HỌC",IF($C1208=TODAY(),"★ HỌC HÔM NAY","• Chưa tới")),IF($R1208&gt;=5,"✔ MASTER",IF($S1208&lt;TODAY(),"⚠ TRỄ ÔN",IF($S1208=TODAY(),"◆ ÔN HÔM NAY","✔ Đúng tiến độ")))))</f>
        <v>• Chưa tới</v>
      </c>
      <c r="U1208" s="38" t="n">
        <f aca="false">IF($H1208="","",$R1208/5)</f>
        <v>0</v>
      </c>
    </row>
    <row r="1209" customFormat="false" ht="26.85" hidden="false" customHeight="false" outlineLevel="0" collapsed="false">
      <c r="A1209" s="31" t="s">
        <v>7205</v>
      </c>
      <c r="B1209" s="31" t="n">
        <v>61</v>
      </c>
      <c r="C1209" s="32" t="n">
        <f aca="false">SETTINGS!$C$3+$B1209-1</f>
        <v>46360</v>
      </c>
      <c r="D1209" s="41" t="s">
        <v>7168</v>
      </c>
      <c r="E1209" s="34" t="s">
        <v>7169</v>
      </c>
      <c r="F1209" s="34" t="s">
        <v>3694</v>
      </c>
      <c r="G1209" s="34" t="s">
        <v>7206</v>
      </c>
      <c r="H1209" s="35" t="s">
        <v>7207</v>
      </c>
      <c r="I1209" s="36" t="s">
        <v>7208</v>
      </c>
      <c r="J1209" s="34" t="s">
        <v>7209</v>
      </c>
      <c r="K1209" s="34" t="s">
        <v>7210</v>
      </c>
      <c r="L1209" s="37"/>
      <c r="M1209" s="37"/>
      <c r="N1209" s="37"/>
      <c r="O1209" s="37"/>
      <c r="P1209" s="37"/>
      <c r="Q1209" s="37"/>
      <c r="R1209" s="31" t="n">
        <f aca="false">COUNT($M1209:$Q1209)</f>
        <v>0</v>
      </c>
      <c r="S1209" s="32" t="str">
        <f aca="false">IF($L1209="","",IF($R1209&gt;=5,"",MAX($L1209:$Q1209)+CHOOSE($R1209+1,SETTINGS!$C$9,SETTINGS!$C$10,SETTINGS!$C$11,SETTINGS!$C$12,SETTINGS!$C$13)))</f>
        <v/>
      </c>
      <c r="T1209" s="34" t="str">
        <f aca="true">IF($H1209="","(chưa có nội dung)",IF($L1209="",IF($C1209&lt;TODAY(),"⚠ TRỄ HỌC",IF($C1209=TODAY(),"★ HỌC HÔM NAY","• Chưa tới")),IF($R1209&gt;=5,"✔ MASTER",IF($S1209&lt;TODAY(),"⚠ TRỄ ÔN",IF($S1209=TODAY(),"◆ ÔN HÔM NAY","✔ Đúng tiến độ")))))</f>
        <v>• Chưa tới</v>
      </c>
      <c r="U1209" s="38" t="n">
        <f aca="false">IF($H1209="","",$R1209/5)</f>
        <v>0</v>
      </c>
    </row>
    <row r="1210" customFormat="false" ht="26.85" hidden="false" customHeight="false" outlineLevel="0" collapsed="false">
      <c r="A1210" s="31" t="s">
        <v>7211</v>
      </c>
      <c r="B1210" s="31" t="n">
        <v>61</v>
      </c>
      <c r="C1210" s="32" t="n">
        <f aca="false">SETTINGS!$C$3+$B1210-1</f>
        <v>46360</v>
      </c>
      <c r="D1210" s="41" t="s">
        <v>7168</v>
      </c>
      <c r="E1210" s="34" t="s">
        <v>7169</v>
      </c>
      <c r="F1210" s="34" t="s">
        <v>472</v>
      </c>
      <c r="G1210" s="34" t="s">
        <v>7212</v>
      </c>
      <c r="H1210" s="35" t="s">
        <v>7213</v>
      </c>
      <c r="I1210" s="36" t="s">
        <v>7214</v>
      </c>
      <c r="J1210" s="34" t="s">
        <v>7215</v>
      </c>
      <c r="K1210" s="34" t="s">
        <v>7216</v>
      </c>
      <c r="L1210" s="37"/>
      <c r="M1210" s="37"/>
      <c r="N1210" s="37"/>
      <c r="O1210" s="37"/>
      <c r="P1210" s="37"/>
      <c r="Q1210" s="37"/>
      <c r="R1210" s="31" t="n">
        <f aca="false">COUNT($M1210:$Q1210)</f>
        <v>0</v>
      </c>
      <c r="S1210" s="32" t="str">
        <f aca="false">IF($L1210="","",IF($R1210&gt;=5,"",MAX($L1210:$Q1210)+CHOOSE($R1210+1,SETTINGS!$C$9,SETTINGS!$C$10,SETTINGS!$C$11,SETTINGS!$C$12,SETTINGS!$C$13)))</f>
        <v/>
      </c>
      <c r="T1210" s="34" t="str">
        <f aca="true">IF($H1210="","(chưa có nội dung)",IF($L1210="",IF($C1210&lt;TODAY(),"⚠ TRỄ HỌC",IF($C1210=TODAY(),"★ HỌC HÔM NAY","• Chưa tới")),IF($R1210&gt;=5,"✔ MASTER",IF($S1210&lt;TODAY(),"⚠ TRỄ ÔN",IF($S1210=TODAY(),"◆ ÔN HÔM NAY","✔ Đúng tiến độ")))))</f>
        <v>• Chưa tới</v>
      </c>
      <c r="U1210" s="38" t="n">
        <f aca="false">IF($H1210="","",$R1210/5)</f>
        <v>0</v>
      </c>
    </row>
    <row r="1211" customFormat="false" ht="15" hidden="false" customHeight="false" outlineLevel="0" collapsed="false">
      <c r="A1211" s="31" t="s">
        <v>7217</v>
      </c>
      <c r="B1211" s="31" t="n">
        <v>61</v>
      </c>
      <c r="C1211" s="32" t="n">
        <f aca="false">SETTINGS!$C$3+$B1211-1</f>
        <v>46360</v>
      </c>
      <c r="D1211" s="41" t="s">
        <v>7168</v>
      </c>
      <c r="E1211" s="34" t="s">
        <v>7169</v>
      </c>
      <c r="F1211" s="34" t="s">
        <v>3694</v>
      </c>
      <c r="G1211" s="34" t="s">
        <v>7218</v>
      </c>
      <c r="H1211" s="35" t="s">
        <v>7219</v>
      </c>
      <c r="I1211" s="36" t="s">
        <v>7220</v>
      </c>
      <c r="J1211" s="34" t="s">
        <v>7221</v>
      </c>
      <c r="K1211" s="34" t="s">
        <v>7222</v>
      </c>
      <c r="L1211" s="37"/>
      <c r="M1211" s="37"/>
      <c r="N1211" s="37"/>
      <c r="O1211" s="37"/>
      <c r="P1211" s="37"/>
      <c r="Q1211" s="37"/>
      <c r="R1211" s="31" t="n">
        <f aca="false">COUNT($M1211:$Q1211)</f>
        <v>0</v>
      </c>
      <c r="S1211" s="32" t="str">
        <f aca="false">IF($L1211="","",IF($R1211&gt;=5,"",MAX($L1211:$Q1211)+CHOOSE($R1211+1,SETTINGS!$C$9,SETTINGS!$C$10,SETTINGS!$C$11,SETTINGS!$C$12,SETTINGS!$C$13)))</f>
        <v/>
      </c>
      <c r="T1211" s="34" t="str">
        <f aca="true">IF($H1211="","(chưa có nội dung)",IF($L1211="",IF($C1211&lt;TODAY(),"⚠ TRỄ HỌC",IF($C1211=TODAY(),"★ HỌC HÔM NAY","• Chưa tới")),IF($R1211&gt;=5,"✔ MASTER",IF($S1211&lt;TODAY(),"⚠ TRỄ ÔN",IF($S1211=TODAY(),"◆ ÔN HÔM NAY","✔ Đúng tiến độ")))))</f>
        <v>• Chưa tới</v>
      </c>
      <c r="U1211" s="38" t="n">
        <f aca="false">IF($H1211="","",$R1211/5)</f>
        <v>0</v>
      </c>
    </row>
    <row r="1212" customFormat="false" ht="15" hidden="false" customHeight="false" outlineLevel="0" collapsed="false">
      <c r="A1212" s="31" t="s">
        <v>7223</v>
      </c>
      <c r="B1212" s="31" t="n">
        <v>61</v>
      </c>
      <c r="C1212" s="32" t="n">
        <f aca="false">SETTINGS!$C$3+$B1212-1</f>
        <v>46360</v>
      </c>
      <c r="D1212" s="41" t="s">
        <v>7168</v>
      </c>
      <c r="E1212" s="34" t="s">
        <v>7169</v>
      </c>
      <c r="F1212" s="34" t="s">
        <v>280</v>
      </c>
      <c r="G1212" s="34" t="s">
        <v>4232</v>
      </c>
      <c r="H1212" s="35" t="s">
        <v>7224</v>
      </c>
      <c r="I1212" s="36" t="s">
        <v>7225</v>
      </c>
      <c r="J1212" s="34" t="s">
        <v>7226</v>
      </c>
      <c r="K1212" s="34" t="s">
        <v>7227</v>
      </c>
      <c r="L1212" s="37"/>
      <c r="M1212" s="37"/>
      <c r="N1212" s="37"/>
      <c r="O1212" s="37"/>
      <c r="P1212" s="37"/>
      <c r="Q1212" s="37"/>
      <c r="R1212" s="31" t="n">
        <f aca="false">COUNT($M1212:$Q1212)</f>
        <v>0</v>
      </c>
      <c r="S1212" s="32" t="str">
        <f aca="false">IF($L1212="","",IF($R1212&gt;=5,"",MAX($L1212:$Q1212)+CHOOSE($R1212+1,SETTINGS!$C$9,SETTINGS!$C$10,SETTINGS!$C$11,SETTINGS!$C$12,SETTINGS!$C$13)))</f>
        <v/>
      </c>
      <c r="T1212" s="34" t="str">
        <f aca="true">IF($H1212="","(chưa có nội dung)",IF($L1212="",IF($C1212&lt;TODAY(),"⚠ TRỄ HỌC",IF($C1212=TODAY(),"★ HỌC HÔM NAY","• Chưa tới")),IF($R1212&gt;=5,"✔ MASTER",IF($S1212&lt;TODAY(),"⚠ TRỄ ÔN",IF($S1212=TODAY(),"◆ ÔN HÔM NAY","✔ Đúng tiến độ")))))</f>
        <v>• Chưa tới</v>
      </c>
      <c r="U1212" s="38" t="n">
        <f aca="false">IF($H1212="","",$R1212/5)</f>
        <v>0</v>
      </c>
    </row>
    <row r="1213" customFormat="false" ht="15" hidden="false" customHeight="false" outlineLevel="0" collapsed="false">
      <c r="A1213" s="31" t="s">
        <v>7228</v>
      </c>
      <c r="B1213" s="31" t="n">
        <v>61</v>
      </c>
      <c r="C1213" s="32" t="n">
        <f aca="false">SETTINGS!$C$3+$B1213-1</f>
        <v>46360</v>
      </c>
      <c r="D1213" s="41" t="s">
        <v>7168</v>
      </c>
      <c r="E1213" s="34" t="s">
        <v>7169</v>
      </c>
      <c r="F1213" s="34" t="s">
        <v>280</v>
      </c>
      <c r="G1213" s="34" t="s">
        <v>7229</v>
      </c>
      <c r="H1213" s="35" t="s">
        <v>7230</v>
      </c>
      <c r="I1213" s="36" t="s">
        <v>7231</v>
      </c>
      <c r="J1213" s="34" t="s">
        <v>7232</v>
      </c>
      <c r="K1213" s="34" t="s">
        <v>7233</v>
      </c>
      <c r="L1213" s="37"/>
      <c r="M1213" s="37"/>
      <c r="N1213" s="37"/>
      <c r="O1213" s="37"/>
      <c r="P1213" s="37"/>
      <c r="Q1213" s="37"/>
      <c r="R1213" s="31" t="n">
        <f aca="false">COUNT($M1213:$Q1213)</f>
        <v>0</v>
      </c>
      <c r="S1213" s="32" t="str">
        <f aca="false">IF($L1213="","",IF($R1213&gt;=5,"",MAX($L1213:$Q1213)+CHOOSE($R1213+1,SETTINGS!$C$9,SETTINGS!$C$10,SETTINGS!$C$11,SETTINGS!$C$12,SETTINGS!$C$13)))</f>
        <v/>
      </c>
      <c r="T1213" s="34" t="str">
        <f aca="true">IF($H1213="","(chưa có nội dung)",IF($L1213="",IF($C1213&lt;TODAY(),"⚠ TRỄ HỌC",IF($C1213=TODAY(),"★ HỌC HÔM NAY","• Chưa tới")),IF($R1213&gt;=5,"✔ MASTER",IF($S1213&lt;TODAY(),"⚠ TRỄ ÔN",IF($S1213=TODAY(),"◆ ÔN HÔM NAY","✔ Đúng tiến độ")))))</f>
        <v>• Chưa tới</v>
      </c>
      <c r="U1213" s="38" t="n">
        <f aca="false">IF($H1213="","",$R1213/5)</f>
        <v>0</v>
      </c>
    </row>
    <row r="1214" customFormat="false" ht="26.85" hidden="false" customHeight="false" outlineLevel="0" collapsed="false">
      <c r="A1214" s="31" t="s">
        <v>7234</v>
      </c>
      <c r="B1214" s="31" t="n">
        <v>61</v>
      </c>
      <c r="C1214" s="32" t="n">
        <f aca="false">SETTINGS!$C$3+$B1214-1</f>
        <v>46360</v>
      </c>
      <c r="D1214" s="41" t="s">
        <v>7168</v>
      </c>
      <c r="E1214" s="34" t="s">
        <v>7169</v>
      </c>
      <c r="F1214" s="34" t="s">
        <v>472</v>
      </c>
      <c r="G1214" s="34" t="s">
        <v>7235</v>
      </c>
      <c r="H1214" s="35" t="s">
        <v>7236</v>
      </c>
      <c r="I1214" s="36" t="s">
        <v>7237</v>
      </c>
      <c r="J1214" s="34" t="s">
        <v>7238</v>
      </c>
      <c r="K1214" s="34" t="s">
        <v>7239</v>
      </c>
      <c r="L1214" s="37"/>
      <c r="M1214" s="37"/>
      <c r="N1214" s="37"/>
      <c r="O1214" s="37"/>
      <c r="P1214" s="37"/>
      <c r="Q1214" s="37"/>
      <c r="R1214" s="31" t="n">
        <f aca="false">COUNT($M1214:$Q1214)</f>
        <v>0</v>
      </c>
      <c r="S1214" s="32" t="str">
        <f aca="false">IF($L1214="","",IF($R1214&gt;=5,"",MAX($L1214:$Q1214)+CHOOSE($R1214+1,SETTINGS!$C$9,SETTINGS!$C$10,SETTINGS!$C$11,SETTINGS!$C$12,SETTINGS!$C$13)))</f>
        <v/>
      </c>
      <c r="T1214" s="34" t="str">
        <f aca="true">IF($H1214="","(chưa có nội dung)",IF($L1214="",IF($C1214&lt;TODAY(),"⚠ TRỄ HỌC",IF($C1214=TODAY(),"★ HỌC HÔM NAY","• Chưa tới")),IF($R1214&gt;=5,"✔ MASTER",IF($S1214&lt;TODAY(),"⚠ TRỄ ÔN",IF($S1214=TODAY(),"◆ ÔN HÔM NAY","✔ Đúng tiến độ")))))</f>
        <v>• Chưa tới</v>
      </c>
      <c r="U1214" s="38" t="n">
        <f aca="false">IF($H1214="","",$R1214/5)</f>
        <v>0</v>
      </c>
    </row>
    <row r="1215" customFormat="false" ht="26.85" hidden="false" customHeight="false" outlineLevel="0" collapsed="false">
      <c r="A1215" s="31" t="s">
        <v>7240</v>
      </c>
      <c r="B1215" s="31" t="n">
        <v>61</v>
      </c>
      <c r="C1215" s="32" t="n">
        <f aca="false">SETTINGS!$C$3+$B1215-1</f>
        <v>46360</v>
      </c>
      <c r="D1215" s="41" t="s">
        <v>7168</v>
      </c>
      <c r="E1215" s="34" t="s">
        <v>7169</v>
      </c>
      <c r="F1215" s="34" t="s">
        <v>280</v>
      </c>
      <c r="G1215" s="34" t="s">
        <v>7241</v>
      </c>
      <c r="H1215" s="35" t="s">
        <v>7242</v>
      </c>
      <c r="I1215" s="36" t="s">
        <v>7243</v>
      </c>
      <c r="J1215" s="34" t="s">
        <v>7244</v>
      </c>
      <c r="K1215" s="34" t="s">
        <v>7245</v>
      </c>
      <c r="L1215" s="37"/>
      <c r="M1215" s="37"/>
      <c r="N1215" s="37"/>
      <c r="O1215" s="37"/>
      <c r="P1215" s="37"/>
      <c r="Q1215" s="37"/>
      <c r="R1215" s="31" t="n">
        <f aca="false">COUNT($M1215:$Q1215)</f>
        <v>0</v>
      </c>
      <c r="S1215" s="32" t="str">
        <f aca="false">IF($L1215="","",IF($R1215&gt;=5,"",MAX($L1215:$Q1215)+CHOOSE($R1215+1,SETTINGS!$C$9,SETTINGS!$C$10,SETTINGS!$C$11,SETTINGS!$C$12,SETTINGS!$C$13)))</f>
        <v/>
      </c>
      <c r="T1215" s="34" t="str">
        <f aca="true">IF($H1215="","(chưa có nội dung)",IF($L1215="",IF($C1215&lt;TODAY(),"⚠ TRỄ HỌC",IF($C1215=TODAY(),"★ HỌC HÔM NAY","• Chưa tới")),IF($R1215&gt;=5,"✔ MASTER",IF($S1215&lt;TODAY(),"⚠ TRỄ ÔN",IF($S1215=TODAY(),"◆ ÔN HÔM NAY","✔ Đúng tiến độ")))))</f>
        <v>• Chưa tới</v>
      </c>
      <c r="U1215" s="38" t="n">
        <f aca="false">IF($H1215="","",$R1215/5)</f>
        <v>0</v>
      </c>
    </row>
    <row r="1216" customFormat="false" ht="26.85" hidden="false" customHeight="false" outlineLevel="0" collapsed="false">
      <c r="A1216" s="31" t="s">
        <v>7246</v>
      </c>
      <c r="B1216" s="31" t="n">
        <v>61</v>
      </c>
      <c r="C1216" s="32" t="n">
        <f aca="false">SETTINGS!$C$3+$B1216-1</f>
        <v>46360</v>
      </c>
      <c r="D1216" s="41" t="s">
        <v>7168</v>
      </c>
      <c r="E1216" s="34" t="s">
        <v>7169</v>
      </c>
      <c r="F1216" s="34" t="s">
        <v>3694</v>
      </c>
      <c r="G1216" s="34" t="s">
        <v>7247</v>
      </c>
      <c r="H1216" s="35" t="s">
        <v>7248</v>
      </c>
      <c r="I1216" s="36" t="s">
        <v>7249</v>
      </c>
      <c r="J1216" s="34" t="s">
        <v>7250</v>
      </c>
      <c r="K1216" s="34" t="s">
        <v>7251</v>
      </c>
      <c r="L1216" s="37"/>
      <c r="M1216" s="37"/>
      <c r="N1216" s="37"/>
      <c r="O1216" s="37"/>
      <c r="P1216" s="37"/>
      <c r="Q1216" s="37"/>
      <c r="R1216" s="31" t="n">
        <f aca="false">COUNT($M1216:$Q1216)</f>
        <v>0</v>
      </c>
      <c r="S1216" s="32" t="str">
        <f aca="false">IF($L1216="","",IF($R1216&gt;=5,"",MAX($L1216:$Q1216)+CHOOSE($R1216+1,SETTINGS!$C$9,SETTINGS!$C$10,SETTINGS!$C$11,SETTINGS!$C$12,SETTINGS!$C$13)))</f>
        <v/>
      </c>
      <c r="T1216" s="34" t="str">
        <f aca="true">IF($H1216="","(chưa có nội dung)",IF($L1216="",IF($C1216&lt;TODAY(),"⚠ TRỄ HỌC",IF($C1216=TODAY(),"★ HỌC HÔM NAY","• Chưa tới")),IF($R1216&gt;=5,"✔ MASTER",IF($S1216&lt;TODAY(),"⚠ TRỄ ÔN",IF($S1216=TODAY(),"◆ ÔN HÔM NAY","✔ Đúng tiến độ")))))</f>
        <v>• Chưa tới</v>
      </c>
      <c r="U1216" s="38" t="n">
        <f aca="false">IF($H1216="","",$R1216/5)</f>
        <v>0</v>
      </c>
    </row>
    <row r="1217" customFormat="false" ht="15" hidden="false" customHeight="false" outlineLevel="0" collapsed="false">
      <c r="A1217" s="31" t="s">
        <v>7252</v>
      </c>
      <c r="B1217" s="31" t="n">
        <v>61</v>
      </c>
      <c r="C1217" s="32" t="n">
        <f aca="false">SETTINGS!$C$3+$B1217-1</f>
        <v>46360</v>
      </c>
      <c r="D1217" s="41" t="s">
        <v>7168</v>
      </c>
      <c r="E1217" s="34" t="s">
        <v>7169</v>
      </c>
      <c r="F1217" s="34" t="s">
        <v>280</v>
      </c>
      <c r="G1217" s="34" t="s">
        <v>7253</v>
      </c>
      <c r="H1217" s="35" t="s">
        <v>7254</v>
      </c>
      <c r="I1217" s="36" t="s">
        <v>7255</v>
      </c>
      <c r="J1217" s="34" t="s">
        <v>7256</v>
      </c>
      <c r="K1217" s="34" t="s">
        <v>7257</v>
      </c>
      <c r="L1217" s="37"/>
      <c r="M1217" s="37"/>
      <c r="N1217" s="37"/>
      <c r="O1217" s="37"/>
      <c r="P1217" s="37"/>
      <c r="Q1217" s="37"/>
      <c r="R1217" s="31" t="n">
        <f aca="false">COUNT($M1217:$Q1217)</f>
        <v>0</v>
      </c>
      <c r="S1217" s="32" t="str">
        <f aca="false">IF($L1217="","",IF($R1217&gt;=5,"",MAX($L1217:$Q1217)+CHOOSE($R1217+1,SETTINGS!$C$9,SETTINGS!$C$10,SETTINGS!$C$11,SETTINGS!$C$12,SETTINGS!$C$13)))</f>
        <v/>
      </c>
      <c r="T1217" s="34" t="str">
        <f aca="true">IF($H1217="","(chưa có nội dung)",IF($L1217="",IF($C1217&lt;TODAY(),"⚠ TRỄ HỌC",IF($C1217=TODAY(),"★ HỌC HÔM NAY","• Chưa tới")),IF($R1217&gt;=5,"✔ MASTER",IF($S1217&lt;TODAY(),"⚠ TRỄ ÔN",IF($S1217=TODAY(),"◆ ÔN HÔM NAY","✔ Đúng tiến độ")))))</f>
        <v>• Chưa tới</v>
      </c>
      <c r="U1217" s="38" t="n">
        <f aca="false">IF($H1217="","",$R1217/5)</f>
        <v>0</v>
      </c>
    </row>
    <row r="1218" customFormat="false" ht="15" hidden="false" customHeight="false" outlineLevel="0" collapsed="false">
      <c r="A1218" s="31" t="s">
        <v>7258</v>
      </c>
      <c r="B1218" s="31" t="n">
        <v>61</v>
      </c>
      <c r="C1218" s="32" t="n">
        <f aca="false">SETTINGS!$C$3+$B1218-1</f>
        <v>46360</v>
      </c>
      <c r="D1218" s="41" t="s">
        <v>7168</v>
      </c>
      <c r="E1218" s="34" t="s">
        <v>7169</v>
      </c>
      <c r="F1218" s="34" t="s">
        <v>183</v>
      </c>
      <c r="G1218" s="34" t="s">
        <v>7259</v>
      </c>
      <c r="H1218" s="35" t="s">
        <v>7260</v>
      </c>
      <c r="I1218" s="36" t="s">
        <v>7261</v>
      </c>
      <c r="J1218" s="34" t="s">
        <v>7262</v>
      </c>
      <c r="K1218" s="34" t="s">
        <v>7263</v>
      </c>
      <c r="L1218" s="37"/>
      <c r="M1218" s="37"/>
      <c r="N1218" s="37"/>
      <c r="O1218" s="37"/>
      <c r="P1218" s="37"/>
      <c r="Q1218" s="37"/>
      <c r="R1218" s="31" t="n">
        <f aca="false">COUNT($M1218:$Q1218)</f>
        <v>0</v>
      </c>
      <c r="S1218" s="32" t="str">
        <f aca="false">IF($L1218="","",IF($R1218&gt;=5,"",MAX($L1218:$Q1218)+CHOOSE($R1218+1,SETTINGS!$C$9,SETTINGS!$C$10,SETTINGS!$C$11,SETTINGS!$C$12,SETTINGS!$C$13)))</f>
        <v/>
      </c>
      <c r="T1218" s="34" t="str">
        <f aca="true">IF($H1218="","(chưa có nội dung)",IF($L1218="",IF($C1218&lt;TODAY(),"⚠ TRỄ HỌC",IF($C1218=TODAY(),"★ HỌC HÔM NAY","• Chưa tới")),IF($R1218&gt;=5,"✔ MASTER",IF($S1218&lt;TODAY(),"⚠ TRỄ ÔN",IF($S1218=TODAY(),"◆ ÔN HÔM NAY","✔ Đúng tiến độ")))))</f>
        <v>• Chưa tới</v>
      </c>
      <c r="U1218" s="38" t="n">
        <f aca="false">IF($H1218="","",$R1218/5)</f>
        <v>0</v>
      </c>
    </row>
    <row r="1219" customFormat="false" ht="26.85" hidden="false" customHeight="false" outlineLevel="0" collapsed="false">
      <c r="A1219" s="31" t="s">
        <v>7264</v>
      </c>
      <c r="B1219" s="31" t="n">
        <v>61</v>
      </c>
      <c r="C1219" s="32" t="n">
        <f aca="false">SETTINGS!$C$3+$B1219-1</f>
        <v>46360</v>
      </c>
      <c r="D1219" s="41" t="s">
        <v>7168</v>
      </c>
      <c r="E1219" s="34" t="s">
        <v>7169</v>
      </c>
      <c r="F1219" s="34" t="s">
        <v>280</v>
      </c>
      <c r="G1219" s="34" t="s">
        <v>7265</v>
      </c>
      <c r="H1219" s="35" t="s">
        <v>7266</v>
      </c>
      <c r="I1219" s="36" t="s">
        <v>7267</v>
      </c>
      <c r="J1219" s="34" t="s">
        <v>7268</v>
      </c>
      <c r="K1219" s="34" t="s">
        <v>7269</v>
      </c>
      <c r="L1219" s="37"/>
      <c r="M1219" s="37"/>
      <c r="N1219" s="37"/>
      <c r="O1219" s="37"/>
      <c r="P1219" s="37"/>
      <c r="Q1219" s="37"/>
      <c r="R1219" s="31" t="n">
        <f aca="false">COUNT($M1219:$Q1219)</f>
        <v>0</v>
      </c>
      <c r="S1219" s="32" t="str">
        <f aca="false">IF($L1219="","",IF($R1219&gt;=5,"",MAX($L1219:$Q1219)+CHOOSE($R1219+1,SETTINGS!$C$9,SETTINGS!$C$10,SETTINGS!$C$11,SETTINGS!$C$12,SETTINGS!$C$13)))</f>
        <v/>
      </c>
      <c r="T1219" s="34" t="str">
        <f aca="true">IF($H1219="","(chưa có nội dung)",IF($L1219="",IF($C1219&lt;TODAY(),"⚠ TRỄ HỌC",IF($C1219=TODAY(),"★ HỌC HÔM NAY","• Chưa tới")),IF($R1219&gt;=5,"✔ MASTER",IF($S1219&lt;TODAY(),"⚠ TRỄ ÔN",IF($S1219=TODAY(),"◆ ÔN HÔM NAY","✔ Đúng tiến độ")))))</f>
        <v>• Chưa tới</v>
      </c>
      <c r="U1219" s="38" t="n">
        <f aca="false">IF($H1219="","",$R1219/5)</f>
        <v>0</v>
      </c>
    </row>
    <row r="1220" customFormat="false" ht="23.85" hidden="false" customHeight="false" outlineLevel="0" collapsed="false">
      <c r="A1220" s="31" t="s">
        <v>7270</v>
      </c>
      <c r="B1220" s="31" t="n">
        <v>61</v>
      </c>
      <c r="C1220" s="32" t="n">
        <f aca="false">SETTINGS!$C$3+$B1220-1</f>
        <v>46360</v>
      </c>
      <c r="D1220" s="41" t="s">
        <v>7168</v>
      </c>
      <c r="E1220" s="34" t="s">
        <v>7169</v>
      </c>
      <c r="F1220" s="34" t="s">
        <v>280</v>
      </c>
      <c r="G1220" s="34" t="s">
        <v>7271</v>
      </c>
      <c r="H1220" s="35" t="s">
        <v>7272</v>
      </c>
      <c r="I1220" s="36" t="s">
        <v>7273</v>
      </c>
      <c r="J1220" s="34" t="s">
        <v>7274</v>
      </c>
      <c r="K1220" s="34" t="s">
        <v>7275</v>
      </c>
      <c r="L1220" s="37"/>
      <c r="M1220" s="37"/>
      <c r="N1220" s="37"/>
      <c r="O1220" s="37"/>
      <c r="P1220" s="37"/>
      <c r="Q1220" s="37"/>
      <c r="R1220" s="31" t="n">
        <f aca="false">COUNT($M1220:$Q1220)</f>
        <v>0</v>
      </c>
      <c r="S1220" s="32" t="str">
        <f aca="false">IF($L1220="","",IF($R1220&gt;=5,"",MAX($L1220:$Q1220)+CHOOSE($R1220+1,SETTINGS!$C$9,SETTINGS!$C$10,SETTINGS!$C$11,SETTINGS!$C$12,SETTINGS!$C$13)))</f>
        <v/>
      </c>
      <c r="T1220" s="34" t="str">
        <f aca="true">IF($H1220="","(chưa có nội dung)",IF($L1220="",IF($C1220&lt;TODAY(),"⚠ TRỄ HỌC",IF($C1220=TODAY(),"★ HỌC HÔM NAY","• Chưa tới")),IF($R1220&gt;=5,"✔ MASTER",IF($S1220&lt;TODAY(),"⚠ TRỄ ÔN",IF($S1220=TODAY(),"◆ ÔN HÔM NAY","✔ Đúng tiến độ")))))</f>
        <v>• Chưa tới</v>
      </c>
      <c r="U1220" s="38" t="n">
        <f aca="false">IF($H1220="","",$R1220/5)</f>
        <v>0</v>
      </c>
    </row>
    <row r="1221" customFormat="false" ht="15" hidden="false" customHeight="false" outlineLevel="0" collapsed="false">
      <c r="A1221" s="31" t="s">
        <v>7276</v>
      </c>
      <c r="B1221" s="31" t="n">
        <v>61</v>
      </c>
      <c r="C1221" s="32" t="n">
        <f aca="false">SETTINGS!$C$3+$B1221-1</f>
        <v>46360</v>
      </c>
      <c r="D1221" s="41" t="s">
        <v>7168</v>
      </c>
      <c r="E1221" s="34" t="s">
        <v>7169</v>
      </c>
      <c r="F1221" s="34" t="s">
        <v>280</v>
      </c>
      <c r="G1221" s="34" t="s">
        <v>7277</v>
      </c>
      <c r="H1221" s="35" t="s">
        <v>7278</v>
      </c>
      <c r="I1221" s="36" t="s">
        <v>7279</v>
      </c>
      <c r="J1221" s="34" t="s">
        <v>7280</v>
      </c>
      <c r="K1221" s="34" t="s">
        <v>4946</v>
      </c>
      <c r="L1221" s="37"/>
      <c r="M1221" s="37"/>
      <c r="N1221" s="37"/>
      <c r="O1221" s="37"/>
      <c r="P1221" s="37"/>
      <c r="Q1221" s="37"/>
      <c r="R1221" s="31" t="n">
        <f aca="false">COUNT($M1221:$Q1221)</f>
        <v>0</v>
      </c>
      <c r="S1221" s="32" t="str">
        <f aca="false">IF($L1221="","",IF($R1221&gt;=5,"",MAX($L1221:$Q1221)+CHOOSE($R1221+1,SETTINGS!$C$9,SETTINGS!$C$10,SETTINGS!$C$11,SETTINGS!$C$12,SETTINGS!$C$13)))</f>
        <v/>
      </c>
      <c r="T1221" s="34" t="str">
        <f aca="true">IF($H1221="","(chưa có nội dung)",IF($L1221="",IF($C1221&lt;TODAY(),"⚠ TRỄ HỌC",IF($C1221=TODAY(),"★ HỌC HÔM NAY","• Chưa tới")),IF($R1221&gt;=5,"✔ MASTER",IF($S1221&lt;TODAY(),"⚠ TRỄ ÔN",IF($S1221=TODAY(),"◆ ÔN HÔM NAY","✔ Đúng tiến độ")))))</f>
        <v>• Chưa tới</v>
      </c>
      <c r="U1221" s="38" t="n">
        <f aca="false">IF($H1221="","",$R1221/5)</f>
        <v>0</v>
      </c>
    </row>
    <row r="1222" customFormat="false" ht="15" hidden="false" customHeight="false" outlineLevel="0" collapsed="false">
      <c r="A1222" s="31" t="s">
        <v>7281</v>
      </c>
      <c r="B1222" s="31" t="n">
        <v>61</v>
      </c>
      <c r="C1222" s="32" t="n">
        <f aca="false">SETTINGS!$C$3+$B1222-1</f>
        <v>46360</v>
      </c>
      <c r="D1222" s="41" t="s">
        <v>7168</v>
      </c>
      <c r="E1222" s="34" t="s">
        <v>7169</v>
      </c>
      <c r="F1222" s="34" t="s">
        <v>280</v>
      </c>
      <c r="G1222" s="34" t="s">
        <v>7282</v>
      </c>
      <c r="H1222" s="35" t="s">
        <v>7283</v>
      </c>
      <c r="I1222" s="36" t="s">
        <v>7284</v>
      </c>
      <c r="J1222" s="34" t="s">
        <v>7285</v>
      </c>
      <c r="K1222" s="34" t="s">
        <v>2961</v>
      </c>
      <c r="L1222" s="37"/>
      <c r="M1222" s="37"/>
      <c r="N1222" s="37"/>
      <c r="O1222" s="37"/>
      <c r="P1222" s="37"/>
      <c r="Q1222" s="37"/>
      <c r="R1222" s="31" t="n">
        <f aca="false">COUNT($M1222:$Q1222)</f>
        <v>0</v>
      </c>
      <c r="S1222" s="32" t="str">
        <f aca="false">IF($L1222="","",IF($R1222&gt;=5,"",MAX($L1222:$Q1222)+CHOOSE($R1222+1,SETTINGS!$C$9,SETTINGS!$C$10,SETTINGS!$C$11,SETTINGS!$C$12,SETTINGS!$C$13)))</f>
        <v/>
      </c>
      <c r="T1222" s="34" t="str">
        <f aca="true">IF($H1222="","(chưa có nội dung)",IF($L1222="",IF($C1222&lt;TODAY(),"⚠ TRỄ HỌC",IF($C1222=TODAY(),"★ HỌC HÔM NAY","• Chưa tới")),IF($R1222&gt;=5,"✔ MASTER",IF($S1222&lt;TODAY(),"⚠ TRỄ ÔN",IF($S1222=TODAY(),"◆ ÔN HÔM NAY","✔ Đúng tiến độ")))))</f>
        <v>• Chưa tới</v>
      </c>
      <c r="U1222" s="38" t="n">
        <f aca="false">IF($H1222="","",$R1222/5)</f>
        <v>0</v>
      </c>
    </row>
    <row r="1223" customFormat="false" ht="15" hidden="false" customHeight="false" outlineLevel="0" collapsed="false">
      <c r="A1223" s="31" t="s">
        <v>7286</v>
      </c>
      <c r="B1223" s="31" t="n">
        <v>62</v>
      </c>
      <c r="C1223" s="32" t="n">
        <f aca="false">SETTINGS!$C$3+$B1223-1</f>
        <v>46361</v>
      </c>
      <c r="D1223" s="41" t="s">
        <v>7168</v>
      </c>
      <c r="E1223" s="34" t="s">
        <v>7287</v>
      </c>
      <c r="F1223" s="34" t="s">
        <v>280</v>
      </c>
      <c r="G1223" s="34" t="s">
        <v>7288</v>
      </c>
      <c r="H1223" s="35" t="s">
        <v>7289</v>
      </c>
      <c r="I1223" s="36" t="s">
        <v>7290</v>
      </c>
      <c r="J1223" s="34" t="s">
        <v>7291</v>
      </c>
      <c r="K1223" s="34" t="s">
        <v>5958</v>
      </c>
      <c r="L1223" s="37"/>
      <c r="M1223" s="37"/>
      <c r="N1223" s="37"/>
      <c r="O1223" s="37"/>
      <c r="P1223" s="37"/>
      <c r="Q1223" s="37"/>
      <c r="R1223" s="31" t="n">
        <f aca="false">COUNT($M1223:$Q1223)</f>
        <v>0</v>
      </c>
      <c r="S1223" s="32" t="str">
        <f aca="false">IF($L1223="","",IF($R1223&gt;=5,"",MAX($L1223:$Q1223)+CHOOSE($R1223+1,SETTINGS!$C$9,SETTINGS!$C$10,SETTINGS!$C$11,SETTINGS!$C$12,SETTINGS!$C$13)))</f>
        <v/>
      </c>
      <c r="T1223" s="34" t="str">
        <f aca="true">IF($H1223="","(chưa có nội dung)",IF($L1223="",IF($C1223&lt;TODAY(),"⚠ TRỄ HỌC",IF($C1223=TODAY(),"★ HỌC HÔM NAY","• Chưa tới")),IF($R1223&gt;=5,"✔ MASTER",IF($S1223&lt;TODAY(),"⚠ TRỄ ÔN",IF($S1223=TODAY(),"◆ ÔN HÔM NAY","✔ Đúng tiến độ")))))</f>
        <v>• Chưa tới</v>
      </c>
      <c r="U1223" s="38" t="n">
        <f aca="false">IF($H1223="","",$R1223/5)</f>
        <v>0</v>
      </c>
    </row>
    <row r="1224" customFormat="false" ht="15" hidden="false" customHeight="false" outlineLevel="0" collapsed="false">
      <c r="A1224" s="31" t="s">
        <v>7292</v>
      </c>
      <c r="B1224" s="31" t="n">
        <v>62</v>
      </c>
      <c r="C1224" s="32" t="n">
        <f aca="false">SETTINGS!$C$3+$B1224-1</f>
        <v>46361</v>
      </c>
      <c r="D1224" s="41" t="s">
        <v>7168</v>
      </c>
      <c r="E1224" s="34" t="s">
        <v>7287</v>
      </c>
      <c r="F1224" s="34" t="s">
        <v>280</v>
      </c>
      <c r="G1224" s="34" t="s">
        <v>7293</v>
      </c>
      <c r="H1224" s="35" t="s">
        <v>7294</v>
      </c>
      <c r="I1224" s="36" t="s">
        <v>7295</v>
      </c>
      <c r="J1224" s="34" t="s">
        <v>7296</v>
      </c>
      <c r="K1224" s="34" t="s">
        <v>7297</v>
      </c>
      <c r="L1224" s="37"/>
      <c r="M1224" s="37"/>
      <c r="N1224" s="37"/>
      <c r="O1224" s="37"/>
      <c r="P1224" s="37"/>
      <c r="Q1224" s="37"/>
      <c r="R1224" s="31" t="n">
        <f aca="false">COUNT($M1224:$Q1224)</f>
        <v>0</v>
      </c>
      <c r="S1224" s="32" t="str">
        <f aca="false">IF($L1224="","",IF($R1224&gt;=5,"",MAX($L1224:$Q1224)+CHOOSE($R1224+1,SETTINGS!$C$9,SETTINGS!$C$10,SETTINGS!$C$11,SETTINGS!$C$12,SETTINGS!$C$13)))</f>
        <v/>
      </c>
      <c r="T1224" s="34" t="str">
        <f aca="true">IF($H1224="","(chưa có nội dung)",IF($L1224="",IF($C1224&lt;TODAY(),"⚠ TRỄ HỌC",IF($C1224=TODAY(),"★ HỌC HÔM NAY","• Chưa tới")),IF($R1224&gt;=5,"✔ MASTER",IF($S1224&lt;TODAY(),"⚠ TRỄ ÔN",IF($S1224=TODAY(),"◆ ÔN HÔM NAY","✔ Đúng tiến độ")))))</f>
        <v>• Chưa tới</v>
      </c>
      <c r="U1224" s="38" t="n">
        <f aca="false">IF($H1224="","",$R1224/5)</f>
        <v>0</v>
      </c>
    </row>
    <row r="1225" customFormat="false" ht="15" hidden="false" customHeight="false" outlineLevel="0" collapsed="false">
      <c r="A1225" s="31" t="s">
        <v>7298</v>
      </c>
      <c r="B1225" s="31" t="n">
        <v>62</v>
      </c>
      <c r="C1225" s="32" t="n">
        <f aca="false">SETTINGS!$C$3+$B1225-1</f>
        <v>46361</v>
      </c>
      <c r="D1225" s="41" t="s">
        <v>7168</v>
      </c>
      <c r="E1225" s="34" t="s">
        <v>7287</v>
      </c>
      <c r="F1225" s="34" t="s">
        <v>280</v>
      </c>
      <c r="G1225" s="34" t="s">
        <v>7299</v>
      </c>
      <c r="H1225" s="35" t="s">
        <v>7300</v>
      </c>
      <c r="I1225" s="36" t="s">
        <v>7301</v>
      </c>
      <c r="J1225" s="34" t="s">
        <v>7302</v>
      </c>
      <c r="K1225" s="34" t="s">
        <v>7303</v>
      </c>
      <c r="L1225" s="37"/>
      <c r="M1225" s="37"/>
      <c r="N1225" s="37"/>
      <c r="O1225" s="37"/>
      <c r="P1225" s="37"/>
      <c r="Q1225" s="37"/>
      <c r="R1225" s="31" t="n">
        <f aca="false">COUNT($M1225:$Q1225)</f>
        <v>0</v>
      </c>
      <c r="S1225" s="32" t="str">
        <f aca="false">IF($L1225="","",IF($R1225&gt;=5,"",MAX($L1225:$Q1225)+CHOOSE($R1225+1,SETTINGS!$C$9,SETTINGS!$C$10,SETTINGS!$C$11,SETTINGS!$C$12,SETTINGS!$C$13)))</f>
        <v/>
      </c>
      <c r="T1225" s="34" t="str">
        <f aca="true">IF($H1225="","(chưa có nội dung)",IF($L1225="",IF($C1225&lt;TODAY(),"⚠ TRỄ HỌC",IF($C1225=TODAY(),"★ HỌC HÔM NAY","• Chưa tới")),IF($R1225&gt;=5,"✔ MASTER",IF($S1225&lt;TODAY(),"⚠ TRỄ ÔN",IF($S1225=TODAY(),"◆ ÔN HÔM NAY","✔ Đúng tiến độ")))))</f>
        <v>• Chưa tới</v>
      </c>
      <c r="U1225" s="38" t="n">
        <f aca="false">IF($H1225="","",$R1225/5)</f>
        <v>0</v>
      </c>
    </row>
    <row r="1226" customFormat="false" ht="15" hidden="false" customHeight="false" outlineLevel="0" collapsed="false">
      <c r="A1226" s="31" t="s">
        <v>7304</v>
      </c>
      <c r="B1226" s="31" t="n">
        <v>62</v>
      </c>
      <c r="C1226" s="32" t="n">
        <f aca="false">SETTINGS!$C$3+$B1226-1</f>
        <v>46361</v>
      </c>
      <c r="D1226" s="41" t="s">
        <v>7168</v>
      </c>
      <c r="E1226" s="34" t="s">
        <v>7287</v>
      </c>
      <c r="F1226" s="34" t="s">
        <v>280</v>
      </c>
      <c r="G1226" s="34" t="s">
        <v>7305</v>
      </c>
      <c r="H1226" s="35" t="s">
        <v>7306</v>
      </c>
      <c r="I1226" s="36" t="s">
        <v>7307</v>
      </c>
      <c r="J1226" s="34" t="s">
        <v>7308</v>
      </c>
      <c r="K1226" s="34" t="s">
        <v>5668</v>
      </c>
      <c r="L1226" s="37"/>
      <c r="M1226" s="37"/>
      <c r="N1226" s="37"/>
      <c r="O1226" s="37"/>
      <c r="P1226" s="37"/>
      <c r="Q1226" s="37"/>
      <c r="R1226" s="31" t="n">
        <f aca="false">COUNT($M1226:$Q1226)</f>
        <v>0</v>
      </c>
      <c r="S1226" s="32" t="str">
        <f aca="false">IF($L1226="","",IF($R1226&gt;=5,"",MAX($L1226:$Q1226)+CHOOSE($R1226+1,SETTINGS!$C$9,SETTINGS!$C$10,SETTINGS!$C$11,SETTINGS!$C$12,SETTINGS!$C$13)))</f>
        <v/>
      </c>
      <c r="T1226" s="34" t="str">
        <f aca="true">IF($H1226="","(chưa có nội dung)",IF($L1226="",IF($C1226&lt;TODAY(),"⚠ TRỄ HỌC",IF($C1226=TODAY(),"★ HỌC HÔM NAY","• Chưa tới")),IF($R1226&gt;=5,"✔ MASTER",IF($S1226&lt;TODAY(),"⚠ TRỄ ÔN",IF($S1226=TODAY(),"◆ ÔN HÔM NAY","✔ Đúng tiến độ")))))</f>
        <v>• Chưa tới</v>
      </c>
      <c r="U1226" s="38" t="n">
        <f aca="false">IF($H1226="","",$R1226/5)</f>
        <v>0</v>
      </c>
    </row>
    <row r="1227" customFormat="false" ht="15" hidden="false" customHeight="false" outlineLevel="0" collapsed="false">
      <c r="A1227" s="31" t="s">
        <v>7309</v>
      </c>
      <c r="B1227" s="31" t="n">
        <v>62</v>
      </c>
      <c r="C1227" s="32" t="n">
        <f aca="false">SETTINGS!$C$3+$B1227-1</f>
        <v>46361</v>
      </c>
      <c r="D1227" s="41" t="s">
        <v>7168</v>
      </c>
      <c r="E1227" s="34" t="s">
        <v>7287</v>
      </c>
      <c r="F1227" s="34" t="s">
        <v>472</v>
      </c>
      <c r="G1227" s="34" t="s">
        <v>7310</v>
      </c>
      <c r="H1227" s="35" t="s">
        <v>7311</v>
      </c>
      <c r="I1227" s="36" t="s">
        <v>7312</v>
      </c>
      <c r="J1227" s="34" t="s">
        <v>7313</v>
      </c>
      <c r="K1227" s="34" t="s">
        <v>7314</v>
      </c>
      <c r="L1227" s="37"/>
      <c r="M1227" s="37"/>
      <c r="N1227" s="37"/>
      <c r="O1227" s="37"/>
      <c r="P1227" s="37"/>
      <c r="Q1227" s="37"/>
      <c r="R1227" s="31" t="n">
        <f aca="false">COUNT($M1227:$Q1227)</f>
        <v>0</v>
      </c>
      <c r="S1227" s="32" t="str">
        <f aca="false">IF($L1227="","",IF($R1227&gt;=5,"",MAX($L1227:$Q1227)+CHOOSE($R1227+1,SETTINGS!$C$9,SETTINGS!$C$10,SETTINGS!$C$11,SETTINGS!$C$12,SETTINGS!$C$13)))</f>
        <v/>
      </c>
      <c r="T1227" s="34" t="str">
        <f aca="true">IF($H1227="","(chưa có nội dung)",IF($L1227="",IF($C1227&lt;TODAY(),"⚠ TRỄ HỌC",IF($C1227=TODAY(),"★ HỌC HÔM NAY","• Chưa tới")),IF($R1227&gt;=5,"✔ MASTER",IF($S1227&lt;TODAY(),"⚠ TRỄ ÔN",IF($S1227=TODAY(),"◆ ÔN HÔM NAY","✔ Đúng tiến độ")))))</f>
        <v>• Chưa tới</v>
      </c>
      <c r="U1227" s="38" t="n">
        <f aca="false">IF($H1227="","",$R1227/5)</f>
        <v>0</v>
      </c>
    </row>
    <row r="1228" customFormat="false" ht="15" hidden="false" customHeight="false" outlineLevel="0" collapsed="false">
      <c r="A1228" s="31" t="s">
        <v>7315</v>
      </c>
      <c r="B1228" s="31" t="n">
        <v>62</v>
      </c>
      <c r="C1228" s="32" t="n">
        <f aca="false">SETTINGS!$C$3+$B1228-1</f>
        <v>46361</v>
      </c>
      <c r="D1228" s="41" t="s">
        <v>7168</v>
      </c>
      <c r="E1228" s="34" t="s">
        <v>7287</v>
      </c>
      <c r="F1228" s="34" t="s">
        <v>472</v>
      </c>
      <c r="G1228" s="34" t="s">
        <v>7316</v>
      </c>
      <c r="H1228" s="35" t="s">
        <v>7317</v>
      </c>
      <c r="I1228" s="36" t="s">
        <v>7318</v>
      </c>
      <c r="J1228" s="34" t="s">
        <v>7319</v>
      </c>
      <c r="K1228" s="34" t="s">
        <v>7320</v>
      </c>
      <c r="L1228" s="37"/>
      <c r="M1228" s="37"/>
      <c r="N1228" s="37"/>
      <c r="O1228" s="37"/>
      <c r="P1228" s="37"/>
      <c r="Q1228" s="37"/>
      <c r="R1228" s="31" t="n">
        <f aca="false">COUNT($M1228:$Q1228)</f>
        <v>0</v>
      </c>
      <c r="S1228" s="32" t="str">
        <f aca="false">IF($L1228="","",IF($R1228&gt;=5,"",MAX($L1228:$Q1228)+CHOOSE($R1228+1,SETTINGS!$C$9,SETTINGS!$C$10,SETTINGS!$C$11,SETTINGS!$C$12,SETTINGS!$C$13)))</f>
        <v/>
      </c>
      <c r="T1228" s="34" t="str">
        <f aca="true">IF($H1228="","(chưa có nội dung)",IF($L1228="",IF($C1228&lt;TODAY(),"⚠ TRỄ HỌC",IF($C1228=TODAY(),"★ HỌC HÔM NAY","• Chưa tới")),IF($R1228&gt;=5,"✔ MASTER",IF($S1228&lt;TODAY(),"⚠ TRỄ ÔN",IF($S1228=TODAY(),"◆ ÔN HÔM NAY","✔ Đúng tiến độ")))))</f>
        <v>• Chưa tới</v>
      </c>
      <c r="U1228" s="38" t="n">
        <f aca="false">IF($H1228="","",$R1228/5)</f>
        <v>0</v>
      </c>
    </row>
    <row r="1229" customFormat="false" ht="15" hidden="false" customHeight="false" outlineLevel="0" collapsed="false">
      <c r="A1229" s="31" t="s">
        <v>7321</v>
      </c>
      <c r="B1229" s="31" t="n">
        <v>62</v>
      </c>
      <c r="C1229" s="32" t="n">
        <f aca="false">SETTINGS!$C$3+$B1229-1</f>
        <v>46361</v>
      </c>
      <c r="D1229" s="41" t="s">
        <v>7168</v>
      </c>
      <c r="E1229" s="34" t="s">
        <v>7287</v>
      </c>
      <c r="F1229" s="34" t="s">
        <v>280</v>
      </c>
      <c r="G1229" s="34" t="s">
        <v>7322</v>
      </c>
      <c r="H1229" s="35" t="s">
        <v>7323</v>
      </c>
      <c r="I1229" s="36" t="s">
        <v>7324</v>
      </c>
      <c r="J1229" s="34" t="s">
        <v>7325</v>
      </c>
      <c r="K1229" s="34" t="s">
        <v>7326</v>
      </c>
      <c r="L1229" s="37"/>
      <c r="M1229" s="37"/>
      <c r="N1229" s="37"/>
      <c r="O1229" s="37"/>
      <c r="P1229" s="37"/>
      <c r="Q1229" s="37"/>
      <c r="R1229" s="31" t="n">
        <f aca="false">COUNT($M1229:$Q1229)</f>
        <v>0</v>
      </c>
      <c r="S1229" s="32" t="str">
        <f aca="false">IF($L1229="","",IF($R1229&gt;=5,"",MAX($L1229:$Q1229)+CHOOSE($R1229+1,SETTINGS!$C$9,SETTINGS!$C$10,SETTINGS!$C$11,SETTINGS!$C$12,SETTINGS!$C$13)))</f>
        <v/>
      </c>
      <c r="T1229" s="34" t="str">
        <f aca="true">IF($H1229="","(chưa có nội dung)",IF($L1229="",IF($C1229&lt;TODAY(),"⚠ TRỄ HỌC",IF($C1229=TODAY(),"★ HỌC HÔM NAY","• Chưa tới")),IF($R1229&gt;=5,"✔ MASTER",IF($S1229&lt;TODAY(),"⚠ TRỄ ÔN",IF($S1229=TODAY(),"◆ ÔN HÔM NAY","✔ Đúng tiến độ")))))</f>
        <v>• Chưa tới</v>
      </c>
      <c r="U1229" s="38" t="n">
        <f aca="false">IF($H1229="","",$R1229/5)</f>
        <v>0</v>
      </c>
    </row>
    <row r="1230" customFormat="false" ht="15" hidden="false" customHeight="false" outlineLevel="0" collapsed="false">
      <c r="A1230" s="31" t="s">
        <v>7327</v>
      </c>
      <c r="B1230" s="31" t="n">
        <v>62</v>
      </c>
      <c r="C1230" s="32" t="n">
        <f aca="false">SETTINGS!$C$3+$B1230-1</f>
        <v>46361</v>
      </c>
      <c r="D1230" s="41" t="s">
        <v>7168</v>
      </c>
      <c r="E1230" s="34" t="s">
        <v>7287</v>
      </c>
      <c r="F1230" s="34" t="s">
        <v>280</v>
      </c>
      <c r="G1230" s="34" t="s">
        <v>7328</v>
      </c>
      <c r="H1230" s="35" t="s">
        <v>7329</v>
      </c>
      <c r="I1230" s="36" t="s">
        <v>7330</v>
      </c>
      <c r="J1230" s="34" t="s">
        <v>7331</v>
      </c>
      <c r="K1230" s="34" t="s">
        <v>7332</v>
      </c>
      <c r="L1230" s="37"/>
      <c r="M1230" s="37"/>
      <c r="N1230" s="37"/>
      <c r="O1230" s="37"/>
      <c r="P1230" s="37"/>
      <c r="Q1230" s="37"/>
      <c r="R1230" s="31" t="n">
        <f aca="false">COUNT($M1230:$Q1230)</f>
        <v>0</v>
      </c>
      <c r="S1230" s="32" t="str">
        <f aca="false">IF($L1230="","",IF($R1230&gt;=5,"",MAX($L1230:$Q1230)+CHOOSE($R1230+1,SETTINGS!$C$9,SETTINGS!$C$10,SETTINGS!$C$11,SETTINGS!$C$12,SETTINGS!$C$13)))</f>
        <v/>
      </c>
      <c r="T1230" s="34" t="str">
        <f aca="true">IF($H1230="","(chưa có nội dung)",IF($L1230="",IF($C1230&lt;TODAY(),"⚠ TRỄ HỌC",IF($C1230=TODAY(),"★ HỌC HÔM NAY","• Chưa tới")),IF($R1230&gt;=5,"✔ MASTER",IF($S1230&lt;TODAY(),"⚠ TRỄ ÔN",IF($S1230=TODAY(),"◆ ÔN HÔM NAY","✔ Đúng tiến độ")))))</f>
        <v>• Chưa tới</v>
      </c>
      <c r="U1230" s="38" t="n">
        <f aca="false">IF($H1230="","",$R1230/5)</f>
        <v>0</v>
      </c>
    </row>
    <row r="1231" customFormat="false" ht="15" hidden="false" customHeight="false" outlineLevel="0" collapsed="false">
      <c r="A1231" s="31" t="s">
        <v>7333</v>
      </c>
      <c r="B1231" s="31" t="n">
        <v>62</v>
      </c>
      <c r="C1231" s="32" t="n">
        <f aca="false">SETTINGS!$C$3+$B1231-1</f>
        <v>46361</v>
      </c>
      <c r="D1231" s="41" t="s">
        <v>7168</v>
      </c>
      <c r="E1231" s="34" t="s">
        <v>7287</v>
      </c>
      <c r="F1231" s="34" t="s">
        <v>280</v>
      </c>
      <c r="G1231" s="34" t="s">
        <v>7334</v>
      </c>
      <c r="H1231" s="35" t="s">
        <v>7335</v>
      </c>
      <c r="I1231" s="36" t="s">
        <v>7336</v>
      </c>
      <c r="J1231" s="34" t="s">
        <v>7337</v>
      </c>
      <c r="K1231" s="34" t="s">
        <v>7338</v>
      </c>
      <c r="L1231" s="37"/>
      <c r="M1231" s="37"/>
      <c r="N1231" s="37"/>
      <c r="O1231" s="37"/>
      <c r="P1231" s="37"/>
      <c r="Q1231" s="37"/>
      <c r="R1231" s="31" t="n">
        <f aca="false">COUNT($M1231:$Q1231)</f>
        <v>0</v>
      </c>
      <c r="S1231" s="32" t="str">
        <f aca="false">IF($L1231="","",IF($R1231&gt;=5,"",MAX($L1231:$Q1231)+CHOOSE($R1231+1,SETTINGS!$C$9,SETTINGS!$C$10,SETTINGS!$C$11,SETTINGS!$C$12,SETTINGS!$C$13)))</f>
        <v/>
      </c>
      <c r="T1231" s="34" t="str">
        <f aca="true">IF($H1231="","(chưa có nội dung)",IF($L1231="",IF($C1231&lt;TODAY(),"⚠ TRỄ HỌC",IF($C1231=TODAY(),"★ HỌC HÔM NAY","• Chưa tới")),IF($R1231&gt;=5,"✔ MASTER",IF($S1231&lt;TODAY(),"⚠ TRỄ ÔN",IF($S1231=TODAY(),"◆ ÔN HÔM NAY","✔ Đúng tiến độ")))))</f>
        <v>• Chưa tới</v>
      </c>
      <c r="U1231" s="38" t="n">
        <f aca="false">IF($H1231="","",$R1231/5)</f>
        <v>0</v>
      </c>
    </row>
    <row r="1232" customFormat="false" ht="15" hidden="false" customHeight="false" outlineLevel="0" collapsed="false">
      <c r="A1232" s="31" t="s">
        <v>7339</v>
      </c>
      <c r="B1232" s="31" t="n">
        <v>62</v>
      </c>
      <c r="C1232" s="32" t="n">
        <f aca="false">SETTINGS!$C$3+$B1232-1</f>
        <v>46361</v>
      </c>
      <c r="D1232" s="41" t="s">
        <v>7168</v>
      </c>
      <c r="E1232" s="34" t="s">
        <v>7287</v>
      </c>
      <c r="F1232" s="34" t="s">
        <v>280</v>
      </c>
      <c r="G1232" s="34" t="s">
        <v>1729</v>
      </c>
      <c r="H1232" s="35" t="s">
        <v>7340</v>
      </c>
      <c r="I1232" s="36" t="s">
        <v>7341</v>
      </c>
      <c r="J1232" s="34" t="s">
        <v>7342</v>
      </c>
      <c r="K1232" s="34" t="s">
        <v>7343</v>
      </c>
      <c r="L1232" s="37"/>
      <c r="M1232" s="37"/>
      <c r="N1232" s="37"/>
      <c r="O1232" s="37"/>
      <c r="P1232" s="37"/>
      <c r="Q1232" s="37"/>
      <c r="R1232" s="31" t="n">
        <f aca="false">COUNT($M1232:$Q1232)</f>
        <v>0</v>
      </c>
      <c r="S1232" s="32" t="str">
        <f aca="false">IF($L1232="","",IF($R1232&gt;=5,"",MAX($L1232:$Q1232)+CHOOSE($R1232+1,SETTINGS!$C$9,SETTINGS!$C$10,SETTINGS!$C$11,SETTINGS!$C$12,SETTINGS!$C$13)))</f>
        <v/>
      </c>
      <c r="T1232" s="34" t="str">
        <f aca="true">IF($H1232="","(chưa có nội dung)",IF($L1232="",IF($C1232&lt;TODAY(),"⚠ TRỄ HỌC",IF($C1232=TODAY(),"★ HỌC HÔM NAY","• Chưa tới")),IF($R1232&gt;=5,"✔ MASTER",IF($S1232&lt;TODAY(),"⚠ TRỄ ÔN",IF($S1232=TODAY(),"◆ ÔN HÔM NAY","✔ Đúng tiến độ")))))</f>
        <v>• Chưa tới</v>
      </c>
      <c r="U1232" s="38" t="n">
        <f aca="false">IF($H1232="","",$R1232/5)</f>
        <v>0</v>
      </c>
    </row>
    <row r="1233" customFormat="false" ht="15" hidden="false" customHeight="false" outlineLevel="0" collapsed="false">
      <c r="A1233" s="31" t="s">
        <v>7344</v>
      </c>
      <c r="B1233" s="31" t="n">
        <v>62</v>
      </c>
      <c r="C1233" s="32" t="n">
        <f aca="false">SETTINGS!$C$3+$B1233-1</f>
        <v>46361</v>
      </c>
      <c r="D1233" s="41" t="s">
        <v>7168</v>
      </c>
      <c r="E1233" s="34" t="s">
        <v>7287</v>
      </c>
      <c r="F1233" s="34" t="s">
        <v>183</v>
      </c>
      <c r="G1233" s="34" t="s">
        <v>3058</v>
      </c>
      <c r="H1233" s="35" t="s">
        <v>7345</v>
      </c>
      <c r="I1233" s="36" t="s">
        <v>7346</v>
      </c>
      <c r="J1233" s="34" t="s">
        <v>7347</v>
      </c>
      <c r="K1233" s="34" t="s">
        <v>7348</v>
      </c>
      <c r="L1233" s="37"/>
      <c r="M1233" s="37"/>
      <c r="N1233" s="37"/>
      <c r="O1233" s="37"/>
      <c r="P1233" s="37"/>
      <c r="Q1233" s="37"/>
      <c r="R1233" s="31" t="n">
        <f aca="false">COUNT($M1233:$Q1233)</f>
        <v>0</v>
      </c>
      <c r="S1233" s="32" t="str">
        <f aca="false">IF($L1233="","",IF($R1233&gt;=5,"",MAX($L1233:$Q1233)+CHOOSE($R1233+1,SETTINGS!$C$9,SETTINGS!$C$10,SETTINGS!$C$11,SETTINGS!$C$12,SETTINGS!$C$13)))</f>
        <v/>
      </c>
      <c r="T1233" s="34" t="str">
        <f aca="true">IF($H1233="","(chưa có nội dung)",IF($L1233="",IF($C1233&lt;TODAY(),"⚠ TRỄ HỌC",IF($C1233=TODAY(),"★ HỌC HÔM NAY","• Chưa tới")),IF($R1233&gt;=5,"✔ MASTER",IF($S1233&lt;TODAY(),"⚠ TRỄ ÔN",IF($S1233=TODAY(),"◆ ÔN HÔM NAY","✔ Đúng tiến độ")))))</f>
        <v>• Chưa tới</v>
      </c>
      <c r="U1233" s="38" t="n">
        <f aca="false">IF($H1233="","",$R1233/5)</f>
        <v>0</v>
      </c>
    </row>
    <row r="1234" customFormat="false" ht="15" hidden="false" customHeight="false" outlineLevel="0" collapsed="false">
      <c r="A1234" s="31" t="s">
        <v>7349</v>
      </c>
      <c r="B1234" s="31" t="n">
        <v>62</v>
      </c>
      <c r="C1234" s="32" t="n">
        <f aca="false">SETTINGS!$C$3+$B1234-1</f>
        <v>46361</v>
      </c>
      <c r="D1234" s="41" t="s">
        <v>7168</v>
      </c>
      <c r="E1234" s="34" t="s">
        <v>7287</v>
      </c>
      <c r="F1234" s="34" t="s">
        <v>280</v>
      </c>
      <c r="G1234" s="34" t="s">
        <v>7350</v>
      </c>
      <c r="H1234" s="35" t="s">
        <v>7351</v>
      </c>
      <c r="I1234" s="36" t="s">
        <v>7352</v>
      </c>
      <c r="J1234" s="34" t="s">
        <v>7353</v>
      </c>
      <c r="K1234" s="34" t="s">
        <v>7354</v>
      </c>
      <c r="L1234" s="37"/>
      <c r="M1234" s="37"/>
      <c r="N1234" s="37"/>
      <c r="O1234" s="37"/>
      <c r="P1234" s="37"/>
      <c r="Q1234" s="37"/>
      <c r="R1234" s="31" t="n">
        <f aca="false">COUNT($M1234:$Q1234)</f>
        <v>0</v>
      </c>
      <c r="S1234" s="32" t="str">
        <f aca="false">IF($L1234="","",IF($R1234&gt;=5,"",MAX($L1234:$Q1234)+CHOOSE($R1234+1,SETTINGS!$C$9,SETTINGS!$C$10,SETTINGS!$C$11,SETTINGS!$C$12,SETTINGS!$C$13)))</f>
        <v/>
      </c>
      <c r="T1234" s="34" t="str">
        <f aca="true">IF($H1234="","(chưa có nội dung)",IF($L1234="",IF($C1234&lt;TODAY(),"⚠ TRỄ HỌC",IF($C1234=TODAY(),"★ HỌC HÔM NAY","• Chưa tới")),IF($R1234&gt;=5,"✔ MASTER",IF($S1234&lt;TODAY(),"⚠ TRỄ ÔN",IF($S1234=TODAY(),"◆ ÔN HÔM NAY","✔ Đúng tiến độ")))))</f>
        <v>• Chưa tới</v>
      </c>
      <c r="U1234" s="38" t="n">
        <f aca="false">IF($H1234="","",$R1234/5)</f>
        <v>0</v>
      </c>
    </row>
    <row r="1235" customFormat="false" ht="15" hidden="false" customHeight="false" outlineLevel="0" collapsed="false">
      <c r="A1235" s="31" t="s">
        <v>7355</v>
      </c>
      <c r="B1235" s="31" t="n">
        <v>62</v>
      </c>
      <c r="C1235" s="32" t="n">
        <f aca="false">SETTINGS!$C$3+$B1235-1</f>
        <v>46361</v>
      </c>
      <c r="D1235" s="41" t="s">
        <v>7168</v>
      </c>
      <c r="E1235" s="34" t="s">
        <v>7287</v>
      </c>
      <c r="F1235" s="34" t="s">
        <v>280</v>
      </c>
      <c r="G1235" s="34" t="s">
        <v>7356</v>
      </c>
      <c r="H1235" s="35" t="s">
        <v>7357</v>
      </c>
      <c r="I1235" s="36" t="s">
        <v>7358</v>
      </c>
      <c r="J1235" s="34" t="s">
        <v>7359</v>
      </c>
      <c r="K1235" s="34" t="s">
        <v>7360</v>
      </c>
      <c r="L1235" s="37"/>
      <c r="M1235" s="37"/>
      <c r="N1235" s="37"/>
      <c r="O1235" s="37"/>
      <c r="P1235" s="37"/>
      <c r="Q1235" s="37"/>
      <c r="R1235" s="31" t="n">
        <f aca="false">COUNT($M1235:$Q1235)</f>
        <v>0</v>
      </c>
      <c r="S1235" s="32" t="str">
        <f aca="false">IF($L1235="","",IF($R1235&gt;=5,"",MAX($L1235:$Q1235)+CHOOSE($R1235+1,SETTINGS!$C$9,SETTINGS!$C$10,SETTINGS!$C$11,SETTINGS!$C$12,SETTINGS!$C$13)))</f>
        <v/>
      </c>
      <c r="T1235" s="34" t="str">
        <f aca="true">IF($H1235="","(chưa có nội dung)",IF($L1235="",IF($C1235&lt;TODAY(),"⚠ TRỄ HỌC",IF($C1235=TODAY(),"★ HỌC HÔM NAY","• Chưa tới")),IF($R1235&gt;=5,"✔ MASTER",IF($S1235&lt;TODAY(),"⚠ TRỄ ÔN",IF($S1235=TODAY(),"◆ ÔN HÔM NAY","✔ Đúng tiến độ")))))</f>
        <v>• Chưa tới</v>
      </c>
      <c r="U1235" s="38" t="n">
        <f aca="false">IF($H1235="","",$R1235/5)</f>
        <v>0</v>
      </c>
    </row>
    <row r="1236" customFormat="false" ht="15" hidden="false" customHeight="false" outlineLevel="0" collapsed="false">
      <c r="A1236" s="31" t="s">
        <v>7361</v>
      </c>
      <c r="B1236" s="31" t="n">
        <v>62</v>
      </c>
      <c r="C1236" s="32" t="n">
        <f aca="false">SETTINGS!$C$3+$B1236-1</f>
        <v>46361</v>
      </c>
      <c r="D1236" s="41" t="s">
        <v>7168</v>
      </c>
      <c r="E1236" s="34" t="s">
        <v>7287</v>
      </c>
      <c r="F1236" s="34" t="s">
        <v>280</v>
      </c>
      <c r="G1236" s="34" t="s">
        <v>7362</v>
      </c>
      <c r="H1236" s="35" t="s">
        <v>7363</v>
      </c>
      <c r="I1236" s="36" t="s">
        <v>7364</v>
      </c>
      <c r="J1236" s="34" t="s">
        <v>7365</v>
      </c>
      <c r="K1236" s="34" t="s">
        <v>7366</v>
      </c>
      <c r="L1236" s="37"/>
      <c r="M1236" s="37"/>
      <c r="N1236" s="37"/>
      <c r="O1236" s="37"/>
      <c r="P1236" s="37"/>
      <c r="Q1236" s="37"/>
      <c r="R1236" s="31" t="n">
        <f aca="false">COUNT($M1236:$Q1236)</f>
        <v>0</v>
      </c>
      <c r="S1236" s="32" t="str">
        <f aca="false">IF($L1236="","",IF($R1236&gt;=5,"",MAX($L1236:$Q1236)+CHOOSE($R1236+1,SETTINGS!$C$9,SETTINGS!$C$10,SETTINGS!$C$11,SETTINGS!$C$12,SETTINGS!$C$13)))</f>
        <v/>
      </c>
      <c r="T1236" s="34" t="str">
        <f aca="true">IF($H1236="","(chưa có nội dung)",IF($L1236="",IF($C1236&lt;TODAY(),"⚠ TRỄ HỌC",IF($C1236=TODAY(),"★ HỌC HÔM NAY","• Chưa tới")),IF($R1236&gt;=5,"✔ MASTER",IF($S1236&lt;TODAY(),"⚠ TRỄ ÔN",IF($S1236=TODAY(),"◆ ÔN HÔM NAY","✔ Đúng tiến độ")))))</f>
        <v>• Chưa tới</v>
      </c>
      <c r="U1236" s="38" t="n">
        <f aca="false">IF($H1236="","",$R1236/5)</f>
        <v>0</v>
      </c>
    </row>
    <row r="1237" customFormat="false" ht="15" hidden="false" customHeight="false" outlineLevel="0" collapsed="false">
      <c r="A1237" s="31" t="s">
        <v>7367</v>
      </c>
      <c r="B1237" s="31" t="n">
        <v>62</v>
      </c>
      <c r="C1237" s="32" t="n">
        <f aca="false">SETTINGS!$C$3+$B1237-1</f>
        <v>46361</v>
      </c>
      <c r="D1237" s="41" t="s">
        <v>7168</v>
      </c>
      <c r="E1237" s="34" t="s">
        <v>7287</v>
      </c>
      <c r="F1237" s="34" t="s">
        <v>472</v>
      </c>
      <c r="G1237" s="34" t="s">
        <v>7368</v>
      </c>
      <c r="H1237" s="35" t="s">
        <v>7369</v>
      </c>
      <c r="I1237" s="36" t="s">
        <v>7370</v>
      </c>
      <c r="J1237" s="34" t="s">
        <v>7371</v>
      </c>
      <c r="K1237" s="34" t="s">
        <v>7372</v>
      </c>
      <c r="L1237" s="37"/>
      <c r="M1237" s="37"/>
      <c r="N1237" s="37"/>
      <c r="O1237" s="37"/>
      <c r="P1237" s="37"/>
      <c r="Q1237" s="37"/>
      <c r="R1237" s="31" t="n">
        <f aca="false">COUNT($M1237:$Q1237)</f>
        <v>0</v>
      </c>
      <c r="S1237" s="32" t="str">
        <f aca="false">IF($L1237="","",IF($R1237&gt;=5,"",MAX($L1237:$Q1237)+CHOOSE($R1237+1,SETTINGS!$C$9,SETTINGS!$C$10,SETTINGS!$C$11,SETTINGS!$C$12,SETTINGS!$C$13)))</f>
        <v/>
      </c>
      <c r="T1237" s="34" t="str">
        <f aca="true">IF($H1237="","(chưa có nội dung)",IF($L1237="",IF($C1237&lt;TODAY(),"⚠ TRỄ HỌC",IF($C1237=TODAY(),"★ HỌC HÔM NAY","• Chưa tới")),IF($R1237&gt;=5,"✔ MASTER",IF($S1237&lt;TODAY(),"⚠ TRỄ ÔN",IF($S1237=TODAY(),"◆ ÔN HÔM NAY","✔ Đúng tiến độ")))))</f>
        <v>• Chưa tới</v>
      </c>
      <c r="U1237" s="38" t="n">
        <f aca="false">IF($H1237="","",$R1237/5)</f>
        <v>0</v>
      </c>
    </row>
    <row r="1238" customFormat="false" ht="15" hidden="false" customHeight="false" outlineLevel="0" collapsed="false">
      <c r="A1238" s="31" t="s">
        <v>7373</v>
      </c>
      <c r="B1238" s="31" t="n">
        <v>62</v>
      </c>
      <c r="C1238" s="32" t="n">
        <f aca="false">SETTINGS!$C$3+$B1238-1</f>
        <v>46361</v>
      </c>
      <c r="D1238" s="41" t="s">
        <v>7168</v>
      </c>
      <c r="E1238" s="34" t="s">
        <v>7287</v>
      </c>
      <c r="F1238" s="34" t="s">
        <v>3694</v>
      </c>
      <c r="G1238" s="34" t="s">
        <v>7374</v>
      </c>
      <c r="H1238" s="35" t="s">
        <v>7375</v>
      </c>
      <c r="I1238" s="36" t="s">
        <v>7376</v>
      </c>
      <c r="J1238" s="34" t="s">
        <v>7377</v>
      </c>
      <c r="K1238" s="34" t="s">
        <v>7378</v>
      </c>
      <c r="L1238" s="37"/>
      <c r="M1238" s="37"/>
      <c r="N1238" s="37"/>
      <c r="O1238" s="37"/>
      <c r="P1238" s="37"/>
      <c r="Q1238" s="37"/>
      <c r="R1238" s="31" t="n">
        <f aca="false">COUNT($M1238:$Q1238)</f>
        <v>0</v>
      </c>
      <c r="S1238" s="32" t="str">
        <f aca="false">IF($L1238="","",IF($R1238&gt;=5,"",MAX($L1238:$Q1238)+CHOOSE($R1238+1,SETTINGS!$C$9,SETTINGS!$C$10,SETTINGS!$C$11,SETTINGS!$C$12,SETTINGS!$C$13)))</f>
        <v/>
      </c>
      <c r="T1238" s="34" t="str">
        <f aca="true">IF($H1238="","(chưa có nội dung)",IF($L1238="",IF($C1238&lt;TODAY(),"⚠ TRỄ HỌC",IF($C1238=TODAY(),"★ HỌC HÔM NAY","• Chưa tới")),IF($R1238&gt;=5,"✔ MASTER",IF($S1238&lt;TODAY(),"⚠ TRỄ ÔN",IF($S1238=TODAY(),"◆ ÔN HÔM NAY","✔ Đúng tiến độ")))))</f>
        <v>• Chưa tới</v>
      </c>
      <c r="U1238" s="38" t="n">
        <f aca="false">IF($H1238="","",$R1238/5)</f>
        <v>0</v>
      </c>
    </row>
    <row r="1239" customFormat="false" ht="15" hidden="false" customHeight="false" outlineLevel="0" collapsed="false">
      <c r="A1239" s="31" t="s">
        <v>7379</v>
      </c>
      <c r="B1239" s="31" t="n">
        <v>62</v>
      </c>
      <c r="C1239" s="32" t="n">
        <f aca="false">SETTINGS!$C$3+$B1239-1</f>
        <v>46361</v>
      </c>
      <c r="D1239" s="41" t="s">
        <v>7168</v>
      </c>
      <c r="E1239" s="34" t="s">
        <v>7287</v>
      </c>
      <c r="F1239" s="34" t="s">
        <v>183</v>
      </c>
      <c r="G1239" s="34" t="s">
        <v>7380</v>
      </c>
      <c r="H1239" s="35" t="s">
        <v>7381</v>
      </c>
      <c r="I1239" s="36" t="s">
        <v>7382</v>
      </c>
      <c r="J1239" s="34" t="s">
        <v>7383</v>
      </c>
      <c r="K1239" s="34" t="s">
        <v>7384</v>
      </c>
      <c r="L1239" s="37"/>
      <c r="M1239" s="37"/>
      <c r="N1239" s="37"/>
      <c r="O1239" s="37"/>
      <c r="P1239" s="37"/>
      <c r="Q1239" s="37"/>
      <c r="R1239" s="31" t="n">
        <f aca="false">COUNT($M1239:$Q1239)</f>
        <v>0</v>
      </c>
      <c r="S1239" s="32" t="str">
        <f aca="false">IF($L1239="","",IF($R1239&gt;=5,"",MAX($L1239:$Q1239)+CHOOSE($R1239+1,SETTINGS!$C$9,SETTINGS!$C$10,SETTINGS!$C$11,SETTINGS!$C$12,SETTINGS!$C$13)))</f>
        <v/>
      </c>
      <c r="T1239" s="34" t="str">
        <f aca="true">IF($H1239="","(chưa có nội dung)",IF($L1239="",IF($C1239&lt;TODAY(),"⚠ TRỄ HỌC",IF($C1239=TODAY(),"★ HỌC HÔM NAY","• Chưa tới")),IF($R1239&gt;=5,"✔ MASTER",IF($S1239&lt;TODAY(),"⚠ TRỄ ÔN",IF($S1239=TODAY(),"◆ ÔN HÔM NAY","✔ Đúng tiến độ")))))</f>
        <v>• Chưa tới</v>
      </c>
      <c r="U1239" s="38" t="n">
        <f aca="false">IF($H1239="","",$R1239/5)</f>
        <v>0</v>
      </c>
    </row>
    <row r="1240" customFormat="false" ht="26.85" hidden="false" customHeight="false" outlineLevel="0" collapsed="false">
      <c r="A1240" s="31" t="s">
        <v>7385</v>
      </c>
      <c r="B1240" s="31" t="n">
        <v>62</v>
      </c>
      <c r="C1240" s="32" t="n">
        <f aca="false">SETTINGS!$C$3+$B1240-1</f>
        <v>46361</v>
      </c>
      <c r="D1240" s="41" t="s">
        <v>7168</v>
      </c>
      <c r="E1240" s="34" t="s">
        <v>7287</v>
      </c>
      <c r="F1240" s="34" t="s">
        <v>3694</v>
      </c>
      <c r="G1240" s="34" t="s">
        <v>7386</v>
      </c>
      <c r="H1240" s="35" t="s">
        <v>7387</v>
      </c>
      <c r="I1240" s="36" t="s">
        <v>7388</v>
      </c>
      <c r="J1240" s="34" t="s">
        <v>7389</v>
      </c>
      <c r="K1240" s="34" t="s">
        <v>7390</v>
      </c>
      <c r="L1240" s="37"/>
      <c r="M1240" s="37"/>
      <c r="N1240" s="37"/>
      <c r="O1240" s="37"/>
      <c r="P1240" s="37"/>
      <c r="Q1240" s="37"/>
      <c r="R1240" s="31" t="n">
        <f aca="false">COUNT($M1240:$Q1240)</f>
        <v>0</v>
      </c>
      <c r="S1240" s="32" t="str">
        <f aca="false">IF($L1240="","",IF($R1240&gt;=5,"",MAX($L1240:$Q1240)+CHOOSE($R1240+1,SETTINGS!$C$9,SETTINGS!$C$10,SETTINGS!$C$11,SETTINGS!$C$12,SETTINGS!$C$13)))</f>
        <v/>
      </c>
      <c r="T1240" s="34" t="str">
        <f aca="true">IF($H1240="","(chưa có nội dung)",IF($L1240="",IF($C1240&lt;TODAY(),"⚠ TRỄ HỌC",IF($C1240=TODAY(),"★ HỌC HÔM NAY","• Chưa tới")),IF($R1240&gt;=5,"✔ MASTER",IF($S1240&lt;TODAY(),"⚠ TRỄ ÔN",IF($S1240=TODAY(),"◆ ÔN HÔM NAY","✔ Đúng tiến độ")))))</f>
        <v>• Chưa tới</v>
      </c>
      <c r="U1240" s="38" t="n">
        <f aca="false">IF($H1240="","",$R1240/5)</f>
        <v>0</v>
      </c>
    </row>
    <row r="1241" customFormat="false" ht="15" hidden="false" customHeight="false" outlineLevel="0" collapsed="false">
      <c r="A1241" s="31" t="s">
        <v>7391</v>
      </c>
      <c r="B1241" s="31" t="n">
        <v>62</v>
      </c>
      <c r="C1241" s="32" t="n">
        <f aca="false">SETTINGS!$C$3+$B1241-1</f>
        <v>46361</v>
      </c>
      <c r="D1241" s="41" t="s">
        <v>7168</v>
      </c>
      <c r="E1241" s="34" t="s">
        <v>7287</v>
      </c>
      <c r="F1241" s="34" t="s">
        <v>183</v>
      </c>
      <c r="G1241" s="34" t="s">
        <v>7392</v>
      </c>
      <c r="H1241" s="35" t="s">
        <v>7393</v>
      </c>
      <c r="I1241" s="36" t="s">
        <v>7394</v>
      </c>
      <c r="J1241" s="34" t="s">
        <v>7395</v>
      </c>
      <c r="K1241" s="34" t="s">
        <v>7392</v>
      </c>
      <c r="L1241" s="37"/>
      <c r="M1241" s="37"/>
      <c r="N1241" s="37"/>
      <c r="O1241" s="37"/>
      <c r="P1241" s="37"/>
      <c r="Q1241" s="37"/>
      <c r="R1241" s="31" t="n">
        <f aca="false">COUNT($M1241:$Q1241)</f>
        <v>0</v>
      </c>
      <c r="S1241" s="32" t="str">
        <f aca="false">IF($L1241="","",IF($R1241&gt;=5,"",MAX($L1241:$Q1241)+CHOOSE($R1241+1,SETTINGS!$C$9,SETTINGS!$C$10,SETTINGS!$C$11,SETTINGS!$C$12,SETTINGS!$C$13)))</f>
        <v/>
      </c>
      <c r="T1241" s="34" t="str">
        <f aca="true">IF($H1241="","(chưa có nội dung)",IF($L1241="",IF($C1241&lt;TODAY(),"⚠ TRỄ HỌC",IF($C1241=TODAY(),"★ HỌC HÔM NAY","• Chưa tới")),IF($R1241&gt;=5,"✔ MASTER",IF($S1241&lt;TODAY(),"⚠ TRỄ ÔN",IF($S1241=TODAY(),"◆ ÔN HÔM NAY","✔ Đúng tiến độ")))))</f>
        <v>• Chưa tới</v>
      </c>
      <c r="U1241" s="38" t="n">
        <f aca="false">IF($H1241="","",$R1241/5)</f>
        <v>0</v>
      </c>
    </row>
    <row r="1242" customFormat="false" ht="15" hidden="false" customHeight="false" outlineLevel="0" collapsed="false">
      <c r="A1242" s="31" t="s">
        <v>7396</v>
      </c>
      <c r="B1242" s="31" t="n">
        <v>62</v>
      </c>
      <c r="C1242" s="32" t="n">
        <f aca="false">SETTINGS!$C$3+$B1242-1</f>
        <v>46361</v>
      </c>
      <c r="D1242" s="41" t="s">
        <v>7168</v>
      </c>
      <c r="E1242" s="34" t="s">
        <v>7287</v>
      </c>
      <c r="F1242" s="34" t="s">
        <v>202</v>
      </c>
      <c r="G1242" s="34" t="s">
        <v>7397</v>
      </c>
      <c r="H1242" s="35" t="s">
        <v>7398</v>
      </c>
      <c r="I1242" s="36" t="s">
        <v>7399</v>
      </c>
      <c r="J1242" s="34" t="s">
        <v>7400</v>
      </c>
      <c r="K1242" s="34" t="s">
        <v>7401</v>
      </c>
      <c r="L1242" s="37"/>
      <c r="M1242" s="37"/>
      <c r="N1242" s="37"/>
      <c r="O1242" s="37"/>
      <c r="P1242" s="37"/>
      <c r="Q1242" s="37"/>
      <c r="R1242" s="31" t="n">
        <f aca="false">COUNT($M1242:$Q1242)</f>
        <v>0</v>
      </c>
      <c r="S1242" s="32" t="str">
        <f aca="false">IF($L1242="","",IF($R1242&gt;=5,"",MAX($L1242:$Q1242)+CHOOSE($R1242+1,SETTINGS!$C$9,SETTINGS!$C$10,SETTINGS!$C$11,SETTINGS!$C$12,SETTINGS!$C$13)))</f>
        <v/>
      </c>
      <c r="T1242" s="34" t="str">
        <f aca="true">IF($H1242="","(chưa có nội dung)",IF($L1242="",IF($C1242&lt;TODAY(),"⚠ TRỄ HỌC",IF($C1242=TODAY(),"★ HỌC HÔM NAY","• Chưa tới")),IF($R1242&gt;=5,"✔ MASTER",IF($S1242&lt;TODAY(),"⚠ TRỄ ÔN",IF($S1242=TODAY(),"◆ ÔN HÔM NAY","✔ Đúng tiến độ")))))</f>
        <v>• Chưa tới</v>
      </c>
      <c r="U1242" s="38" t="n">
        <f aca="false">IF($H1242="","",$R1242/5)</f>
        <v>0</v>
      </c>
    </row>
    <row r="1243" customFormat="false" ht="15" hidden="false" customHeight="false" outlineLevel="0" collapsed="false">
      <c r="A1243" s="31" t="s">
        <v>7402</v>
      </c>
      <c r="B1243" s="31" t="n">
        <v>63</v>
      </c>
      <c r="C1243" s="32" t="n">
        <f aca="false">SETTINGS!$C$3+$B1243-1</f>
        <v>46362</v>
      </c>
      <c r="D1243" s="41" t="s">
        <v>7168</v>
      </c>
      <c r="E1243" s="34" t="s">
        <v>7403</v>
      </c>
      <c r="F1243" s="34" t="s">
        <v>163</v>
      </c>
      <c r="G1243" s="34" t="s">
        <v>7404</v>
      </c>
      <c r="H1243" s="35" t="s">
        <v>7405</v>
      </c>
      <c r="I1243" s="36" t="s">
        <v>7406</v>
      </c>
      <c r="J1243" s="34" t="s">
        <v>7407</v>
      </c>
      <c r="K1243" s="34" t="s">
        <v>7408</v>
      </c>
      <c r="L1243" s="37"/>
      <c r="M1243" s="37"/>
      <c r="N1243" s="37"/>
      <c r="O1243" s="37"/>
      <c r="P1243" s="37"/>
      <c r="Q1243" s="37"/>
      <c r="R1243" s="31" t="n">
        <f aca="false">COUNT($M1243:$Q1243)</f>
        <v>0</v>
      </c>
      <c r="S1243" s="32" t="str">
        <f aca="false">IF($L1243="","",IF($R1243&gt;=5,"",MAX($L1243:$Q1243)+CHOOSE($R1243+1,SETTINGS!$C$9,SETTINGS!$C$10,SETTINGS!$C$11,SETTINGS!$C$12,SETTINGS!$C$13)))</f>
        <v/>
      </c>
      <c r="T1243" s="34" t="str">
        <f aca="true">IF($H1243="","(chưa có nội dung)",IF($L1243="",IF($C1243&lt;TODAY(),"⚠ TRỄ HỌC",IF($C1243=TODAY(),"★ HỌC HÔM NAY","• Chưa tới")),IF($R1243&gt;=5,"✔ MASTER",IF($S1243&lt;TODAY(),"⚠ TRỄ ÔN",IF($S1243=TODAY(),"◆ ÔN HÔM NAY","✔ Đúng tiến độ")))))</f>
        <v>• Chưa tới</v>
      </c>
      <c r="U1243" s="38" t="n">
        <f aca="false">IF($H1243="","",$R1243/5)</f>
        <v>0</v>
      </c>
    </row>
    <row r="1244" customFormat="false" ht="15" hidden="false" customHeight="false" outlineLevel="0" collapsed="false">
      <c r="A1244" s="31" t="s">
        <v>7409</v>
      </c>
      <c r="B1244" s="31" t="n">
        <v>63</v>
      </c>
      <c r="C1244" s="32" t="n">
        <f aca="false">SETTINGS!$C$3+$B1244-1</f>
        <v>46362</v>
      </c>
      <c r="D1244" s="41" t="s">
        <v>7168</v>
      </c>
      <c r="E1244" s="34" t="s">
        <v>7403</v>
      </c>
      <c r="F1244" s="34" t="s">
        <v>202</v>
      </c>
      <c r="G1244" s="34" t="s">
        <v>7410</v>
      </c>
      <c r="H1244" s="35" t="s">
        <v>7411</v>
      </c>
      <c r="I1244" s="36" t="s">
        <v>7412</v>
      </c>
      <c r="J1244" s="34" t="s">
        <v>7413</v>
      </c>
      <c r="K1244" s="34" t="s">
        <v>7414</v>
      </c>
      <c r="L1244" s="37"/>
      <c r="M1244" s="37"/>
      <c r="N1244" s="37"/>
      <c r="O1244" s="37"/>
      <c r="P1244" s="37"/>
      <c r="Q1244" s="37"/>
      <c r="R1244" s="31" t="n">
        <f aca="false">COUNT($M1244:$Q1244)</f>
        <v>0</v>
      </c>
      <c r="S1244" s="32" t="str">
        <f aca="false">IF($L1244="","",IF($R1244&gt;=5,"",MAX($L1244:$Q1244)+CHOOSE($R1244+1,SETTINGS!$C$9,SETTINGS!$C$10,SETTINGS!$C$11,SETTINGS!$C$12,SETTINGS!$C$13)))</f>
        <v/>
      </c>
      <c r="T1244" s="34" t="str">
        <f aca="true">IF($H1244="","(chưa có nội dung)",IF($L1244="",IF($C1244&lt;TODAY(),"⚠ TRỄ HỌC",IF($C1244=TODAY(),"★ HỌC HÔM NAY","• Chưa tới")),IF($R1244&gt;=5,"✔ MASTER",IF($S1244&lt;TODAY(),"⚠ TRỄ ÔN",IF($S1244=TODAY(),"◆ ÔN HÔM NAY","✔ Đúng tiến độ")))))</f>
        <v>• Chưa tới</v>
      </c>
      <c r="U1244" s="38" t="n">
        <f aca="false">IF($H1244="","",$R1244/5)</f>
        <v>0</v>
      </c>
    </row>
    <row r="1245" customFormat="false" ht="15" hidden="false" customHeight="false" outlineLevel="0" collapsed="false">
      <c r="A1245" s="31" t="s">
        <v>7415</v>
      </c>
      <c r="B1245" s="31" t="n">
        <v>63</v>
      </c>
      <c r="C1245" s="32" t="n">
        <f aca="false">SETTINGS!$C$3+$B1245-1</f>
        <v>46362</v>
      </c>
      <c r="D1245" s="41" t="s">
        <v>7168</v>
      </c>
      <c r="E1245" s="34" t="s">
        <v>7403</v>
      </c>
      <c r="F1245" s="34" t="s">
        <v>280</v>
      </c>
      <c r="G1245" s="34" t="s">
        <v>7416</v>
      </c>
      <c r="H1245" s="35" t="s">
        <v>7417</v>
      </c>
      <c r="I1245" s="36" t="s">
        <v>7418</v>
      </c>
      <c r="J1245" s="34" t="s">
        <v>7419</v>
      </c>
      <c r="K1245" s="34" t="s">
        <v>7420</v>
      </c>
      <c r="L1245" s="37"/>
      <c r="M1245" s="37"/>
      <c r="N1245" s="37"/>
      <c r="O1245" s="37"/>
      <c r="P1245" s="37"/>
      <c r="Q1245" s="37"/>
      <c r="R1245" s="31" t="n">
        <f aca="false">COUNT($M1245:$Q1245)</f>
        <v>0</v>
      </c>
      <c r="S1245" s="32" t="str">
        <f aca="false">IF($L1245="","",IF($R1245&gt;=5,"",MAX($L1245:$Q1245)+CHOOSE($R1245+1,SETTINGS!$C$9,SETTINGS!$C$10,SETTINGS!$C$11,SETTINGS!$C$12,SETTINGS!$C$13)))</f>
        <v/>
      </c>
      <c r="T1245" s="34" t="str">
        <f aca="true">IF($H1245="","(chưa có nội dung)",IF($L1245="",IF($C1245&lt;TODAY(),"⚠ TRỄ HỌC",IF($C1245=TODAY(),"★ HỌC HÔM NAY","• Chưa tới")),IF($R1245&gt;=5,"✔ MASTER",IF($S1245&lt;TODAY(),"⚠ TRỄ ÔN",IF($S1245=TODAY(),"◆ ÔN HÔM NAY","✔ Đúng tiến độ")))))</f>
        <v>• Chưa tới</v>
      </c>
      <c r="U1245" s="38" t="n">
        <f aca="false">IF($H1245="","",$R1245/5)</f>
        <v>0</v>
      </c>
    </row>
    <row r="1246" customFormat="false" ht="15" hidden="false" customHeight="false" outlineLevel="0" collapsed="false">
      <c r="A1246" s="31" t="s">
        <v>7421</v>
      </c>
      <c r="B1246" s="31" t="n">
        <v>63</v>
      </c>
      <c r="C1246" s="32" t="n">
        <f aca="false">SETTINGS!$C$3+$B1246-1</f>
        <v>46362</v>
      </c>
      <c r="D1246" s="41" t="s">
        <v>7168</v>
      </c>
      <c r="E1246" s="34" t="s">
        <v>7403</v>
      </c>
      <c r="F1246" s="34" t="s">
        <v>280</v>
      </c>
      <c r="G1246" s="34" t="s">
        <v>7422</v>
      </c>
      <c r="H1246" s="35" t="s">
        <v>7423</v>
      </c>
      <c r="I1246" s="36" t="s">
        <v>7424</v>
      </c>
      <c r="J1246" s="34" t="s">
        <v>7425</v>
      </c>
      <c r="K1246" s="34" t="s">
        <v>7426</v>
      </c>
      <c r="L1246" s="37"/>
      <c r="M1246" s="37"/>
      <c r="N1246" s="37"/>
      <c r="O1246" s="37"/>
      <c r="P1246" s="37"/>
      <c r="Q1246" s="37"/>
      <c r="R1246" s="31" t="n">
        <f aca="false">COUNT($M1246:$Q1246)</f>
        <v>0</v>
      </c>
      <c r="S1246" s="32" t="str">
        <f aca="false">IF($L1246="","",IF($R1246&gt;=5,"",MAX($L1246:$Q1246)+CHOOSE($R1246+1,SETTINGS!$C$9,SETTINGS!$C$10,SETTINGS!$C$11,SETTINGS!$C$12,SETTINGS!$C$13)))</f>
        <v/>
      </c>
      <c r="T1246" s="34" t="str">
        <f aca="true">IF($H1246="","(chưa có nội dung)",IF($L1246="",IF($C1246&lt;TODAY(),"⚠ TRỄ HỌC",IF($C1246=TODAY(),"★ HỌC HÔM NAY","• Chưa tới")),IF($R1246&gt;=5,"✔ MASTER",IF($S1246&lt;TODAY(),"⚠ TRỄ ÔN",IF($S1246=TODAY(),"◆ ÔN HÔM NAY","✔ Đúng tiến độ")))))</f>
        <v>• Chưa tới</v>
      </c>
      <c r="U1246" s="38" t="n">
        <f aca="false">IF($H1246="","",$R1246/5)</f>
        <v>0</v>
      </c>
    </row>
    <row r="1247" customFormat="false" ht="26.85" hidden="false" customHeight="false" outlineLevel="0" collapsed="false">
      <c r="A1247" s="31" t="s">
        <v>7427</v>
      </c>
      <c r="B1247" s="31" t="n">
        <v>63</v>
      </c>
      <c r="C1247" s="32" t="n">
        <f aca="false">SETTINGS!$C$3+$B1247-1</f>
        <v>46362</v>
      </c>
      <c r="D1247" s="41" t="s">
        <v>7168</v>
      </c>
      <c r="E1247" s="34" t="s">
        <v>7403</v>
      </c>
      <c r="F1247" s="34" t="s">
        <v>163</v>
      </c>
      <c r="G1247" s="34" t="s">
        <v>7428</v>
      </c>
      <c r="H1247" s="35" t="s">
        <v>7429</v>
      </c>
      <c r="I1247" s="36" t="s">
        <v>7430</v>
      </c>
      <c r="J1247" s="34" t="s">
        <v>7431</v>
      </c>
      <c r="K1247" s="34" t="s">
        <v>7432</v>
      </c>
      <c r="L1247" s="37"/>
      <c r="M1247" s="37"/>
      <c r="N1247" s="37"/>
      <c r="O1247" s="37"/>
      <c r="P1247" s="37"/>
      <c r="Q1247" s="37"/>
      <c r="R1247" s="31" t="n">
        <f aca="false">COUNT($M1247:$Q1247)</f>
        <v>0</v>
      </c>
      <c r="S1247" s="32" t="str">
        <f aca="false">IF($L1247="","",IF($R1247&gt;=5,"",MAX($L1247:$Q1247)+CHOOSE($R1247+1,SETTINGS!$C$9,SETTINGS!$C$10,SETTINGS!$C$11,SETTINGS!$C$12,SETTINGS!$C$13)))</f>
        <v/>
      </c>
      <c r="T1247" s="34" t="str">
        <f aca="true">IF($H1247="","(chưa có nội dung)",IF($L1247="",IF($C1247&lt;TODAY(),"⚠ TRỄ HỌC",IF($C1247=TODAY(),"★ HỌC HÔM NAY","• Chưa tới")),IF($R1247&gt;=5,"✔ MASTER",IF($S1247&lt;TODAY(),"⚠ TRỄ ÔN",IF($S1247=TODAY(),"◆ ÔN HÔM NAY","✔ Đúng tiến độ")))))</f>
        <v>• Chưa tới</v>
      </c>
      <c r="U1247" s="38" t="n">
        <f aca="false">IF($H1247="","",$R1247/5)</f>
        <v>0</v>
      </c>
    </row>
    <row r="1248" customFormat="false" ht="15" hidden="false" customHeight="false" outlineLevel="0" collapsed="false">
      <c r="A1248" s="31" t="s">
        <v>7433</v>
      </c>
      <c r="B1248" s="31" t="n">
        <v>63</v>
      </c>
      <c r="C1248" s="32" t="n">
        <f aca="false">SETTINGS!$C$3+$B1248-1</f>
        <v>46362</v>
      </c>
      <c r="D1248" s="41" t="s">
        <v>7168</v>
      </c>
      <c r="E1248" s="34" t="s">
        <v>7403</v>
      </c>
      <c r="F1248" s="34" t="s">
        <v>280</v>
      </c>
      <c r="G1248" s="34" t="s">
        <v>7434</v>
      </c>
      <c r="H1248" s="35" t="s">
        <v>7435</v>
      </c>
      <c r="I1248" s="36" t="s">
        <v>7436</v>
      </c>
      <c r="J1248" s="34" t="s">
        <v>7437</v>
      </c>
      <c r="K1248" s="34" t="s">
        <v>7438</v>
      </c>
      <c r="L1248" s="37"/>
      <c r="M1248" s="37"/>
      <c r="N1248" s="37"/>
      <c r="O1248" s="37"/>
      <c r="P1248" s="37"/>
      <c r="Q1248" s="37"/>
      <c r="R1248" s="31" t="n">
        <f aca="false">COUNT($M1248:$Q1248)</f>
        <v>0</v>
      </c>
      <c r="S1248" s="32" t="str">
        <f aca="false">IF($L1248="","",IF($R1248&gt;=5,"",MAX($L1248:$Q1248)+CHOOSE($R1248+1,SETTINGS!$C$9,SETTINGS!$C$10,SETTINGS!$C$11,SETTINGS!$C$12,SETTINGS!$C$13)))</f>
        <v/>
      </c>
      <c r="T1248" s="34" t="str">
        <f aca="true">IF($H1248="","(chưa có nội dung)",IF($L1248="",IF($C1248&lt;TODAY(),"⚠ TRỄ HỌC",IF($C1248=TODAY(),"★ HỌC HÔM NAY","• Chưa tới")),IF($R1248&gt;=5,"✔ MASTER",IF($S1248&lt;TODAY(),"⚠ TRỄ ÔN",IF($S1248=TODAY(),"◆ ÔN HÔM NAY","✔ Đúng tiến độ")))))</f>
        <v>• Chưa tới</v>
      </c>
      <c r="U1248" s="38" t="n">
        <f aca="false">IF($H1248="","",$R1248/5)</f>
        <v>0</v>
      </c>
    </row>
    <row r="1249" customFormat="false" ht="15" hidden="false" customHeight="false" outlineLevel="0" collapsed="false">
      <c r="A1249" s="31" t="s">
        <v>7439</v>
      </c>
      <c r="B1249" s="31" t="n">
        <v>63</v>
      </c>
      <c r="C1249" s="32" t="n">
        <f aca="false">SETTINGS!$C$3+$B1249-1</f>
        <v>46362</v>
      </c>
      <c r="D1249" s="41" t="s">
        <v>7168</v>
      </c>
      <c r="E1249" s="34" t="s">
        <v>7403</v>
      </c>
      <c r="F1249" s="34" t="s">
        <v>280</v>
      </c>
      <c r="G1249" s="34" t="s">
        <v>7440</v>
      </c>
      <c r="H1249" s="35" t="s">
        <v>7441</v>
      </c>
      <c r="I1249" s="36" t="s">
        <v>7442</v>
      </c>
      <c r="J1249" s="34" t="s">
        <v>7443</v>
      </c>
      <c r="K1249" s="34" t="s">
        <v>7444</v>
      </c>
      <c r="L1249" s="37"/>
      <c r="M1249" s="37"/>
      <c r="N1249" s="37"/>
      <c r="O1249" s="37"/>
      <c r="P1249" s="37"/>
      <c r="Q1249" s="37"/>
      <c r="R1249" s="31" t="n">
        <f aca="false">COUNT($M1249:$Q1249)</f>
        <v>0</v>
      </c>
      <c r="S1249" s="32" t="str">
        <f aca="false">IF($L1249="","",IF($R1249&gt;=5,"",MAX($L1249:$Q1249)+CHOOSE($R1249+1,SETTINGS!$C$9,SETTINGS!$C$10,SETTINGS!$C$11,SETTINGS!$C$12,SETTINGS!$C$13)))</f>
        <v/>
      </c>
      <c r="T1249" s="34" t="str">
        <f aca="true">IF($H1249="","(chưa có nội dung)",IF($L1249="",IF($C1249&lt;TODAY(),"⚠ TRỄ HỌC",IF($C1249=TODAY(),"★ HỌC HÔM NAY","• Chưa tới")),IF($R1249&gt;=5,"✔ MASTER",IF($S1249&lt;TODAY(),"⚠ TRỄ ÔN",IF($S1249=TODAY(),"◆ ÔN HÔM NAY","✔ Đúng tiến độ")))))</f>
        <v>• Chưa tới</v>
      </c>
      <c r="U1249" s="38" t="n">
        <f aca="false">IF($H1249="","",$R1249/5)</f>
        <v>0</v>
      </c>
    </row>
    <row r="1250" customFormat="false" ht="15" hidden="false" customHeight="false" outlineLevel="0" collapsed="false">
      <c r="A1250" s="31" t="s">
        <v>7445</v>
      </c>
      <c r="B1250" s="31" t="n">
        <v>63</v>
      </c>
      <c r="C1250" s="32" t="n">
        <f aca="false">SETTINGS!$C$3+$B1250-1</f>
        <v>46362</v>
      </c>
      <c r="D1250" s="41" t="s">
        <v>7168</v>
      </c>
      <c r="E1250" s="34" t="s">
        <v>7403</v>
      </c>
      <c r="F1250" s="34" t="s">
        <v>163</v>
      </c>
      <c r="G1250" s="34" t="s">
        <v>7446</v>
      </c>
      <c r="H1250" s="35" t="s">
        <v>7447</v>
      </c>
      <c r="I1250" s="36" t="s">
        <v>7448</v>
      </c>
      <c r="J1250" s="34" t="s">
        <v>7449</v>
      </c>
      <c r="K1250" s="34" t="s">
        <v>7450</v>
      </c>
      <c r="L1250" s="37"/>
      <c r="M1250" s="37"/>
      <c r="N1250" s="37"/>
      <c r="O1250" s="37"/>
      <c r="P1250" s="37"/>
      <c r="Q1250" s="37"/>
      <c r="R1250" s="31" t="n">
        <f aca="false">COUNT($M1250:$Q1250)</f>
        <v>0</v>
      </c>
      <c r="S1250" s="32" t="str">
        <f aca="false">IF($L1250="","",IF($R1250&gt;=5,"",MAX($L1250:$Q1250)+CHOOSE($R1250+1,SETTINGS!$C$9,SETTINGS!$C$10,SETTINGS!$C$11,SETTINGS!$C$12,SETTINGS!$C$13)))</f>
        <v/>
      </c>
      <c r="T1250" s="34" t="str">
        <f aca="true">IF($H1250="","(chưa có nội dung)",IF($L1250="",IF($C1250&lt;TODAY(),"⚠ TRỄ HỌC",IF($C1250=TODAY(),"★ HỌC HÔM NAY","• Chưa tới")),IF($R1250&gt;=5,"✔ MASTER",IF($S1250&lt;TODAY(),"⚠ TRỄ ÔN",IF($S1250=TODAY(),"◆ ÔN HÔM NAY","✔ Đúng tiến độ")))))</f>
        <v>• Chưa tới</v>
      </c>
      <c r="U1250" s="38" t="n">
        <f aca="false">IF($H1250="","",$R1250/5)</f>
        <v>0</v>
      </c>
    </row>
    <row r="1251" customFormat="false" ht="15" hidden="false" customHeight="false" outlineLevel="0" collapsed="false">
      <c r="A1251" s="31" t="s">
        <v>7451</v>
      </c>
      <c r="B1251" s="31" t="n">
        <v>63</v>
      </c>
      <c r="C1251" s="32" t="n">
        <f aca="false">SETTINGS!$C$3+$B1251-1</f>
        <v>46362</v>
      </c>
      <c r="D1251" s="41" t="s">
        <v>7168</v>
      </c>
      <c r="E1251" s="34" t="s">
        <v>7403</v>
      </c>
      <c r="F1251" s="34" t="s">
        <v>280</v>
      </c>
      <c r="G1251" s="34" t="s">
        <v>7452</v>
      </c>
      <c r="H1251" s="35" t="s">
        <v>7453</v>
      </c>
      <c r="I1251" s="36" t="s">
        <v>7454</v>
      </c>
      <c r="J1251" s="34" t="s">
        <v>7455</v>
      </c>
      <c r="K1251" s="34" t="s">
        <v>7456</v>
      </c>
      <c r="L1251" s="37"/>
      <c r="M1251" s="37"/>
      <c r="N1251" s="37"/>
      <c r="O1251" s="37"/>
      <c r="P1251" s="37"/>
      <c r="Q1251" s="37"/>
      <c r="R1251" s="31" t="n">
        <f aca="false">COUNT($M1251:$Q1251)</f>
        <v>0</v>
      </c>
      <c r="S1251" s="32" t="str">
        <f aca="false">IF($L1251="","",IF($R1251&gt;=5,"",MAX($L1251:$Q1251)+CHOOSE($R1251+1,SETTINGS!$C$9,SETTINGS!$C$10,SETTINGS!$C$11,SETTINGS!$C$12,SETTINGS!$C$13)))</f>
        <v/>
      </c>
      <c r="T1251" s="34" t="str">
        <f aca="true">IF($H1251="","(chưa có nội dung)",IF($L1251="",IF($C1251&lt;TODAY(),"⚠ TRỄ HỌC",IF($C1251=TODAY(),"★ HỌC HÔM NAY","• Chưa tới")),IF($R1251&gt;=5,"✔ MASTER",IF($S1251&lt;TODAY(),"⚠ TRỄ ÔN",IF($S1251=TODAY(),"◆ ÔN HÔM NAY","✔ Đúng tiến độ")))))</f>
        <v>• Chưa tới</v>
      </c>
      <c r="U1251" s="38" t="n">
        <f aca="false">IF($H1251="","",$R1251/5)</f>
        <v>0</v>
      </c>
    </row>
    <row r="1252" customFormat="false" ht="15" hidden="false" customHeight="false" outlineLevel="0" collapsed="false">
      <c r="A1252" s="31" t="s">
        <v>7457</v>
      </c>
      <c r="B1252" s="31" t="n">
        <v>63</v>
      </c>
      <c r="C1252" s="32" t="n">
        <f aca="false">SETTINGS!$C$3+$B1252-1</f>
        <v>46362</v>
      </c>
      <c r="D1252" s="41" t="s">
        <v>7168</v>
      </c>
      <c r="E1252" s="34" t="s">
        <v>7403</v>
      </c>
      <c r="F1252" s="34" t="s">
        <v>280</v>
      </c>
      <c r="G1252" s="34" t="s">
        <v>7458</v>
      </c>
      <c r="H1252" s="35" t="s">
        <v>7459</v>
      </c>
      <c r="I1252" s="36" t="s">
        <v>7460</v>
      </c>
      <c r="J1252" s="34" t="s">
        <v>7461</v>
      </c>
      <c r="K1252" s="34" t="s">
        <v>7462</v>
      </c>
      <c r="L1252" s="37"/>
      <c r="M1252" s="37"/>
      <c r="N1252" s="37"/>
      <c r="O1252" s="37"/>
      <c r="P1252" s="37"/>
      <c r="Q1252" s="37"/>
      <c r="R1252" s="31" t="n">
        <f aca="false">COUNT($M1252:$Q1252)</f>
        <v>0</v>
      </c>
      <c r="S1252" s="32" t="str">
        <f aca="false">IF($L1252="","",IF($R1252&gt;=5,"",MAX($L1252:$Q1252)+CHOOSE($R1252+1,SETTINGS!$C$9,SETTINGS!$C$10,SETTINGS!$C$11,SETTINGS!$C$12,SETTINGS!$C$13)))</f>
        <v/>
      </c>
      <c r="T1252" s="34" t="str">
        <f aca="true">IF($H1252="","(chưa có nội dung)",IF($L1252="",IF($C1252&lt;TODAY(),"⚠ TRỄ HỌC",IF($C1252=TODAY(),"★ HỌC HÔM NAY","• Chưa tới")),IF($R1252&gt;=5,"✔ MASTER",IF($S1252&lt;TODAY(),"⚠ TRỄ ÔN",IF($S1252=TODAY(),"◆ ÔN HÔM NAY","✔ Đúng tiến độ")))))</f>
        <v>• Chưa tới</v>
      </c>
      <c r="U1252" s="38" t="n">
        <f aca="false">IF($H1252="","",$R1252/5)</f>
        <v>0</v>
      </c>
    </row>
    <row r="1253" customFormat="false" ht="15" hidden="false" customHeight="false" outlineLevel="0" collapsed="false">
      <c r="A1253" s="31" t="s">
        <v>7463</v>
      </c>
      <c r="B1253" s="31" t="n">
        <v>63</v>
      </c>
      <c r="C1253" s="32" t="n">
        <f aca="false">SETTINGS!$C$3+$B1253-1</f>
        <v>46362</v>
      </c>
      <c r="D1253" s="41" t="s">
        <v>7168</v>
      </c>
      <c r="E1253" s="34" t="s">
        <v>7403</v>
      </c>
      <c r="F1253" s="34" t="s">
        <v>202</v>
      </c>
      <c r="G1253" s="34" t="s">
        <v>7464</v>
      </c>
      <c r="H1253" s="35" t="s">
        <v>7465</v>
      </c>
      <c r="I1253" s="36" t="s">
        <v>7466</v>
      </c>
      <c r="J1253" s="34" t="s">
        <v>7467</v>
      </c>
      <c r="K1253" s="34" t="s">
        <v>7468</v>
      </c>
      <c r="L1253" s="37"/>
      <c r="M1253" s="37"/>
      <c r="N1253" s="37"/>
      <c r="O1253" s="37"/>
      <c r="P1253" s="37"/>
      <c r="Q1253" s="37"/>
      <c r="R1253" s="31" t="n">
        <f aca="false">COUNT($M1253:$Q1253)</f>
        <v>0</v>
      </c>
      <c r="S1253" s="32" t="str">
        <f aca="false">IF($L1253="","",IF($R1253&gt;=5,"",MAX($L1253:$Q1253)+CHOOSE($R1253+1,SETTINGS!$C$9,SETTINGS!$C$10,SETTINGS!$C$11,SETTINGS!$C$12,SETTINGS!$C$13)))</f>
        <v/>
      </c>
      <c r="T1253" s="34" t="str">
        <f aca="true">IF($H1253="","(chưa có nội dung)",IF($L1253="",IF($C1253&lt;TODAY(),"⚠ TRỄ HỌC",IF($C1253=TODAY(),"★ HỌC HÔM NAY","• Chưa tới")),IF($R1253&gt;=5,"✔ MASTER",IF($S1253&lt;TODAY(),"⚠ TRỄ ÔN",IF($S1253=TODAY(),"◆ ÔN HÔM NAY","✔ Đúng tiến độ")))))</f>
        <v>• Chưa tới</v>
      </c>
      <c r="U1253" s="38" t="n">
        <f aca="false">IF($H1253="","",$R1253/5)</f>
        <v>0</v>
      </c>
    </row>
    <row r="1254" customFormat="false" ht="15" hidden="false" customHeight="false" outlineLevel="0" collapsed="false">
      <c r="A1254" s="31" t="s">
        <v>7469</v>
      </c>
      <c r="B1254" s="31" t="n">
        <v>63</v>
      </c>
      <c r="C1254" s="32" t="n">
        <f aca="false">SETTINGS!$C$3+$B1254-1</f>
        <v>46362</v>
      </c>
      <c r="D1254" s="41" t="s">
        <v>7168</v>
      </c>
      <c r="E1254" s="34" t="s">
        <v>7403</v>
      </c>
      <c r="F1254" s="34" t="s">
        <v>280</v>
      </c>
      <c r="G1254" s="34" t="s">
        <v>7470</v>
      </c>
      <c r="H1254" s="35" t="s">
        <v>7471</v>
      </c>
      <c r="I1254" s="36" t="s">
        <v>7472</v>
      </c>
      <c r="J1254" s="34" t="s">
        <v>7473</v>
      </c>
      <c r="K1254" s="34" t="s">
        <v>7474</v>
      </c>
      <c r="L1254" s="37"/>
      <c r="M1254" s="37"/>
      <c r="N1254" s="37"/>
      <c r="O1254" s="37"/>
      <c r="P1254" s="37"/>
      <c r="Q1254" s="37"/>
      <c r="R1254" s="31" t="n">
        <f aca="false">COUNT($M1254:$Q1254)</f>
        <v>0</v>
      </c>
      <c r="S1254" s="32" t="str">
        <f aca="false">IF($L1254="","",IF($R1254&gt;=5,"",MAX($L1254:$Q1254)+CHOOSE($R1254+1,SETTINGS!$C$9,SETTINGS!$C$10,SETTINGS!$C$11,SETTINGS!$C$12,SETTINGS!$C$13)))</f>
        <v/>
      </c>
      <c r="T1254" s="34" t="str">
        <f aca="true">IF($H1254="","(chưa có nội dung)",IF($L1254="",IF($C1254&lt;TODAY(),"⚠ TRỄ HỌC",IF($C1254=TODAY(),"★ HỌC HÔM NAY","• Chưa tới")),IF($R1254&gt;=5,"✔ MASTER",IF($S1254&lt;TODAY(),"⚠ TRỄ ÔN",IF($S1254=TODAY(),"◆ ÔN HÔM NAY","✔ Đúng tiến độ")))))</f>
        <v>• Chưa tới</v>
      </c>
      <c r="U1254" s="38" t="n">
        <f aca="false">IF($H1254="","",$R1254/5)</f>
        <v>0</v>
      </c>
    </row>
    <row r="1255" customFormat="false" ht="23.85" hidden="false" customHeight="false" outlineLevel="0" collapsed="false">
      <c r="A1255" s="31" t="s">
        <v>7475</v>
      </c>
      <c r="B1255" s="31" t="n">
        <v>63</v>
      </c>
      <c r="C1255" s="32" t="n">
        <f aca="false">SETTINGS!$C$3+$B1255-1</f>
        <v>46362</v>
      </c>
      <c r="D1255" s="41" t="s">
        <v>7168</v>
      </c>
      <c r="E1255" s="34" t="s">
        <v>7403</v>
      </c>
      <c r="F1255" s="34" t="s">
        <v>5676</v>
      </c>
      <c r="G1255" s="34" t="s">
        <v>7476</v>
      </c>
      <c r="H1255" s="35" t="s">
        <v>7477</v>
      </c>
      <c r="I1255" s="36" t="s">
        <v>7478</v>
      </c>
      <c r="J1255" s="34" t="s">
        <v>7479</v>
      </c>
      <c r="K1255" s="34" t="s">
        <v>7480</v>
      </c>
      <c r="L1255" s="37"/>
      <c r="M1255" s="37"/>
      <c r="N1255" s="37"/>
      <c r="O1255" s="37"/>
      <c r="P1255" s="37"/>
      <c r="Q1255" s="37"/>
      <c r="R1255" s="31" t="n">
        <f aca="false">COUNT($M1255:$Q1255)</f>
        <v>0</v>
      </c>
      <c r="S1255" s="32" t="str">
        <f aca="false">IF($L1255="","",IF($R1255&gt;=5,"",MAX($L1255:$Q1255)+CHOOSE($R1255+1,SETTINGS!$C$9,SETTINGS!$C$10,SETTINGS!$C$11,SETTINGS!$C$12,SETTINGS!$C$13)))</f>
        <v/>
      </c>
      <c r="T1255" s="34" t="str">
        <f aca="true">IF($H1255="","(chưa có nội dung)",IF($L1255="",IF($C1255&lt;TODAY(),"⚠ TRỄ HỌC",IF($C1255=TODAY(),"★ HỌC HÔM NAY","• Chưa tới")),IF($R1255&gt;=5,"✔ MASTER",IF($S1255&lt;TODAY(),"⚠ TRỄ ÔN",IF($S1255=TODAY(),"◆ ÔN HÔM NAY","✔ Đúng tiến độ")))))</f>
        <v>• Chưa tới</v>
      </c>
      <c r="U1255" s="38" t="n">
        <f aca="false">IF($H1255="","",$R1255/5)</f>
        <v>0</v>
      </c>
    </row>
    <row r="1256" customFormat="false" ht="15" hidden="false" customHeight="false" outlineLevel="0" collapsed="false">
      <c r="A1256" s="31" t="s">
        <v>7481</v>
      </c>
      <c r="B1256" s="31" t="n">
        <v>63</v>
      </c>
      <c r="C1256" s="32" t="n">
        <f aca="false">SETTINGS!$C$3+$B1256-1</f>
        <v>46362</v>
      </c>
      <c r="D1256" s="41" t="s">
        <v>7168</v>
      </c>
      <c r="E1256" s="34" t="s">
        <v>7403</v>
      </c>
      <c r="F1256" s="34" t="s">
        <v>280</v>
      </c>
      <c r="G1256" s="34" t="s">
        <v>7482</v>
      </c>
      <c r="H1256" s="35" t="s">
        <v>7483</v>
      </c>
      <c r="I1256" s="36" t="s">
        <v>7484</v>
      </c>
      <c r="J1256" s="34" t="s">
        <v>7485</v>
      </c>
      <c r="K1256" s="34" t="s">
        <v>7486</v>
      </c>
      <c r="L1256" s="37"/>
      <c r="M1256" s="37"/>
      <c r="N1256" s="37"/>
      <c r="O1256" s="37"/>
      <c r="P1256" s="37"/>
      <c r="Q1256" s="37"/>
      <c r="R1256" s="31" t="n">
        <f aca="false">COUNT($M1256:$Q1256)</f>
        <v>0</v>
      </c>
      <c r="S1256" s="32" t="str">
        <f aca="false">IF($L1256="","",IF($R1256&gt;=5,"",MAX($L1256:$Q1256)+CHOOSE($R1256+1,SETTINGS!$C$9,SETTINGS!$C$10,SETTINGS!$C$11,SETTINGS!$C$12,SETTINGS!$C$13)))</f>
        <v/>
      </c>
      <c r="T1256" s="34" t="str">
        <f aca="true">IF($H1256="","(chưa có nội dung)",IF($L1256="",IF($C1256&lt;TODAY(),"⚠ TRỄ HỌC",IF($C1256=TODAY(),"★ HỌC HÔM NAY","• Chưa tới")),IF($R1256&gt;=5,"✔ MASTER",IF($S1256&lt;TODAY(),"⚠ TRỄ ÔN",IF($S1256=TODAY(),"◆ ÔN HÔM NAY","✔ Đúng tiến độ")))))</f>
        <v>• Chưa tới</v>
      </c>
      <c r="U1256" s="38" t="n">
        <f aca="false">IF($H1256="","",$R1256/5)</f>
        <v>0</v>
      </c>
    </row>
    <row r="1257" customFormat="false" ht="26.85" hidden="false" customHeight="false" outlineLevel="0" collapsed="false">
      <c r="A1257" s="31" t="s">
        <v>7487</v>
      </c>
      <c r="B1257" s="31" t="n">
        <v>63</v>
      </c>
      <c r="C1257" s="32" t="n">
        <f aca="false">SETTINGS!$C$3+$B1257-1</f>
        <v>46362</v>
      </c>
      <c r="D1257" s="41" t="s">
        <v>7168</v>
      </c>
      <c r="E1257" s="34" t="s">
        <v>7403</v>
      </c>
      <c r="F1257" s="34" t="s">
        <v>280</v>
      </c>
      <c r="G1257" s="34" t="s">
        <v>7488</v>
      </c>
      <c r="H1257" s="35" t="s">
        <v>7489</v>
      </c>
      <c r="I1257" s="36" t="s">
        <v>7490</v>
      </c>
      <c r="J1257" s="34" t="s">
        <v>7491</v>
      </c>
      <c r="K1257" s="34" t="s">
        <v>7492</v>
      </c>
      <c r="L1257" s="37"/>
      <c r="M1257" s="37"/>
      <c r="N1257" s="37"/>
      <c r="O1257" s="37"/>
      <c r="P1257" s="37"/>
      <c r="Q1257" s="37"/>
      <c r="R1257" s="31" t="n">
        <f aca="false">COUNT($M1257:$Q1257)</f>
        <v>0</v>
      </c>
      <c r="S1257" s="32" t="str">
        <f aca="false">IF($L1257="","",IF($R1257&gt;=5,"",MAX($L1257:$Q1257)+CHOOSE($R1257+1,SETTINGS!$C$9,SETTINGS!$C$10,SETTINGS!$C$11,SETTINGS!$C$12,SETTINGS!$C$13)))</f>
        <v/>
      </c>
      <c r="T1257" s="34" t="str">
        <f aca="true">IF($H1257="","(chưa có nội dung)",IF($L1257="",IF($C1257&lt;TODAY(),"⚠ TRỄ HỌC",IF($C1257=TODAY(),"★ HỌC HÔM NAY","• Chưa tới")),IF($R1257&gt;=5,"✔ MASTER",IF($S1257&lt;TODAY(),"⚠ TRỄ ÔN",IF($S1257=TODAY(),"◆ ÔN HÔM NAY","✔ Đúng tiến độ")))))</f>
        <v>• Chưa tới</v>
      </c>
      <c r="U1257" s="38" t="n">
        <f aca="false">IF($H1257="","",$R1257/5)</f>
        <v>0</v>
      </c>
    </row>
    <row r="1258" customFormat="false" ht="26.85" hidden="false" customHeight="false" outlineLevel="0" collapsed="false">
      <c r="A1258" s="31" t="s">
        <v>7493</v>
      </c>
      <c r="B1258" s="31" t="n">
        <v>63</v>
      </c>
      <c r="C1258" s="32" t="n">
        <f aca="false">SETTINGS!$C$3+$B1258-1</f>
        <v>46362</v>
      </c>
      <c r="D1258" s="41" t="s">
        <v>7168</v>
      </c>
      <c r="E1258" s="34" t="s">
        <v>7403</v>
      </c>
      <c r="F1258" s="34" t="s">
        <v>472</v>
      </c>
      <c r="G1258" s="34" t="s">
        <v>7494</v>
      </c>
      <c r="H1258" s="35" t="s">
        <v>7495</v>
      </c>
      <c r="I1258" s="36" t="s">
        <v>7496</v>
      </c>
      <c r="J1258" s="34" t="s">
        <v>7497</v>
      </c>
      <c r="K1258" s="34" t="s">
        <v>7498</v>
      </c>
      <c r="L1258" s="37"/>
      <c r="M1258" s="37"/>
      <c r="N1258" s="37"/>
      <c r="O1258" s="37"/>
      <c r="P1258" s="37"/>
      <c r="Q1258" s="37"/>
      <c r="R1258" s="31" t="n">
        <f aca="false">COUNT($M1258:$Q1258)</f>
        <v>0</v>
      </c>
      <c r="S1258" s="32" t="str">
        <f aca="false">IF($L1258="","",IF($R1258&gt;=5,"",MAX($L1258:$Q1258)+CHOOSE($R1258+1,SETTINGS!$C$9,SETTINGS!$C$10,SETTINGS!$C$11,SETTINGS!$C$12,SETTINGS!$C$13)))</f>
        <v/>
      </c>
      <c r="T1258" s="34" t="str">
        <f aca="true">IF($H1258="","(chưa có nội dung)",IF($L1258="",IF($C1258&lt;TODAY(),"⚠ TRỄ HỌC",IF($C1258=TODAY(),"★ HỌC HÔM NAY","• Chưa tới")),IF($R1258&gt;=5,"✔ MASTER",IF($S1258&lt;TODAY(),"⚠ TRỄ ÔN",IF($S1258=TODAY(),"◆ ÔN HÔM NAY","✔ Đúng tiến độ")))))</f>
        <v>• Chưa tới</v>
      </c>
      <c r="U1258" s="38" t="n">
        <f aca="false">IF($H1258="","",$R1258/5)</f>
        <v>0</v>
      </c>
    </row>
    <row r="1259" customFormat="false" ht="26.85" hidden="false" customHeight="false" outlineLevel="0" collapsed="false">
      <c r="A1259" s="31" t="s">
        <v>7499</v>
      </c>
      <c r="B1259" s="31" t="n">
        <v>63</v>
      </c>
      <c r="C1259" s="32" t="n">
        <f aca="false">SETTINGS!$C$3+$B1259-1</f>
        <v>46362</v>
      </c>
      <c r="D1259" s="41" t="s">
        <v>7168</v>
      </c>
      <c r="E1259" s="34" t="s">
        <v>7403</v>
      </c>
      <c r="F1259" s="34" t="s">
        <v>3694</v>
      </c>
      <c r="G1259" s="34" t="s">
        <v>7500</v>
      </c>
      <c r="H1259" s="35" t="s">
        <v>7501</v>
      </c>
      <c r="I1259" s="36" t="s">
        <v>7502</v>
      </c>
      <c r="J1259" s="34" t="s">
        <v>7503</v>
      </c>
      <c r="K1259" s="34" t="s">
        <v>7504</v>
      </c>
      <c r="L1259" s="37"/>
      <c r="M1259" s="37"/>
      <c r="N1259" s="37"/>
      <c r="O1259" s="37"/>
      <c r="P1259" s="37"/>
      <c r="Q1259" s="37"/>
      <c r="R1259" s="31" t="n">
        <f aca="false">COUNT($M1259:$Q1259)</f>
        <v>0</v>
      </c>
      <c r="S1259" s="32" t="str">
        <f aca="false">IF($L1259="","",IF($R1259&gt;=5,"",MAX($L1259:$Q1259)+CHOOSE($R1259+1,SETTINGS!$C$9,SETTINGS!$C$10,SETTINGS!$C$11,SETTINGS!$C$12,SETTINGS!$C$13)))</f>
        <v/>
      </c>
      <c r="T1259" s="34" t="str">
        <f aca="true">IF($H1259="","(chưa có nội dung)",IF($L1259="",IF($C1259&lt;TODAY(),"⚠ TRỄ HỌC",IF($C1259=TODAY(),"★ HỌC HÔM NAY","• Chưa tới")),IF($R1259&gt;=5,"✔ MASTER",IF($S1259&lt;TODAY(),"⚠ TRỄ ÔN",IF($S1259=TODAY(),"◆ ÔN HÔM NAY","✔ Đúng tiến độ")))))</f>
        <v>• Chưa tới</v>
      </c>
      <c r="U1259" s="38" t="n">
        <f aca="false">IF($H1259="","",$R1259/5)</f>
        <v>0</v>
      </c>
    </row>
    <row r="1260" customFormat="false" ht="15" hidden="false" customHeight="false" outlineLevel="0" collapsed="false">
      <c r="A1260" s="31" t="s">
        <v>7505</v>
      </c>
      <c r="B1260" s="31" t="n">
        <v>63</v>
      </c>
      <c r="C1260" s="32" t="n">
        <f aca="false">SETTINGS!$C$3+$B1260-1</f>
        <v>46362</v>
      </c>
      <c r="D1260" s="41" t="s">
        <v>7168</v>
      </c>
      <c r="E1260" s="34" t="s">
        <v>7403</v>
      </c>
      <c r="F1260" s="34" t="s">
        <v>202</v>
      </c>
      <c r="G1260" s="34" t="s">
        <v>7506</v>
      </c>
      <c r="H1260" s="35" t="s">
        <v>7507</v>
      </c>
      <c r="I1260" s="36" t="s">
        <v>7508</v>
      </c>
      <c r="J1260" s="34" t="s">
        <v>7509</v>
      </c>
      <c r="K1260" s="34" t="s">
        <v>7506</v>
      </c>
      <c r="L1260" s="37"/>
      <c r="M1260" s="37"/>
      <c r="N1260" s="37"/>
      <c r="O1260" s="37"/>
      <c r="P1260" s="37"/>
      <c r="Q1260" s="37"/>
      <c r="R1260" s="31" t="n">
        <f aca="false">COUNT($M1260:$Q1260)</f>
        <v>0</v>
      </c>
      <c r="S1260" s="32" t="str">
        <f aca="false">IF($L1260="","",IF($R1260&gt;=5,"",MAX($L1260:$Q1260)+CHOOSE($R1260+1,SETTINGS!$C$9,SETTINGS!$C$10,SETTINGS!$C$11,SETTINGS!$C$12,SETTINGS!$C$13)))</f>
        <v/>
      </c>
      <c r="T1260" s="34" t="str">
        <f aca="true">IF($H1260="","(chưa có nội dung)",IF($L1260="",IF($C1260&lt;TODAY(),"⚠ TRỄ HỌC",IF($C1260=TODAY(),"★ HỌC HÔM NAY","• Chưa tới")),IF($R1260&gt;=5,"✔ MASTER",IF($S1260&lt;TODAY(),"⚠ TRỄ ÔN",IF($S1260=TODAY(),"◆ ÔN HÔM NAY","✔ Đúng tiến độ")))))</f>
        <v>• Chưa tới</v>
      </c>
      <c r="U1260" s="38" t="n">
        <f aca="false">IF($H1260="","",$R1260/5)</f>
        <v>0</v>
      </c>
    </row>
    <row r="1261" customFormat="false" ht="15" hidden="false" customHeight="false" outlineLevel="0" collapsed="false">
      <c r="A1261" s="31" t="s">
        <v>7510</v>
      </c>
      <c r="B1261" s="31" t="n">
        <v>63</v>
      </c>
      <c r="C1261" s="32" t="n">
        <f aca="false">SETTINGS!$C$3+$B1261-1</f>
        <v>46362</v>
      </c>
      <c r="D1261" s="41" t="s">
        <v>7168</v>
      </c>
      <c r="E1261" s="34" t="s">
        <v>7403</v>
      </c>
      <c r="F1261" s="34" t="s">
        <v>280</v>
      </c>
      <c r="G1261" s="34" t="s">
        <v>7511</v>
      </c>
      <c r="H1261" s="35" t="s">
        <v>7512</v>
      </c>
      <c r="I1261" s="36" t="s">
        <v>7513</v>
      </c>
      <c r="J1261" s="34" t="s">
        <v>7514</v>
      </c>
      <c r="K1261" s="34" t="s">
        <v>7515</v>
      </c>
      <c r="L1261" s="37"/>
      <c r="M1261" s="37"/>
      <c r="N1261" s="37"/>
      <c r="O1261" s="37"/>
      <c r="P1261" s="37"/>
      <c r="Q1261" s="37"/>
      <c r="R1261" s="31" t="n">
        <f aca="false">COUNT($M1261:$Q1261)</f>
        <v>0</v>
      </c>
      <c r="S1261" s="32" t="str">
        <f aca="false">IF($L1261="","",IF($R1261&gt;=5,"",MAX($L1261:$Q1261)+CHOOSE($R1261+1,SETTINGS!$C$9,SETTINGS!$C$10,SETTINGS!$C$11,SETTINGS!$C$12,SETTINGS!$C$13)))</f>
        <v/>
      </c>
      <c r="T1261" s="34" t="str">
        <f aca="true">IF($H1261="","(chưa có nội dung)",IF($L1261="",IF($C1261&lt;TODAY(),"⚠ TRỄ HỌC",IF($C1261=TODAY(),"★ HỌC HÔM NAY","• Chưa tới")),IF($R1261&gt;=5,"✔ MASTER",IF($S1261&lt;TODAY(),"⚠ TRỄ ÔN",IF($S1261=TODAY(),"◆ ÔN HÔM NAY","✔ Đúng tiến độ")))))</f>
        <v>• Chưa tới</v>
      </c>
      <c r="U1261" s="38" t="n">
        <f aca="false">IF($H1261="","",$R1261/5)</f>
        <v>0</v>
      </c>
    </row>
    <row r="1262" customFormat="false" ht="15" hidden="false" customHeight="false" outlineLevel="0" collapsed="false">
      <c r="A1262" s="31" t="s">
        <v>7516</v>
      </c>
      <c r="B1262" s="31" t="n">
        <v>63</v>
      </c>
      <c r="C1262" s="32" t="n">
        <f aca="false">SETTINGS!$C$3+$B1262-1</f>
        <v>46362</v>
      </c>
      <c r="D1262" s="41" t="s">
        <v>7168</v>
      </c>
      <c r="E1262" s="34" t="s">
        <v>7403</v>
      </c>
      <c r="F1262" s="34" t="s">
        <v>280</v>
      </c>
      <c r="G1262" s="34" t="s">
        <v>7517</v>
      </c>
      <c r="H1262" s="35" t="s">
        <v>7518</v>
      </c>
      <c r="I1262" s="36" t="s">
        <v>7519</v>
      </c>
      <c r="J1262" s="34" t="s">
        <v>7520</v>
      </c>
      <c r="K1262" s="34" t="s">
        <v>7521</v>
      </c>
      <c r="L1262" s="37"/>
      <c r="M1262" s="37"/>
      <c r="N1262" s="37"/>
      <c r="O1262" s="37"/>
      <c r="P1262" s="37"/>
      <c r="Q1262" s="37"/>
      <c r="R1262" s="31" t="n">
        <f aca="false">COUNT($M1262:$Q1262)</f>
        <v>0</v>
      </c>
      <c r="S1262" s="32" t="str">
        <f aca="false">IF($L1262="","",IF($R1262&gt;=5,"",MAX($L1262:$Q1262)+CHOOSE($R1262+1,SETTINGS!$C$9,SETTINGS!$C$10,SETTINGS!$C$11,SETTINGS!$C$12,SETTINGS!$C$13)))</f>
        <v/>
      </c>
      <c r="T1262" s="34" t="str">
        <f aca="true">IF($H1262="","(chưa có nội dung)",IF($L1262="",IF($C1262&lt;TODAY(),"⚠ TRỄ HỌC",IF($C1262=TODAY(),"★ HỌC HÔM NAY","• Chưa tới")),IF($R1262&gt;=5,"✔ MASTER",IF($S1262&lt;TODAY(),"⚠ TRỄ ÔN",IF($S1262=TODAY(),"◆ ÔN HÔM NAY","✔ Đúng tiến độ")))))</f>
        <v>• Chưa tới</v>
      </c>
      <c r="U1262" s="38" t="n">
        <f aca="false">IF($H1262="","",$R1262/5)</f>
        <v>0</v>
      </c>
    </row>
    <row r="1263" customFormat="false" ht="15" hidden="false" customHeight="false" outlineLevel="0" collapsed="false">
      <c r="A1263" s="31" t="s">
        <v>7522</v>
      </c>
      <c r="B1263" s="31" t="n">
        <v>64</v>
      </c>
      <c r="C1263" s="32" t="n">
        <f aca="false">SETTINGS!$C$3+$B1263-1</f>
        <v>46363</v>
      </c>
      <c r="D1263" s="41" t="s">
        <v>7168</v>
      </c>
      <c r="E1263" s="34" t="s">
        <v>7523</v>
      </c>
      <c r="F1263" s="34" t="s">
        <v>280</v>
      </c>
      <c r="G1263" s="34" t="s">
        <v>7524</v>
      </c>
      <c r="H1263" s="35" t="s">
        <v>7525</v>
      </c>
      <c r="I1263" s="36" t="s">
        <v>7526</v>
      </c>
      <c r="J1263" s="34" t="s">
        <v>7527</v>
      </c>
      <c r="K1263" s="34" t="s">
        <v>955</v>
      </c>
      <c r="L1263" s="37"/>
      <c r="M1263" s="37"/>
      <c r="N1263" s="37"/>
      <c r="O1263" s="37"/>
      <c r="P1263" s="37"/>
      <c r="Q1263" s="37"/>
      <c r="R1263" s="31" t="n">
        <f aca="false">COUNT($M1263:$Q1263)</f>
        <v>0</v>
      </c>
      <c r="S1263" s="32" t="str">
        <f aca="false">IF($L1263="","",IF($R1263&gt;=5,"",MAX($L1263:$Q1263)+CHOOSE($R1263+1,SETTINGS!$C$9,SETTINGS!$C$10,SETTINGS!$C$11,SETTINGS!$C$12,SETTINGS!$C$13)))</f>
        <v/>
      </c>
      <c r="T1263" s="34" t="str">
        <f aca="true">IF($H1263="","(chưa có nội dung)",IF($L1263="",IF($C1263&lt;TODAY(),"⚠ TRỄ HỌC",IF($C1263=TODAY(),"★ HỌC HÔM NAY","• Chưa tới")),IF($R1263&gt;=5,"✔ MASTER",IF($S1263&lt;TODAY(),"⚠ TRỄ ÔN",IF($S1263=TODAY(),"◆ ÔN HÔM NAY","✔ Đúng tiến độ")))))</f>
        <v>• Chưa tới</v>
      </c>
      <c r="U1263" s="38" t="n">
        <f aca="false">IF($H1263="","",$R1263/5)</f>
        <v>0</v>
      </c>
    </row>
    <row r="1264" customFormat="false" ht="15" hidden="false" customHeight="false" outlineLevel="0" collapsed="false">
      <c r="A1264" s="31" t="s">
        <v>7528</v>
      </c>
      <c r="B1264" s="31" t="n">
        <v>64</v>
      </c>
      <c r="C1264" s="32" t="n">
        <f aca="false">SETTINGS!$C$3+$B1264-1</f>
        <v>46363</v>
      </c>
      <c r="D1264" s="41" t="s">
        <v>7168</v>
      </c>
      <c r="E1264" s="34" t="s">
        <v>7523</v>
      </c>
      <c r="F1264" s="34" t="s">
        <v>280</v>
      </c>
      <c r="G1264" s="34" t="s">
        <v>7529</v>
      </c>
      <c r="H1264" s="35" t="s">
        <v>7530</v>
      </c>
      <c r="I1264" s="36" t="s">
        <v>7531</v>
      </c>
      <c r="J1264" s="34" t="s">
        <v>7532</v>
      </c>
      <c r="K1264" s="34" t="s">
        <v>7533</v>
      </c>
      <c r="L1264" s="37"/>
      <c r="M1264" s="37"/>
      <c r="N1264" s="37"/>
      <c r="O1264" s="37"/>
      <c r="P1264" s="37"/>
      <c r="Q1264" s="37"/>
      <c r="R1264" s="31" t="n">
        <f aca="false">COUNT($M1264:$Q1264)</f>
        <v>0</v>
      </c>
      <c r="S1264" s="32" t="str">
        <f aca="false">IF($L1264="","",IF($R1264&gt;=5,"",MAX($L1264:$Q1264)+CHOOSE($R1264+1,SETTINGS!$C$9,SETTINGS!$C$10,SETTINGS!$C$11,SETTINGS!$C$12,SETTINGS!$C$13)))</f>
        <v/>
      </c>
      <c r="T1264" s="34" t="str">
        <f aca="true">IF($H1264="","(chưa có nội dung)",IF($L1264="",IF($C1264&lt;TODAY(),"⚠ TRỄ HỌC",IF($C1264=TODAY(),"★ HỌC HÔM NAY","• Chưa tới")),IF($R1264&gt;=5,"✔ MASTER",IF($S1264&lt;TODAY(),"⚠ TRỄ ÔN",IF($S1264=TODAY(),"◆ ÔN HÔM NAY","✔ Đúng tiến độ")))))</f>
        <v>• Chưa tới</v>
      </c>
      <c r="U1264" s="38" t="n">
        <f aca="false">IF($H1264="","",$R1264/5)</f>
        <v>0</v>
      </c>
    </row>
    <row r="1265" customFormat="false" ht="15" hidden="false" customHeight="false" outlineLevel="0" collapsed="false">
      <c r="A1265" s="31" t="s">
        <v>7534</v>
      </c>
      <c r="B1265" s="31" t="n">
        <v>64</v>
      </c>
      <c r="C1265" s="32" t="n">
        <f aca="false">SETTINGS!$C$3+$B1265-1</f>
        <v>46363</v>
      </c>
      <c r="D1265" s="41" t="s">
        <v>7168</v>
      </c>
      <c r="E1265" s="34" t="s">
        <v>7523</v>
      </c>
      <c r="F1265" s="34" t="s">
        <v>280</v>
      </c>
      <c r="G1265" s="34" t="s">
        <v>7535</v>
      </c>
      <c r="H1265" s="35" t="s">
        <v>7536</v>
      </c>
      <c r="I1265" s="36" t="s">
        <v>7537</v>
      </c>
      <c r="J1265" s="34" t="s">
        <v>7538</v>
      </c>
      <c r="K1265" s="34" t="s">
        <v>7539</v>
      </c>
      <c r="L1265" s="37"/>
      <c r="M1265" s="37"/>
      <c r="N1265" s="37"/>
      <c r="O1265" s="37"/>
      <c r="P1265" s="37"/>
      <c r="Q1265" s="37"/>
      <c r="R1265" s="31" t="n">
        <f aca="false">COUNT($M1265:$Q1265)</f>
        <v>0</v>
      </c>
      <c r="S1265" s="32" t="str">
        <f aca="false">IF($L1265="","",IF($R1265&gt;=5,"",MAX($L1265:$Q1265)+CHOOSE($R1265+1,SETTINGS!$C$9,SETTINGS!$C$10,SETTINGS!$C$11,SETTINGS!$C$12,SETTINGS!$C$13)))</f>
        <v/>
      </c>
      <c r="T1265" s="34" t="str">
        <f aca="true">IF($H1265="","(chưa có nội dung)",IF($L1265="",IF($C1265&lt;TODAY(),"⚠ TRỄ HỌC",IF($C1265=TODAY(),"★ HỌC HÔM NAY","• Chưa tới")),IF($R1265&gt;=5,"✔ MASTER",IF($S1265&lt;TODAY(),"⚠ TRỄ ÔN",IF($S1265=TODAY(),"◆ ÔN HÔM NAY","✔ Đúng tiến độ")))))</f>
        <v>• Chưa tới</v>
      </c>
      <c r="U1265" s="38" t="n">
        <f aca="false">IF($H1265="","",$R1265/5)</f>
        <v>0</v>
      </c>
    </row>
    <row r="1266" customFormat="false" ht="15" hidden="false" customHeight="false" outlineLevel="0" collapsed="false">
      <c r="A1266" s="31" t="s">
        <v>7540</v>
      </c>
      <c r="B1266" s="31" t="n">
        <v>64</v>
      </c>
      <c r="C1266" s="32" t="n">
        <f aca="false">SETTINGS!$C$3+$B1266-1</f>
        <v>46363</v>
      </c>
      <c r="D1266" s="41" t="s">
        <v>7168</v>
      </c>
      <c r="E1266" s="34" t="s">
        <v>7523</v>
      </c>
      <c r="F1266" s="34" t="s">
        <v>183</v>
      </c>
      <c r="G1266" s="34" t="s">
        <v>7541</v>
      </c>
      <c r="H1266" s="35" t="s">
        <v>7542</v>
      </c>
      <c r="I1266" s="36" t="s">
        <v>7543</v>
      </c>
      <c r="J1266" s="34" t="s">
        <v>7544</v>
      </c>
      <c r="K1266" s="34" t="s">
        <v>7545</v>
      </c>
      <c r="L1266" s="37"/>
      <c r="M1266" s="37"/>
      <c r="N1266" s="37"/>
      <c r="O1266" s="37"/>
      <c r="P1266" s="37"/>
      <c r="Q1266" s="37"/>
      <c r="R1266" s="31" t="n">
        <f aca="false">COUNT($M1266:$Q1266)</f>
        <v>0</v>
      </c>
      <c r="S1266" s="32" t="str">
        <f aca="false">IF($L1266="","",IF($R1266&gt;=5,"",MAX($L1266:$Q1266)+CHOOSE($R1266+1,SETTINGS!$C$9,SETTINGS!$C$10,SETTINGS!$C$11,SETTINGS!$C$12,SETTINGS!$C$13)))</f>
        <v/>
      </c>
      <c r="T1266" s="34" t="str">
        <f aca="true">IF($H1266="","(chưa có nội dung)",IF($L1266="",IF($C1266&lt;TODAY(),"⚠ TRỄ HỌC",IF($C1266=TODAY(),"★ HỌC HÔM NAY","• Chưa tới")),IF($R1266&gt;=5,"✔ MASTER",IF($S1266&lt;TODAY(),"⚠ TRỄ ÔN",IF($S1266=TODAY(),"◆ ÔN HÔM NAY","✔ Đúng tiến độ")))))</f>
        <v>• Chưa tới</v>
      </c>
      <c r="U1266" s="38" t="n">
        <f aca="false">IF($H1266="","",$R1266/5)</f>
        <v>0</v>
      </c>
    </row>
    <row r="1267" customFormat="false" ht="15" hidden="false" customHeight="false" outlineLevel="0" collapsed="false">
      <c r="A1267" s="31" t="s">
        <v>7546</v>
      </c>
      <c r="B1267" s="31" t="n">
        <v>64</v>
      </c>
      <c r="C1267" s="32" t="n">
        <f aca="false">SETTINGS!$C$3+$B1267-1</f>
        <v>46363</v>
      </c>
      <c r="D1267" s="41" t="s">
        <v>7168</v>
      </c>
      <c r="E1267" s="34" t="s">
        <v>7523</v>
      </c>
      <c r="F1267" s="34" t="s">
        <v>280</v>
      </c>
      <c r="G1267" s="34" t="s">
        <v>7547</v>
      </c>
      <c r="H1267" s="35" t="s">
        <v>7548</v>
      </c>
      <c r="I1267" s="36" t="s">
        <v>7549</v>
      </c>
      <c r="J1267" s="34" t="s">
        <v>7550</v>
      </c>
      <c r="K1267" s="34" t="s">
        <v>7551</v>
      </c>
      <c r="L1267" s="37"/>
      <c r="M1267" s="37"/>
      <c r="N1267" s="37"/>
      <c r="O1267" s="37"/>
      <c r="P1267" s="37"/>
      <c r="Q1267" s="37"/>
      <c r="R1267" s="31" t="n">
        <f aca="false">COUNT($M1267:$Q1267)</f>
        <v>0</v>
      </c>
      <c r="S1267" s="32" t="str">
        <f aca="false">IF($L1267="","",IF($R1267&gt;=5,"",MAX($L1267:$Q1267)+CHOOSE($R1267+1,SETTINGS!$C$9,SETTINGS!$C$10,SETTINGS!$C$11,SETTINGS!$C$12,SETTINGS!$C$13)))</f>
        <v/>
      </c>
      <c r="T1267" s="34" t="str">
        <f aca="true">IF($H1267="","(chưa có nội dung)",IF($L1267="",IF($C1267&lt;TODAY(),"⚠ TRỄ HỌC",IF($C1267=TODAY(),"★ HỌC HÔM NAY","• Chưa tới")),IF($R1267&gt;=5,"✔ MASTER",IF($S1267&lt;TODAY(),"⚠ TRỄ ÔN",IF($S1267=TODAY(),"◆ ÔN HÔM NAY","✔ Đúng tiến độ")))))</f>
        <v>• Chưa tới</v>
      </c>
      <c r="U1267" s="38" t="n">
        <f aca="false">IF($H1267="","",$R1267/5)</f>
        <v>0</v>
      </c>
    </row>
    <row r="1268" customFormat="false" ht="15" hidden="false" customHeight="false" outlineLevel="0" collapsed="false">
      <c r="A1268" s="31" t="s">
        <v>7552</v>
      </c>
      <c r="B1268" s="31" t="n">
        <v>64</v>
      </c>
      <c r="C1268" s="32" t="n">
        <f aca="false">SETTINGS!$C$3+$B1268-1</f>
        <v>46363</v>
      </c>
      <c r="D1268" s="41" t="s">
        <v>7168</v>
      </c>
      <c r="E1268" s="34" t="s">
        <v>7523</v>
      </c>
      <c r="F1268" s="34" t="s">
        <v>280</v>
      </c>
      <c r="G1268" s="34" t="s">
        <v>7553</v>
      </c>
      <c r="H1268" s="35" t="s">
        <v>7554</v>
      </c>
      <c r="I1268" s="36" t="s">
        <v>7555</v>
      </c>
      <c r="J1268" s="34" t="s">
        <v>7556</v>
      </c>
      <c r="K1268" s="34" t="s">
        <v>7557</v>
      </c>
      <c r="L1268" s="37"/>
      <c r="M1268" s="37"/>
      <c r="N1268" s="37"/>
      <c r="O1268" s="37"/>
      <c r="P1268" s="37"/>
      <c r="Q1268" s="37"/>
      <c r="R1268" s="31" t="n">
        <f aca="false">COUNT($M1268:$Q1268)</f>
        <v>0</v>
      </c>
      <c r="S1268" s="32" t="str">
        <f aca="false">IF($L1268="","",IF($R1268&gt;=5,"",MAX($L1268:$Q1268)+CHOOSE($R1268+1,SETTINGS!$C$9,SETTINGS!$C$10,SETTINGS!$C$11,SETTINGS!$C$12,SETTINGS!$C$13)))</f>
        <v/>
      </c>
      <c r="T1268" s="34" t="str">
        <f aca="true">IF($H1268="","(chưa có nội dung)",IF($L1268="",IF($C1268&lt;TODAY(),"⚠ TRỄ HỌC",IF($C1268=TODAY(),"★ HỌC HÔM NAY","• Chưa tới")),IF($R1268&gt;=5,"✔ MASTER",IF($S1268&lt;TODAY(),"⚠ TRỄ ÔN",IF($S1268=TODAY(),"◆ ÔN HÔM NAY","✔ Đúng tiến độ")))))</f>
        <v>• Chưa tới</v>
      </c>
      <c r="U1268" s="38" t="n">
        <f aca="false">IF($H1268="","",$R1268/5)</f>
        <v>0</v>
      </c>
    </row>
    <row r="1269" customFormat="false" ht="15" hidden="false" customHeight="false" outlineLevel="0" collapsed="false">
      <c r="A1269" s="31" t="s">
        <v>7558</v>
      </c>
      <c r="B1269" s="31" t="n">
        <v>64</v>
      </c>
      <c r="C1269" s="32" t="n">
        <f aca="false">SETTINGS!$C$3+$B1269-1</f>
        <v>46363</v>
      </c>
      <c r="D1269" s="41" t="s">
        <v>7168</v>
      </c>
      <c r="E1269" s="34" t="s">
        <v>7523</v>
      </c>
      <c r="F1269" s="34" t="s">
        <v>280</v>
      </c>
      <c r="G1269" s="34" t="s">
        <v>7559</v>
      </c>
      <c r="H1269" s="35" t="s">
        <v>7560</v>
      </c>
      <c r="I1269" s="36" t="s">
        <v>7561</v>
      </c>
      <c r="J1269" s="34" t="s">
        <v>7562</v>
      </c>
      <c r="K1269" s="34" t="s">
        <v>4606</v>
      </c>
      <c r="L1269" s="37"/>
      <c r="M1269" s="37"/>
      <c r="N1269" s="37"/>
      <c r="O1269" s="37"/>
      <c r="P1269" s="37"/>
      <c r="Q1269" s="37"/>
      <c r="R1269" s="31" t="n">
        <f aca="false">COUNT($M1269:$Q1269)</f>
        <v>0</v>
      </c>
      <c r="S1269" s="32" t="str">
        <f aca="false">IF($L1269="","",IF($R1269&gt;=5,"",MAX($L1269:$Q1269)+CHOOSE($R1269+1,SETTINGS!$C$9,SETTINGS!$C$10,SETTINGS!$C$11,SETTINGS!$C$12,SETTINGS!$C$13)))</f>
        <v/>
      </c>
      <c r="T1269" s="34" t="str">
        <f aca="true">IF($H1269="","(chưa có nội dung)",IF($L1269="",IF($C1269&lt;TODAY(),"⚠ TRỄ HỌC",IF($C1269=TODAY(),"★ HỌC HÔM NAY","• Chưa tới")),IF($R1269&gt;=5,"✔ MASTER",IF($S1269&lt;TODAY(),"⚠ TRỄ ÔN",IF($S1269=TODAY(),"◆ ÔN HÔM NAY","✔ Đúng tiến độ")))))</f>
        <v>• Chưa tới</v>
      </c>
      <c r="U1269" s="38" t="n">
        <f aca="false">IF($H1269="","",$R1269/5)</f>
        <v>0</v>
      </c>
    </row>
    <row r="1270" customFormat="false" ht="15" hidden="false" customHeight="false" outlineLevel="0" collapsed="false">
      <c r="A1270" s="31" t="s">
        <v>7563</v>
      </c>
      <c r="B1270" s="31" t="n">
        <v>64</v>
      </c>
      <c r="C1270" s="32" t="n">
        <f aca="false">SETTINGS!$C$3+$B1270-1</f>
        <v>46363</v>
      </c>
      <c r="D1270" s="41" t="s">
        <v>7168</v>
      </c>
      <c r="E1270" s="34" t="s">
        <v>7523</v>
      </c>
      <c r="F1270" s="34" t="s">
        <v>3694</v>
      </c>
      <c r="G1270" s="34" t="s">
        <v>7564</v>
      </c>
      <c r="H1270" s="35" t="s">
        <v>7565</v>
      </c>
      <c r="I1270" s="36" t="s">
        <v>7566</v>
      </c>
      <c r="J1270" s="34" t="s">
        <v>7567</v>
      </c>
      <c r="K1270" s="34" t="s">
        <v>7568</v>
      </c>
      <c r="L1270" s="37"/>
      <c r="M1270" s="37"/>
      <c r="N1270" s="37"/>
      <c r="O1270" s="37"/>
      <c r="P1270" s="37"/>
      <c r="Q1270" s="37"/>
      <c r="R1270" s="31" t="n">
        <f aca="false">COUNT($M1270:$Q1270)</f>
        <v>0</v>
      </c>
      <c r="S1270" s="32" t="str">
        <f aca="false">IF($L1270="","",IF($R1270&gt;=5,"",MAX($L1270:$Q1270)+CHOOSE($R1270+1,SETTINGS!$C$9,SETTINGS!$C$10,SETTINGS!$C$11,SETTINGS!$C$12,SETTINGS!$C$13)))</f>
        <v/>
      </c>
      <c r="T1270" s="34" t="str">
        <f aca="true">IF($H1270="","(chưa có nội dung)",IF($L1270="",IF($C1270&lt;TODAY(),"⚠ TRỄ HỌC",IF($C1270=TODAY(),"★ HỌC HÔM NAY","• Chưa tới")),IF($R1270&gt;=5,"✔ MASTER",IF($S1270&lt;TODAY(),"⚠ TRỄ ÔN",IF($S1270=TODAY(),"◆ ÔN HÔM NAY","✔ Đúng tiến độ")))))</f>
        <v>• Chưa tới</v>
      </c>
      <c r="U1270" s="38" t="n">
        <f aca="false">IF($H1270="","",$R1270/5)</f>
        <v>0</v>
      </c>
    </row>
    <row r="1271" customFormat="false" ht="15" hidden="false" customHeight="false" outlineLevel="0" collapsed="false">
      <c r="A1271" s="31" t="s">
        <v>7569</v>
      </c>
      <c r="B1271" s="31" t="n">
        <v>64</v>
      </c>
      <c r="C1271" s="32" t="n">
        <f aca="false">SETTINGS!$C$3+$B1271-1</f>
        <v>46363</v>
      </c>
      <c r="D1271" s="41" t="s">
        <v>7168</v>
      </c>
      <c r="E1271" s="34" t="s">
        <v>7523</v>
      </c>
      <c r="F1271" s="34" t="s">
        <v>280</v>
      </c>
      <c r="G1271" s="34" t="s">
        <v>7570</v>
      </c>
      <c r="H1271" s="35" t="s">
        <v>7571</v>
      </c>
      <c r="I1271" s="36" t="s">
        <v>7572</v>
      </c>
      <c r="J1271" s="34" t="s">
        <v>7573</v>
      </c>
      <c r="K1271" s="34" t="s">
        <v>7574</v>
      </c>
      <c r="L1271" s="37"/>
      <c r="M1271" s="37"/>
      <c r="N1271" s="37"/>
      <c r="O1271" s="37"/>
      <c r="P1271" s="37"/>
      <c r="Q1271" s="37"/>
      <c r="R1271" s="31" t="n">
        <f aca="false">COUNT($M1271:$Q1271)</f>
        <v>0</v>
      </c>
      <c r="S1271" s="32" t="str">
        <f aca="false">IF($L1271="","",IF($R1271&gt;=5,"",MAX($L1271:$Q1271)+CHOOSE($R1271+1,SETTINGS!$C$9,SETTINGS!$C$10,SETTINGS!$C$11,SETTINGS!$C$12,SETTINGS!$C$13)))</f>
        <v/>
      </c>
      <c r="T1271" s="34" t="str">
        <f aca="true">IF($H1271="","(chưa có nội dung)",IF($L1271="",IF($C1271&lt;TODAY(),"⚠ TRỄ HỌC",IF($C1271=TODAY(),"★ HỌC HÔM NAY","• Chưa tới")),IF($R1271&gt;=5,"✔ MASTER",IF($S1271&lt;TODAY(),"⚠ TRỄ ÔN",IF($S1271=TODAY(),"◆ ÔN HÔM NAY","✔ Đúng tiến độ")))))</f>
        <v>• Chưa tới</v>
      </c>
      <c r="U1271" s="38" t="n">
        <f aca="false">IF($H1271="","",$R1271/5)</f>
        <v>0</v>
      </c>
    </row>
    <row r="1272" customFormat="false" ht="15" hidden="false" customHeight="false" outlineLevel="0" collapsed="false">
      <c r="A1272" s="31" t="s">
        <v>7575</v>
      </c>
      <c r="B1272" s="31" t="n">
        <v>64</v>
      </c>
      <c r="C1272" s="32" t="n">
        <f aca="false">SETTINGS!$C$3+$B1272-1</f>
        <v>46363</v>
      </c>
      <c r="D1272" s="41" t="s">
        <v>7168</v>
      </c>
      <c r="E1272" s="34" t="s">
        <v>7523</v>
      </c>
      <c r="F1272" s="34" t="s">
        <v>3694</v>
      </c>
      <c r="G1272" s="34" t="s">
        <v>7576</v>
      </c>
      <c r="H1272" s="35" t="s">
        <v>7577</v>
      </c>
      <c r="I1272" s="36" t="s">
        <v>7578</v>
      </c>
      <c r="J1272" s="34" t="s">
        <v>7579</v>
      </c>
      <c r="K1272" s="34" t="s">
        <v>7576</v>
      </c>
      <c r="L1272" s="37"/>
      <c r="M1272" s="37"/>
      <c r="N1272" s="37"/>
      <c r="O1272" s="37"/>
      <c r="P1272" s="37"/>
      <c r="Q1272" s="37"/>
      <c r="R1272" s="31" t="n">
        <f aca="false">COUNT($M1272:$Q1272)</f>
        <v>0</v>
      </c>
      <c r="S1272" s="32" t="str">
        <f aca="false">IF($L1272="","",IF($R1272&gt;=5,"",MAX($L1272:$Q1272)+CHOOSE($R1272+1,SETTINGS!$C$9,SETTINGS!$C$10,SETTINGS!$C$11,SETTINGS!$C$12,SETTINGS!$C$13)))</f>
        <v/>
      </c>
      <c r="T1272" s="34" t="str">
        <f aca="true">IF($H1272="","(chưa có nội dung)",IF($L1272="",IF($C1272&lt;TODAY(),"⚠ TRỄ HỌC",IF($C1272=TODAY(),"★ HỌC HÔM NAY","• Chưa tới")),IF($R1272&gt;=5,"✔ MASTER",IF($S1272&lt;TODAY(),"⚠ TRỄ ÔN",IF($S1272=TODAY(),"◆ ÔN HÔM NAY","✔ Đúng tiến độ")))))</f>
        <v>• Chưa tới</v>
      </c>
      <c r="U1272" s="38" t="n">
        <f aca="false">IF($H1272="","",$R1272/5)</f>
        <v>0</v>
      </c>
    </row>
    <row r="1273" customFormat="false" ht="15" hidden="false" customHeight="false" outlineLevel="0" collapsed="false">
      <c r="A1273" s="31" t="s">
        <v>7580</v>
      </c>
      <c r="B1273" s="31" t="n">
        <v>64</v>
      </c>
      <c r="C1273" s="32" t="n">
        <f aca="false">SETTINGS!$C$3+$B1273-1</f>
        <v>46363</v>
      </c>
      <c r="D1273" s="41" t="s">
        <v>7168</v>
      </c>
      <c r="E1273" s="34" t="s">
        <v>7523</v>
      </c>
      <c r="F1273" s="34" t="s">
        <v>280</v>
      </c>
      <c r="G1273" s="34" t="s">
        <v>7581</v>
      </c>
      <c r="H1273" s="35" t="s">
        <v>7582</v>
      </c>
      <c r="I1273" s="36" t="s">
        <v>7583</v>
      </c>
      <c r="J1273" s="34" t="s">
        <v>7584</v>
      </c>
      <c r="K1273" s="34" t="s">
        <v>7585</v>
      </c>
      <c r="L1273" s="37"/>
      <c r="M1273" s="37"/>
      <c r="N1273" s="37"/>
      <c r="O1273" s="37"/>
      <c r="P1273" s="37"/>
      <c r="Q1273" s="37"/>
      <c r="R1273" s="31" t="n">
        <f aca="false">COUNT($M1273:$Q1273)</f>
        <v>0</v>
      </c>
      <c r="S1273" s="32" t="str">
        <f aca="false">IF($L1273="","",IF($R1273&gt;=5,"",MAX($L1273:$Q1273)+CHOOSE($R1273+1,SETTINGS!$C$9,SETTINGS!$C$10,SETTINGS!$C$11,SETTINGS!$C$12,SETTINGS!$C$13)))</f>
        <v/>
      </c>
      <c r="T1273" s="34" t="str">
        <f aca="true">IF($H1273="","(chưa có nội dung)",IF($L1273="",IF($C1273&lt;TODAY(),"⚠ TRỄ HỌC",IF($C1273=TODAY(),"★ HỌC HÔM NAY","• Chưa tới")),IF($R1273&gt;=5,"✔ MASTER",IF($S1273&lt;TODAY(),"⚠ TRỄ ÔN",IF($S1273=TODAY(),"◆ ÔN HÔM NAY","✔ Đúng tiến độ")))))</f>
        <v>• Chưa tới</v>
      </c>
      <c r="U1273" s="38" t="n">
        <f aca="false">IF($H1273="","",$R1273/5)</f>
        <v>0</v>
      </c>
    </row>
    <row r="1274" customFormat="false" ht="15" hidden="false" customHeight="false" outlineLevel="0" collapsed="false">
      <c r="A1274" s="31" t="s">
        <v>7586</v>
      </c>
      <c r="B1274" s="31" t="n">
        <v>64</v>
      </c>
      <c r="C1274" s="32" t="n">
        <f aca="false">SETTINGS!$C$3+$B1274-1</f>
        <v>46363</v>
      </c>
      <c r="D1274" s="41" t="s">
        <v>7168</v>
      </c>
      <c r="E1274" s="34" t="s">
        <v>7523</v>
      </c>
      <c r="F1274" s="34" t="s">
        <v>3656</v>
      </c>
      <c r="G1274" s="34" t="s">
        <v>7587</v>
      </c>
      <c r="H1274" s="35" t="s">
        <v>7588</v>
      </c>
      <c r="I1274" s="36" t="s">
        <v>7589</v>
      </c>
      <c r="J1274" s="34" t="s">
        <v>7590</v>
      </c>
      <c r="K1274" s="34" t="s">
        <v>7591</v>
      </c>
      <c r="L1274" s="37"/>
      <c r="M1274" s="37"/>
      <c r="N1274" s="37"/>
      <c r="O1274" s="37"/>
      <c r="P1274" s="37"/>
      <c r="Q1274" s="37"/>
      <c r="R1274" s="31" t="n">
        <f aca="false">COUNT($M1274:$Q1274)</f>
        <v>0</v>
      </c>
      <c r="S1274" s="32" t="str">
        <f aca="false">IF($L1274="","",IF($R1274&gt;=5,"",MAX($L1274:$Q1274)+CHOOSE($R1274+1,SETTINGS!$C$9,SETTINGS!$C$10,SETTINGS!$C$11,SETTINGS!$C$12,SETTINGS!$C$13)))</f>
        <v/>
      </c>
      <c r="T1274" s="34" t="str">
        <f aca="true">IF($H1274="","(chưa có nội dung)",IF($L1274="",IF($C1274&lt;TODAY(),"⚠ TRỄ HỌC",IF($C1274=TODAY(),"★ HỌC HÔM NAY","• Chưa tới")),IF($R1274&gt;=5,"✔ MASTER",IF($S1274&lt;TODAY(),"⚠ TRỄ ÔN",IF($S1274=TODAY(),"◆ ÔN HÔM NAY","✔ Đúng tiến độ")))))</f>
        <v>• Chưa tới</v>
      </c>
      <c r="U1274" s="38" t="n">
        <f aca="false">IF($H1274="","",$R1274/5)</f>
        <v>0</v>
      </c>
    </row>
    <row r="1275" customFormat="false" ht="15" hidden="false" customHeight="false" outlineLevel="0" collapsed="false">
      <c r="A1275" s="31" t="s">
        <v>7592</v>
      </c>
      <c r="B1275" s="31" t="n">
        <v>64</v>
      </c>
      <c r="C1275" s="32" t="n">
        <f aca="false">SETTINGS!$C$3+$B1275-1</f>
        <v>46363</v>
      </c>
      <c r="D1275" s="41" t="s">
        <v>7168</v>
      </c>
      <c r="E1275" s="34" t="s">
        <v>7523</v>
      </c>
      <c r="F1275" s="34" t="s">
        <v>280</v>
      </c>
      <c r="G1275" s="34" t="s">
        <v>7593</v>
      </c>
      <c r="H1275" s="35" t="s">
        <v>7594</v>
      </c>
      <c r="I1275" s="36" t="s">
        <v>7595</v>
      </c>
      <c r="J1275" s="34" t="s">
        <v>7596</v>
      </c>
      <c r="K1275" s="34" t="s">
        <v>2236</v>
      </c>
      <c r="L1275" s="37"/>
      <c r="M1275" s="37"/>
      <c r="N1275" s="37"/>
      <c r="O1275" s="37"/>
      <c r="P1275" s="37"/>
      <c r="Q1275" s="37"/>
      <c r="R1275" s="31" t="n">
        <f aca="false">COUNT($M1275:$Q1275)</f>
        <v>0</v>
      </c>
      <c r="S1275" s="32" t="str">
        <f aca="false">IF($L1275="","",IF($R1275&gt;=5,"",MAX($L1275:$Q1275)+CHOOSE($R1275+1,SETTINGS!$C$9,SETTINGS!$C$10,SETTINGS!$C$11,SETTINGS!$C$12,SETTINGS!$C$13)))</f>
        <v/>
      </c>
      <c r="T1275" s="34" t="str">
        <f aca="true">IF($H1275="","(chưa có nội dung)",IF($L1275="",IF($C1275&lt;TODAY(),"⚠ TRỄ HỌC",IF($C1275=TODAY(),"★ HỌC HÔM NAY","• Chưa tới")),IF($R1275&gt;=5,"✔ MASTER",IF($S1275&lt;TODAY(),"⚠ TRỄ ÔN",IF($S1275=TODAY(),"◆ ÔN HÔM NAY","✔ Đúng tiến độ")))))</f>
        <v>• Chưa tới</v>
      </c>
      <c r="U1275" s="38" t="n">
        <f aca="false">IF($H1275="","",$R1275/5)</f>
        <v>0</v>
      </c>
    </row>
    <row r="1276" customFormat="false" ht="15" hidden="false" customHeight="false" outlineLevel="0" collapsed="false">
      <c r="A1276" s="31" t="s">
        <v>7597</v>
      </c>
      <c r="B1276" s="31" t="n">
        <v>64</v>
      </c>
      <c r="C1276" s="32" t="n">
        <f aca="false">SETTINGS!$C$3+$B1276-1</f>
        <v>46363</v>
      </c>
      <c r="D1276" s="41" t="s">
        <v>7168</v>
      </c>
      <c r="E1276" s="34" t="s">
        <v>7523</v>
      </c>
      <c r="F1276" s="34" t="s">
        <v>280</v>
      </c>
      <c r="G1276" s="34" t="s">
        <v>7598</v>
      </c>
      <c r="H1276" s="35" t="s">
        <v>7599</v>
      </c>
      <c r="I1276" s="36" t="s">
        <v>7600</v>
      </c>
      <c r="J1276" s="34" t="s">
        <v>7601</v>
      </c>
      <c r="K1276" s="34" t="s">
        <v>7602</v>
      </c>
      <c r="L1276" s="37"/>
      <c r="M1276" s="37"/>
      <c r="N1276" s="37"/>
      <c r="O1276" s="37"/>
      <c r="P1276" s="37"/>
      <c r="Q1276" s="37"/>
      <c r="R1276" s="31" t="n">
        <f aca="false">COUNT($M1276:$Q1276)</f>
        <v>0</v>
      </c>
      <c r="S1276" s="32" t="str">
        <f aca="false">IF($L1276="","",IF($R1276&gt;=5,"",MAX($L1276:$Q1276)+CHOOSE($R1276+1,SETTINGS!$C$9,SETTINGS!$C$10,SETTINGS!$C$11,SETTINGS!$C$12,SETTINGS!$C$13)))</f>
        <v/>
      </c>
      <c r="T1276" s="34" t="str">
        <f aca="true">IF($H1276="","(chưa có nội dung)",IF($L1276="",IF($C1276&lt;TODAY(),"⚠ TRỄ HỌC",IF($C1276=TODAY(),"★ HỌC HÔM NAY","• Chưa tới")),IF($R1276&gt;=5,"✔ MASTER",IF($S1276&lt;TODAY(),"⚠ TRỄ ÔN",IF($S1276=TODAY(),"◆ ÔN HÔM NAY","✔ Đúng tiến độ")))))</f>
        <v>• Chưa tới</v>
      </c>
      <c r="U1276" s="38" t="n">
        <f aca="false">IF($H1276="","",$R1276/5)</f>
        <v>0</v>
      </c>
    </row>
    <row r="1277" customFormat="false" ht="15" hidden="false" customHeight="false" outlineLevel="0" collapsed="false">
      <c r="A1277" s="31" t="s">
        <v>7603</v>
      </c>
      <c r="B1277" s="31" t="n">
        <v>64</v>
      </c>
      <c r="C1277" s="32" t="n">
        <f aca="false">SETTINGS!$C$3+$B1277-1</f>
        <v>46363</v>
      </c>
      <c r="D1277" s="41" t="s">
        <v>7168</v>
      </c>
      <c r="E1277" s="34" t="s">
        <v>7523</v>
      </c>
      <c r="F1277" s="34" t="s">
        <v>3694</v>
      </c>
      <c r="G1277" s="34" t="s">
        <v>7604</v>
      </c>
      <c r="H1277" s="35" t="s">
        <v>7605</v>
      </c>
      <c r="I1277" s="36" t="s">
        <v>7606</v>
      </c>
      <c r="J1277" s="34" t="s">
        <v>7607</v>
      </c>
      <c r="K1277" s="34" t="s">
        <v>7608</v>
      </c>
      <c r="L1277" s="37"/>
      <c r="M1277" s="37"/>
      <c r="N1277" s="37"/>
      <c r="O1277" s="37"/>
      <c r="P1277" s="37"/>
      <c r="Q1277" s="37"/>
      <c r="R1277" s="31" t="n">
        <f aca="false">COUNT($M1277:$Q1277)</f>
        <v>0</v>
      </c>
      <c r="S1277" s="32" t="str">
        <f aca="false">IF($L1277="","",IF($R1277&gt;=5,"",MAX($L1277:$Q1277)+CHOOSE($R1277+1,SETTINGS!$C$9,SETTINGS!$C$10,SETTINGS!$C$11,SETTINGS!$C$12,SETTINGS!$C$13)))</f>
        <v/>
      </c>
      <c r="T1277" s="34" t="str">
        <f aca="true">IF($H1277="","(chưa có nội dung)",IF($L1277="",IF($C1277&lt;TODAY(),"⚠ TRỄ HỌC",IF($C1277=TODAY(),"★ HỌC HÔM NAY","• Chưa tới")),IF($R1277&gt;=5,"✔ MASTER",IF($S1277&lt;TODAY(),"⚠ TRỄ ÔN",IF($S1277=TODAY(),"◆ ÔN HÔM NAY","✔ Đúng tiến độ")))))</f>
        <v>• Chưa tới</v>
      </c>
      <c r="U1277" s="38" t="n">
        <f aca="false">IF($H1277="","",$R1277/5)</f>
        <v>0</v>
      </c>
    </row>
    <row r="1278" customFormat="false" ht="15" hidden="false" customHeight="false" outlineLevel="0" collapsed="false">
      <c r="A1278" s="31" t="s">
        <v>7609</v>
      </c>
      <c r="B1278" s="31" t="n">
        <v>64</v>
      </c>
      <c r="C1278" s="32" t="n">
        <f aca="false">SETTINGS!$C$3+$B1278-1</f>
        <v>46363</v>
      </c>
      <c r="D1278" s="41" t="s">
        <v>7168</v>
      </c>
      <c r="E1278" s="34" t="s">
        <v>7523</v>
      </c>
      <c r="F1278" s="34" t="s">
        <v>280</v>
      </c>
      <c r="G1278" s="34" t="s">
        <v>7334</v>
      </c>
      <c r="H1278" s="35" t="s">
        <v>7610</v>
      </c>
      <c r="I1278" s="36" t="s">
        <v>7611</v>
      </c>
      <c r="J1278" s="34" t="s">
        <v>7612</v>
      </c>
      <c r="K1278" s="34" t="s">
        <v>7613</v>
      </c>
      <c r="L1278" s="37"/>
      <c r="M1278" s="37"/>
      <c r="N1278" s="37"/>
      <c r="O1278" s="37"/>
      <c r="P1278" s="37"/>
      <c r="Q1278" s="37"/>
      <c r="R1278" s="31" t="n">
        <f aca="false">COUNT($M1278:$Q1278)</f>
        <v>0</v>
      </c>
      <c r="S1278" s="32" t="str">
        <f aca="false">IF($L1278="","",IF($R1278&gt;=5,"",MAX($L1278:$Q1278)+CHOOSE($R1278+1,SETTINGS!$C$9,SETTINGS!$C$10,SETTINGS!$C$11,SETTINGS!$C$12,SETTINGS!$C$13)))</f>
        <v/>
      </c>
      <c r="T1278" s="34" t="str">
        <f aca="true">IF($H1278="","(chưa có nội dung)",IF($L1278="",IF($C1278&lt;TODAY(),"⚠ TRỄ HỌC",IF($C1278=TODAY(),"★ HỌC HÔM NAY","• Chưa tới")),IF($R1278&gt;=5,"✔ MASTER",IF($S1278&lt;TODAY(),"⚠ TRỄ ÔN",IF($S1278=TODAY(),"◆ ÔN HÔM NAY","✔ Đúng tiến độ")))))</f>
        <v>• Chưa tới</v>
      </c>
      <c r="U1278" s="38" t="n">
        <f aca="false">IF($H1278="","",$R1278/5)</f>
        <v>0</v>
      </c>
    </row>
    <row r="1279" customFormat="false" ht="26.85" hidden="false" customHeight="false" outlineLevel="0" collapsed="false">
      <c r="A1279" s="31" t="s">
        <v>7614</v>
      </c>
      <c r="B1279" s="31" t="n">
        <v>64</v>
      </c>
      <c r="C1279" s="32" t="n">
        <f aca="false">SETTINGS!$C$3+$B1279-1</f>
        <v>46363</v>
      </c>
      <c r="D1279" s="41" t="s">
        <v>7168</v>
      </c>
      <c r="E1279" s="34" t="s">
        <v>7523</v>
      </c>
      <c r="F1279" s="34" t="s">
        <v>3694</v>
      </c>
      <c r="G1279" s="34" t="s">
        <v>7615</v>
      </c>
      <c r="H1279" s="35" t="s">
        <v>7616</v>
      </c>
      <c r="I1279" s="36" t="s">
        <v>7617</v>
      </c>
      <c r="J1279" s="34" t="s">
        <v>7618</v>
      </c>
      <c r="K1279" s="34" t="s">
        <v>7619</v>
      </c>
      <c r="L1279" s="37"/>
      <c r="M1279" s="37"/>
      <c r="N1279" s="37"/>
      <c r="O1279" s="37"/>
      <c r="P1279" s="37"/>
      <c r="Q1279" s="37"/>
      <c r="R1279" s="31" t="n">
        <f aca="false">COUNT($M1279:$Q1279)</f>
        <v>0</v>
      </c>
      <c r="S1279" s="32" t="str">
        <f aca="false">IF($L1279="","",IF($R1279&gt;=5,"",MAX($L1279:$Q1279)+CHOOSE($R1279+1,SETTINGS!$C$9,SETTINGS!$C$10,SETTINGS!$C$11,SETTINGS!$C$12,SETTINGS!$C$13)))</f>
        <v/>
      </c>
      <c r="T1279" s="34" t="str">
        <f aca="true">IF($H1279="","(chưa có nội dung)",IF($L1279="",IF($C1279&lt;TODAY(),"⚠ TRỄ HỌC",IF($C1279=TODAY(),"★ HỌC HÔM NAY","• Chưa tới")),IF($R1279&gt;=5,"✔ MASTER",IF($S1279&lt;TODAY(),"⚠ TRỄ ÔN",IF($S1279=TODAY(),"◆ ÔN HÔM NAY","✔ Đúng tiến độ")))))</f>
        <v>• Chưa tới</v>
      </c>
      <c r="U1279" s="38" t="n">
        <f aca="false">IF($H1279="","",$R1279/5)</f>
        <v>0</v>
      </c>
    </row>
    <row r="1280" customFormat="false" ht="15" hidden="false" customHeight="false" outlineLevel="0" collapsed="false">
      <c r="A1280" s="31" t="s">
        <v>7620</v>
      </c>
      <c r="B1280" s="31" t="n">
        <v>64</v>
      </c>
      <c r="C1280" s="32" t="n">
        <f aca="false">SETTINGS!$C$3+$B1280-1</f>
        <v>46363</v>
      </c>
      <c r="D1280" s="41" t="s">
        <v>7168</v>
      </c>
      <c r="E1280" s="34" t="s">
        <v>7523</v>
      </c>
      <c r="F1280" s="34" t="s">
        <v>183</v>
      </c>
      <c r="G1280" s="34" t="s">
        <v>7621</v>
      </c>
      <c r="H1280" s="35" t="s">
        <v>7622</v>
      </c>
      <c r="I1280" s="36" t="s">
        <v>7623</v>
      </c>
      <c r="J1280" s="34" t="s">
        <v>7624</v>
      </c>
      <c r="K1280" s="34" t="s">
        <v>7625</v>
      </c>
      <c r="L1280" s="37"/>
      <c r="M1280" s="37"/>
      <c r="N1280" s="37"/>
      <c r="O1280" s="37"/>
      <c r="P1280" s="37"/>
      <c r="Q1280" s="37"/>
      <c r="R1280" s="31" t="n">
        <f aca="false">COUNT($M1280:$Q1280)</f>
        <v>0</v>
      </c>
      <c r="S1280" s="32" t="str">
        <f aca="false">IF($L1280="","",IF($R1280&gt;=5,"",MAX($L1280:$Q1280)+CHOOSE($R1280+1,SETTINGS!$C$9,SETTINGS!$C$10,SETTINGS!$C$11,SETTINGS!$C$12,SETTINGS!$C$13)))</f>
        <v/>
      </c>
      <c r="T1280" s="34" t="str">
        <f aca="true">IF($H1280="","(chưa có nội dung)",IF($L1280="",IF($C1280&lt;TODAY(),"⚠ TRỄ HỌC",IF($C1280=TODAY(),"★ HỌC HÔM NAY","• Chưa tới")),IF($R1280&gt;=5,"✔ MASTER",IF($S1280&lt;TODAY(),"⚠ TRỄ ÔN",IF($S1280=TODAY(),"◆ ÔN HÔM NAY","✔ Đúng tiến độ")))))</f>
        <v>• Chưa tới</v>
      </c>
      <c r="U1280" s="38" t="n">
        <f aca="false">IF($H1280="","",$R1280/5)</f>
        <v>0</v>
      </c>
    </row>
    <row r="1281" customFormat="false" ht="26.85" hidden="false" customHeight="false" outlineLevel="0" collapsed="false">
      <c r="A1281" s="31" t="s">
        <v>7626</v>
      </c>
      <c r="B1281" s="31" t="n">
        <v>64</v>
      </c>
      <c r="C1281" s="32" t="n">
        <f aca="false">SETTINGS!$C$3+$B1281-1</f>
        <v>46363</v>
      </c>
      <c r="D1281" s="41" t="s">
        <v>7168</v>
      </c>
      <c r="E1281" s="34" t="s">
        <v>7523</v>
      </c>
      <c r="F1281" s="34" t="s">
        <v>5676</v>
      </c>
      <c r="G1281" s="34" t="s">
        <v>7627</v>
      </c>
      <c r="H1281" s="35" t="s">
        <v>7628</v>
      </c>
      <c r="I1281" s="36" t="s">
        <v>7629</v>
      </c>
      <c r="J1281" s="34" t="s">
        <v>7630</v>
      </c>
      <c r="K1281" s="34" t="s">
        <v>7631</v>
      </c>
      <c r="L1281" s="37"/>
      <c r="M1281" s="37"/>
      <c r="N1281" s="37"/>
      <c r="O1281" s="37"/>
      <c r="P1281" s="37"/>
      <c r="Q1281" s="37"/>
      <c r="R1281" s="31" t="n">
        <f aca="false">COUNT($M1281:$Q1281)</f>
        <v>0</v>
      </c>
      <c r="S1281" s="32" t="str">
        <f aca="false">IF($L1281="","",IF($R1281&gt;=5,"",MAX($L1281:$Q1281)+CHOOSE($R1281+1,SETTINGS!$C$9,SETTINGS!$C$10,SETTINGS!$C$11,SETTINGS!$C$12,SETTINGS!$C$13)))</f>
        <v/>
      </c>
      <c r="T1281" s="34" t="str">
        <f aca="true">IF($H1281="","(chưa có nội dung)",IF($L1281="",IF($C1281&lt;TODAY(),"⚠ TRỄ HỌC",IF($C1281=TODAY(),"★ HỌC HÔM NAY","• Chưa tới")),IF($R1281&gt;=5,"✔ MASTER",IF($S1281&lt;TODAY(),"⚠ TRỄ ÔN",IF($S1281=TODAY(),"◆ ÔN HÔM NAY","✔ Đúng tiến độ")))))</f>
        <v>• Chưa tới</v>
      </c>
      <c r="U1281" s="38" t="n">
        <f aca="false">IF($H1281="","",$R1281/5)</f>
        <v>0</v>
      </c>
    </row>
    <row r="1282" customFormat="false" ht="15" hidden="false" customHeight="false" outlineLevel="0" collapsed="false">
      <c r="A1282" s="31" t="s">
        <v>7632</v>
      </c>
      <c r="B1282" s="31" t="n">
        <v>64</v>
      </c>
      <c r="C1282" s="32" t="n">
        <f aca="false">SETTINGS!$C$3+$B1282-1</f>
        <v>46363</v>
      </c>
      <c r="D1282" s="41" t="s">
        <v>7168</v>
      </c>
      <c r="E1282" s="34" t="s">
        <v>7523</v>
      </c>
      <c r="F1282" s="34" t="s">
        <v>183</v>
      </c>
      <c r="G1282" s="34" t="s">
        <v>7633</v>
      </c>
      <c r="H1282" s="35" t="s">
        <v>7634</v>
      </c>
      <c r="I1282" s="36" t="s">
        <v>7635</v>
      </c>
      <c r="J1282" s="34" t="s">
        <v>7636</v>
      </c>
      <c r="K1282" s="34" t="s">
        <v>7637</v>
      </c>
      <c r="L1282" s="37"/>
      <c r="M1282" s="37"/>
      <c r="N1282" s="37"/>
      <c r="O1282" s="37"/>
      <c r="P1282" s="37"/>
      <c r="Q1282" s="37"/>
      <c r="R1282" s="31" t="n">
        <f aca="false">COUNT($M1282:$Q1282)</f>
        <v>0</v>
      </c>
      <c r="S1282" s="32" t="str">
        <f aca="false">IF($L1282="","",IF($R1282&gt;=5,"",MAX($L1282:$Q1282)+CHOOSE($R1282+1,SETTINGS!$C$9,SETTINGS!$C$10,SETTINGS!$C$11,SETTINGS!$C$12,SETTINGS!$C$13)))</f>
        <v/>
      </c>
      <c r="T1282" s="34" t="str">
        <f aca="true">IF($H1282="","(chưa có nội dung)",IF($L1282="",IF($C1282&lt;TODAY(),"⚠ TRỄ HỌC",IF($C1282=TODAY(),"★ HỌC HÔM NAY","• Chưa tới")),IF($R1282&gt;=5,"✔ MASTER",IF($S1282&lt;TODAY(),"⚠ TRỄ ÔN",IF($S1282=TODAY(),"◆ ÔN HÔM NAY","✔ Đúng tiến độ")))))</f>
        <v>• Chưa tới</v>
      </c>
      <c r="U1282" s="38" t="n">
        <f aca="false">IF($H1282="","",$R1282/5)</f>
        <v>0</v>
      </c>
    </row>
    <row r="1283" customFormat="false" ht="15" hidden="false" customHeight="false" outlineLevel="0" collapsed="false">
      <c r="A1283" s="31" t="s">
        <v>7638</v>
      </c>
      <c r="B1283" s="31" t="n">
        <v>65</v>
      </c>
      <c r="C1283" s="32" t="n">
        <f aca="false">SETTINGS!$C$3+$B1283-1</f>
        <v>46364</v>
      </c>
      <c r="D1283" s="41" t="s">
        <v>7168</v>
      </c>
      <c r="E1283" s="34" t="s">
        <v>7639</v>
      </c>
      <c r="F1283" s="34" t="s">
        <v>3694</v>
      </c>
      <c r="G1283" s="34" t="s">
        <v>7640</v>
      </c>
      <c r="H1283" s="35" t="s">
        <v>7641</v>
      </c>
      <c r="I1283" s="36" t="s">
        <v>7642</v>
      </c>
      <c r="J1283" s="34" t="s">
        <v>7643</v>
      </c>
      <c r="K1283" s="34" t="s">
        <v>7644</v>
      </c>
      <c r="L1283" s="37"/>
      <c r="M1283" s="37"/>
      <c r="N1283" s="37"/>
      <c r="O1283" s="37"/>
      <c r="P1283" s="37"/>
      <c r="Q1283" s="37"/>
      <c r="R1283" s="31" t="n">
        <f aca="false">COUNT($M1283:$Q1283)</f>
        <v>0</v>
      </c>
      <c r="S1283" s="32" t="str">
        <f aca="false">IF($L1283="","",IF($R1283&gt;=5,"",MAX($L1283:$Q1283)+CHOOSE($R1283+1,SETTINGS!$C$9,SETTINGS!$C$10,SETTINGS!$C$11,SETTINGS!$C$12,SETTINGS!$C$13)))</f>
        <v/>
      </c>
      <c r="T1283" s="34" t="str">
        <f aca="true">IF($H1283="","(chưa có nội dung)",IF($L1283="",IF($C1283&lt;TODAY(),"⚠ TRỄ HỌC",IF($C1283=TODAY(),"★ HỌC HÔM NAY","• Chưa tới")),IF($R1283&gt;=5,"✔ MASTER",IF($S1283&lt;TODAY(),"⚠ TRỄ ÔN",IF($S1283=TODAY(),"◆ ÔN HÔM NAY","✔ Đúng tiến độ")))))</f>
        <v>• Chưa tới</v>
      </c>
      <c r="U1283" s="38" t="n">
        <f aca="false">IF($H1283="","",$R1283/5)</f>
        <v>0</v>
      </c>
    </row>
    <row r="1284" customFormat="false" ht="15" hidden="false" customHeight="false" outlineLevel="0" collapsed="false">
      <c r="A1284" s="31" t="s">
        <v>7645</v>
      </c>
      <c r="B1284" s="31" t="n">
        <v>65</v>
      </c>
      <c r="C1284" s="32" t="n">
        <f aca="false">SETTINGS!$C$3+$B1284-1</f>
        <v>46364</v>
      </c>
      <c r="D1284" s="41" t="s">
        <v>7168</v>
      </c>
      <c r="E1284" s="34" t="s">
        <v>7639</v>
      </c>
      <c r="F1284" s="34" t="s">
        <v>3694</v>
      </c>
      <c r="G1284" s="34" t="s">
        <v>7646</v>
      </c>
      <c r="H1284" s="35" t="s">
        <v>7647</v>
      </c>
      <c r="I1284" s="36" t="s">
        <v>7648</v>
      </c>
      <c r="J1284" s="34" t="s">
        <v>7649</v>
      </c>
      <c r="K1284" s="34" t="s">
        <v>7650</v>
      </c>
      <c r="L1284" s="37"/>
      <c r="M1284" s="37"/>
      <c r="N1284" s="37"/>
      <c r="O1284" s="37"/>
      <c r="P1284" s="37"/>
      <c r="Q1284" s="37"/>
      <c r="R1284" s="31" t="n">
        <f aca="false">COUNT($M1284:$Q1284)</f>
        <v>0</v>
      </c>
      <c r="S1284" s="32" t="str">
        <f aca="false">IF($L1284="","",IF($R1284&gt;=5,"",MAX($L1284:$Q1284)+CHOOSE($R1284+1,SETTINGS!$C$9,SETTINGS!$C$10,SETTINGS!$C$11,SETTINGS!$C$12,SETTINGS!$C$13)))</f>
        <v/>
      </c>
      <c r="T1284" s="34" t="str">
        <f aca="true">IF($H1284="","(chưa có nội dung)",IF($L1284="",IF($C1284&lt;TODAY(),"⚠ TRỄ HỌC",IF($C1284=TODAY(),"★ HỌC HÔM NAY","• Chưa tới")),IF($R1284&gt;=5,"✔ MASTER",IF($S1284&lt;TODAY(),"⚠ TRỄ ÔN",IF($S1284=TODAY(),"◆ ÔN HÔM NAY","✔ Đúng tiến độ")))))</f>
        <v>• Chưa tới</v>
      </c>
      <c r="U1284" s="38" t="n">
        <f aca="false">IF($H1284="","",$R1284/5)</f>
        <v>0</v>
      </c>
    </row>
    <row r="1285" customFormat="false" ht="26.85" hidden="false" customHeight="false" outlineLevel="0" collapsed="false">
      <c r="A1285" s="31" t="s">
        <v>7651</v>
      </c>
      <c r="B1285" s="31" t="n">
        <v>65</v>
      </c>
      <c r="C1285" s="32" t="n">
        <f aca="false">SETTINGS!$C$3+$B1285-1</f>
        <v>46364</v>
      </c>
      <c r="D1285" s="41" t="s">
        <v>7168</v>
      </c>
      <c r="E1285" s="34" t="s">
        <v>7639</v>
      </c>
      <c r="F1285" s="34" t="s">
        <v>3694</v>
      </c>
      <c r="G1285" s="34" t="s">
        <v>7652</v>
      </c>
      <c r="H1285" s="35" t="s">
        <v>7653</v>
      </c>
      <c r="I1285" s="36" t="s">
        <v>7654</v>
      </c>
      <c r="J1285" s="34" t="s">
        <v>7655</v>
      </c>
      <c r="K1285" s="34" t="s">
        <v>7656</v>
      </c>
      <c r="L1285" s="37"/>
      <c r="M1285" s="37"/>
      <c r="N1285" s="37"/>
      <c r="O1285" s="37"/>
      <c r="P1285" s="37"/>
      <c r="Q1285" s="37"/>
      <c r="R1285" s="31" t="n">
        <f aca="false">COUNT($M1285:$Q1285)</f>
        <v>0</v>
      </c>
      <c r="S1285" s="32" t="str">
        <f aca="false">IF($L1285="","",IF($R1285&gt;=5,"",MAX($L1285:$Q1285)+CHOOSE($R1285+1,SETTINGS!$C$9,SETTINGS!$C$10,SETTINGS!$C$11,SETTINGS!$C$12,SETTINGS!$C$13)))</f>
        <v/>
      </c>
      <c r="T1285" s="34" t="str">
        <f aca="true">IF($H1285="","(chưa có nội dung)",IF($L1285="",IF($C1285&lt;TODAY(),"⚠ TRỄ HỌC",IF($C1285=TODAY(),"★ HỌC HÔM NAY","• Chưa tới")),IF($R1285&gt;=5,"✔ MASTER",IF($S1285&lt;TODAY(),"⚠ TRỄ ÔN",IF($S1285=TODAY(),"◆ ÔN HÔM NAY","✔ Đúng tiến độ")))))</f>
        <v>• Chưa tới</v>
      </c>
      <c r="U1285" s="38" t="n">
        <f aca="false">IF($H1285="","",$R1285/5)</f>
        <v>0</v>
      </c>
    </row>
    <row r="1286" customFormat="false" ht="15" hidden="false" customHeight="false" outlineLevel="0" collapsed="false">
      <c r="A1286" s="31" t="s">
        <v>7657</v>
      </c>
      <c r="B1286" s="31" t="n">
        <v>65</v>
      </c>
      <c r="C1286" s="32" t="n">
        <f aca="false">SETTINGS!$C$3+$B1286-1</f>
        <v>46364</v>
      </c>
      <c r="D1286" s="41" t="s">
        <v>7168</v>
      </c>
      <c r="E1286" s="34" t="s">
        <v>7639</v>
      </c>
      <c r="F1286" s="34" t="s">
        <v>280</v>
      </c>
      <c r="G1286" s="34" t="s">
        <v>7658</v>
      </c>
      <c r="H1286" s="35" t="s">
        <v>7659</v>
      </c>
      <c r="I1286" s="36" t="s">
        <v>7660</v>
      </c>
      <c r="J1286" s="34" t="s">
        <v>7661</v>
      </c>
      <c r="K1286" s="34" t="s">
        <v>7662</v>
      </c>
      <c r="L1286" s="37"/>
      <c r="M1286" s="37"/>
      <c r="N1286" s="37"/>
      <c r="O1286" s="37"/>
      <c r="P1286" s="37"/>
      <c r="Q1286" s="37"/>
      <c r="R1286" s="31" t="n">
        <f aca="false">COUNT($M1286:$Q1286)</f>
        <v>0</v>
      </c>
      <c r="S1286" s="32" t="str">
        <f aca="false">IF($L1286="","",IF($R1286&gt;=5,"",MAX($L1286:$Q1286)+CHOOSE($R1286+1,SETTINGS!$C$9,SETTINGS!$C$10,SETTINGS!$C$11,SETTINGS!$C$12,SETTINGS!$C$13)))</f>
        <v/>
      </c>
      <c r="T1286" s="34" t="str">
        <f aca="true">IF($H1286="","(chưa có nội dung)",IF($L1286="",IF($C1286&lt;TODAY(),"⚠ TRỄ HỌC",IF($C1286=TODAY(),"★ HỌC HÔM NAY","• Chưa tới")),IF($R1286&gt;=5,"✔ MASTER",IF($S1286&lt;TODAY(),"⚠ TRỄ ÔN",IF($S1286=TODAY(),"◆ ÔN HÔM NAY","✔ Đúng tiến độ")))))</f>
        <v>• Chưa tới</v>
      </c>
      <c r="U1286" s="38" t="n">
        <f aca="false">IF($H1286="","",$R1286/5)</f>
        <v>0</v>
      </c>
    </row>
    <row r="1287" customFormat="false" ht="15" hidden="false" customHeight="false" outlineLevel="0" collapsed="false">
      <c r="A1287" s="31" t="s">
        <v>7663</v>
      </c>
      <c r="B1287" s="31" t="n">
        <v>65</v>
      </c>
      <c r="C1287" s="32" t="n">
        <f aca="false">SETTINGS!$C$3+$B1287-1</f>
        <v>46364</v>
      </c>
      <c r="D1287" s="41" t="s">
        <v>7168</v>
      </c>
      <c r="E1287" s="34" t="s">
        <v>7639</v>
      </c>
      <c r="F1287" s="34" t="s">
        <v>3694</v>
      </c>
      <c r="G1287" s="34" t="s">
        <v>7664</v>
      </c>
      <c r="H1287" s="35" t="s">
        <v>7665</v>
      </c>
      <c r="I1287" s="36" t="s">
        <v>7666</v>
      </c>
      <c r="J1287" s="34" t="s">
        <v>7667</v>
      </c>
      <c r="K1287" s="34" t="s">
        <v>7668</v>
      </c>
      <c r="L1287" s="37"/>
      <c r="M1287" s="37"/>
      <c r="N1287" s="37"/>
      <c r="O1287" s="37"/>
      <c r="P1287" s="37"/>
      <c r="Q1287" s="37"/>
      <c r="R1287" s="31" t="n">
        <f aca="false">COUNT($M1287:$Q1287)</f>
        <v>0</v>
      </c>
      <c r="S1287" s="32" t="str">
        <f aca="false">IF($L1287="","",IF($R1287&gt;=5,"",MAX($L1287:$Q1287)+CHOOSE($R1287+1,SETTINGS!$C$9,SETTINGS!$C$10,SETTINGS!$C$11,SETTINGS!$C$12,SETTINGS!$C$13)))</f>
        <v/>
      </c>
      <c r="T1287" s="34" t="str">
        <f aca="true">IF($H1287="","(chưa có nội dung)",IF($L1287="",IF($C1287&lt;TODAY(),"⚠ TRỄ HỌC",IF($C1287=TODAY(),"★ HỌC HÔM NAY","• Chưa tới")),IF($R1287&gt;=5,"✔ MASTER",IF($S1287&lt;TODAY(),"⚠ TRỄ ÔN",IF($S1287=TODAY(),"◆ ÔN HÔM NAY","✔ Đúng tiến độ")))))</f>
        <v>• Chưa tới</v>
      </c>
      <c r="U1287" s="38" t="n">
        <f aca="false">IF($H1287="","",$R1287/5)</f>
        <v>0</v>
      </c>
    </row>
    <row r="1288" customFormat="false" ht="15" hidden="false" customHeight="false" outlineLevel="0" collapsed="false">
      <c r="A1288" s="31" t="s">
        <v>7669</v>
      </c>
      <c r="B1288" s="31" t="n">
        <v>65</v>
      </c>
      <c r="C1288" s="32" t="n">
        <f aca="false">SETTINGS!$C$3+$B1288-1</f>
        <v>46364</v>
      </c>
      <c r="D1288" s="41" t="s">
        <v>7168</v>
      </c>
      <c r="E1288" s="34" t="s">
        <v>7639</v>
      </c>
      <c r="F1288" s="34" t="s">
        <v>3694</v>
      </c>
      <c r="G1288" s="34" t="s">
        <v>7670</v>
      </c>
      <c r="H1288" s="35" t="s">
        <v>7671</v>
      </c>
      <c r="I1288" s="36" t="s">
        <v>7672</v>
      </c>
      <c r="J1288" s="34" t="s">
        <v>7673</v>
      </c>
      <c r="K1288" s="34" t="s">
        <v>1965</v>
      </c>
      <c r="L1288" s="37"/>
      <c r="M1288" s="37"/>
      <c r="N1288" s="37"/>
      <c r="O1288" s="37"/>
      <c r="P1288" s="37"/>
      <c r="Q1288" s="37"/>
      <c r="R1288" s="31" t="n">
        <f aca="false">COUNT($M1288:$Q1288)</f>
        <v>0</v>
      </c>
      <c r="S1288" s="32" t="str">
        <f aca="false">IF($L1288="","",IF($R1288&gt;=5,"",MAX($L1288:$Q1288)+CHOOSE($R1288+1,SETTINGS!$C$9,SETTINGS!$C$10,SETTINGS!$C$11,SETTINGS!$C$12,SETTINGS!$C$13)))</f>
        <v/>
      </c>
      <c r="T1288" s="34" t="str">
        <f aca="true">IF($H1288="","(chưa có nội dung)",IF($L1288="",IF($C1288&lt;TODAY(),"⚠ TRỄ HỌC",IF($C1288=TODAY(),"★ HỌC HÔM NAY","• Chưa tới")),IF($R1288&gt;=5,"✔ MASTER",IF($S1288&lt;TODAY(),"⚠ TRỄ ÔN",IF($S1288=TODAY(),"◆ ÔN HÔM NAY","✔ Đúng tiến độ")))))</f>
        <v>• Chưa tới</v>
      </c>
      <c r="U1288" s="38" t="n">
        <f aca="false">IF($H1288="","",$R1288/5)</f>
        <v>0</v>
      </c>
    </row>
    <row r="1289" customFormat="false" ht="15" hidden="false" customHeight="false" outlineLevel="0" collapsed="false">
      <c r="A1289" s="31" t="s">
        <v>7674</v>
      </c>
      <c r="B1289" s="31" t="n">
        <v>65</v>
      </c>
      <c r="C1289" s="32" t="n">
        <f aca="false">SETTINGS!$C$3+$B1289-1</f>
        <v>46364</v>
      </c>
      <c r="D1289" s="41" t="s">
        <v>7168</v>
      </c>
      <c r="E1289" s="34" t="s">
        <v>7639</v>
      </c>
      <c r="F1289" s="34" t="s">
        <v>3694</v>
      </c>
      <c r="G1289" s="34" t="s">
        <v>7675</v>
      </c>
      <c r="H1289" s="35" t="s">
        <v>7676</v>
      </c>
      <c r="I1289" s="36" t="s">
        <v>7677</v>
      </c>
      <c r="J1289" s="34" t="s">
        <v>7678</v>
      </c>
      <c r="K1289" s="34" t="s">
        <v>7679</v>
      </c>
      <c r="L1289" s="37"/>
      <c r="M1289" s="37"/>
      <c r="N1289" s="37"/>
      <c r="O1289" s="37"/>
      <c r="P1289" s="37"/>
      <c r="Q1289" s="37"/>
      <c r="R1289" s="31" t="n">
        <f aca="false">COUNT($M1289:$Q1289)</f>
        <v>0</v>
      </c>
      <c r="S1289" s="32" t="str">
        <f aca="false">IF($L1289="","",IF($R1289&gt;=5,"",MAX($L1289:$Q1289)+CHOOSE($R1289+1,SETTINGS!$C$9,SETTINGS!$C$10,SETTINGS!$C$11,SETTINGS!$C$12,SETTINGS!$C$13)))</f>
        <v/>
      </c>
      <c r="T1289" s="34" t="str">
        <f aca="true">IF($H1289="","(chưa có nội dung)",IF($L1289="",IF($C1289&lt;TODAY(),"⚠ TRỄ HỌC",IF($C1289=TODAY(),"★ HỌC HÔM NAY","• Chưa tới")),IF($R1289&gt;=5,"✔ MASTER",IF($S1289&lt;TODAY(),"⚠ TRỄ ÔN",IF($S1289=TODAY(),"◆ ÔN HÔM NAY","✔ Đúng tiến độ")))))</f>
        <v>• Chưa tới</v>
      </c>
      <c r="U1289" s="38" t="n">
        <f aca="false">IF($H1289="","",$R1289/5)</f>
        <v>0</v>
      </c>
    </row>
    <row r="1290" customFormat="false" ht="15" hidden="false" customHeight="false" outlineLevel="0" collapsed="false">
      <c r="A1290" s="31" t="s">
        <v>7680</v>
      </c>
      <c r="B1290" s="31" t="n">
        <v>65</v>
      </c>
      <c r="C1290" s="32" t="n">
        <f aca="false">SETTINGS!$C$3+$B1290-1</f>
        <v>46364</v>
      </c>
      <c r="D1290" s="41" t="s">
        <v>7168</v>
      </c>
      <c r="E1290" s="34" t="s">
        <v>7639</v>
      </c>
      <c r="F1290" s="34" t="s">
        <v>3694</v>
      </c>
      <c r="G1290" s="34" t="s">
        <v>7681</v>
      </c>
      <c r="H1290" s="35" t="s">
        <v>7682</v>
      </c>
      <c r="I1290" s="36" t="s">
        <v>7683</v>
      </c>
      <c r="J1290" s="34" t="s">
        <v>7684</v>
      </c>
      <c r="K1290" s="34" t="s">
        <v>7685</v>
      </c>
      <c r="L1290" s="37"/>
      <c r="M1290" s="37"/>
      <c r="N1290" s="37"/>
      <c r="O1290" s="37"/>
      <c r="P1290" s="37"/>
      <c r="Q1290" s="37"/>
      <c r="R1290" s="31" t="n">
        <f aca="false">COUNT($M1290:$Q1290)</f>
        <v>0</v>
      </c>
      <c r="S1290" s="32" t="str">
        <f aca="false">IF($L1290="","",IF($R1290&gt;=5,"",MAX($L1290:$Q1290)+CHOOSE($R1290+1,SETTINGS!$C$9,SETTINGS!$C$10,SETTINGS!$C$11,SETTINGS!$C$12,SETTINGS!$C$13)))</f>
        <v/>
      </c>
      <c r="T1290" s="34" t="str">
        <f aca="true">IF($H1290="","(chưa có nội dung)",IF($L1290="",IF($C1290&lt;TODAY(),"⚠ TRỄ HỌC",IF($C1290=TODAY(),"★ HỌC HÔM NAY","• Chưa tới")),IF($R1290&gt;=5,"✔ MASTER",IF($S1290&lt;TODAY(),"⚠ TRỄ ÔN",IF($S1290=TODAY(),"◆ ÔN HÔM NAY","✔ Đúng tiến độ")))))</f>
        <v>• Chưa tới</v>
      </c>
      <c r="U1290" s="38" t="n">
        <f aca="false">IF($H1290="","",$R1290/5)</f>
        <v>0</v>
      </c>
    </row>
    <row r="1291" customFormat="false" ht="15" hidden="false" customHeight="false" outlineLevel="0" collapsed="false">
      <c r="A1291" s="31" t="s">
        <v>7686</v>
      </c>
      <c r="B1291" s="31" t="n">
        <v>65</v>
      </c>
      <c r="C1291" s="32" t="n">
        <f aca="false">SETTINGS!$C$3+$B1291-1</f>
        <v>46364</v>
      </c>
      <c r="D1291" s="41" t="s">
        <v>7168</v>
      </c>
      <c r="E1291" s="34" t="s">
        <v>7639</v>
      </c>
      <c r="F1291" s="34" t="s">
        <v>3694</v>
      </c>
      <c r="G1291" s="34" t="s">
        <v>7687</v>
      </c>
      <c r="H1291" s="35" t="s">
        <v>7688</v>
      </c>
      <c r="I1291" s="36" t="s">
        <v>7689</v>
      </c>
      <c r="J1291" s="34" t="s">
        <v>7690</v>
      </c>
      <c r="K1291" s="34" t="s">
        <v>7691</v>
      </c>
      <c r="L1291" s="37"/>
      <c r="M1291" s="37"/>
      <c r="N1291" s="37"/>
      <c r="O1291" s="37"/>
      <c r="P1291" s="37"/>
      <c r="Q1291" s="37"/>
      <c r="R1291" s="31" t="n">
        <f aca="false">COUNT($M1291:$Q1291)</f>
        <v>0</v>
      </c>
      <c r="S1291" s="32" t="str">
        <f aca="false">IF($L1291="","",IF($R1291&gt;=5,"",MAX($L1291:$Q1291)+CHOOSE($R1291+1,SETTINGS!$C$9,SETTINGS!$C$10,SETTINGS!$C$11,SETTINGS!$C$12,SETTINGS!$C$13)))</f>
        <v/>
      </c>
      <c r="T1291" s="34" t="str">
        <f aca="true">IF($H1291="","(chưa có nội dung)",IF($L1291="",IF($C1291&lt;TODAY(),"⚠ TRỄ HỌC",IF($C1291=TODAY(),"★ HỌC HÔM NAY","• Chưa tới")),IF($R1291&gt;=5,"✔ MASTER",IF($S1291&lt;TODAY(),"⚠ TRỄ ÔN",IF($S1291=TODAY(),"◆ ÔN HÔM NAY","✔ Đúng tiến độ")))))</f>
        <v>• Chưa tới</v>
      </c>
      <c r="U1291" s="38" t="n">
        <f aca="false">IF($H1291="","",$R1291/5)</f>
        <v>0</v>
      </c>
    </row>
    <row r="1292" customFormat="false" ht="15" hidden="false" customHeight="false" outlineLevel="0" collapsed="false">
      <c r="A1292" s="31" t="s">
        <v>7692</v>
      </c>
      <c r="B1292" s="31" t="n">
        <v>65</v>
      </c>
      <c r="C1292" s="32" t="n">
        <f aca="false">SETTINGS!$C$3+$B1292-1</f>
        <v>46364</v>
      </c>
      <c r="D1292" s="41" t="s">
        <v>7168</v>
      </c>
      <c r="E1292" s="34" t="s">
        <v>7639</v>
      </c>
      <c r="F1292" s="34" t="s">
        <v>3694</v>
      </c>
      <c r="G1292" s="34" t="s">
        <v>7693</v>
      </c>
      <c r="H1292" s="35" t="s">
        <v>7694</v>
      </c>
      <c r="I1292" s="36" t="s">
        <v>7695</v>
      </c>
      <c r="J1292" s="34" t="s">
        <v>7696</v>
      </c>
      <c r="K1292" s="34" t="s">
        <v>7697</v>
      </c>
      <c r="L1292" s="37"/>
      <c r="M1292" s="37"/>
      <c r="N1292" s="37"/>
      <c r="O1292" s="37"/>
      <c r="P1292" s="37"/>
      <c r="Q1292" s="37"/>
      <c r="R1292" s="31" t="n">
        <f aca="false">COUNT($M1292:$Q1292)</f>
        <v>0</v>
      </c>
      <c r="S1292" s="32" t="str">
        <f aca="false">IF($L1292="","",IF($R1292&gt;=5,"",MAX($L1292:$Q1292)+CHOOSE($R1292+1,SETTINGS!$C$9,SETTINGS!$C$10,SETTINGS!$C$11,SETTINGS!$C$12,SETTINGS!$C$13)))</f>
        <v/>
      </c>
      <c r="T1292" s="34" t="str">
        <f aca="true">IF($H1292="","(chưa có nội dung)",IF($L1292="",IF($C1292&lt;TODAY(),"⚠ TRỄ HỌC",IF($C1292=TODAY(),"★ HỌC HÔM NAY","• Chưa tới")),IF($R1292&gt;=5,"✔ MASTER",IF($S1292&lt;TODAY(),"⚠ TRỄ ÔN",IF($S1292=TODAY(),"◆ ÔN HÔM NAY","✔ Đúng tiến độ")))))</f>
        <v>• Chưa tới</v>
      </c>
      <c r="U1292" s="38" t="n">
        <f aca="false">IF($H1292="","",$R1292/5)</f>
        <v>0</v>
      </c>
    </row>
    <row r="1293" customFormat="false" ht="15" hidden="false" customHeight="false" outlineLevel="0" collapsed="false">
      <c r="A1293" s="31" t="s">
        <v>7698</v>
      </c>
      <c r="B1293" s="31" t="n">
        <v>65</v>
      </c>
      <c r="C1293" s="32" t="n">
        <f aca="false">SETTINGS!$C$3+$B1293-1</f>
        <v>46364</v>
      </c>
      <c r="D1293" s="41" t="s">
        <v>7168</v>
      </c>
      <c r="E1293" s="34" t="s">
        <v>7639</v>
      </c>
      <c r="F1293" s="34" t="s">
        <v>3694</v>
      </c>
      <c r="G1293" s="34" t="s">
        <v>7699</v>
      </c>
      <c r="H1293" s="35" t="s">
        <v>7700</v>
      </c>
      <c r="I1293" s="36" t="s">
        <v>7701</v>
      </c>
      <c r="J1293" s="34" t="s">
        <v>7702</v>
      </c>
      <c r="K1293" s="34" t="s">
        <v>7703</v>
      </c>
      <c r="L1293" s="37"/>
      <c r="M1293" s="37"/>
      <c r="N1293" s="37"/>
      <c r="O1293" s="37"/>
      <c r="P1293" s="37"/>
      <c r="Q1293" s="37"/>
      <c r="R1293" s="31" t="n">
        <f aca="false">COUNT($M1293:$Q1293)</f>
        <v>0</v>
      </c>
      <c r="S1293" s="32" t="str">
        <f aca="false">IF($L1293="","",IF($R1293&gt;=5,"",MAX($L1293:$Q1293)+CHOOSE($R1293+1,SETTINGS!$C$9,SETTINGS!$C$10,SETTINGS!$C$11,SETTINGS!$C$12,SETTINGS!$C$13)))</f>
        <v/>
      </c>
      <c r="T1293" s="34" t="str">
        <f aca="true">IF($H1293="","(chưa có nội dung)",IF($L1293="",IF($C1293&lt;TODAY(),"⚠ TRỄ HỌC",IF($C1293=TODAY(),"★ HỌC HÔM NAY","• Chưa tới")),IF($R1293&gt;=5,"✔ MASTER",IF($S1293&lt;TODAY(),"⚠ TRỄ ÔN",IF($S1293=TODAY(),"◆ ÔN HÔM NAY","✔ Đúng tiến độ")))))</f>
        <v>• Chưa tới</v>
      </c>
      <c r="U1293" s="38" t="n">
        <f aca="false">IF($H1293="","",$R1293/5)</f>
        <v>0</v>
      </c>
    </row>
    <row r="1294" customFormat="false" ht="15" hidden="false" customHeight="false" outlineLevel="0" collapsed="false">
      <c r="A1294" s="31" t="s">
        <v>7704</v>
      </c>
      <c r="B1294" s="31" t="n">
        <v>65</v>
      </c>
      <c r="C1294" s="32" t="n">
        <f aca="false">SETTINGS!$C$3+$B1294-1</f>
        <v>46364</v>
      </c>
      <c r="D1294" s="41" t="s">
        <v>7168</v>
      </c>
      <c r="E1294" s="34" t="s">
        <v>7639</v>
      </c>
      <c r="F1294" s="34" t="s">
        <v>3694</v>
      </c>
      <c r="G1294" s="34" t="s">
        <v>7705</v>
      </c>
      <c r="H1294" s="35" t="s">
        <v>7706</v>
      </c>
      <c r="I1294" s="36" t="s">
        <v>7707</v>
      </c>
      <c r="J1294" s="34" t="s">
        <v>7708</v>
      </c>
      <c r="K1294" s="34" t="s">
        <v>7709</v>
      </c>
      <c r="L1294" s="37"/>
      <c r="M1294" s="37"/>
      <c r="N1294" s="37"/>
      <c r="O1294" s="37"/>
      <c r="P1294" s="37"/>
      <c r="Q1294" s="37"/>
      <c r="R1294" s="31" t="n">
        <f aca="false">COUNT($M1294:$Q1294)</f>
        <v>0</v>
      </c>
      <c r="S1294" s="32" t="str">
        <f aca="false">IF($L1294="","",IF($R1294&gt;=5,"",MAX($L1294:$Q1294)+CHOOSE($R1294+1,SETTINGS!$C$9,SETTINGS!$C$10,SETTINGS!$C$11,SETTINGS!$C$12,SETTINGS!$C$13)))</f>
        <v/>
      </c>
      <c r="T1294" s="34" t="str">
        <f aca="true">IF($H1294="","(chưa có nội dung)",IF($L1294="",IF($C1294&lt;TODAY(),"⚠ TRỄ HỌC",IF($C1294=TODAY(),"★ HỌC HÔM NAY","• Chưa tới")),IF($R1294&gt;=5,"✔ MASTER",IF($S1294&lt;TODAY(),"⚠ TRỄ ÔN",IF($S1294=TODAY(),"◆ ÔN HÔM NAY","✔ Đúng tiến độ")))))</f>
        <v>• Chưa tới</v>
      </c>
      <c r="U1294" s="38" t="n">
        <f aca="false">IF($H1294="","",$R1294/5)</f>
        <v>0</v>
      </c>
    </row>
    <row r="1295" customFormat="false" ht="15" hidden="false" customHeight="false" outlineLevel="0" collapsed="false">
      <c r="A1295" s="31" t="s">
        <v>7710</v>
      </c>
      <c r="B1295" s="31" t="n">
        <v>65</v>
      </c>
      <c r="C1295" s="32" t="n">
        <f aca="false">SETTINGS!$C$3+$B1295-1</f>
        <v>46364</v>
      </c>
      <c r="D1295" s="41" t="s">
        <v>7168</v>
      </c>
      <c r="E1295" s="34" t="s">
        <v>7639</v>
      </c>
      <c r="F1295" s="34" t="s">
        <v>3694</v>
      </c>
      <c r="G1295" s="34" t="s">
        <v>7711</v>
      </c>
      <c r="H1295" s="35" t="s">
        <v>7712</v>
      </c>
      <c r="I1295" s="36" t="s">
        <v>7713</v>
      </c>
      <c r="J1295" s="34" t="s">
        <v>7714</v>
      </c>
      <c r="K1295" s="34" t="s">
        <v>7711</v>
      </c>
      <c r="L1295" s="37"/>
      <c r="M1295" s="37"/>
      <c r="N1295" s="37"/>
      <c r="O1295" s="37"/>
      <c r="P1295" s="37"/>
      <c r="Q1295" s="37"/>
      <c r="R1295" s="31" t="n">
        <f aca="false">COUNT($M1295:$Q1295)</f>
        <v>0</v>
      </c>
      <c r="S1295" s="32" t="str">
        <f aca="false">IF($L1295="","",IF($R1295&gt;=5,"",MAX($L1295:$Q1295)+CHOOSE($R1295+1,SETTINGS!$C$9,SETTINGS!$C$10,SETTINGS!$C$11,SETTINGS!$C$12,SETTINGS!$C$13)))</f>
        <v/>
      </c>
      <c r="T1295" s="34" t="str">
        <f aca="true">IF($H1295="","(chưa có nội dung)",IF($L1295="",IF($C1295&lt;TODAY(),"⚠ TRỄ HỌC",IF($C1295=TODAY(),"★ HỌC HÔM NAY","• Chưa tới")),IF($R1295&gt;=5,"✔ MASTER",IF($S1295&lt;TODAY(),"⚠ TRỄ ÔN",IF($S1295=TODAY(),"◆ ÔN HÔM NAY","✔ Đúng tiến độ")))))</f>
        <v>• Chưa tới</v>
      </c>
      <c r="U1295" s="38" t="n">
        <f aca="false">IF($H1295="","",$R1295/5)</f>
        <v>0</v>
      </c>
    </row>
    <row r="1296" customFormat="false" ht="15" hidden="false" customHeight="false" outlineLevel="0" collapsed="false">
      <c r="A1296" s="31" t="s">
        <v>7715</v>
      </c>
      <c r="B1296" s="31" t="n">
        <v>65</v>
      </c>
      <c r="C1296" s="32" t="n">
        <f aca="false">SETTINGS!$C$3+$B1296-1</f>
        <v>46364</v>
      </c>
      <c r="D1296" s="41" t="s">
        <v>7168</v>
      </c>
      <c r="E1296" s="34" t="s">
        <v>7639</v>
      </c>
      <c r="F1296" s="34" t="s">
        <v>3694</v>
      </c>
      <c r="G1296" s="34" t="s">
        <v>7716</v>
      </c>
      <c r="H1296" s="35" t="s">
        <v>7717</v>
      </c>
      <c r="I1296" s="36" t="s">
        <v>7718</v>
      </c>
      <c r="J1296" s="34" t="s">
        <v>7719</v>
      </c>
      <c r="K1296" s="34" t="s">
        <v>7720</v>
      </c>
      <c r="L1296" s="37"/>
      <c r="M1296" s="37"/>
      <c r="N1296" s="37"/>
      <c r="O1296" s="37"/>
      <c r="P1296" s="37"/>
      <c r="Q1296" s="37"/>
      <c r="R1296" s="31" t="n">
        <f aca="false">COUNT($M1296:$Q1296)</f>
        <v>0</v>
      </c>
      <c r="S1296" s="32" t="str">
        <f aca="false">IF($L1296="","",IF($R1296&gt;=5,"",MAX($L1296:$Q1296)+CHOOSE($R1296+1,SETTINGS!$C$9,SETTINGS!$C$10,SETTINGS!$C$11,SETTINGS!$C$12,SETTINGS!$C$13)))</f>
        <v/>
      </c>
      <c r="T1296" s="34" t="str">
        <f aca="true">IF($H1296="","(chưa có nội dung)",IF($L1296="",IF($C1296&lt;TODAY(),"⚠ TRỄ HỌC",IF($C1296=TODAY(),"★ HỌC HÔM NAY","• Chưa tới")),IF($R1296&gt;=5,"✔ MASTER",IF($S1296&lt;TODAY(),"⚠ TRỄ ÔN",IF($S1296=TODAY(),"◆ ÔN HÔM NAY","✔ Đúng tiến độ")))))</f>
        <v>• Chưa tới</v>
      </c>
      <c r="U1296" s="38" t="n">
        <f aca="false">IF($H1296="","",$R1296/5)</f>
        <v>0</v>
      </c>
    </row>
    <row r="1297" customFormat="false" ht="26.85" hidden="false" customHeight="false" outlineLevel="0" collapsed="false">
      <c r="A1297" s="31" t="s">
        <v>7721</v>
      </c>
      <c r="B1297" s="31" t="n">
        <v>65</v>
      </c>
      <c r="C1297" s="32" t="n">
        <f aca="false">SETTINGS!$C$3+$B1297-1</f>
        <v>46364</v>
      </c>
      <c r="D1297" s="41" t="s">
        <v>7168</v>
      </c>
      <c r="E1297" s="34" t="s">
        <v>7639</v>
      </c>
      <c r="F1297" s="34" t="s">
        <v>3694</v>
      </c>
      <c r="G1297" s="34" t="s">
        <v>7722</v>
      </c>
      <c r="H1297" s="35" t="s">
        <v>7723</v>
      </c>
      <c r="I1297" s="36" t="s">
        <v>7724</v>
      </c>
      <c r="J1297" s="34" t="s">
        <v>7725</v>
      </c>
      <c r="K1297" s="34" t="s">
        <v>7726</v>
      </c>
      <c r="L1297" s="37"/>
      <c r="M1297" s="37"/>
      <c r="N1297" s="37"/>
      <c r="O1297" s="37"/>
      <c r="P1297" s="37"/>
      <c r="Q1297" s="37"/>
      <c r="R1297" s="31" t="n">
        <f aca="false">COUNT($M1297:$Q1297)</f>
        <v>0</v>
      </c>
      <c r="S1297" s="32" t="str">
        <f aca="false">IF($L1297="","",IF($R1297&gt;=5,"",MAX($L1297:$Q1297)+CHOOSE($R1297+1,SETTINGS!$C$9,SETTINGS!$C$10,SETTINGS!$C$11,SETTINGS!$C$12,SETTINGS!$C$13)))</f>
        <v/>
      </c>
      <c r="T1297" s="34" t="str">
        <f aca="true">IF($H1297="","(chưa có nội dung)",IF($L1297="",IF($C1297&lt;TODAY(),"⚠ TRỄ HỌC",IF($C1297=TODAY(),"★ HỌC HÔM NAY","• Chưa tới")),IF($R1297&gt;=5,"✔ MASTER",IF($S1297&lt;TODAY(),"⚠ TRỄ ÔN",IF($S1297=TODAY(),"◆ ÔN HÔM NAY","✔ Đúng tiến độ")))))</f>
        <v>• Chưa tới</v>
      </c>
      <c r="U1297" s="38" t="n">
        <f aca="false">IF($H1297="","",$R1297/5)</f>
        <v>0</v>
      </c>
    </row>
    <row r="1298" customFormat="false" ht="15" hidden="false" customHeight="false" outlineLevel="0" collapsed="false">
      <c r="A1298" s="31" t="s">
        <v>7727</v>
      </c>
      <c r="B1298" s="31" t="n">
        <v>65</v>
      </c>
      <c r="C1298" s="32" t="n">
        <f aca="false">SETTINGS!$C$3+$B1298-1</f>
        <v>46364</v>
      </c>
      <c r="D1298" s="41" t="s">
        <v>7168</v>
      </c>
      <c r="E1298" s="34" t="s">
        <v>7639</v>
      </c>
      <c r="F1298" s="34" t="s">
        <v>3656</v>
      </c>
      <c r="G1298" s="34" t="s">
        <v>7728</v>
      </c>
      <c r="H1298" s="35" t="s">
        <v>7729</v>
      </c>
      <c r="I1298" s="36" t="s">
        <v>7730</v>
      </c>
      <c r="J1298" s="34" t="s">
        <v>7731</v>
      </c>
      <c r="K1298" s="34" t="s">
        <v>7732</v>
      </c>
      <c r="L1298" s="37"/>
      <c r="M1298" s="37"/>
      <c r="N1298" s="37"/>
      <c r="O1298" s="37"/>
      <c r="P1298" s="37"/>
      <c r="Q1298" s="37"/>
      <c r="R1298" s="31" t="n">
        <f aca="false">COUNT($M1298:$Q1298)</f>
        <v>0</v>
      </c>
      <c r="S1298" s="32" t="str">
        <f aca="false">IF($L1298="","",IF($R1298&gt;=5,"",MAX($L1298:$Q1298)+CHOOSE($R1298+1,SETTINGS!$C$9,SETTINGS!$C$10,SETTINGS!$C$11,SETTINGS!$C$12,SETTINGS!$C$13)))</f>
        <v/>
      </c>
      <c r="T1298" s="34" t="str">
        <f aca="true">IF($H1298="","(chưa có nội dung)",IF($L1298="",IF($C1298&lt;TODAY(),"⚠ TRỄ HỌC",IF($C1298=TODAY(),"★ HỌC HÔM NAY","• Chưa tới")),IF($R1298&gt;=5,"✔ MASTER",IF($S1298&lt;TODAY(),"⚠ TRỄ ÔN",IF($S1298=TODAY(),"◆ ÔN HÔM NAY","✔ Đúng tiến độ")))))</f>
        <v>• Chưa tới</v>
      </c>
      <c r="U1298" s="38" t="n">
        <f aca="false">IF($H1298="","",$R1298/5)</f>
        <v>0</v>
      </c>
    </row>
    <row r="1299" customFormat="false" ht="15" hidden="false" customHeight="false" outlineLevel="0" collapsed="false">
      <c r="A1299" s="31" t="s">
        <v>7733</v>
      </c>
      <c r="B1299" s="31" t="n">
        <v>65</v>
      </c>
      <c r="C1299" s="32" t="n">
        <f aca="false">SETTINGS!$C$3+$B1299-1</f>
        <v>46364</v>
      </c>
      <c r="D1299" s="41" t="s">
        <v>7168</v>
      </c>
      <c r="E1299" s="34" t="s">
        <v>7639</v>
      </c>
      <c r="F1299" s="34" t="s">
        <v>3694</v>
      </c>
      <c r="G1299" s="34" t="s">
        <v>7734</v>
      </c>
      <c r="H1299" s="35" t="s">
        <v>7735</v>
      </c>
      <c r="I1299" s="36" t="s">
        <v>7736</v>
      </c>
      <c r="J1299" s="34" t="s">
        <v>7737</v>
      </c>
      <c r="K1299" s="34" t="s">
        <v>7738</v>
      </c>
      <c r="L1299" s="37"/>
      <c r="M1299" s="37"/>
      <c r="N1299" s="37"/>
      <c r="O1299" s="37"/>
      <c r="P1299" s="37"/>
      <c r="Q1299" s="37"/>
      <c r="R1299" s="31" t="n">
        <f aca="false">COUNT($M1299:$Q1299)</f>
        <v>0</v>
      </c>
      <c r="S1299" s="32" t="str">
        <f aca="false">IF($L1299="","",IF($R1299&gt;=5,"",MAX($L1299:$Q1299)+CHOOSE($R1299+1,SETTINGS!$C$9,SETTINGS!$C$10,SETTINGS!$C$11,SETTINGS!$C$12,SETTINGS!$C$13)))</f>
        <v/>
      </c>
      <c r="T1299" s="34" t="str">
        <f aca="true">IF($H1299="","(chưa có nội dung)",IF($L1299="",IF($C1299&lt;TODAY(),"⚠ TRỄ HỌC",IF($C1299=TODAY(),"★ HỌC HÔM NAY","• Chưa tới")),IF($R1299&gt;=5,"✔ MASTER",IF($S1299&lt;TODAY(),"⚠ TRỄ ÔN",IF($S1299=TODAY(),"◆ ÔN HÔM NAY","✔ Đúng tiến độ")))))</f>
        <v>• Chưa tới</v>
      </c>
      <c r="U1299" s="38" t="n">
        <f aca="false">IF($H1299="","",$R1299/5)</f>
        <v>0</v>
      </c>
    </row>
    <row r="1300" customFormat="false" ht="15" hidden="false" customHeight="false" outlineLevel="0" collapsed="false">
      <c r="A1300" s="31" t="s">
        <v>7739</v>
      </c>
      <c r="B1300" s="31" t="n">
        <v>65</v>
      </c>
      <c r="C1300" s="32" t="n">
        <f aca="false">SETTINGS!$C$3+$B1300-1</f>
        <v>46364</v>
      </c>
      <c r="D1300" s="41" t="s">
        <v>7168</v>
      </c>
      <c r="E1300" s="34" t="s">
        <v>7639</v>
      </c>
      <c r="F1300" s="34" t="s">
        <v>3694</v>
      </c>
      <c r="G1300" s="34" t="s">
        <v>7740</v>
      </c>
      <c r="H1300" s="35" t="s">
        <v>7741</v>
      </c>
      <c r="I1300" s="36" t="s">
        <v>7742</v>
      </c>
      <c r="J1300" s="34" t="s">
        <v>7743</v>
      </c>
      <c r="K1300" s="34" t="s">
        <v>7744</v>
      </c>
      <c r="L1300" s="37"/>
      <c r="M1300" s="37"/>
      <c r="N1300" s="37"/>
      <c r="O1300" s="37"/>
      <c r="P1300" s="37"/>
      <c r="Q1300" s="37"/>
      <c r="R1300" s="31" t="n">
        <f aca="false">COUNT($M1300:$Q1300)</f>
        <v>0</v>
      </c>
      <c r="S1300" s="32" t="str">
        <f aca="false">IF($L1300="","",IF($R1300&gt;=5,"",MAX($L1300:$Q1300)+CHOOSE($R1300+1,SETTINGS!$C$9,SETTINGS!$C$10,SETTINGS!$C$11,SETTINGS!$C$12,SETTINGS!$C$13)))</f>
        <v/>
      </c>
      <c r="T1300" s="34" t="str">
        <f aca="true">IF($H1300="","(chưa có nội dung)",IF($L1300="",IF($C1300&lt;TODAY(),"⚠ TRỄ HỌC",IF($C1300=TODAY(),"★ HỌC HÔM NAY","• Chưa tới")),IF($R1300&gt;=5,"✔ MASTER",IF($S1300&lt;TODAY(),"⚠ TRỄ ÔN",IF($S1300=TODAY(),"◆ ÔN HÔM NAY","✔ Đúng tiến độ")))))</f>
        <v>• Chưa tới</v>
      </c>
      <c r="U1300" s="38" t="n">
        <f aca="false">IF($H1300="","",$R1300/5)</f>
        <v>0</v>
      </c>
    </row>
    <row r="1301" customFormat="false" ht="15" hidden="false" customHeight="false" outlineLevel="0" collapsed="false">
      <c r="A1301" s="31" t="s">
        <v>7745</v>
      </c>
      <c r="B1301" s="31" t="n">
        <v>65</v>
      </c>
      <c r="C1301" s="32" t="n">
        <f aca="false">SETTINGS!$C$3+$B1301-1</f>
        <v>46364</v>
      </c>
      <c r="D1301" s="41" t="s">
        <v>7168</v>
      </c>
      <c r="E1301" s="34" t="s">
        <v>7639</v>
      </c>
      <c r="F1301" s="34" t="s">
        <v>3694</v>
      </c>
      <c r="G1301" s="34" t="s">
        <v>7746</v>
      </c>
      <c r="H1301" s="35" t="s">
        <v>7747</v>
      </c>
      <c r="I1301" s="36" t="s">
        <v>7748</v>
      </c>
      <c r="J1301" s="34" t="s">
        <v>7749</v>
      </c>
      <c r="K1301" s="34" t="s">
        <v>7750</v>
      </c>
      <c r="L1301" s="37"/>
      <c r="M1301" s="37"/>
      <c r="N1301" s="37"/>
      <c r="O1301" s="37"/>
      <c r="P1301" s="37"/>
      <c r="Q1301" s="37"/>
      <c r="R1301" s="31" t="n">
        <f aca="false">COUNT($M1301:$Q1301)</f>
        <v>0</v>
      </c>
      <c r="S1301" s="32" t="str">
        <f aca="false">IF($L1301="","",IF($R1301&gt;=5,"",MAX($L1301:$Q1301)+CHOOSE($R1301+1,SETTINGS!$C$9,SETTINGS!$C$10,SETTINGS!$C$11,SETTINGS!$C$12,SETTINGS!$C$13)))</f>
        <v/>
      </c>
      <c r="T1301" s="34" t="str">
        <f aca="true">IF($H1301="","(chưa có nội dung)",IF($L1301="",IF($C1301&lt;TODAY(),"⚠ TRỄ HỌC",IF($C1301=TODAY(),"★ HỌC HÔM NAY","• Chưa tới")),IF($R1301&gt;=5,"✔ MASTER",IF($S1301&lt;TODAY(),"⚠ TRỄ ÔN",IF($S1301=TODAY(),"◆ ÔN HÔM NAY","✔ Đúng tiến độ")))))</f>
        <v>• Chưa tới</v>
      </c>
      <c r="U1301" s="38" t="n">
        <f aca="false">IF($H1301="","",$R1301/5)</f>
        <v>0</v>
      </c>
    </row>
    <row r="1302" customFormat="false" ht="15" hidden="false" customHeight="false" outlineLevel="0" collapsed="false">
      <c r="A1302" s="31" t="s">
        <v>7751</v>
      </c>
      <c r="B1302" s="31" t="n">
        <v>65</v>
      </c>
      <c r="C1302" s="32" t="n">
        <f aca="false">SETTINGS!$C$3+$B1302-1</f>
        <v>46364</v>
      </c>
      <c r="D1302" s="41" t="s">
        <v>7168</v>
      </c>
      <c r="E1302" s="34" t="s">
        <v>7639</v>
      </c>
      <c r="F1302" s="34" t="s">
        <v>3694</v>
      </c>
      <c r="G1302" s="34" t="s">
        <v>7752</v>
      </c>
      <c r="H1302" s="35" t="s">
        <v>7753</v>
      </c>
      <c r="I1302" s="36" t="s">
        <v>7754</v>
      </c>
      <c r="J1302" s="34" t="s">
        <v>7755</v>
      </c>
      <c r="K1302" s="34" t="s">
        <v>7756</v>
      </c>
      <c r="L1302" s="37"/>
      <c r="M1302" s="37"/>
      <c r="N1302" s="37"/>
      <c r="O1302" s="37"/>
      <c r="P1302" s="37"/>
      <c r="Q1302" s="37"/>
      <c r="R1302" s="31" t="n">
        <f aca="false">COUNT($M1302:$Q1302)</f>
        <v>0</v>
      </c>
      <c r="S1302" s="32" t="str">
        <f aca="false">IF($L1302="","",IF($R1302&gt;=5,"",MAX($L1302:$Q1302)+CHOOSE($R1302+1,SETTINGS!$C$9,SETTINGS!$C$10,SETTINGS!$C$11,SETTINGS!$C$12,SETTINGS!$C$13)))</f>
        <v/>
      </c>
      <c r="T1302" s="34" t="str">
        <f aca="true">IF($H1302="","(chưa có nội dung)",IF($L1302="",IF($C1302&lt;TODAY(),"⚠ TRỄ HỌC",IF($C1302=TODAY(),"★ HỌC HÔM NAY","• Chưa tới")),IF($R1302&gt;=5,"✔ MASTER",IF($S1302&lt;TODAY(),"⚠ TRỄ ÔN",IF($S1302=TODAY(),"◆ ÔN HÔM NAY","✔ Đúng tiến độ")))))</f>
        <v>• Chưa tới</v>
      </c>
      <c r="U1302" s="38" t="n">
        <f aca="false">IF($H1302="","",$R1302/5)</f>
        <v>0</v>
      </c>
    </row>
    <row r="1303" customFormat="false" ht="23.85" hidden="false" customHeight="false" outlineLevel="0" collapsed="false">
      <c r="A1303" s="31" t="s">
        <v>7757</v>
      </c>
      <c r="B1303" s="31" t="n">
        <v>66</v>
      </c>
      <c r="C1303" s="32" t="n">
        <f aca="false">SETTINGS!$C$3+$B1303-1</f>
        <v>46365</v>
      </c>
      <c r="D1303" s="41" t="s">
        <v>7168</v>
      </c>
      <c r="E1303" s="34" t="s">
        <v>7758</v>
      </c>
      <c r="F1303" s="34" t="s">
        <v>280</v>
      </c>
      <c r="G1303" s="34" t="s">
        <v>7759</v>
      </c>
      <c r="H1303" s="35" t="s">
        <v>7760</v>
      </c>
      <c r="I1303" s="36" t="s">
        <v>7761</v>
      </c>
      <c r="J1303" s="34" t="s">
        <v>7762</v>
      </c>
      <c r="K1303" s="34" t="s">
        <v>7763</v>
      </c>
      <c r="L1303" s="37"/>
      <c r="M1303" s="37"/>
      <c r="N1303" s="37"/>
      <c r="O1303" s="37"/>
      <c r="P1303" s="37"/>
      <c r="Q1303" s="37"/>
      <c r="R1303" s="31" t="n">
        <f aca="false">COUNT($M1303:$Q1303)</f>
        <v>0</v>
      </c>
      <c r="S1303" s="32" t="str">
        <f aca="false">IF($L1303="","",IF($R1303&gt;=5,"",MAX($L1303:$Q1303)+CHOOSE($R1303+1,SETTINGS!$C$9,SETTINGS!$C$10,SETTINGS!$C$11,SETTINGS!$C$12,SETTINGS!$C$13)))</f>
        <v/>
      </c>
      <c r="T1303" s="34" t="str">
        <f aca="true">IF($H1303="","(chưa có nội dung)",IF($L1303="",IF($C1303&lt;TODAY(),"⚠ TRỄ HỌC",IF($C1303=TODAY(),"★ HỌC HÔM NAY","• Chưa tới")),IF($R1303&gt;=5,"✔ MASTER",IF($S1303&lt;TODAY(),"⚠ TRỄ ÔN",IF($S1303=TODAY(),"◆ ÔN HÔM NAY","✔ Đúng tiến độ")))))</f>
        <v>• Chưa tới</v>
      </c>
      <c r="U1303" s="38" t="n">
        <f aca="false">IF($H1303="","",$R1303/5)</f>
        <v>0</v>
      </c>
    </row>
    <row r="1304" customFormat="false" ht="23.85" hidden="false" customHeight="false" outlineLevel="0" collapsed="false">
      <c r="A1304" s="31" t="s">
        <v>7764</v>
      </c>
      <c r="B1304" s="31" t="n">
        <v>66</v>
      </c>
      <c r="C1304" s="32" t="n">
        <f aca="false">SETTINGS!$C$3+$B1304-1</f>
        <v>46365</v>
      </c>
      <c r="D1304" s="41" t="s">
        <v>7168</v>
      </c>
      <c r="E1304" s="34" t="s">
        <v>7758</v>
      </c>
      <c r="F1304" s="34" t="s">
        <v>280</v>
      </c>
      <c r="G1304" s="34" t="s">
        <v>7765</v>
      </c>
      <c r="H1304" s="35" t="s">
        <v>7766</v>
      </c>
      <c r="I1304" s="36" t="s">
        <v>7767</v>
      </c>
      <c r="J1304" s="34" t="s">
        <v>7768</v>
      </c>
      <c r="K1304" s="34" t="s">
        <v>7769</v>
      </c>
      <c r="L1304" s="37"/>
      <c r="M1304" s="37"/>
      <c r="N1304" s="37"/>
      <c r="O1304" s="37"/>
      <c r="P1304" s="37"/>
      <c r="Q1304" s="37"/>
      <c r="R1304" s="31" t="n">
        <f aca="false">COUNT($M1304:$Q1304)</f>
        <v>0</v>
      </c>
      <c r="S1304" s="32" t="str">
        <f aca="false">IF($L1304="","",IF($R1304&gt;=5,"",MAX($L1304:$Q1304)+CHOOSE($R1304+1,SETTINGS!$C$9,SETTINGS!$C$10,SETTINGS!$C$11,SETTINGS!$C$12,SETTINGS!$C$13)))</f>
        <v/>
      </c>
      <c r="T1304" s="34" t="str">
        <f aca="true">IF($H1304="","(chưa có nội dung)",IF($L1304="",IF($C1304&lt;TODAY(),"⚠ TRỄ HỌC",IF($C1304=TODAY(),"★ HỌC HÔM NAY","• Chưa tới")),IF($R1304&gt;=5,"✔ MASTER",IF($S1304&lt;TODAY(),"⚠ TRỄ ÔN",IF($S1304=TODAY(),"◆ ÔN HÔM NAY","✔ Đúng tiến độ")))))</f>
        <v>• Chưa tới</v>
      </c>
      <c r="U1304" s="38" t="n">
        <f aca="false">IF($H1304="","",$R1304/5)</f>
        <v>0</v>
      </c>
    </row>
    <row r="1305" customFormat="false" ht="26.85" hidden="false" customHeight="false" outlineLevel="0" collapsed="false">
      <c r="A1305" s="31" t="s">
        <v>7770</v>
      </c>
      <c r="B1305" s="31" t="n">
        <v>66</v>
      </c>
      <c r="C1305" s="32" t="n">
        <f aca="false">SETTINGS!$C$3+$B1305-1</f>
        <v>46365</v>
      </c>
      <c r="D1305" s="41" t="s">
        <v>7168</v>
      </c>
      <c r="E1305" s="34" t="s">
        <v>7758</v>
      </c>
      <c r="F1305" s="34" t="s">
        <v>280</v>
      </c>
      <c r="G1305" s="34" t="s">
        <v>7771</v>
      </c>
      <c r="H1305" s="35" t="s">
        <v>7772</v>
      </c>
      <c r="I1305" s="36" t="s">
        <v>7773</v>
      </c>
      <c r="J1305" s="34" t="s">
        <v>7774</v>
      </c>
      <c r="K1305" s="34" t="s">
        <v>7775</v>
      </c>
      <c r="L1305" s="37"/>
      <c r="M1305" s="37"/>
      <c r="N1305" s="37"/>
      <c r="O1305" s="37"/>
      <c r="P1305" s="37"/>
      <c r="Q1305" s="37"/>
      <c r="R1305" s="31" t="n">
        <f aca="false">COUNT($M1305:$Q1305)</f>
        <v>0</v>
      </c>
      <c r="S1305" s="32" t="str">
        <f aca="false">IF($L1305="","",IF($R1305&gt;=5,"",MAX($L1305:$Q1305)+CHOOSE($R1305+1,SETTINGS!$C$9,SETTINGS!$C$10,SETTINGS!$C$11,SETTINGS!$C$12,SETTINGS!$C$13)))</f>
        <v/>
      </c>
      <c r="T1305" s="34" t="str">
        <f aca="true">IF($H1305="","(chưa có nội dung)",IF($L1305="",IF($C1305&lt;TODAY(),"⚠ TRỄ HỌC",IF($C1305=TODAY(),"★ HỌC HÔM NAY","• Chưa tới")),IF($R1305&gt;=5,"✔ MASTER",IF($S1305&lt;TODAY(),"⚠ TRỄ ÔN",IF($S1305=TODAY(),"◆ ÔN HÔM NAY","✔ Đúng tiến độ")))))</f>
        <v>• Chưa tới</v>
      </c>
      <c r="U1305" s="38" t="n">
        <f aca="false">IF($H1305="","",$R1305/5)</f>
        <v>0</v>
      </c>
    </row>
    <row r="1306" customFormat="false" ht="26.85" hidden="false" customHeight="false" outlineLevel="0" collapsed="false">
      <c r="A1306" s="31" t="s">
        <v>7776</v>
      </c>
      <c r="B1306" s="31" t="n">
        <v>66</v>
      </c>
      <c r="C1306" s="32" t="n">
        <f aca="false">SETTINGS!$C$3+$B1306-1</f>
        <v>46365</v>
      </c>
      <c r="D1306" s="41" t="s">
        <v>7168</v>
      </c>
      <c r="E1306" s="34" t="s">
        <v>7758</v>
      </c>
      <c r="F1306" s="34" t="s">
        <v>280</v>
      </c>
      <c r="G1306" s="34" t="s">
        <v>7777</v>
      </c>
      <c r="H1306" s="35" t="s">
        <v>7778</v>
      </c>
      <c r="I1306" s="36" t="s">
        <v>7779</v>
      </c>
      <c r="J1306" s="34" t="s">
        <v>7780</v>
      </c>
      <c r="K1306" s="34" t="s">
        <v>7781</v>
      </c>
      <c r="L1306" s="37"/>
      <c r="M1306" s="37"/>
      <c r="N1306" s="37"/>
      <c r="O1306" s="37"/>
      <c r="P1306" s="37"/>
      <c r="Q1306" s="37"/>
      <c r="R1306" s="31" t="n">
        <f aca="false">COUNT($M1306:$Q1306)</f>
        <v>0</v>
      </c>
      <c r="S1306" s="32" t="str">
        <f aca="false">IF($L1306="","",IF($R1306&gt;=5,"",MAX($L1306:$Q1306)+CHOOSE($R1306+1,SETTINGS!$C$9,SETTINGS!$C$10,SETTINGS!$C$11,SETTINGS!$C$12,SETTINGS!$C$13)))</f>
        <v/>
      </c>
      <c r="T1306" s="34" t="str">
        <f aca="true">IF($H1306="","(chưa có nội dung)",IF($L1306="",IF($C1306&lt;TODAY(),"⚠ TRỄ HỌC",IF($C1306=TODAY(),"★ HỌC HÔM NAY","• Chưa tới")),IF($R1306&gt;=5,"✔ MASTER",IF($S1306&lt;TODAY(),"⚠ TRỄ ÔN",IF($S1306=TODAY(),"◆ ÔN HÔM NAY","✔ Đúng tiến độ")))))</f>
        <v>• Chưa tới</v>
      </c>
      <c r="U1306" s="38" t="n">
        <f aca="false">IF($H1306="","",$R1306/5)</f>
        <v>0</v>
      </c>
    </row>
    <row r="1307" customFormat="false" ht="26.85" hidden="false" customHeight="false" outlineLevel="0" collapsed="false">
      <c r="A1307" s="31" t="s">
        <v>7782</v>
      </c>
      <c r="B1307" s="31" t="n">
        <v>66</v>
      </c>
      <c r="C1307" s="32" t="n">
        <f aca="false">SETTINGS!$C$3+$B1307-1</f>
        <v>46365</v>
      </c>
      <c r="D1307" s="41" t="s">
        <v>7168</v>
      </c>
      <c r="E1307" s="34" t="s">
        <v>7758</v>
      </c>
      <c r="F1307" s="34" t="s">
        <v>280</v>
      </c>
      <c r="G1307" s="34" t="s">
        <v>7783</v>
      </c>
      <c r="H1307" s="35" t="s">
        <v>7784</v>
      </c>
      <c r="I1307" s="36" t="s">
        <v>7785</v>
      </c>
      <c r="J1307" s="34" t="s">
        <v>7786</v>
      </c>
      <c r="K1307" s="34" t="s">
        <v>7787</v>
      </c>
      <c r="L1307" s="37"/>
      <c r="M1307" s="37"/>
      <c r="N1307" s="37"/>
      <c r="O1307" s="37"/>
      <c r="P1307" s="37"/>
      <c r="Q1307" s="37"/>
      <c r="R1307" s="31" t="n">
        <f aca="false">COUNT($M1307:$Q1307)</f>
        <v>0</v>
      </c>
      <c r="S1307" s="32" t="str">
        <f aca="false">IF($L1307="","",IF($R1307&gt;=5,"",MAX($L1307:$Q1307)+CHOOSE($R1307+1,SETTINGS!$C$9,SETTINGS!$C$10,SETTINGS!$C$11,SETTINGS!$C$12,SETTINGS!$C$13)))</f>
        <v/>
      </c>
      <c r="T1307" s="34" t="str">
        <f aca="true">IF($H1307="","(chưa có nội dung)",IF($L1307="",IF($C1307&lt;TODAY(),"⚠ TRỄ HỌC",IF($C1307=TODAY(),"★ HỌC HÔM NAY","• Chưa tới")),IF($R1307&gt;=5,"✔ MASTER",IF($S1307&lt;TODAY(),"⚠ TRỄ ÔN",IF($S1307=TODAY(),"◆ ÔN HÔM NAY","✔ Đúng tiến độ")))))</f>
        <v>• Chưa tới</v>
      </c>
      <c r="U1307" s="38" t="n">
        <f aca="false">IF($H1307="","",$R1307/5)</f>
        <v>0</v>
      </c>
    </row>
    <row r="1308" customFormat="false" ht="23.85" hidden="false" customHeight="false" outlineLevel="0" collapsed="false">
      <c r="A1308" s="31" t="s">
        <v>7788</v>
      </c>
      <c r="B1308" s="31" t="n">
        <v>66</v>
      </c>
      <c r="C1308" s="32" t="n">
        <f aca="false">SETTINGS!$C$3+$B1308-1</f>
        <v>46365</v>
      </c>
      <c r="D1308" s="41" t="s">
        <v>7168</v>
      </c>
      <c r="E1308" s="34" t="s">
        <v>7758</v>
      </c>
      <c r="F1308" s="34" t="s">
        <v>280</v>
      </c>
      <c r="G1308" s="34" t="s">
        <v>7789</v>
      </c>
      <c r="H1308" s="35" t="s">
        <v>7790</v>
      </c>
      <c r="I1308" s="36" t="s">
        <v>7791</v>
      </c>
      <c r="J1308" s="34" t="s">
        <v>7792</v>
      </c>
      <c r="K1308" s="34" t="s">
        <v>7793</v>
      </c>
      <c r="L1308" s="37"/>
      <c r="M1308" s="37"/>
      <c r="N1308" s="37"/>
      <c r="O1308" s="37"/>
      <c r="P1308" s="37"/>
      <c r="Q1308" s="37"/>
      <c r="R1308" s="31" t="n">
        <f aca="false">COUNT($M1308:$Q1308)</f>
        <v>0</v>
      </c>
      <c r="S1308" s="32" t="str">
        <f aca="false">IF($L1308="","",IF($R1308&gt;=5,"",MAX($L1308:$Q1308)+CHOOSE($R1308+1,SETTINGS!$C$9,SETTINGS!$C$10,SETTINGS!$C$11,SETTINGS!$C$12,SETTINGS!$C$13)))</f>
        <v/>
      </c>
      <c r="T1308" s="34" t="str">
        <f aca="true">IF($H1308="","(chưa có nội dung)",IF($L1308="",IF($C1308&lt;TODAY(),"⚠ TRỄ HỌC",IF($C1308=TODAY(),"★ HỌC HÔM NAY","• Chưa tới")),IF($R1308&gt;=5,"✔ MASTER",IF($S1308&lt;TODAY(),"⚠ TRỄ ÔN",IF($S1308=TODAY(),"◆ ÔN HÔM NAY","✔ Đúng tiến độ")))))</f>
        <v>• Chưa tới</v>
      </c>
      <c r="U1308" s="38" t="n">
        <f aca="false">IF($H1308="","",$R1308/5)</f>
        <v>0</v>
      </c>
    </row>
    <row r="1309" customFormat="false" ht="23.85" hidden="false" customHeight="false" outlineLevel="0" collapsed="false">
      <c r="A1309" s="31" t="s">
        <v>7794</v>
      </c>
      <c r="B1309" s="31" t="n">
        <v>66</v>
      </c>
      <c r="C1309" s="32" t="n">
        <f aca="false">SETTINGS!$C$3+$B1309-1</f>
        <v>46365</v>
      </c>
      <c r="D1309" s="41" t="s">
        <v>7168</v>
      </c>
      <c r="E1309" s="34" t="s">
        <v>7758</v>
      </c>
      <c r="F1309" s="34" t="s">
        <v>3656</v>
      </c>
      <c r="G1309" s="34" t="s">
        <v>7795</v>
      </c>
      <c r="H1309" s="35" t="s">
        <v>7796</v>
      </c>
      <c r="I1309" s="36" t="s">
        <v>7797</v>
      </c>
      <c r="J1309" s="34" t="s">
        <v>7798</v>
      </c>
      <c r="K1309" s="34" t="s">
        <v>7799</v>
      </c>
      <c r="L1309" s="37"/>
      <c r="M1309" s="37"/>
      <c r="N1309" s="37"/>
      <c r="O1309" s="37"/>
      <c r="P1309" s="37"/>
      <c r="Q1309" s="37"/>
      <c r="R1309" s="31" t="n">
        <f aca="false">COUNT($M1309:$Q1309)</f>
        <v>0</v>
      </c>
      <c r="S1309" s="32" t="str">
        <f aca="false">IF($L1309="","",IF($R1309&gt;=5,"",MAX($L1309:$Q1309)+CHOOSE($R1309+1,SETTINGS!$C$9,SETTINGS!$C$10,SETTINGS!$C$11,SETTINGS!$C$12,SETTINGS!$C$13)))</f>
        <v/>
      </c>
      <c r="T1309" s="34" t="str">
        <f aca="true">IF($H1309="","(chưa có nội dung)",IF($L1309="",IF($C1309&lt;TODAY(),"⚠ TRỄ HỌC",IF($C1309=TODAY(),"★ HỌC HÔM NAY","• Chưa tới")),IF($R1309&gt;=5,"✔ MASTER",IF($S1309&lt;TODAY(),"⚠ TRỄ ÔN",IF($S1309=TODAY(),"◆ ÔN HÔM NAY","✔ Đúng tiến độ")))))</f>
        <v>• Chưa tới</v>
      </c>
      <c r="U1309" s="38" t="n">
        <f aca="false">IF($H1309="","",$R1309/5)</f>
        <v>0</v>
      </c>
    </row>
    <row r="1310" customFormat="false" ht="23.85" hidden="false" customHeight="false" outlineLevel="0" collapsed="false">
      <c r="A1310" s="31" t="s">
        <v>7800</v>
      </c>
      <c r="B1310" s="31" t="n">
        <v>66</v>
      </c>
      <c r="C1310" s="32" t="n">
        <f aca="false">SETTINGS!$C$3+$B1310-1</f>
        <v>46365</v>
      </c>
      <c r="D1310" s="41" t="s">
        <v>7168</v>
      </c>
      <c r="E1310" s="34" t="s">
        <v>7758</v>
      </c>
      <c r="F1310" s="34" t="s">
        <v>280</v>
      </c>
      <c r="G1310" s="34" t="s">
        <v>7801</v>
      </c>
      <c r="H1310" s="35" t="s">
        <v>7802</v>
      </c>
      <c r="I1310" s="36" t="s">
        <v>7803</v>
      </c>
      <c r="J1310" s="34" t="s">
        <v>7804</v>
      </c>
      <c r="K1310" s="34" t="s">
        <v>7805</v>
      </c>
      <c r="L1310" s="37"/>
      <c r="M1310" s="37"/>
      <c r="N1310" s="37"/>
      <c r="O1310" s="37"/>
      <c r="P1310" s="37"/>
      <c r="Q1310" s="37"/>
      <c r="R1310" s="31" t="n">
        <f aca="false">COUNT($M1310:$Q1310)</f>
        <v>0</v>
      </c>
      <c r="S1310" s="32" t="str">
        <f aca="false">IF($L1310="","",IF($R1310&gt;=5,"",MAX($L1310:$Q1310)+CHOOSE($R1310+1,SETTINGS!$C$9,SETTINGS!$C$10,SETTINGS!$C$11,SETTINGS!$C$12,SETTINGS!$C$13)))</f>
        <v/>
      </c>
      <c r="T1310" s="34" t="str">
        <f aca="true">IF($H1310="","(chưa có nội dung)",IF($L1310="",IF($C1310&lt;TODAY(),"⚠ TRỄ HỌC",IF($C1310=TODAY(),"★ HỌC HÔM NAY","• Chưa tới")),IF($R1310&gt;=5,"✔ MASTER",IF($S1310&lt;TODAY(),"⚠ TRỄ ÔN",IF($S1310=TODAY(),"◆ ÔN HÔM NAY","✔ Đúng tiến độ")))))</f>
        <v>• Chưa tới</v>
      </c>
      <c r="U1310" s="38" t="n">
        <f aca="false">IF($H1310="","",$R1310/5)</f>
        <v>0</v>
      </c>
    </row>
    <row r="1311" customFormat="false" ht="26.85" hidden="false" customHeight="false" outlineLevel="0" collapsed="false">
      <c r="A1311" s="31" t="s">
        <v>7806</v>
      </c>
      <c r="B1311" s="31" t="n">
        <v>66</v>
      </c>
      <c r="C1311" s="32" t="n">
        <f aca="false">SETTINGS!$C$3+$B1311-1</f>
        <v>46365</v>
      </c>
      <c r="D1311" s="41" t="s">
        <v>7168</v>
      </c>
      <c r="E1311" s="34" t="s">
        <v>7758</v>
      </c>
      <c r="F1311" s="34" t="s">
        <v>280</v>
      </c>
      <c r="G1311" s="34" t="s">
        <v>7807</v>
      </c>
      <c r="H1311" s="35" t="s">
        <v>7808</v>
      </c>
      <c r="I1311" s="36" t="s">
        <v>7809</v>
      </c>
      <c r="J1311" s="34" t="s">
        <v>7810</v>
      </c>
      <c r="K1311" s="34" t="s">
        <v>7811</v>
      </c>
      <c r="L1311" s="37"/>
      <c r="M1311" s="37"/>
      <c r="N1311" s="37"/>
      <c r="O1311" s="37"/>
      <c r="P1311" s="37"/>
      <c r="Q1311" s="37"/>
      <c r="R1311" s="31" t="n">
        <f aca="false">COUNT($M1311:$Q1311)</f>
        <v>0</v>
      </c>
      <c r="S1311" s="32" t="str">
        <f aca="false">IF($L1311="","",IF($R1311&gt;=5,"",MAX($L1311:$Q1311)+CHOOSE($R1311+1,SETTINGS!$C$9,SETTINGS!$C$10,SETTINGS!$C$11,SETTINGS!$C$12,SETTINGS!$C$13)))</f>
        <v/>
      </c>
      <c r="T1311" s="34" t="str">
        <f aca="true">IF($H1311="","(chưa có nội dung)",IF($L1311="",IF($C1311&lt;TODAY(),"⚠ TRỄ HỌC",IF($C1311=TODAY(),"★ HỌC HÔM NAY","• Chưa tới")),IF($R1311&gt;=5,"✔ MASTER",IF($S1311&lt;TODAY(),"⚠ TRỄ ÔN",IF($S1311=TODAY(),"◆ ÔN HÔM NAY","✔ Đúng tiến độ")))))</f>
        <v>• Chưa tới</v>
      </c>
      <c r="U1311" s="38" t="n">
        <f aca="false">IF($H1311="","",$R1311/5)</f>
        <v>0</v>
      </c>
    </row>
    <row r="1312" customFormat="false" ht="23.85" hidden="false" customHeight="false" outlineLevel="0" collapsed="false">
      <c r="A1312" s="31" t="s">
        <v>7812</v>
      </c>
      <c r="B1312" s="31" t="n">
        <v>66</v>
      </c>
      <c r="C1312" s="32" t="n">
        <f aca="false">SETTINGS!$C$3+$B1312-1</f>
        <v>46365</v>
      </c>
      <c r="D1312" s="41" t="s">
        <v>7168</v>
      </c>
      <c r="E1312" s="34" t="s">
        <v>7758</v>
      </c>
      <c r="F1312" s="34" t="s">
        <v>280</v>
      </c>
      <c r="G1312" s="34" t="s">
        <v>7813</v>
      </c>
      <c r="H1312" s="35" t="s">
        <v>7814</v>
      </c>
      <c r="I1312" s="36" t="s">
        <v>7815</v>
      </c>
      <c r="J1312" s="34" t="s">
        <v>7816</v>
      </c>
      <c r="K1312" s="34" t="s">
        <v>7817</v>
      </c>
      <c r="L1312" s="37"/>
      <c r="M1312" s="37"/>
      <c r="N1312" s="37"/>
      <c r="O1312" s="37"/>
      <c r="P1312" s="37"/>
      <c r="Q1312" s="37"/>
      <c r="R1312" s="31" t="n">
        <f aca="false">COUNT($M1312:$Q1312)</f>
        <v>0</v>
      </c>
      <c r="S1312" s="32" t="str">
        <f aca="false">IF($L1312="","",IF($R1312&gt;=5,"",MAX($L1312:$Q1312)+CHOOSE($R1312+1,SETTINGS!$C$9,SETTINGS!$C$10,SETTINGS!$C$11,SETTINGS!$C$12,SETTINGS!$C$13)))</f>
        <v/>
      </c>
      <c r="T1312" s="34" t="str">
        <f aca="true">IF($H1312="","(chưa có nội dung)",IF($L1312="",IF($C1312&lt;TODAY(),"⚠ TRỄ HỌC",IF($C1312=TODAY(),"★ HỌC HÔM NAY","• Chưa tới")),IF($R1312&gt;=5,"✔ MASTER",IF($S1312&lt;TODAY(),"⚠ TRỄ ÔN",IF($S1312=TODAY(),"◆ ÔN HÔM NAY","✔ Đúng tiến độ")))))</f>
        <v>• Chưa tới</v>
      </c>
      <c r="U1312" s="38" t="n">
        <f aca="false">IF($H1312="","",$R1312/5)</f>
        <v>0</v>
      </c>
    </row>
    <row r="1313" customFormat="false" ht="26.85" hidden="false" customHeight="false" outlineLevel="0" collapsed="false">
      <c r="A1313" s="31" t="s">
        <v>7818</v>
      </c>
      <c r="B1313" s="31" t="n">
        <v>66</v>
      </c>
      <c r="C1313" s="32" t="n">
        <f aca="false">SETTINGS!$C$3+$B1313-1</f>
        <v>46365</v>
      </c>
      <c r="D1313" s="41" t="s">
        <v>7168</v>
      </c>
      <c r="E1313" s="34" t="s">
        <v>7758</v>
      </c>
      <c r="F1313" s="34" t="s">
        <v>3656</v>
      </c>
      <c r="G1313" s="34" t="s">
        <v>7819</v>
      </c>
      <c r="H1313" s="35" t="s">
        <v>7820</v>
      </c>
      <c r="I1313" s="36" t="s">
        <v>7821</v>
      </c>
      <c r="J1313" s="34" t="s">
        <v>7822</v>
      </c>
      <c r="K1313" s="34" t="s">
        <v>7823</v>
      </c>
      <c r="L1313" s="37"/>
      <c r="M1313" s="37"/>
      <c r="N1313" s="37"/>
      <c r="O1313" s="37"/>
      <c r="P1313" s="37"/>
      <c r="Q1313" s="37"/>
      <c r="R1313" s="31" t="n">
        <f aca="false">COUNT($M1313:$Q1313)</f>
        <v>0</v>
      </c>
      <c r="S1313" s="32" t="str">
        <f aca="false">IF($L1313="","",IF($R1313&gt;=5,"",MAX($L1313:$Q1313)+CHOOSE($R1313+1,SETTINGS!$C$9,SETTINGS!$C$10,SETTINGS!$C$11,SETTINGS!$C$12,SETTINGS!$C$13)))</f>
        <v/>
      </c>
      <c r="T1313" s="34" t="str">
        <f aca="true">IF($H1313="","(chưa có nội dung)",IF($L1313="",IF($C1313&lt;TODAY(),"⚠ TRỄ HỌC",IF($C1313=TODAY(),"★ HỌC HÔM NAY","• Chưa tới")),IF($R1313&gt;=5,"✔ MASTER",IF($S1313&lt;TODAY(),"⚠ TRỄ ÔN",IF($S1313=TODAY(),"◆ ÔN HÔM NAY","✔ Đúng tiến độ")))))</f>
        <v>• Chưa tới</v>
      </c>
      <c r="U1313" s="38" t="n">
        <f aca="false">IF($H1313="","",$R1313/5)</f>
        <v>0</v>
      </c>
    </row>
    <row r="1314" customFormat="false" ht="23.85" hidden="false" customHeight="false" outlineLevel="0" collapsed="false">
      <c r="A1314" s="31" t="s">
        <v>7824</v>
      </c>
      <c r="B1314" s="31" t="n">
        <v>66</v>
      </c>
      <c r="C1314" s="32" t="n">
        <f aca="false">SETTINGS!$C$3+$B1314-1</f>
        <v>46365</v>
      </c>
      <c r="D1314" s="41" t="s">
        <v>7168</v>
      </c>
      <c r="E1314" s="34" t="s">
        <v>7758</v>
      </c>
      <c r="F1314" s="34" t="s">
        <v>280</v>
      </c>
      <c r="G1314" s="34" t="s">
        <v>7825</v>
      </c>
      <c r="H1314" s="35" t="s">
        <v>7826</v>
      </c>
      <c r="I1314" s="36" t="s">
        <v>7827</v>
      </c>
      <c r="J1314" s="34" t="s">
        <v>7828</v>
      </c>
      <c r="K1314" s="34" t="s">
        <v>7829</v>
      </c>
      <c r="L1314" s="37"/>
      <c r="M1314" s="37"/>
      <c r="N1314" s="37"/>
      <c r="O1314" s="37"/>
      <c r="P1314" s="37"/>
      <c r="Q1314" s="37"/>
      <c r="R1314" s="31" t="n">
        <f aca="false">COUNT($M1314:$Q1314)</f>
        <v>0</v>
      </c>
      <c r="S1314" s="32" t="str">
        <f aca="false">IF($L1314="","",IF($R1314&gt;=5,"",MAX($L1314:$Q1314)+CHOOSE($R1314+1,SETTINGS!$C$9,SETTINGS!$C$10,SETTINGS!$C$11,SETTINGS!$C$12,SETTINGS!$C$13)))</f>
        <v/>
      </c>
      <c r="T1314" s="34" t="str">
        <f aca="true">IF($H1314="","(chưa có nội dung)",IF($L1314="",IF($C1314&lt;TODAY(),"⚠ TRỄ HỌC",IF($C1314=TODAY(),"★ HỌC HÔM NAY","• Chưa tới")),IF($R1314&gt;=5,"✔ MASTER",IF($S1314&lt;TODAY(),"⚠ TRỄ ÔN",IF($S1314=TODAY(),"◆ ÔN HÔM NAY","✔ Đúng tiến độ")))))</f>
        <v>• Chưa tới</v>
      </c>
      <c r="U1314" s="38" t="n">
        <f aca="false">IF($H1314="","",$R1314/5)</f>
        <v>0</v>
      </c>
    </row>
    <row r="1315" customFormat="false" ht="23.85" hidden="false" customHeight="false" outlineLevel="0" collapsed="false">
      <c r="A1315" s="31" t="s">
        <v>7830</v>
      </c>
      <c r="B1315" s="31" t="n">
        <v>66</v>
      </c>
      <c r="C1315" s="32" t="n">
        <f aca="false">SETTINGS!$C$3+$B1315-1</f>
        <v>46365</v>
      </c>
      <c r="D1315" s="41" t="s">
        <v>7168</v>
      </c>
      <c r="E1315" s="34" t="s">
        <v>7758</v>
      </c>
      <c r="F1315" s="34" t="s">
        <v>280</v>
      </c>
      <c r="G1315" s="34" t="s">
        <v>7831</v>
      </c>
      <c r="H1315" s="35" t="s">
        <v>7832</v>
      </c>
      <c r="I1315" s="36" t="s">
        <v>7833</v>
      </c>
      <c r="J1315" s="34" t="s">
        <v>7834</v>
      </c>
      <c r="K1315" s="34" t="s">
        <v>7835</v>
      </c>
      <c r="L1315" s="37"/>
      <c r="M1315" s="37"/>
      <c r="N1315" s="37"/>
      <c r="O1315" s="37"/>
      <c r="P1315" s="37"/>
      <c r="Q1315" s="37"/>
      <c r="R1315" s="31" t="n">
        <f aca="false">COUNT($M1315:$Q1315)</f>
        <v>0</v>
      </c>
      <c r="S1315" s="32" t="str">
        <f aca="false">IF($L1315="","",IF($R1315&gt;=5,"",MAX($L1315:$Q1315)+CHOOSE($R1315+1,SETTINGS!$C$9,SETTINGS!$C$10,SETTINGS!$C$11,SETTINGS!$C$12,SETTINGS!$C$13)))</f>
        <v/>
      </c>
      <c r="T1315" s="34" t="str">
        <f aca="true">IF($H1315="","(chưa có nội dung)",IF($L1315="",IF($C1315&lt;TODAY(),"⚠ TRỄ HỌC",IF($C1315=TODAY(),"★ HỌC HÔM NAY","• Chưa tới")),IF($R1315&gt;=5,"✔ MASTER",IF($S1315&lt;TODAY(),"⚠ TRỄ ÔN",IF($S1315=TODAY(),"◆ ÔN HÔM NAY","✔ Đúng tiến độ")))))</f>
        <v>• Chưa tới</v>
      </c>
      <c r="U1315" s="38" t="n">
        <f aca="false">IF($H1315="","",$R1315/5)</f>
        <v>0</v>
      </c>
    </row>
    <row r="1316" customFormat="false" ht="23.85" hidden="false" customHeight="false" outlineLevel="0" collapsed="false">
      <c r="A1316" s="31" t="s">
        <v>7836</v>
      </c>
      <c r="B1316" s="31" t="n">
        <v>66</v>
      </c>
      <c r="C1316" s="32" t="n">
        <f aca="false">SETTINGS!$C$3+$B1316-1</f>
        <v>46365</v>
      </c>
      <c r="D1316" s="41" t="s">
        <v>7168</v>
      </c>
      <c r="E1316" s="34" t="s">
        <v>7758</v>
      </c>
      <c r="F1316" s="34" t="s">
        <v>280</v>
      </c>
      <c r="G1316" s="34" t="s">
        <v>7837</v>
      </c>
      <c r="H1316" s="35" t="s">
        <v>7838</v>
      </c>
      <c r="I1316" s="36" t="s">
        <v>7839</v>
      </c>
      <c r="J1316" s="34" t="s">
        <v>7840</v>
      </c>
      <c r="K1316" s="34" t="s">
        <v>7841</v>
      </c>
      <c r="L1316" s="37"/>
      <c r="M1316" s="37"/>
      <c r="N1316" s="37"/>
      <c r="O1316" s="37"/>
      <c r="P1316" s="37"/>
      <c r="Q1316" s="37"/>
      <c r="R1316" s="31" t="n">
        <f aca="false">COUNT($M1316:$Q1316)</f>
        <v>0</v>
      </c>
      <c r="S1316" s="32" t="str">
        <f aca="false">IF($L1316="","",IF($R1316&gt;=5,"",MAX($L1316:$Q1316)+CHOOSE($R1316+1,SETTINGS!$C$9,SETTINGS!$C$10,SETTINGS!$C$11,SETTINGS!$C$12,SETTINGS!$C$13)))</f>
        <v/>
      </c>
      <c r="T1316" s="34" t="str">
        <f aca="true">IF($H1316="","(chưa có nội dung)",IF($L1316="",IF($C1316&lt;TODAY(),"⚠ TRỄ HỌC",IF($C1316=TODAY(),"★ HỌC HÔM NAY","• Chưa tới")),IF($R1316&gt;=5,"✔ MASTER",IF($S1316&lt;TODAY(),"⚠ TRỄ ÔN",IF($S1316=TODAY(),"◆ ÔN HÔM NAY","✔ Đúng tiến độ")))))</f>
        <v>• Chưa tới</v>
      </c>
      <c r="U1316" s="38" t="n">
        <f aca="false">IF($H1316="","",$R1316/5)</f>
        <v>0</v>
      </c>
    </row>
    <row r="1317" customFormat="false" ht="23.85" hidden="false" customHeight="false" outlineLevel="0" collapsed="false">
      <c r="A1317" s="31" t="s">
        <v>7842</v>
      </c>
      <c r="B1317" s="31" t="n">
        <v>66</v>
      </c>
      <c r="C1317" s="32" t="n">
        <f aca="false">SETTINGS!$C$3+$B1317-1</f>
        <v>46365</v>
      </c>
      <c r="D1317" s="41" t="s">
        <v>7168</v>
      </c>
      <c r="E1317" s="34" t="s">
        <v>7758</v>
      </c>
      <c r="F1317" s="34" t="s">
        <v>280</v>
      </c>
      <c r="G1317" s="34" t="s">
        <v>7843</v>
      </c>
      <c r="H1317" s="35" t="s">
        <v>7844</v>
      </c>
      <c r="I1317" s="36" t="s">
        <v>7845</v>
      </c>
      <c r="J1317" s="34" t="s">
        <v>7846</v>
      </c>
      <c r="K1317" s="34" t="s">
        <v>7847</v>
      </c>
      <c r="L1317" s="37"/>
      <c r="M1317" s="37"/>
      <c r="N1317" s="37"/>
      <c r="O1317" s="37"/>
      <c r="P1317" s="37"/>
      <c r="Q1317" s="37"/>
      <c r="R1317" s="31" t="n">
        <f aca="false">COUNT($M1317:$Q1317)</f>
        <v>0</v>
      </c>
      <c r="S1317" s="32" t="str">
        <f aca="false">IF($L1317="","",IF($R1317&gt;=5,"",MAX($L1317:$Q1317)+CHOOSE($R1317+1,SETTINGS!$C$9,SETTINGS!$C$10,SETTINGS!$C$11,SETTINGS!$C$12,SETTINGS!$C$13)))</f>
        <v/>
      </c>
      <c r="T1317" s="34" t="str">
        <f aca="true">IF($H1317="","(chưa có nội dung)",IF($L1317="",IF($C1317&lt;TODAY(),"⚠ TRỄ HỌC",IF($C1317=TODAY(),"★ HỌC HÔM NAY","• Chưa tới")),IF($R1317&gt;=5,"✔ MASTER",IF($S1317&lt;TODAY(),"⚠ TRỄ ÔN",IF($S1317=TODAY(),"◆ ÔN HÔM NAY","✔ Đúng tiến độ")))))</f>
        <v>• Chưa tới</v>
      </c>
      <c r="U1317" s="38" t="n">
        <f aca="false">IF($H1317="","",$R1317/5)</f>
        <v>0</v>
      </c>
    </row>
    <row r="1318" customFormat="false" ht="26.85" hidden="false" customHeight="false" outlineLevel="0" collapsed="false">
      <c r="A1318" s="31" t="s">
        <v>7848</v>
      </c>
      <c r="B1318" s="31" t="n">
        <v>66</v>
      </c>
      <c r="C1318" s="32" t="n">
        <f aca="false">SETTINGS!$C$3+$B1318-1</f>
        <v>46365</v>
      </c>
      <c r="D1318" s="41" t="s">
        <v>7168</v>
      </c>
      <c r="E1318" s="34" t="s">
        <v>7758</v>
      </c>
      <c r="F1318" s="34" t="s">
        <v>280</v>
      </c>
      <c r="G1318" s="34" t="s">
        <v>7849</v>
      </c>
      <c r="H1318" s="35" t="s">
        <v>7850</v>
      </c>
      <c r="I1318" s="36" t="s">
        <v>7851</v>
      </c>
      <c r="J1318" s="34" t="s">
        <v>7852</v>
      </c>
      <c r="K1318" s="34" t="s">
        <v>7853</v>
      </c>
      <c r="L1318" s="37"/>
      <c r="M1318" s="37"/>
      <c r="N1318" s="37"/>
      <c r="O1318" s="37"/>
      <c r="P1318" s="37"/>
      <c r="Q1318" s="37"/>
      <c r="R1318" s="31" t="n">
        <f aca="false">COUNT($M1318:$Q1318)</f>
        <v>0</v>
      </c>
      <c r="S1318" s="32" t="str">
        <f aca="false">IF($L1318="","",IF($R1318&gt;=5,"",MAX($L1318:$Q1318)+CHOOSE($R1318+1,SETTINGS!$C$9,SETTINGS!$C$10,SETTINGS!$C$11,SETTINGS!$C$12,SETTINGS!$C$13)))</f>
        <v/>
      </c>
      <c r="T1318" s="34" t="str">
        <f aca="true">IF($H1318="","(chưa có nội dung)",IF($L1318="",IF($C1318&lt;TODAY(),"⚠ TRỄ HỌC",IF($C1318=TODAY(),"★ HỌC HÔM NAY","• Chưa tới")),IF($R1318&gt;=5,"✔ MASTER",IF($S1318&lt;TODAY(),"⚠ TRỄ ÔN",IF($S1318=TODAY(),"◆ ÔN HÔM NAY","✔ Đúng tiến độ")))))</f>
        <v>• Chưa tới</v>
      </c>
      <c r="U1318" s="38" t="n">
        <f aca="false">IF($H1318="","",$R1318/5)</f>
        <v>0</v>
      </c>
    </row>
    <row r="1319" customFormat="false" ht="23.85" hidden="false" customHeight="false" outlineLevel="0" collapsed="false">
      <c r="A1319" s="31" t="s">
        <v>7854</v>
      </c>
      <c r="B1319" s="31" t="n">
        <v>66</v>
      </c>
      <c r="C1319" s="32" t="n">
        <f aca="false">SETTINGS!$C$3+$B1319-1</f>
        <v>46365</v>
      </c>
      <c r="D1319" s="41" t="s">
        <v>7168</v>
      </c>
      <c r="E1319" s="34" t="s">
        <v>7758</v>
      </c>
      <c r="F1319" s="34" t="s">
        <v>280</v>
      </c>
      <c r="G1319" s="34" t="s">
        <v>7855</v>
      </c>
      <c r="H1319" s="35" t="s">
        <v>7856</v>
      </c>
      <c r="I1319" s="36" t="s">
        <v>7857</v>
      </c>
      <c r="J1319" s="34" t="s">
        <v>7858</v>
      </c>
      <c r="K1319" s="34" t="s">
        <v>7859</v>
      </c>
      <c r="L1319" s="37"/>
      <c r="M1319" s="37"/>
      <c r="N1319" s="37"/>
      <c r="O1319" s="37"/>
      <c r="P1319" s="37"/>
      <c r="Q1319" s="37"/>
      <c r="R1319" s="31" t="n">
        <f aca="false">COUNT($M1319:$Q1319)</f>
        <v>0</v>
      </c>
      <c r="S1319" s="32" t="str">
        <f aca="false">IF($L1319="","",IF($R1319&gt;=5,"",MAX($L1319:$Q1319)+CHOOSE($R1319+1,SETTINGS!$C$9,SETTINGS!$C$10,SETTINGS!$C$11,SETTINGS!$C$12,SETTINGS!$C$13)))</f>
        <v/>
      </c>
      <c r="T1319" s="34" t="str">
        <f aca="true">IF($H1319="","(chưa có nội dung)",IF($L1319="",IF($C1319&lt;TODAY(),"⚠ TRỄ HỌC",IF($C1319=TODAY(),"★ HỌC HÔM NAY","• Chưa tới")),IF($R1319&gt;=5,"✔ MASTER",IF($S1319&lt;TODAY(),"⚠ TRỄ ÔN",IF($S1319=TODAY(),"◆ ÔN HÔM NAY","✔ Đúng tiến độ")))))</f>
        <v>• Chưa tới</v>
      </c>
      <c r="U1319" s="38" t="n">
        <f aca="false">IF($H1319="","",$R1319/5)</f>
        <v>0</v>
      </c>
    </row>
    <row r="1320" customFormat="false" ht="23.85" hidden="false" customHeight="false" outlineLevel="0" collapsed="false">
      <c r="A1320" s="31" t="s">
        <v>7860</v>
      </c>
      <c r="B1320" s="31" t="n">
        <v>66</v>
      </c>
      <c r="C1320" s="32" t="n">
        <f aca="false">SETTINGS!$C$3+$B1320-1</f>
        <v>46365</v>
      </c>
      <c r="D1320" s="41" t="s">
        <v>7168</v>
      </c>
      <c r="E1320" s="34" t="s">
        <v>7758</v>
      </c>
      <c r="F1320" s="34" t="s">
        <v>280</v>
      </c>
      <c r="G1320" s="34" t="s">
        <v>7861</v>
      </c>
      <c r="H1320" s="35" t="s">
        <v>7862</v>
      </c>
      <c r="I1320" s="36" t="s">
        <v>7863</v>
      </c>
      <c r="J1320" s="34" t="s">
        <v>7864</v>
      </c>
      <c r="K1320" s="34" t="s">
        <v>2949</v>
      </c>
      <c r="L1320" s="37"/>
      <c r="M1320" s="37"/>
      <c r="N1320" s="37"/>
      <c r="O1320" s="37"/>
      <c r="P1320" s="37"/>
      <c r="Q1320" s="37"/>
      <c r="R1320" s="31" t="n">
        <f aca="false">COUNT($M1320:$Q1320)</f>
        <v>0</v>
      </c>
      <c r="S1320" s="32" t="str">
        <f aca="false">IF($L1320="","",IF($R1320&gt;=5,"",MAX($L1320:$Q1320)+CHOOSE($R1320+1,SETTINGS!$C$9,SETTINGS!$C$10,SETTINGS!$C$11,SETTINGS!$C$12,SETTINGS!$C$13)))</f>
        <v/>
      </c>
      <c r="T1320" s="34" t="str">
        <f aca="true">IF($H1320="","(chưa có nội dung)",IF($L1320="",IF($C1320&lt;TODAY(),"⚠ TRỄ HỌC",IF($C1320=TODAY(),"★ HỌC HÔM NAY","• Chưa tới")),IF($R1320&gt;=5,"✔ MASTER",IF($S1320&lt;TODAY(),"⚠ TRỄ ÔN",IF($S1320=TODAY(),"◆ ÔN HÔM NAY","✔ Đúng tiến độ")))))</f>
        <v>• Chưa tới</v>
      </c>
      <c r="U1320" s="38" t="n">
        <f aca="false">IF($H1320="","",$R1320/5)</f>
        <v>0</v>
      </c>
    </row>
    <row r="1321" customFormat="false" ht="26.85" hidden="false" customHeight="false" outlineLevel="0" collapsed="false">
      <c r="A1321" s="31" t="s">
        <v>7865</v>
      </c>
      <c r="B1321" s="31" t="n">
        <v>66</v>
      </c>
      <c r="C1321" s="32" t="n">
        <f aca="false">SETTINGS!$C$3+$B1321-1</f>
        <v>46365</v>
      </c>
      <c r="D1321" s="41" t="s">
        <v>7168</v>
      </c>
      <c r="E1321" s="34" t="s">
        <v>7758</v>
      </c>
      <c r="F1321" s="34" t="s">
        <v>183</v>
      </c>
      <c r="G1321" s="34" t="s">
        <v>7866</v>
      </c>
      <c r="H1321" s="35" t="s">
        <v>7867</v>
      </c>
      <c r="I1321" s="36" t="s">
        <v>7868</v>
      </c>
      <c r="J1321" s="34" t="s">
        <v>7869</v>
      </c>
      <c r="K1321" s="34" t="s">
        <v>7870</v>
      </c>
      <c r="L1321" s="37"/>
      <c r="M1321" s="37"/>
      <c r="N1321" s="37"/>
      <c r="O1321" s="37"/>
      <c r="P1321" s="37"/>
      <c r="Q1321" s="37"/>
      <c r="R1321" s="31" t="n">
        <f aca="false">COUNT($M1321:$Q1321)</f>
        <v>0</v>
      </c>
      <c r="S1321" s="32" t="str">
        <f aca="false">IF($L1321="","",IF($R1321&gt;=5,"",MAX($L1321:$Q1321)+CHOOSE($R1321+1,SETTINGS!$C$9,SETTINGS!$C$10,SETTINGS!$C$11,SETTINGS!$C$12,SETTINGS!$C$13)))</f>
        <v/>
      </c>
      <c r="T1321" s="34" t="str">
        <f aca="true">IF($H1321="","(chưa có nội dung)",IF($L1321="",IF($C1321&lt;TODAY(),"⚠ TRỄ HỌC",IF($C1321=TODAY(),"★ HỌC HÔM NAY","• Chưa tới")),IF($R1321&gt;=5,"✔ MASTER",IF($S1321&lt;TODAY(),"⚠ TRỄ ÔN",IF($S1321=TODAY(),"◆ ÔN HÔM NAY","✔ Đúng tiến độ")))))</f>
        <v>• Chưa tới</v>
      </c>
      <c r="U1321" s="38" t="n">
        <f aca="false">IF($H1321="","",$R1321/5)</f>
        <v>0</v>
      </c>
    </row>
    <row r="1322" customFormat="false" ht="23.85" hidden="false" customHeight="false" outlineLevel="0" collapsed="false">
      <c r="A1322" s="31" t="s">
        <v>7871</v>
      </c>
      <c r="B1322" s="31" t="n">
        <v>66</v>
      </c>
      <c r="C1322" s="32" t="n">
        <f aca="false">SETTINGS!$C$3+$B1322-1</f>
        <v>46365</v>
      </c>
      <c r="D1322" s="41" t="s">
        <v>7168</v>
      </c>
      <c r="E1322" s="34" t="s">
        <v>7758</v>
      </c>
      <c r="F1322" s="34" t="s">
        <v>183</v>
      </c>
      <c r="G1322" s="34" t="s">
        <v>7872</v>
      </c>
      <c r="H1322" s="35" t="s">
        <v>7873</v>
      </c>
      <c r="I1322" s="36" t="s">
        <v>7874</v>
      </c>
      <c r="J1322" s="34" t="s">
        <v>7875</v>
      </c>
      <c r="K1322" s="34" t="s">
        <v>7876</v>
      </c>
      <c r="L1322" s="37"/>
      <c r="M1322" s="37"/>
      <c r="N1322" s="37"/>
      <c r="O1322" s="37"/>
      <c r="P1322" s="37"/>
      <c r="Q1322" s="37"/>
      <c r="R1322" s="31" t="n">
        <f aca="false">COUNT($M1322:$Q1322)</f>
        <v>0</v>
      </c>
      <c r="S1322" s="32" t="str">
        <f aca="false">IF($L1322="","",IF($R1322&gt;=5,"",MAX($L1322:$Q1322)+CHOOSE($R1322+1,SETTINGS!$C$9,SETTINGS!$C$10,SETTINGS!$C$11,SETTINGS!$C$12,SETTINGS!$C$13)))</f>
        <v/>
      </c>
      <c r="T1322" s="34" t="str">
        <f aca="true">IF($H1322="","(chưa có nội dung)",IF($L1322="",IF($C1322&lt;TODAY(),"⚠ TRỄ HỌC",IF($C1322=TODAY(),"★ HỌC HÔM NAY","• Chưa tới")),IF($R1322&gt;=5,"✔ MASTER",IF($S1322&lt;TODAY(),"⚠ TRỄ ÔN",IF($S1322=TODAY(),"◆ ÔN HÔM NAY","✔ Đúng tiến độ")))))</f>
        <v>• Chưa tới</v>
      </c>
      <c r="U1322" s="38" t="n">
        <f aca="false">IF($H1322="","",$R1322/5)</f>
        <v>0</v>
      </c>
    </row>
    <row r="1323" customFormat="false" ht="15" hidden="false" customHeight="false" outlineLevel="0" collapsed="false">
      <c r="A1323" s="31" t="s">
        <v>7877</v>
      </c>
      <c r="B1323" s="31" t="n">
        <v>67</v>
      </c>
      <c r="C1323" s="32" t="n">
        <f aca="false">SETTINGS!$C$3+$B1323-1</f>
        <v>46366</v>
      </c>
      <c r="D1323" s="41" t="s">
        <v>7168</v>
      </c>
      <c r="E1323" s="34" t="s">
        <v>7878</v>
      </c>
      <c r="F1323" s="34" t="s">
        <v>280</v>
      </c>
      <c r="G1323" s="34" t="s">
        <v>7879</v>
      </c>
      <c r="H1323" s="35" t="s">
        <v>7880</v>
      </c>
      <c r="I1323" s="36" t="s">
        <v>7881</v>
      </c>
      <c r="J1323" s="34" t="s">
        <v>7882</v>
      </c>
      <c r="K1323" s="34" t="s">
        <v>7883</v>
      </c>
      <c r="L1323" s="37"/>
      <c r="M1323" s="37"/>
      <c r="N1323" s="37"/>
      <c r="O1323" s="37"/>
      <c r="P1323" s="37"/>
      <c r="Q1323" s="37"/>
      <c r="R1323" s="31" t="n">
        <f aca="false">COUNT($M1323:$Q1323)</f>
        <v>0</v>
      </c>
      <c r="S1323" s="32" t="str">
        <f aca="false">IF($L1323="","",IF($R1323&gt;=5,"",MAX($L1323:$Q1323)+CHOOSE($R1323+1,SETTINGS!$C$9,SETTINGS!$C$10,SETTINGS!$C$11,SETTINGS!$C$12,SETTINGS!$C$13)))</f>
        <v/>
      </c>
      <c r="T1323" s="34" t="str">
        <f aca="true">IF($H1323="","(chưa có nội dung)",IF($L1323="",IF($C1323&lt;TODAY(),"⚠ TRỄ HỌC",IF($C1323=TODAY(),"★ HỌC HÔM NAY","• Chưa tới")),IF($R1323&gt;=5,"✔ MASTER",IF($S1323&lt;TODAY(),"⚠ TRỄ ÔN",IF($S1323=TODAY(),"◆ ÔN HÔM NAY","✔ Đúng tiến độ")))))</f>
        <v>• Chưa tới</v>
      </c>
      <c r="U1323" s="38" t="n">
        <f aca="false">IF($H1323="","",$R1323/5)</f>
        <v>0</v>
      </c>
    </row>
    <row r="1324" customFormat="false" ht="15" hidden="false" customHeight="false" outlineLevel="0" collapsed="false">
      <c r="A1324" s="31" t="s">
        <v>7884</v>
      </c>
      <c r="B1324" s="31" t="n">
        <v>67</v>
      </c>
      <c r="C1324" s="32" t="n">
        <f aca="false">SETTINGS!$C$3+$B1324-1</f>
        <v>46366</v>
      </c>
      <c r="D1324" s="41" t="s">
        <v>7168</v>
      </c>
      <c r="E1324" s="34" t="s">
        <v>7878</v>
      </c>
      <c r="F1324" s="34" t="s">
        <v>280</v>
      </c>
      <c r="G1324" s="34" t="s">
        <v>7885</v>
      </c>
      <c r="H1324" s="35" t="s">
        <v>7886</v>
      </c>
      <c r="I1324" s="36" t="s">
        <v>7887</v>
      </c>
      <c r="J1324" s="34" t="s">
        <v>7888</v>
      </c>
      <c r="K1324" s="34" t="s">
        <v>7889</v>
      </c>
      <c r="L1324" s="37"/>
      <c r="M1324" s="37"/>
      <c r="N1324" s="37"/>
      <c r="O1324" s="37"/>
      <c r="P1324" s="37"/>
      <c r="Q1324" s="37"/>
      <c r="R1324" s="31" t="n">
        <f aca="false">COUNT($M1324:$Q1324)</f>
        <v>0</v>
      </c>
      <c r="S1324" s="32" t="str">
        <f aca="false">IF($L1324="","",IF($R1324&gt;=5,"",MAX($L1324:$Q1324)+CHOOSE($R1324+1,SETTINGS!$C$9,SETTINGS!$C$10,SETTINGS!$C$11,SETTINGS!$C$12,SETTINGS!$C$13)))</f>
        <v/>
      </c>
      <c r="T1324" s="34" t="str">
        <f aca="true">IF($H1324="","(chưa có nội dung)",IF($L1324="",IF($C1324&lt;TODAY(),"⚠ TRỄ HỌC",IF($C1324=TODAY(),"★ HỌC HÔM NAY","• Chưa tới")),IF($R1324&gt;=5,"✔ MASTER",IF($S1324&lt;TODAY(),"⚠ TRỄ ÔN",IF($S1324=TODAY(),"◆ ÔN HÔM NAY","✔ Đúng tiến độ")))))</f>
        <v>• Chưa tới</v>
      </c>
      <c r="U1324" s="38" t="n">
        <f aca="false">IF($H1324="","",$R1324/5)</f>
        <v>0</v>
      </c>
    </row>
    <row r="1325" customFormat="false" ht="15" hidden="false" customHeight="false" outlineLevel="0" collapsed="false">
      <c r="A1325" s="31" t="s">
        <v>7890</v>
      </c>
      <c r="B1325" s="31" t="n">
        <v>67</v>
      </c>
      <c r="C1325" s="32" t="n">
        <f aca="false">SETTINGS!$C$3+$B1325-1</f>
        <v>46366</v>
      </c>
      <c r="D1325" s="41" t="s">
        <v>7168</v>
      </c>
      <c r="E1325" s="34" t="s">
        <v>7878</v>
      </c>
      <c r="F1325" s="34" t="s">
        <v>280</v>
      </c>
      <c r="G1325" s="34" t="s">
        <v>7891</v>
      </c>
      <c r="H1325" s="35" t="s">
        <v>7892</v>
      </c>
      <c r="I1325" s="36" t="s">
        <v>7893</v>
      </c>
      <c r="J1325" s="34" t="s">
        <v>7894</v>
      </c>
      <c r="K1325" s="34" t="s">
        <v>7895</v>
      </c>
      <c r="L1325" s="37"/>
      <c r="M1325" s="37"/>
      <c r="N1325" s="37"/>
      <c r="O1325" s="37"/>
      <c r="P1325" s="37"/>
      <c r="Q1325" s="37"/>
      <c r="R1325" s="31" t="n">
        <f aca="false">COUNT($M1325:$Q1325)</f>
        <v>0</v>
      </c>
      <c r="S1325" s="32" t="str">
        <f aca="false">IF($L1325="","",IF($R1325&gt;=5,"",MAX($L1325:$Q1325)+CHOOSE($R1325+1,SETTINGS!$C$9,SETTINGS!$C$10,SETTINGS!$C$11,SETTINGS!$C$12,SETTINGS!$C$13)))</f>
        <v/>
      </c>
      <c r="T1325" s="34" t="str">
        <f aca="true">IF($H1325="","(chưa có nội dung)",IF($L1325="",IF($C1325&lt;TODAY(),"⚠ TRỄ HỌC",IF($C1325=TODAY(),"★ HỌC HÔM NAY","• Chưa tới")),IF($R1325&gt;=5,"✔ MASTER",IF($S1325&lt;TODAY(),"⚠ TRỄ ÔN",IF($S1325=TODAY(),"◆ ÔN HÔM NAY","✔ Đúng tiến độ")))))</f>
        <v>• Chưa tới</v>
      </c>
      <c r="U1325" s="38" t="n">
        <f aca="false">IF($H1325="","",$R1325/5)</f>
        <v>0</v>
      </c>
    </row>
    <row r="1326" customFormat="false" ht="15" hidden="false" customHeight="false" outlineLevel="0" collapsed="false">
      <c r="A1326" s="31" t="s">
        <v>7896</v>
      </c>
      <c r="B1326" s="31" t="n">
        <v>67</v>
      </c>
      <c r="C1326" s="32" t="n">
        <f aca="false">SETTINGS!$C$3+$B1326-1</f>
        <v>46366</v>
      </c>
      <c r="D1326" s="41" t="s">
        <v>7168</v>
      </c>
      <c r="E1326" s="34" t="s">
        <v>7878</v>
      </c>
      <c r="F1326" s="34" t="s">
        <v>280</v>
      </c>
      <c r="G1326" s="34" t="s">
        <v>3573</v>
      </c>
      <c r="H1326" s="35" t="s">
        <v>7897</v>
      </c>
      <c r="I1326" s="36" t="s">
        <v>7898</v>
      </c>
      <c r="J1326" s="34" t="s">
        <v>7899</v>
      </c>
      <c r="K1326" s="34" t="s">
        <v>7900</v>
      </c>
      <c r="L1326" s="37"/>
      <c r="M1326" s="37"/>
      <c r="N1326" s="37"/>
      <c r="O1326" s="37"/>
      <c r="P1326" s="37"/>
      <c r="Q1326" s="37"/>
      <c r="R1326" s="31" t="n">
        <f aca="false">COUNT($M1326:$Q1326)</f>
        <v>0</v>
      </c>
      <c r="S1326" s="32" t="str">
        <f aca="false">IF($L1326="","",IF($R1326&gt;=5,"",MAX($L1326:$Q1326)+CHOOSE($R1326+1,SETTINGS!$C$9,SETTINGS!$C$10,SETTINGS!$C$11,SETTINGS!$C$12,SETTINGS!$C$13)))</f>
        <v/>
      </c>
      <c r="T1326" s="34" t="str">
        <f aca="true">IF($H1326="","(chưa có nội dung)",IF($L1326="",IF($C1326&lt;TODAY(),"⚠ TRỄ HỌC",IF($C1326=TODAY(),"★ HỌC HÔM NAY","• Chưa tới")),IF($R1326&gt;=5,"✔ MASTER",IF($S1326&lt;TODAY(),"⚠ TRỄ ÔN",IF($S1326=TODAY(),"◆ ÔN HÔM NAY","✔ Đúng tiến độ")))))</f>
        <v>• Chưa tới</v>
      </c>
      <c r="U1326" s="38" t="n">
        <f aca="false">IF($H1326="","",$R1326/5)</f>
        <v>0</v>
      </c>
    </row>
    <row r="1327" customFormat="false" ht="26.85" hidden="false" customHeight="false" outlineLevel="0" collapsed="false">
      <c r="A1327" s="31" t="s">
        <v>7901</v>
      </c>
      <c r="B1327" s="31" t="n">
        <v>67</v>
      </c>
      <c r="C1327" s="32" t="n">
        <f aca="false">SETTINGS!$C$3+$B1327-1</f>
        <v>46366</v>
      </c>
      <c r="D1327" s="41" t="s">
        <v>7168</v>
      </c>
      <c r="E1327" s="34" t="s">
        <v>7878</v>
      </c>
      <c r="F1327" s="34" t="s">
        <v>280</v>
      </c>
      <c r="G1327" s="34" t="s">
        <v>3903</v>
      </c>
      <c r="H1327" s="35" t="s">
        <v>7902</v>
      </c>
      <c r="I1327" s="36" t="s">
        <v>7903</v>
      </c>
      <c r="J1327" s="34" t="s">
        <v>7904</v>
      </c>
      <c r="K1327" s="34" t="s">
        <v>7905</v>
      </c>
      <c r="L1327" s="37"/>
      <c r="M1327" s="37"/>
      <c r="N1327" s="37"/>
      <c r="O1327" s="37"/>
      <c r="P1327" s="37"/>
      <c r="Q1327" s="37"/>
      <c r="R1327" s="31" t="n">
        <f aca="false">COUNT($M1327:$Q1327)</f>
        <v>0</v>
      </c>
      <c r="S1327" s="32" t="str">
        <f aca="false">IF($L1327="","",IF($R1327&gt;=5,"",MAX($L1327:$Q1327)+CHOOSE($R1327+1,SETTINGS!$C$9,SETTINGS!$C$10,SETTINGS!$C$11,SETTINGS!$C$12,SETTINGS!$C$13)))</f>
        <v/>
      </c>
      <c r="T1327" s="34" t="str">
        <f aca="true">IF($H1327="","(chưa có nội dung)",IF($L1327="",IF($C1327&lt;TODAY(),"⚠ TRỄ HỌC",IF($C1327=TODAY(),"★ HỌC HÔM NAY","• Chưa tới")),IF($R1327&gt;=5,"✔ MASTER",IF($S1327&lt;TODAY(),"⚠ TRỄ ÔN",IF($S1327=TODAY(),"◆ ÔN HÔM NAY","✔ Đúng tiến độ")))))</f>
        <v>• Chưa tới</v>
      </c>
      <c r="U1327" s="38" t="n">
        <f aca="false">IF($H1327="","",$R1327/5)</f>
        <v>0</v>
      </c>
    </row>
    <row r="1328" customFormat="false" ht="26.85" hidden="false" customHeight="false" outlineLevel="0" collapsed="false">
      <c r="A1328" s="31" t="s">
        <v>7906</v>
      </c>
      <c r="B1328" s="31" t="n">
        <v>67</v>
      </c>
      <c r="C1328" s="32" t="n">
        <f aca="false">SETTINGS!$C$3+$B1328-1</f>
        <v>46366</v>
      </c>
      <c r="D1328" s="41" t="s">
        <v>7168</v>
      </c>
      <c r="E1328" s="34" t="s">
        <v>7878</v>
      </c>
      <c r="F1328" s="34" t="s">
        <v>202</v>
      </c>
      <c r="G1328" s="34" t="s">
        <v>7907</v>
      </c>
      <c r="H1328" s="35" t="s">
        <v>7908</v>
      </c>
      <c r="I1328" s="36" t="s">
        <v>7909</v>
      </c>
      <c r="J1328" s="34" t="s">
        <v>7910</v>
      </c>
      <c r="K1328" s="34" t="s">
        <v>7911</v>
      </c>
      <c r="L1328" s="37"/>
      <c r="M1328" s="37"/>
      <c r="N1328" s="37"/>
      <c r="O1328" s="37"/>
      <c r="P1328" s="37"/>
      <c r="Q1328" s="37"/>
      <c r="R1328" s="31" t="n">
        <f aca="false">COUNT($M1328:$Q1328)</f>
        <v>0</v>
      </c>
      <c r="S1328" s="32" t="str">
        <f aca="false">IF($L1328="","",IF($R1328&gt;=5,"",MAX($L1328:$Q1328)+CHOOSE($R1328+1,SETTINGS!$C$9,SETTINGS!$C$10,SETTINGS!$C$11,SETTINGS!$C$12,SETTINGS!$C$13)))</f>
        <v/>
      </c>
      <c r="T1328" s="34" t="str">
        <f aca="true">IF($H1328="","(chưa có nội dung)",IF($L1328="",IF($C1328&lt;TODAY(),"⚠ TRỄ HỌC",IF($C1328=TODAY(),"★ HỌC HÔM NAY","• Chưa tới")),IF($R1328&gt;=5,"✔ MASTER",IF($S1328&lt;TODAY(),"⚠ TRỄ ÔN",IF($S1328=TODAY(),"◆ ÔN HÔM NAY","✔ Đúng tiến độ")))))</f>
        <v>• Chưa tới</v>
      </c>
      <c r="U1328" s="38" t="n">
        <f aca="false">IF($H1328="","",$R1328/5)</f>
        <v>0</v>
      </c>
    </row>
    <row r="1329" customFormat="false" ht="26.85" hidden="false" customHeight="false" outlineLevel="0" collapsed="false">
      <c r="A1329" s="31" t="s">
        <v>7912</v>
      </c>
      <c r="B1329" s="31" t="n">
        <v>67</v>
      </c>
      <c r="C1329" s="32" t="n">
        <f aca="false">SETTINGS!$C$3+$B1329-1</f>
        <v>46366</v>
      </c>
      <c r="D1329" s="41" t="s">
        <v>7168</v>
      </c>
      <c r="E1329" s="34" t="s">
        <v>7878</v>
      </c>
      <c r="F1329" s="34" t="s">
        <v>280</v>
      </c>
      <c r="G1329" s="34" t="s">
        <v>7913</v>
      </c>
      <c r="H1329" s="35" t="s">
        <v>7914</v>
      </c>
      <c r="I1329" s="36" t="s">
        <v>7915</v>
      </c>
      <c r="J1329" s="34" t="s">
        <v>7916</v>
      </c>
      <c r="K1329" s="34" t="s">
        <v>7917</v>
      </c>
      <c r="L1329" s="37"/>
      <c r="M1329" s="37"/>
      <c r="N1329" s="37"/>
      <c r="O1329" s="37"/>
      <c r="P1329" s="37"/>
      <c r="Q1329" s="37"/>
      <c r="R1329" s="31" t="n">
        <f aca="false">COUNT($M1329:$Q1329)</f>
        <v>0</v>
      </c>
      <c r="S1329" s="32" t="str">
        <f aca="false">IF($L1329="","",IF($R1329&gt;=5,"",MAX($L1329:$Q1329)+CHOOSE($R1329+1,SETTINGS!$C$9,SETTINGS!$C$10,SETTINGS!$C$11,SETTINGS!$C$12,SETTINGS!$C$13)))</f>
        <v/>
      </c>
      <c r="T1329" s="34" t="str">
        <f aca="true">IF($H1329="","(chưa có nội dung)",IF($L1329="",IF($C1329&lt;TODAY(),"⚠ TRỄ HỌC",IF($C1329=TODAY(),"★ HỌC HÔM NAY","• Chưa tới")),IF($R1329&gt;=5,"✔ MASTER",IF($S1329&lt;TODAY(),"⚠ TRỄ ÔN",IF($S1329=TODAY(),"◆ ÔN HÔM NAY","✔ Đúng tiến độ")))))</f>
        <v>• Chưa tới</v>
      </c>
      <c r="U1329" s="38" t="n">
        <f aca="false">IF($H1329="","",$R1329/5)</f>
        <v>0</v>
      </c>
    </row>
    <row r="1330" customFormat="false" ht="15" hidden="false" customHeight="false" outlineLevel="0" collapsed="false">
      <c r="A1330" s="31" t="s">
        <v>7918</v>
      </c>
      <c r="B1330" s="31" t="n">
        <v>67</v>
      </c>
      <c r="C1330" s="32" t="n">
        <f aca="false">SETTINGS!$C$3+$B1330-1</f>
        <v>46366</v>
      </c>
      <c r="D1330" s="41" t="s">
        <v>7168</v>
      </c>
      <c r="E1330" s="34" t="s">
        <v>7878</v>
      </c>
      <c r="F1330" s="34" t="s">
        <v>280</v>
      </c>
      <c r="G1330" s="34" t="s">
        <v>7919</v>
      </c>
      <c r="H1330" s="35" t="s">
        <v>7920</v>
      </c>
      <c r="I1330" s="36" t="s">
        <v>7921</v>
      </c>
      <c r="J1330" s="34" t="s">
        <v>7922</v>
      </c>
      <c r="K1330" s="34" t="s">
        <v>7923</v>
      </c>
      <c r="L1330" s="37"/>
      <c r="M1330" s="37"/>
      <c r="N1330" s="37"/>
      <c r="O1330" s="37"/>
      <c r="P1330" s="37"/>
      <c r="Q1330" s="37"/>
      <c r="R1330" s="31" t="n">
        <f aca="false">COUNT($M1330:$Q1330)</f>
        <v>0</v>
      </c>
      <c r="S1330" s="32" t="str">
        <f aca="false">IF($L1330="","",IF($R1330&gt;=5,"",MAX($L1330:$Q1330)+CHOOSE($R1330+1,SETTINGS!$C$9,SETTINGS!$C$10,SETTINGS!$C$11,SETTINGS!$C$12,SETTINGS!$C$13)))</f>
        <v/>
      </c>
      <c r="T1330" s="34" t="str">
        <f aca="true">IF($H1330="","(chưa có nội dung)",IF($L1330="",IF($C1330&lt;TODAY(),"⚠ TRỄ HỌC",IF($C1330=TODAY(),"★ HỌC HÔM NAY","• Chưa tới")),IF($R1330&gt;=5,"✔ MASTER",IF($S1330&lt;TODAY(),"⚠ TRỄ ÔN",IF($S1330=TODAY(),"◆ ÔN HÔM NAY","✔ Đúng tiến độ")))))</f>
        <v>• Chưa tới</v>
      </c>
      <c r="U1330" s="38" t="n">
        <f aca="false">IF($H1330="","",$R1330/5)</f>
        <v>0</v>
      </c>
    </row>
    <row r="1331" customFormat="false" ht="26.85" hidden="false" customHeight="false" outlineLevel="0" collapsed="false">
      <c r="A1331" s="31" t="s">
        <v>7924</v>
      </c>
      <c r="B1331" s="31" t="n">
        <v>67</v>
      </c>
      <c r="C1331" s="32" t="n">
        <f aca="false">SETTINGS!$C$3+$B1331-1</f>
        <v>46366</v>
      </c>
      <c r="D1331" s="41" t="s">
        <v>7168</v>
      </c>
      <c r="E1331" s="34" t="s">
        <v>7878</v>
      </c>
      <c r="F1331" s="34" t="s">
        <v>280</v>
      </c>
      <c r="G1331" s="34" t="s">
        <v>7925</v>
      </c>
      <c r="H1331" s="35" t="s">
        <v>7926</v>
      </c>
      <c r="I1331" s="36" t="s">
        <v>7927</v>
      </c>
      <c r="J1331" s="34" t="s">
        <v>7928</v>
      </c>
      <c r="K1331" s="34" t="s">
        <v>7929</v>
      </c>
      <c r="L1331" s="37"/>
      <c r="M1331" s="37"/>
      <c r="N1331" s="37"/>
      <c r="O1331" s="37"/>
      <c r="P1331" s="37"/>
      <c r="Q1331" s="37"/>
      <c r="R1331" s="31" t="n">
        <f aca="false">COUNT($M1331:$Q1331)</f>
        <v>0</v>
      </c>
      <c r="S1331" s="32" t="str">
        <f aca="false">IF($L1331="","",IF($R1331&gt;=5,"",MAX($L1331:$Q1331)+CHOOSE($R1331+1,SETTINGS!$C$9,SETTINGS!$C$10,SETTINGS!$C$11,SETTINGS!$C$12,SETTINGS!$C$13)))</f>
        <v/>
      </c>
      <c r="T1331" s="34" t="str">
        <f aca="true">IF($H1331="","(chưa có nội dung)",IF($L1331="",IF($C1331&lt;TODAY(),"⚠ TRỄ HỌC",IF($C1331=TODAY(),"★ HỌC HÔM NAY","• Chưa tới")),IF($R1331&gt;=5,"✔ MASTER",IF($S1331&lt;TODAY(),"⚠ TRỄ ÔN",IF($S1331=TODAY(),"◆ ÔN HÔM NAY","✔ Đúng tiến độ")))))</f>
        <v>• Chưa tới</v>
      </c>
      <c r="U1331" s="38" t="n">
        <f aca="false">IF($H1331="","",$R1331/5)</f>
        <v>0</v>
      </c>
    </row>
    <row r="1332" customFormat="false" ht="15" hidden="false" customHeight="false" outlineLevel="0" collapsed="false">
      <c r="A1332" s="31" t="s">
        <v>7930</v>
      </c>
      <c r="B1332" s="31" t="n">
        <v>67</v>
      </c>
      <c r="C1332" s="32" t="n">
        <f aca="false">SETTINGS!$C$3+$B1332-1</f>
        <v>46366</v>
      </c>
      <c r="D1332" s="41" t="s">
        <v>7168</v>
      </c>
      <c r="E1332" s="34" t="s">
        <v>7878</v>
      </c>
      <c r="F1332" s="34" t="s">
        <v>280</v>
      </c>
      <c r="G1332" s="34" t="s">
        <v>7931</v>
      </c>
      <c r="H1332" s="35" t="s">
        <v>7932</v>
      </c>
      <c r="I1332" s="36" t="s">
        <v>7933</v>
      </c>
      <c r="J1332" s="34" t="s">
        <v>7934</v>
      </c>
      <c r="K1332" s="34" t="s">
        <v>7935</v>
      </c>
      <c r="L1332" s="37"/>
      <c r="M1332" s="37"/>
      <c r="N1332" s="37"/>
      <c r="O1332" s="37"/>
      <c r="P1332" s="37"/>
      <c r="Q1332" s="37"/>
      <c r="R1332" s="31" t="n">
        <f aca="false">COUNT($M1332:$Q1332)</f>
        <v>0</v>
      </c>
      <c r="S1332" s="32" t="str">
        <f aca="false">IF($L1332="","",IF($R1332&gt;=5,"",MAX($L1332:$Q1332)+CHOOSE($R1332+1,SETTINGS!$C$9,SETTINGS!$C$10,SETTINGS!$C$11,SETTINGS!$C$12,SETTINGS!$C$13)))</f>
        <v/>
      </c>
      <c r="T1332" s="34" t="str">
        <f aca="true">IF($H1332="","(chưa có nội dung)",IF($L1332="",IF($C1332&lt;TODAY(),"⚠ TRỄ HỌC",IF($C1332=TODAY(),"★ HỌC HÔM NAY","• Chưa tới")),IF($R1332&gt;=5,"✔ MASTER",IF($S1332&lt;TODAY(),"⚠ TRỄ ÔN",IF($S1332=TODAY(),"◆ ÔN HÔM NAY","✔ Đúng tiến độ")))))</f>
        <v>• Chưa tới</v>
      </c>
      <c r="U1332" s="38" t="n">
        <f aca="false">IF($H1332="","",$R1332/5)</f>
        <v>0</v>
      </c>
    </row>
    <row r="1333" customFormat="false" ht="15" hidden="false" customHeight="false" outlineLevel="0" collapsed="false">
      <c r="A1333" s="31" t="s">
        <v>7936</v>
      </c>
      <c r="B1333" s="31" t="n">
        <v>67</v>
      </c>
      <c r="C1333" s="32" t="n">
        <f aca="false">SETTINGS!$C$3+$B1333-1</f>
        <v>46366</v>
      </c>
      <c r="D1333" s="41" t="s">
        <v>7168</v>
      </c>
      <c r="E1333" s="34" t="s">
        <v>7878</v>
      </c>
      <c r="F1333" s="34" t="s">
        <v>280</v>
      </c>
      <c r="G1333" s="34" t="s">
        <v>7937</v>
      </c>
      <c r="H1333" s="35" t="s">
        <v>7938</v>
      </c>
      <c r="I1333" s="36" t="s">
        <v>7939</v>
      </c>
      <c r="J1333" s="34" t="s">
        <v>7940</v>
      </c>
      <c r="K1333" s="34" t="s">
        <v>7941</v>
      </c>
      <c r="L1333" s="37"/>
      <c r="M1333" s="37"/>
      <c r="N1333" s="37"/>
      <c r="O1333" s="37"/>
      <c r="P1333" s="37"/>
      <c r="Q1333" s="37"/>
      <c r="R1333" s="31" t="n">
        <f aca="false">COUNT($M1333:$Q1333)</f>
        <v>0</v>
      </c>
      <c r="S1333" s="32" t="str">
        <f aca="false">IF($L1333="","",IF($R1333&gt;=5,"",MAX($L1333:$Q1333)+CHOOSE($R1333+1,SETTINGS!$C$9,SETTINGS!$C$10,SETTINGS!$C$11,SETTINGS!$C$12,SETTINGS!$C$13)))</f>
        <v/>
      </c>
      <c r="T1333" s="34" t="str">
        <f aca="true">IF($H1333="","(chưa có nội dung)",IF($L1333="",IF($C1333&lt;TODAY(),"⚠ TRỄ HỌC",IF($C1333=TODAY(),"★ HỌC HÔM NAY","• Chưa tới")),IF($R1333&gt;=5,"✔ MASTER",IF($S1333&lt;TODAY(),"⚠ TRỄ ÔN",IF($S1333=TODAY(),"◆ ÔN HÔM NAY","✔ Đúng tiến độ")))))</f>
        <v>• Chưa tới</v>
      </c>
      <c r="U1333" s="38" t="n">
        <f aca="false">IF($H1333="","",$R1333/5)</f>
        <v>0</v>
      </c>
    </row>
    <row r="1334" customFormat="false" ht="15" hidden="false" customHeight="false" outlineLevel="0" collapsed="false">
      <c r="A1334" s="31" t="s">
        <v>7942</v>
      </c>
      <c r="B1334" s="31" t="n">
        <v>67</v>
      </c>
      <c r="C1334" s="32" t="n">
        <f aca="false">SETTINGS!$C$3+$B1334-1</f>
        <v>46366</v>
      </c>
      <c r="D1334" s="41" t="s">
        <v>7168</v>
      </c>
      <c r="E1334" s="34" t="s">
        <v>7878</v>
      </c>
      <c r="F1334" s="34" t="s">
        <v>280</v>
      </c>
      <c r="G1334" s="34" t="s">
        <v>7943</v>
      </c>
      <c r="H1334" s="35" t="s">
        <v>7944</v>
      </c>
      <c r="I1334" s="36" t="s">
        <v>7945</v>
      </c>
      <c r="J1334" s="34" t="s">
        <v>7946</v>
      </c>
      <c r="K1334" s="34" t="s">
        <v>4015</v>
      </c>
      <c r="L1334" s="37"/>
      <c r="M1334" s="37"/>
      <c r="N1334" s="37"/>
      <c r="O1334" s="37"/>
      <c r="P1334" s="37"/>
      <c r="Q1334" s="37"/>
      <c r="R1334" s="31" t="n">
        <f aca="false">COUNT($M1334:$Q1334)</f>
        <v>0</v>
      </c>
      <c r="S1334" s="32" t="str">
        <f aca="false">IF($L1334="","",IF($R1334&gt;=5,"",MAX($L1334:$Q1334)+CHOOSE($R1334+1,SETTINGS!$C$9,SETTINGS!$C$10,SETTINGS!$C$11,SETTINGS!$C$12,SETTINGS!$C$13)))</f>
        <v/>
      </c>
      <c r="T1334" s="34" t="str">
        <f aca="true">IF($H1334="","(chưa có nội dung)",IF($L1334="",IF($C1334&lt;TODAY(),"⚠ TRỄ HỌC",IF($C1334=TODAY(),"★ HỌC HÔM NAY","• Chưa tới")),IF($R1334&gt;=5,"✔ MASTER",IF($S1334&lt;TODAY(),"⚠ TRỄ ÔN",IF($S1334=TODAY(),"◆ ÔN HÔM NAY","✔ Đúng tiến độ")))))</f>
        <v>• Chưa tới</v>
      </c>
      <c r="U1334" s="38" t="n">
        <f aca="false">IF($H1334="","",$R1334/5)</f>
        <v>0</v>
      </c>
    </row>
    <row r="1335" customFormat="false" ht="15" hidden="false" customHeight="false" outlineLevel="0" collapsed="false">
      <c r="A1335" s="31" t="s">
        <v>7947</v>
      </c>
      <c r="B1335" s="31" t="n">
        <v>67</v>
      </c>
      <c r="C1335" s="32" t="n">
        <f aca="false">SETTINGS!$C$3+$B1335-1</f>
        <v>46366</v>
      </c>
      <c r="D1335" s="41" t="s">
        <v>7168</v>
      </c>
      <c r="E1335" s="34" t="s">
        <v>7878</v>
      </c>
      <c r="F1335" s="34" t="s">
        <v>280</v>
      </c>
      <c r="G1335" s="34" t="s">
        <v>7948</v>
      </c>
      <c r="H1335" s="35" t="s">
        <v>7949</v>
      </c>
      <c r="I1335" s="36" t="s">
        <v>7950</v>
      </c>
      <c r="J1335" s="34" t="s">
        <v>7951</v>
      </c>
      <c r="K1335" s="34" t="s">
        <v>7952</v>
      </c>
      <c r="L1335" s="37"/>
      <c r="M1335" s="37"/>
      <c r="N1335" s="37"/>
      <c r="O1335" s="37"/>
      <c r="P1335" s="37"/>
      <c r="Q1335" s="37"/>
      <c r="R1335" s="31" t="n">
        <f aca="false">COUNT($M1335:$Q1335)</f>
        <v>0</v>
      </c>
      <c r="S1335" s="32" t="str">
        <f aca="false">IF($L1335="","",IF($R1335&gt;=5,"",MAX($L1335:$Q1335)+CHOOSE($R1335+1,SETTINGS!$C$9,SETTINGS!$C$10,SETTINGS!$C$11,SETTINGS!$C$12,SETTINGS!$C$13)))</f>
        <v/>
      </c>
      <c r="T1335" s="34" t="str">
        <f aca="true">IF($H1335="","(chưa có nội dung)",IF($L1335="",IF($C1335&lt;TODAY(),"⚠ TRỄ HỌC",IF($C1335=TODAY(),"★ HỌC HÔM NAY","• Chưa tới")),IF($R1335&gt;=5,"✔ MASTER",IF($S1335&lt;TODAY(),"⚠ TRỄ ÔN",IF($S1335=TODAY(),"◆ ÔN HÔM NAY","✔ Đúng tiến độ")))))</f>
        <v>• Chưa tới</v>
      </c>
      <c r="U1335" s="38" t="n">
        <f aca="false">IF($H1335="","",$R1335/5)</f>
        <v>0</v>
      </c>
    </row>
    <row r="1336" customFormat="false" ht="15" hidden="false" customHeight="false" outlineLevel="0" collapsed="false">
      <c r="A1336" s="31" t="s">
        <v>7953</v>
      </c>
      <c r="B1336" s="31" t="n">
        <v>67</v>
      </c>
      <c r="C1336" s="32" t="n">
        <f aca="false">SETTINGS!$C$3+$B1336-1</f>
        <v>46366</v>
      </c>
      <c r="D1336" s="41" t="s">
        <v>7168</v>
      </c>
      <c r="E1336" s="34" t="s">
        <v>7878</v>
      </c>
      <c r="F1336" s="34" t="s">
        <v>280</v>
      </c>
      <c r="G1336" s="34" t="s">
        <v>7954</v>
      </c>
      <c r="H1336" s="35" t="s">
        <v>7955</v>
      </c>
      <c r="I1336" s="36" t="s">
        <v>7956</v>
      </c>
      <c r="J1336" s="34" t="s">
        <v>7957</v>
      </c>
      <c r="K1336" s="34" t="s">
        <v>7958</v>
      </c>
      <c r="L1336" s="37"/>
      <c r="M1336" s="37"/>
      <c r="N1336" s="37"/>
      <c r="O1336" s="37"/>
      <c r="P1336" s="37"/>
      <c r="Q1336" s="37"/>
      <c r="R1336" s="31" t="n">
        <f aca="false">COUNT($M1336:$Q1336)</f>
        <v>0</v>
      </c>
      <c r="S1336" s="32" t="str">
        <f aca="false">IF($L1336="","",IF($R1336&gt;=5,"",MAX($L1336:$Q1336)+CHOOSE($R1336+1,SETTINGS!$C$9,SETTINGS!$C$10,SETTINGS!$C$11,SETTINGS!$C$12,SETTINGS!$C$13)))</f>
        <v/>
      </c>
      <c r="T1336" s="34" t="str">
        <f aca="true">IF($H1336="","(chưa có nội dung)",IF($L1336="",IF($C1336&lt;TODAY(),"⚠ TRỄ HỌC",IF($C1336=TODAY(),"★ HỌC HÔM NAY","• Chưa tới")),IF($R1336&gt;=5,"✔ MASTER",IF($S1336&lt;TODAY(),"⚠ TRỄ ÔN",IF($S1336=TODAY(),"◆ ÔN HÔM NAY","✔ Đúng tiến độ")))))</f>
        <v>• Chưa tới</v>
      </c>
      <c r="U1336" s="38" t="n">
        <f aca="false">IF($H1336="","",$R1336/5)</f>
        <v>0</v>
      </c>
    </row>
    <row r="1337" customFormat="false" ht="15" hidden="false" customHeight="false" outlineLevel="0" collapsed="false">
      <c r="A1337" s="31" t="s">
        <v>7959</v>
      </c>
      <c r="B1337" s="31" t="n">
        <v>67</v>
      </c>
      <c r="C1337" s="32" t="n">
        <f aca="false">SETTINGS!$C$3+$B1337-1</f>
        <v>46366</v>
      </c>
      <c r="D1337" s="41" t="s">
        <v>7168</v>
      </c>
      <c r="E1337" s="34" t="s">
        <v>7878</v>
      </c>
      <c r="F1337" s="34" t="s">
        <v>280</v>
      </c>
      <c r="G1337" s="34" t="s">
        <v>7960</v>
      </c>
      <c r="H1337" s="35" t="s">
        <v>7961</v>
      </c>
      <c r="I1337" s="36" t="s">
        <v>7962</v>
      </c>
      <c r="J1337" s="34" t="s">
        <v>7963</v>
      </c>
      <c r="K1337" s="34" t="s">
        <v>7964</v>
      </c>
      <c r="L1337" s="37"/>
      <c r="M1337" s="37"/>
      <c r="N1337" s="37"/>
      <c r="O1337" s="37"/>
      <c r="P1337" s="37"/>
      <c r="Q1337" s="37"/>
      <c r="R1337" s="31" t="n">
        <f aca="false">COUNT($M1337:$Q1337)</f>
        <v>0</v>
      </c>
      <c r="S1337" s="32" t="str">
        <f aca="false">IF($L1337="","",IF($R1337&gt;=5,"",MAX($L1337:$Q1337)+CHOOSE($R1337+1,SETTINGS!$C$9,SETTINGS!$C$10,SETTINGS!$C$11,SETTINGS!$C$12,SETTINGS!$C$13)))</f>
        <v/>
      </c>
      <c r="T1337" s="34" t="str">
        <f aca="true">IF($H1337="","(chưa có nội dung)",IF($L1337="",IF($C1337&lt;TODAY(),"⚠ TRỄ HỌC",IF($C1337=TODAY(),"★ HỌC HÔM NAY","• Chưa tới")),IF($R1337&gt;=5,"✔ MASTER",IF($S1337&lt;TODAY(),"⚠ TRỄ ÔN",IF($S1337=TODAY(),"◆ ÔN HÔM NAY","✔ Đúng tiến độ")))))</f>
        <v>• Chưa tới</v>
      </c>
      <c r="U1337" s="38" t="n">
        <f aca="false">IF($H1337="","",$R1337/5)</f>
        <v>0</v>
      </c>
    </row>
    <row r="1338" customFormat="false" ht="15" hidden="false" customHeight="false" outlineLevel="0" collapsed="false">
      <c r="A1338" s="31" t="s">
        <v>7965</v>
      </c>
      <c r="B1338" s="31" t="n">
        <v>67</v>
      </c>
      <c r="C1338" s="32" t="n">
        <f aca="false">SETTINGS!$C$3+$B1338-1</f>
        <v>46366</v>
      </c>
      <c r="D1338" s="41" t="s">
        <v>7168</v>
      </c>
      <c r="E1338" s="34" t="s">
        <v>7878</v>
      </c>
      <c r="F1338" s="34" t="s">
        <v>280</v>
      </c>
      <c r="G1338" s="34" t="s">
        <v>7966</v>
      </c>
      <c r="H1338" s="35" t="s">
        <v>7967</v>
      </c>
      <c r="I1338" s="36" t="s">
        <v>7968</v>
      </c>
      <c r="J1338" s="34" t="s">
        <v>7969</v>
      </c>
      <c r="K1338" s="34" t="s">
        <v>7970</v>
      </c>
      <c r="L1338" s="37"/>
      <c r="M1338" s="37"/>
      <c r="N1338" s="37"/>
      <c r="O1338" s="37"/>
      <c r="P1338" s="37"/>
      <c r="Q1338" s="37"/>
      <c r="R1338" s="31" t="n">
        <f aca="false">COUNT($M1338:$Q1338)</f>
        <v>0</v>
      </c>
      <c r="S1338" s="32" t="str">
        <f aca="false">IF($L1338="","",IF($R1338&gt;=5,"",MAX($L1338:$Q1338)+CHOOSE($R1338+1,SETTINGS!$C$9,SETTINGS!$C$10,SETTINGS!$C$11,SETTINGS!$C$12,SETTINGS!$C$13)))</f>
        <v/>
      </c>
      <c r="T1338" s="34" t="str">
        <f aca="true">IF($H1338="","(chưa có nội dung)",IF($L1338="",IF($C1338&lt;TODAY(),"⚠ TRỄ HỌC",IF($C1338=TODAY(),"★ HỌC HÔM NAY","• Chưa tới")),IF($R1338&gt;=5,"✔ MASTER",IF($S1338&lt;TODAY(),"⚠ TRỄ ÔN",IF($S1338=TODAY(),"◆ ÔN HÔM NAY","✔ Đúng tiến độ")))))</f>
        <v>• Chưa tới</v>
      </c>
      <c r="U1338" s="38" t="n">
        <f aca="false">IF($H1338="","",$R1338/5)</f>
        <v>0</v>
      </c>
    </row>
    <row r="1339" customFormat="false" ht="26.85" hidden="false" customHeight="false" outlineLevel="0" collapsed="false">
      <c r="A1339" s="31" t="s">
        <v>7971</v>
      </c>
      <c r="B1339" s="31" t="n">
        <v>67</v>
      </c>
      <c r="C1339" s="32" t="n">
        <f aca="false">SETTINGS!$C$3+$B1339-1</f>
        <v>46366</v>
      </c>
      <c r="D1339" s="41" t="s">
        <v>7168</v>
      </c>
      <c r="E1339" s="34" t="s">
        <v>7878</v>
      </c>
      <c r="F1339" s="34" t="s">
        <v>202</v>
      </c>
      <c r="G1339" s="34" t="s">
        <v>7972</v>
      </c>
      <c r="H1339" s="35" t="s">
        <v>7973</v>
      </c>
      <c r="I1339" s="36" t="s">
        <v>7974</v>
      </c>
      <c r="J1339" s="34" t="s">
        <v>7975</v>
      </c>
      <c r="K1339" s="34" t="s">
        <v>7976</v>
      </c>
      <c r="L1339" s="37"/>
      <c r="M1339" s="37"/>
      <c r="N1339" s="37"/>
      <c r="O1339" s="37"/>
      <c r="P1339" s="37"/>
      <c r="Q1339" s="37"/>
      <c r="R1339" s="31" t="n">
        <f aca="false">COUNT($M1339:$Q1339)</f>
        <v>0</v>
      </c>
      <c r="S1339" s="32" t="str">
        <f aca="false">IF($L1339="","",IF($R1339&gt;=5,"",MAX($L1339:$Q1339)+CHOOSE($R1339+1,SETTINGS!$C$9,SETTINGS!$C$10,SETTINGS!$C$11,SETTINGS!$C$12,SETTINGS!$C$13)))</f>
        <v/>
      </c>
      <c r="T1339" s="34" t="str">
        <f aca="true">IF($H1339="","(chưa có nội dung)",IF($L1339="",IF($C1339&lt;TODAY(),"⚠ TRỄ HỌC",IF($C1339=TODAY(),"★ HỌC HÔM NAY","• Chưa tới")),IF($R1339&gt;=5,"✔ MASTER",IF($S1339&lt;TODAY(),"⚠ TRỄ ÔN",IF($S1339=TODAY(),"◆ ÔN HÔM NAY","✔ Đúng tiến độ")))))</f>
        <v>• Chưa tới</v>
      </c>
      <c r="U1339" s="38" t="n">
        <f aca="false">IF($H1339="","",$R1339/5)</f>
        <v>0</v>
      </c>
    </row>
    <row r="1340" customFormat="false" ht="15" hidden="false" customHeight="false" outlineLevel="0" collapsed="false">
      <c r="A1340" s="31" t="s">
        <v>7977</v>
      </c>
      <c r="B1340" s="31" t="n">
        <v>67</v>
      </c>
      <c r="C1340" s="32" t="n">
        <f aca="false">SETTINGS!$C$3+$B1340-1</f>
        <v>46366</v>
      </c>
      <c r="D1340" s="41" t="s">
        <v>7168</v>
      </c>
      <c r="E1340" s="34" t="s">
        <v>7878</v>
      </c>
      <c r="F1340" s="34" t="s">
        <v>183</v>
      </c>
      <c r="G1340" s="34" t="s">
        <v>7978</v>
      </c>
      <c r="H1340" s="35" t="s">
        <v>7979</v>
      </c>
      <c r="I1340" s="36" t="s">
        <v>7980</v>
      </c>
      <c r="J1340" s="34" t="s">
        <v>7981</v>
      </c>
      <c r="K1340" s="34" t="s">
        <v>7982</v>
      </c>
      <c r="L1340" s="37"/>
      <c r="M1340" s="37"/>
      <c r="N1340" s="37"/>
      <c r="O1340" s="37"/>
      <c r="P1340" s="37"/>
      <c r="Q1340" s="37"/>
      <c r="R1340" s="31" t="n">
        <f aca="false">COUNT($M1340:$Q1340)</f>
        <v>0</v>
      </c>
      <c r="S1340" s="32" t="str">
        <f aca="false">IF($L1340="","",IF($R1340&gt;=5,"",MAX($L1340:$Q1340)+CHOOSE($R1340+1,SETTINGS!$C$9,SETTINGS!$C$10,SETTINGS!$C$11,SETTINGS!$C$12,SETTINGS!$C$13)))</f>
        <v/>
      </c>
      <c r="T1340" s="34" t="str">
        <f aca="true">IF($H1340="","(chưa có nội dung)",IF($L1340="",IF($C1340&lt;TODAY(),"⚠ TRỄ HỌC",IF($C1340=TODAY(),"★ HỌC HÔM NAY","• Chưa tới")),IF($R1340&gt;=5,"✔ MASTER",IF($S1340&lt;TODAY(),"⚠ TRỄ ÔN",IF($S1340=TODAY(),"◆ ÔN HÔM NAY","✔ Đúng tiến độ")))))</f>
        <v>• Chưa tới</v>
      </c>
      <c r="U1340" s="38" t="n">
        <f aca="false">IF($H1340="","",$R1340/5)</f>
        <v>0</v>
      </c>
    </row>
    <row r="1341" customFormat="false" ht="15" hidden="false" customHeight="false" outlineLevel="0" collapsed="false">
      <c r="A1341" s="31" t="s">
        <v>7983</v>
      </c>
      <c r="B1341" s="31" t="n">
        <v>67</v>
      </c>
      <c r="C1341" s="32" t="n">
        <f aca="false">SETTINGS!$C$3+$B1341-1</f>
        <v>46366</v>
      </c>
      <c r="D1341" s="41" t="s">
        <v>7168</v>
      </c>
      <c r="E1341" s="34" t="s">
        <v>7878</v>
      </c>
      <c r="F1341" s="34" t="s">
        <v>280</v>
      </c>
      <c r="G1341" s="34" t="s">
        <v>7984</v>
      </c>
      <c r="H1341" s="35" t="s">
        <v>7985</v>
      </c>
      <c r="I1341" s="36" t="s">
        <v>7986</v>
      </c>
      <c r="J1341" s="34" t="s">
        <v>7987</v>
      </c>
      <c r="K1341" s="34" t="s">
        <v>7988</v>
      </c>
      <c r="L1341" s="37"/>
      <c r="M1341" s="37"/>
      <c r="N1341" s="37"/>
      <c r="O1341" s="37"/>
      <c r="P1341" s="37"/>
      <c r="Q1341" s="37"/>
      <c r="R1341" s="31" t="n">
        <f aca="false">COUNT($M1341:$Q1341)</f>
        <v>0</v>
      </c>
      <c r="S1341" s="32" t="str">
        <f aca="false">IF($L1341="","",IF($R1341&gt;=5,"",MAX($L1341:$Q1341)+CHOOSE($R1341+1,SETTINGS!$C$9,SETTINGS!$C$10,SETTINGS!$C$11,SETTINGS!$C$12,SETTINGS!$C$13)))</f>
        <v/>
      </c>
      <c r="T1341" s="34" t="str">
        <f aca="true">IF($H1341="","(chưa có nội dung)",IF($L1341="",IF($C1341&lt;TODAY(),"⚠ TRỄ HỌC",IF($C1341=TODAY(),"★ HỌC HÔM NAY","• Chưa tới")),IF($R1341&gt;=5,"✔ MASTER",IF($S1341&lt;TODAY(),"⚠ TRỄ ÔN",IF($S1341=TODAY(),"◆ ÔN HÔM NAY","✔ Đúng tiến độ")))))</f>
        <v>• Chưa tới</v>
      </c>
      <c r="U1341" s="38" t="n">
        <f aca="false">IF($H1341="","",$R1341/5)</f>
        <v>0</v>
      </c>
    </row>
    <row r="1342" customFormat="false" ht="15" hidden="false" customHeight="false" outlineLevel="0" collapsed="false">
      <c r="A1342" s="31" t="s">
        <v>7989</v>
      </c>
      <c r="B1342" s="31" t="n">
        <v>67</v>
      </c>
      <c r="C1342" s="32" t="n">
        <f aca="false">SETTINGS!$C$3+$B1342-1</f>
        <v>46366</v>
      </c>
      <c r="D1342" s="41" t="s">
        <v>7168</v>
      </c>
      <c r="E1342" s="34" t="s">
        <v>7878</v>
      </c>
      <c r="F1342" s="34" t="s">
        <v>280</v>
      </c>
      <c r="G1342" s="34" t="s">
        <v>7990</v>
      </c>
      <c r="H1342" s="35" t="s">
        <v>7991</v>
      </c>
      <c r="I1342" s="36" t="s">
        <v>7992</v>
      </c>
      <c r="J1342" s="34" t="s">
        <v>7993</v>
      </c>
      <c r="K1342" s="34" t="s">
        <v>7994</v>
      </c>
      <c r="L1342" s="37"/>
      <c r="M1342" s="37"/>
      <c r="N1342" s="37"/>
      <c r="O1342" s="37"/>
      <c r="P1342" s="37"/>
      <c r="Q1342" s="37"/>
      <c r="R1342" s="31" t="n">
        <f aca="false">COUNT($M1342:$Q1342)</f>
        <v>0</v>
      </c>
      <c r="S1342" s="32" t="str">
        <f aca="false">IF($L1342="","",IF($R1342&gt;=5,"",MAX($L1342:$Q1342)+CHOOSE($R1342+1,SETTINGS!$C$9,SETTINGS!$C$10,SETTINGS!$C$11,SETTINGS!$C$12,SETTINGS!$C$13)))</f>
        <v/>
      </c>
      <c r="T1342" s="34" t="str">
        <f aca="true">IF($H1342="","(chưa có nội dung)",IF($L1342="",IF($C1342&lt;TODAY(),"⚠ TRỄ HỌC",IF($C1342=TODAY(),"★ HỌC HÔM NAY","• Chưa tới")),IF($R1342&gt;=5,"✔ MASTER",IF($S1342&lt;TODAY(),"⚠ TRỄ ÔN",IF($S1342=TODAY(),"◆ ÔN HÔM NAY","✔ Đúng tiến độ")))))</f>
        <v>• Chưa tới</v>
      </c>
      <c r="U1342" s="38" t="n">
        <f aca="false">IF($H1342="","",$R1342/5)</f>
        <v>0</v>
      </c>
    </row>
    <row r="1343" customFormat="false" ht="15" hidden="false" customHeight="false" outlineLevel="0" collapsed="false">
      <c r="A1343" s="31" t="s">
        <v>7995</v>
      </c>
      <c r="B1343" s="31" t="n">
        <v>68</v>
      </c>
      <c r="C1343" s="32" t="n">
        <f aca="false">SETTINGS!$C$3+$B1343-1</f>
        <v>46367</v>
      </c>
      <c r="D1343" s="41" t="s">
        <v>7168</v>
      </c>
      <c r="E1343" s="34" t="s">
        <v>7996</v>
      </c>
      <c r="F1343" s="34" t="s">
        <v>280</v>
      </c>
      <c r="G1343" s="34" t="s">
        <v>7997</v>
      </c>
      <c r="H1343" s="35" t="s">
        <v>7998</v>
      </c>
      <c r="I1343" s="36" t="s">
        <v>7999</v>
      </c>
      <c r="J1343" s="34" t="s">
        <v>8000</v>
      </c>
      <c r="K1343" s="34" t="s">
        <v>8001</v>
      </c>
      <c r="L1343" s="37"/>
      <c r="M1343" s="37"/>
      <c r="N1343" s="37"/>
      <c r="O1343" s="37"/>
      <c r="P1343" s="37"/>
      <c r="Q1343" s="37"/>
      <c r="R1343" s="31" t="n">
        <f aca="false">COUNT($M1343:$Q1343)</f>
        <v>0</v>
      </c>
      <c r="S1343" s="32" t="str">
        <f aca="false">IF($L1343="","",IF($R1343&gt;=5,"",MAX($L1343:$Q1343)+CHOOSE($R1343+1,SETTINGS!$C$9,SETTINGS!$C$10,SETTINGS!$C$11,SETTINGS!$C$12,SETTINGS!$C$13)))</f>
        <v/>
      </c>
      <c r="T1343" s="34" t="str">
        <f aca="true">IF($H1343="","(chưa có nội dung)",IF($L1343="",IF($C1343&lt;TODAY(),"⚠ TRỄ HỌC",IF($C1343=TODAY(),"★ HỌC HÔM NAY","• Chưa tới")),IF($R1343&gt;=5,"✔ MASTER",IF($S1343&lt;TODAY(),"⚠ TRỄ ÔN",IF($S1343=TODAY(),"◆ ÔN HÔM NAY","✔ Đúng tiến độ")))))</f>
        <v>• Chưa tới</v>
      </c>
      <c r="U1343" s="38" t="n">
        <f aca="false">IF($H1343="","",$R1343/5)</f>
        <v>0</v>
      </c>
    </row>
    <row r="1344" customFormat="false" ht="15" hidden="false" customHeight="false" outlineLevel="0" collapsed="false">
      <c r="A1344" s="31" t="s">
        <v>8002</v>
      </c>
      <c r="B1344" s="31" t="n">
        <v>68</v>
      </c>
      <c r="C1344" s="32" t="n">
        <f aca="false">SETTINGS!$C$3+$B1344-1</f>
        <v>46367</v>
      </c>
      <c r="D1344" s="41" t="s">
        <v>7168</v>
      </c>
      <c r="E1344" s="34" t="s">
        <v>7996</v>
      </c>
      <c r="F1344" s="34" t="s">
        <v>280</v>
      </c>
      <c r="G1344" s="34" t="s">
        <v>8003</v>
      </c>
      <c r="H1344" s="35" t="s">
        <v>8004</v>
      </c>
      <c r="I1344" s="36" t="s">
        <v>8005</v>
      </c>
      <c r="J1344" s="34" t="s">
        <v>8006</v>
      </c>
      <c r="K1344" s="34" t="s">
        <v>7811</v>
      </c>
      <c r="L1344" s="37"/>
      <c r="M1344" s="37"/>
      <c r="N1344" s="37"/>
      <c r="O1344" s="37"/>
      <c r="P1344" s="37"/>
      <c r="Q1344" s="37"/>
      <c r="R1344" s="31" t="n">
        <f aca="false">COUNT($M1344:$Q1344)</f>
        <v>0</v>
      </c>
      <c r="S1344" s="32" t="str">
        <f aca="false">IF($L1344="","",IF($R1344&gt;=5,"",MAX($L1344:$Q1344)+CHOOSE($R1344+1,SETTINGS!$C$9,SETTINGS!$C$10,SETTINGS!$C$11,SETTINGS!$C$12,SETTINGS!$C$13)))</f>
        <v/>
      </c>
      <c r="T1344" s="34" t="str">
        <f aca="true">IF($H1344="","(chưa có nội dung)",IF($L1344="",IF($C1344&lt;TODAY(),"⚠ TRỄ HỌC",IF($C1344=TODAY(),"★ HỌC HÔM NAY","• Chưa tới")),IF($R1344&gt;=5,"✔ MASTER",IF($S1344&lt;TODAY(),"⚠ TRỄ ÔN",IF($S1344=TODAY(),"◆ ÔN HÔM NAY","✔ Đúng tiến độ")))))</f>
        <v>• Chưa tới</v>
      </c>
      <c r="U1344" s="38" t="n">
        <f aca="false">IF($H1344="","",$R1344/5)</f>
        <v>0</v>
      </c>
    </row>
    <row r="1345" customFormat="false" ht="15" hidden="false" customHeight="false" outlineLevel="0" collapsed="false">
      <c r="A1345" s="31" t="s">
        <v>8007</v>
      </c>
      <c r="B1345" s="31" t="n">
        <v>68</v>
      </c>
      <c r="C1345" s="32" t="n">
        <f aca="false">SETTINGS!$C$3+$B1345-1</f>
        <v>46367</v>
      </c>
      <c r="D1345" s="41" t="s">
        <v>7168</v>
      </c>
      <c r="E1345" s="34" t="s">
        <v>7996</v>
      </c>
      <c r="F1345" s="34" t="s">
        <v>280</v>
      </c>
      <c r="G1345" s="34" t="s">
        <v>8008</v>
      </c>
      <c r="H1345" s="35" t="s">
        <v>8009</v>
      </c>
      <c r="I1345" s="36" t="s">
        <v>8010</v>
      </c>
      <c r="J1345" s="34" t="s">
        <v>8011</v>
      </c>
      <c r="K1345" s="34" t="s">
        <v>8012</v>
      </c>
      <c r="L1345" s="37"/>
      <c r="M1345" s="37"/>
      <c r="N1345" s="37"/>
      <c r="O1345" s="37"/>
      <c r="P1345" s="37"/>
      <c r="Q1345" s="37"/>
      <c r="R1345" s="31" t="n">
        <f aca="false">COUNT($M1345:$Q1345)</f>
        <v>0</v>
      </c>
      <c r="S1345" s="32" t="str">
        <f aca="false">IF($L1345="","",IF($R1345&gt;=5,"",MAX($L1345:$Q1345)+CHOOSE($R1345+1,SETTINGS!$C$9,SETTINGS!$C$10,SETTINGS!$C$11,SETTINGS!$C$12,SETTINGS!$C$13)))</f>
        <v/>
      </c>
      <c r="T1345" s="34" t="str">
        <f aca="true">IF($H1345="","(chưa có nội dung)",IF($L1345="",IF($C1345&lt;TODAY(),"⚠ TRỄ HỌC",IF($C1345=TODAY(),"★ HỌC HÔM NAY","• Chưa tới")),IF($R1345&gt;=5,"✔ MASTER",IF($S1345&lt;TODAY(),"⚠ TRỄ ÔN",IF($S1345=TODAY(),"◆ ÔN HÔM NAY","✔ Đúng tiến độ")))))</f>
        <v>• Chưa tới</v>
      </c>
      <c r="U1345" s="38" t="n">
        <f aca="false">IF($H1345="","",$R1345/5)</f>
        <v>0</v>
      </c>
    </row>
    <row r="1346" customFormat="false" ht="15" hidden="false" customHeight="false" outlineLevel="0" collapsed="false">
      <c r="A1346" s="31" t="s">
        <v>8013</v>
      </c>
      <c r="B1346" s="31" t="n">
        <v>68</v>
      </c>
      <c r="C1346" s="32" t="n">
        <f aca="false">SETTINGS!$C$3+$B1346-1</f>
        <v>46367</v>
      </c>
      <c r="D1346" s="41" t="s">
        <v>7168</v>
      </c>
      <c r="E1346" s="34" t="s">
        <v>7996</v>
      </c>
      <c r="F1346" s="34" t="s">
        <v>280</v>
      </c>
      <c r="G1346" s="34" t="s">
        <v>8014</v>
      </c>
      <c r="H1346" s="35" t="s">
        <v>8015</v>
      </c>
      <c r="I1346" s="36" t="s">
        <v>8016</v>
      </c>
      <c r="J1346" s="34" t="s">
        <v>8017</v>
      </c>
      <c r="K1346" s="34" t="s">
        <v>8018</v>
      </c>
      <c r="L1346" s="37"/>
      <c r="M1346" s="37"/>
      <c r="N1346" s="37"/>
      <c r="O1346" s="37"/>
      <c r="P1346" s="37"/>
      <c r="Q1346" s="37"/>
      <c r="R1346" s="31" t="n">
        <f aca="false">COUNT($M1346:$Q1346)</f>
        <v>0</v>
      </c>
      <c r="S1346" s="32" t="str">
        <f aca="false">IF($L1346="","",IF($R1346&gt;=5,"",MAX($L1346:$Q1346)+CHOOSE($R1346+1,SETTINGS!$C$9,SETTINGS!$C$10,SETTINGS!$C$11,SETTINGS!$C$12,SETTINGS!$C$13)))</f>
        <v/>
      </c>
      <c r="T1346" s="34" t="str">
        <f aca="true">IF($H1346="","(chưa có nội dung)",IF($L1346="",IF($C1346&lt;TODAY(),"⚠ TRỄ HỌC",IF($C1346=TODAY(),"★ HỌC HÔM NAY","• Chưa tới")),IF($R1346&gt;=5,"✔ MASTER",IF($S1346&lt;TODAY(),"⚠ TRỄ ÔN",IF($S1346=TODAY(),"◆ ÔN HÔM NAY","✔ Đúng tiến độ")))))</f>
        <v>• Chưa tới</v>
      </c>
      <c r="U1346" s="38" t="n">
        <f aca="false">IF($H1346="","",$R1346/5)</f>
        <v>0</v>
      </c>
    </row>
    <row r="1347" customFormat="false" ht="15" hidden="false" customHeight="false" outlineLevel="0" collapsed="false">
      <c r="A1347" s="31" t="s">
        <v>8019</v>
      </c>
      <c r="B1347" s="31" t="n">
        <v>68</v>
      </c>
      <c r="C1347" s="32" t="n">
        <f aca="false">SETTINGS!$C$3+$B1347-1</f>
        <v>46367</v>
      </c>
      <c r="D1347" s="41" t="s">
        <v>7168</v>
      </c>
      <c r="E1347" s="34" t="s">
        <v>7996</v>
      </c>
      <c r="F1347" s="34" t="s">
        <v>183</v>
      </c>
      <c r="G1347" s="34" t="s">
        <v>8020</v>
      </c>
      <c r="H1347" s="35" t="s">
        <v>8021</v>
      </c>
      <c r="I1347" s="36" t="s">
        <v>8022</v>
      </c>
      <c r="J1347" s="34" t="s">
        <v>8023</v>
      </c>
      <c r="K1347" s="34" t="s">
        <v>2437</v>
      </c>
      <c r="L1347" s="37"/>
      <c r="M1347" s="37"/>
      <c r="N1347" s="37"/>
      <c r="O1347" s="37"/>
      <c r="P1347" s="37"/>
      <c r="Q1347" s="37"/>
      <c r="R1347" s="31" t="n">
        <f aca="false">COUNT($M1347:$Q1347)</f>
        <v>0</v>
      </c>
      <c r="S1347" s="32" t="str">
        <f aca="false">IF($L1347="","",IF($R1347&gt;=5,"",MAX($L1347:$Q1347)+CHOOSE($R1347+1,SETTINGS!$C$9,SETTINGS!$C$10,SETTINGS!$C$11,SETTINGS!$C$12,SETTINGS!$C$13)))</f>
        <v/>
      </c>
      <c r="T1347" s="34" t="str">
        <f aca="true">IF($H1347="","(chưa có nội dung)",IF($L1347="",IF($C1347&lt;TODAY(),"⚠ TRỄ HỌC",IF($C1347=TODAY(),"★ HỌC HÔM NAY","• Chưa tới")),IF($R1347&gt;=5,"✔ MASTER",IF($S1347&lt;TODAY(),"⚠ TRỄ ÔN",IF($S1347=TODAY(),"◆ ÔN HÔM NAY","✔ Đúng tiến độ")))))</f>
        <v>• Chưa tới</v>
      </c>
      <c r="U1347" s="38" t="n">
        <f aca="false">IF($H1347="","",$R1347/5)</f>
        <v>0</v>
      </c>
    </row>
    <row r="1348" customFormat="false" ht="15" hidden="false" customHeight="false" outlineLevel="0" collapsed="false">
      <c r="A1348" s="31" t="s">
        <v>8024</v>
      </c>
      <c r="B1348" s="31" t="n">
        <v>68</v>
      </c>
      <c r="C1348" s="32" t="n">
        <f aca="false">SETTINGS!$C$3+$B1348-1</f>
        <v>46367</v>
      </c>
      <c r="D1348" s="41" t="s">
        <v>7168</v>
      </c>
      <c r="E1348" s="34" t="s">
        <v>7996</v>
      </c>
      <c r="F1348" s="34" t="s">
        <v>280</v>
      </c>
      <c r="G1348" s="34" t="s">
        <v>8025</v>
      </c>
      <c r="H1348" s="35" t="s">
        <v>8026</v>
      </c>
      <c r="I1348" s="36" t="s">
        <v>8027</v>
      </c>
      <c r="J1348" s="34" t="s">
        <v>8028</v>
      </c>
      <c r="K1348" s="34" t="s">
        <v>4788</v>
      </c>
      <c r="L1348" s="37"/>
      <c r="M1348" s="37"/>
      <c r="N1348" s="37"/>
      <c r="O1348" s="37"/>
      <c r="P1348" s="37"/>
      <c r="Q1348" s="37"/>
      <c r="R1348" s="31" t="n">
        <f aca="false">COUNT($M1348:$Q1348)</f>
        <v>0</v>
      </c>
      <c r="S1348" s="32" t="str">
        <f aca="false">IF($L1348="","",IF($R1348&gt;=5,"",MAX($L1348:$Q1348)+CHOOSE($R1348+1,SETTINGS!$C$9,SETTINGS!$C$10,SETTINGS!$C$11,SETTINGS!$C$12,SETTINGS!$C$13)))</f>
        <v/>
      </c>
      <c r="T1348" s="34" t="str">
        <f aca="true">IF($H1348="","(chưa có nội dung)",IF($L1348="",IF($C1348&lt;TODAY(),"⚠ TRỄ HỌC",IF($C1348=TODAY(),"★ HỌC HÔM NAY","• Chưa tới")),IF($R1348&gt;=5,"✔ MASTER",IF($S1348&lt;TODAY(),"⚠ TRỄ ÔN",IF($S1348=TODAY(),"◆ ÔN HÔM NAY","✔ Đúng tiến độ")))))</f>
        <v>• Chưa tới</v>
      </c>
      <c r="U1348" s="38" t="n">
        <f aca="false">IF($H1348="","",$R1348/5)</f>
        <v>0</v>
      </c>
    </row>
    <row r="1349" customFormat="false" ht="15" hidden="false" customHeight="false" outlineLevel="0" collapsed="false">
      <c r="A1349" s="31" t="s">
        <v>8029</v>
      </c>
      <c r="B1349" s="31" t="n">
        <v>68</v>
      </c>
      <c r="C1349" s="32" t="n">
        <f aca="false">SETTINGS!$C$3+$B1349-1</f>
        <v>46367</v>
      </c>
      <c r="D1349" s="41" t="s">
        <v>7168</v>
      </c>
      <c r="E1349" s="34" t="s">
        <v>7996</v>
      </c>
      <c r="F1349" s="34" t="s">
        <v>280</v>
      </c>
      <c r="G1349" s="34" t="s">
        <v>8030</v>
      </c>
      <c r="H1349" s="35" t="s">
        <v>8031</v>
      </c>
      <c r="I1349" s="36" t="s">
        <v>8032</v>
      </c>
      <c r="J1349" s="34" t="s">
        <v>8033</v>
      </c>
      <c r="K1349" s="34" t="s">
        <v>4946</v>
      </c>
      <c r="L1349" s="37"/>
      <c r="M1349" s="37"/>
      <c r="N1349" s="37"/>
      <c r="O1349" s="37"/>
      <c r="P1349" s="37"/>
      <c r="Q1349" s="37"/>
      <c r="R1349" s="31" t="n">
        <f aca="false">COUNT($M1349:$Q1349)</f>
        <v>0</v>
      </c>
      <c r="S1349" s="32" t="str">
        <f aca="false">IF($L1349="","",IF($R1349&gt;=5,"",MAX($L1349:$Q1349)+CHOOSE($R1349+1,SETTINGS!$C$9,SETTINGS!$C$10,SETTINGS!$C$11,SETTINGS!$C$12,SETTINGS!$C$13)))</f>
        <v/>
      </c>
      <c r="T1349" s="34" t="str">
        <f aca="true">IF($H1349="","(chưa có nội dung)",IF($L1349="",IF($C1349&lt;TODAY(),"⚠ TRỄ HỌC",IF($C1349=TODAY(),"★ HỌC HÔM NAY","• Chưa tới")),IF($R1349&gt;=5,"✔ MASTER",IF($S1349&lt;TODAY(),"⚠ TRỄ ÔN",IF($S1349=TODAY(),"◆ ÔN HÔM NAY","✔ Đúng tiến độ")))))</f>
        <v>• Chưa tới</v>
      </c>
      <c r="U1349" s="38" t="n">
        <f aca="false">IF($H1349="","",$R1349/5)</f>
        <v>0</v>
      </c>
    </row>
    <row r="1350" customFormat="false" ht="15" hidden="false" customHeight="false" outlineLevel="0" collapsed="false">
      <c r="A1350" s="31" t="s">
        <v>8034</v>
      </c>
      <c r="B1350" s="31" t="n">
        <v>68</v>
      </c>
      <c r="C1350" s="32" t="n">
        <f aca="false">SETTINGS!$C$3+$B1350-1</f>
        <v>46367</v>
      </c>
      <c r="D1350" s="41" t="s">
        <v>7168</v>
      </c>
      <c r="E1350" s="34" t="s">
        <v>7996</v>
      </c>
      <c r="F1350" s="34" t="s">
        <v>280</v>
      </c>
      <c r="G1350" s="34" t="s">
        <v>8035</v>
      </c>
      <c r="H1350" s="35" t="s">
        <v>8036</v>
      </c>
      <c r="I1350" s="36" t="s">
        <v>8037</v>
      </c>
      <c r="J1350" s="34" t="s">
        <v>8038</v>
      </c>
      <c r="K1350" s="34" t="s">
        <v>8039</v>
      </c>
      <c r="L1350" s="37"/>
      <c r="M1350" s="37"/>
      <c r="N1350" s="37"/>
      <c r="O1350" s="37"/>
      <c r="P1350" s="37"/>
      <c r="Q1350" s="37"/>
      <c r="R1350" s="31" t="n">
        <f aca="false">COUNT($M1350:$Q1350)</f>
        <v>0</v>
      </c>
      <c r="S1350" s="32" t="str">
        <f aca="false">IF($L1350="","",IF($R1350&gt;=5,"",MAX($L1350:$Q1350)+CHOOSE($R1350+1,SETTINGS!$C$9,SETTINGS!$C$10,SETTINGS!$C$11,SETTINGS!$C$12,SETTINGS!$C$13)))</f>
        <v/>
      </c>
      <c r="T1350" s="34" t="str">
        <f aca="true">IF($H1350="","(chưa có nội dung)",IF($L1350="",IF($C1350&lt;TODAY(),"⚠ TRỄ HỌC",IF($C1350=TODAY(),"★ HỌC HÔM NAY","• Chưa tới")),IF($R1350&gt;=5,"✔ MASTER",IF($S1350&lt;TODAY(),"⚠ TRỄ ÔN",IF($S1350=TODAY(),"◆ ÔN HÔM NAY","✔ Đúng tiến độ")))))</f>
        <v>• Chưa tới</v>
      </c>
      <c r="U1350" s="38" t="n">
        <f aca="false">IF($H1350="","",$R1350/5)</f>
        <v>0</v>
      </c>
    </row>
    <row r="1351" customFormat="false" ht="15" hidden="false" customHeight="false" outlineLevel="0" collapsed="false">
      <c r="A1351" s="31" t="s">
        <v>8040</v>
      </c>
      <c r="B1351" s="31" t="n">
        <v>68</v>
      </c>
      <c r="C1351" s="32" t="n">
        <f aca="false">SETTINGS!$C$3+$B1351-1</f>
        <v>46367</v>
      </c>
      <c r="D1351" s="41" t="s">
        <v>7168</v>
      </c>
      <c r="E1351" s="34" t="s">
        <v>7996</v>
      </c>
      <c r="F1351" s="34" t="s">
        <v>280</v>
      </c>
      <c r="G1351" s="34" t="s">
        <v>8041</v>
      </c>
      <c r="H1351" s="35" t="s">
        <v>8042</v>
      </c>
      <c r="I1351" s="36" t="s">
        <v>8043</v>
      </c>
      <c r="J1351" s="34" t="s">
        <v>8044</v>
      </c>
      <c r="K1351" s="34" t="s">
        <v>8045</v>
      </c>
      <c r="L1351" s="37"/>
      <c r="M1351" s="37"/>
      <c r="N1351" s="37"/>
      <c r="O1351" s="37"/>
      <c r="P1351" s="37"/>
      <c r="Q1351" s="37"/>
      <c r="R1351" s="31" t="n">
        <f aca="false">COUNT($M1351:$Q1351)</f>
        <v>0</v>
      </c>
      <c r="S1351" s="32" t="str">
        <f aca="false">IF($L1351="","",IF($R1351&gt;=5,"",MAX($L1351:$Q1351)+CHOOSE($R1351+1,SETTINGS!$C$9,SETTINGS!$C$10,SETTINGS!$C$11,SETTINGS!$C$12,SETTINGS!$C$13)))</f>
        <v/>
      </c>
      <c r="T1351" s="34" t="str">
        <f aca="true">IF($H1351="","(chưa có nội dung)",IF($L1351="",IF($C1351&lt;TODAY(),"⚠ TRỄ HỌC",IF($C1351=TODAY(),"★ HỌC HÔM NAY","• Chưa tới")),IF($R1351&gt;=5,"✔ MASTER",IF($S1351&lt;TODAY(),"⚠ TRỄ ÔN",IF($S1351=TODAY(),"◆ ÔN HÔM NAY","✔ Đúng tiến độ")))))</f>
        <v>• Chưa tới</v>
      </c>
      <c r="U1351" s="38" t="n">
        <f aca="false">IF($H1351="","",$R1351/5)</f>
        <v>0</v>
      </c>
    </row>
    <row r="1352" customFormat="false" ht="15" hidden="false" customHeight="false" outlineLevel="0" collapsed="false">
      <c r="A1352" s="31" t="s">
        <v>8046</v>
      </c>
      <c r="B1352" s="31" t="n">
        <v>68</v>
      </c>
      <c r="C1352" s="32" t="n">
        <f aca="false">SETTINGS!$C$3+$B1352-1</f>
        <v>46367</v>
      </c>
      <c r="D1352" s="41" t="s">
        <v>7168</v>
      </c>
      <c r="E1352" s="34" t="s">
        <v>7996</v>
      </c>
      <c r="F1352" s="34" t="s">
        <v>280</v>
      </c>
      <c r="G1352" s="34" t="s">
        <v>8047</v>
      </c>
      <c r="H1352" s="35" t="s">
        <v>8048</v>
      </c>
      <c r="I1352" s="36" t="s">
        <v>8049</v>
      </c>
      <c r="J1352" s="34" t="s">
        <v>8050</v>
      </c>
      <c r="K1352" s="34" t="s">
        <v>5737</v>
      </c>
      <c r="L1352" s="37"/>
      <c r="M1352" s="37"/>
      <c r="N1352" s="37"/>
      <c r="O1352" s="37"/>
      <c r="P1352" s="37"/>
      <c r="Q1352" s="37"/>
      <c r="R1352" s="31" t="n">
        <f aca="false">COUNT($M1352:$Q1352)</f>
        <v>0</v>
      </c>
      <c r="S1352" s="32" t="str">
        <f aca="false">IF($L1352="","",IF($R1352&gt;=5,"",MAX($L1352:$Q1352)+CHOOSE($R1352+1,SETTINGS!$C$9,SETTINGS!$C$10,SETTINGS!$C$11,SETTINGS!$C$12,SETTINGS!$C$13)))</f>
        <v/>
      </c>
      <c r="T1352" s="34" t="str">
        <f aca="true">IF($H1352="","(chưa có nội dung)",IF($L1352="",IF($C1352&lt;TODAY(),"⚠ TRỄ HỌC",IF($C1352=TODAY(),"★ HỌC HÔM NAY","• Chưa tới")),IF($R1352&gt;=5,"✔ MASTER",IF($S1352&lt;TODAY(),"⚠ TRỄ ÔN",IF($S1352=TODAY(),"◆ ÔN HÔM NAY","✔ Đúng tiến độ")))))</f>
        <v>• Chưa tới</v>
      </c>
      <c r="U1352" s="38" t="n">
        <f aca="false">IF($H1352="","",$R1352/5)</f>
        <v>0</v>
      </c>
    </row>
    <row r="1353" customFormat="false" ht="15" hidden="false" customHeight="false" outlineLevel="0" collapsed="false">
      <c r="A1353" s="31" t="s">
        <v>8051</v>
      </c>
      <c r="B1353" s="31" t="n">
        <v>68</v>
      </c>
      <c r="C1353" s="32" t="n">
        <f aca="false">SETTINGS!$C$3+$B1353-1</f>
        <v>46367</v>
      </c>
      <c r="D1353" s="41" t="s">
        <v>7168</v>
      </c>
      <c r="E1353" s="34" t="s">
        <v>7996</v>
      </c>
      <c r="F1353" s="34" t="s">
        <v>3694</v>
      </c>
      <c r="G1353" s="34" t="s">
        <v>8052</v>
      </c>
      <c r="H1353" s="35" t="s">
        <v>8053</v>
      </c>
      <c r="I1353" s="36" t="s">
        <v>8054</v>
      </c>
      <c r="J1353" s="34" t="s">
        <v>8055</v>
      </c>
      <c r="K1353" s="34" t="s">
        <v>8056</v>
      </c>
      <c r="L1353" s="37"/>
      <c r="M1353" s="37"/>
      <c r="N1353" s="37"/>
      <c r="O1353" s="37"/>
      <c r="P1353" s="37"/>
      <c r="Q1353" s="37"/>
      <c r="R1353" s="31" t="n">
        <f aca="false">COUNT($M1353:$Q1353)</f>
        <v>0</v>
      </c>
      <c r="S1353" s="32" t="str">
        <f aca="false">IF($L1353="","",IF($R1353&gt;=5,"",MAX($L1353:$Q1353)+CHOOSE($R1353+1,SETTINGS!$C$9,SETTINGS!$C$10,SETTINGS!$C$11,SETTINGS!$C$12,SETTINGS!$C$13)))</f>
        <v/>
      </c>
      <c r="T1353" s="34" t="str">
        <f aca="true">IF($H1353="","(chưa có nội dung)",IF($L1353="",IF($C1353&lt;TODAY(),"⚠ TRỄ HỌC",IF($C1353=TODAY(),"★ HỌC HÔM NAY","• Chưa tới")),IF($R1353&gt;=5,"✔ MASTER",IF($S1353&lt;TODAY(),"⚠ TRỄ ÔN",IF($S1353=TODAY(),"◆ ÔN HÔM NAY","✔ Đúng tiến độ")))))</f>
        <v>• Chưa tới</v>
      </c>
      <c r="U1353" s="38" t="n">
        <f aca="false">IF($H1353="","",$R1353/5)</f>
        <v>0</v>
      </c>
    </row>
    <row r="1354" customFormat="false" ht="15" hidden="false" customHeight="false" outlineLevel="0" collapsed="false">
      <c r="A1354" s="31" t="s">
        <v>8057</v>
      </c>
      <c r="B1354" s="31" t="n">
        <v>68</v>
      </c>
      <c r="C1354" s="32" t="n">
        <f aca="false">SETTINGS!$C$3+$B1354-1</f>
        <v>46367</v>
      </c>
      <c r="D1354" s="41" t="s">
        <v>7168</v>
      </c>
      <c r="E1354" s="34" t="s">
        <v>7996</v>
      </c>
      <c r="F1354" s="34" t="s">
        <v>280</v>
      </c>
      <c r="G1354" s="34" t="s">
        <v>8035</v>
      </c>
      <c r="H1354" s="35" t="s">
        <v>8058</v>
      </c>
      <c r="I1354" s="36" t="s">
        <v>8059</v>
      </c>
      <c r="J1354" s="34" t="s">
        <v>8060</v>
      </c>
      <c r="K1354" s="34" t="s">
        <v>8061</v>
      </c>
      <c r="L1354" s="37"/>
      <c r="M1354" s="37"/>
      <c r="N1354" s="37"/>
      <c r="O1354" s="37"/>
      <c r="P1354" s="37"/>
      <c r="Q1354" s="37"/>
      <c r="R1354" s="31" t="n">
        <f aca="false">COUNT($M1354:$Q1354)</f>
        <v>0</v>
      </c>
      <c r="S1354" s="32" t="str">
        <f aca="false">IF($L1354="","",IF($R1354&gt;=5,"",MAX($L1354:$Q1354)+CHOOSE($R1354+1,SETTINGS!$C$9,SETTINGS!$C$10,SETTINGS!$C$11,SETTINGS!$C$12,SETTINGS!$C$13)))</f>
        <v/>
      </c>
      <c r="T1354" s="34" t="str">
        <f aca="true">IF($H1354="","(chưa có nội dung)",IF($L1354="",IF($C1354&lt;TODAY(),"⚠ TRỄ HỌC",IF($C1354=TODAY(),"★ HỌC HÔM NAY","• Chưa tới")),IF($R1354&gt;=5,"✔ MASTER",IF($S1354&lt;TODAY(),"⚠ TRỄ ÔN",IF($S1354=TODAY(),"◆ ÔN HÔM NAY","✔ Đúng tiến độ")))))</f>
        <v>• Chưa tới</v>
      </c>
      <c r="U1354" s="38" t="n">
        <f aca="false">IF($H1354="","",$R1354/5)</f>
        <v>0</v>
      </c>
    </row>
    <row r="1355" customFormat="false" ht="15" hidden="false" customHeight="false" outlineLevel="0" collapsed="false">
      <c r="A1355" s="31" t="s">
        <v>8062</v>
      </c>
      <c r="B1355" s="31" t="n">
        <v>68</v>
      </c>
      <c r="C1355" s="32" t="n">
        <f aca="false">SETTINGS!$C$3+$B1355-1</f>
        <v>46367</v>
      </c>
      <c r="D1355" s="41" t="s">
        <v>7168</v>
      </c>
      <c r="E1355" s="34" t="s">
        <v>7996</v>
      </c>
      <c r="F1355" s="34" t="s">
        <v>183</v>
      </c>
      <c r="G1355" s="34" t="s">
        <v>8063</v>
      </c>
      <c r="H1355" s="35" t="s">
        <v>8064</v>
      </c>
      <c r="I1355" s="36" t="s">
        <v>8065</v>
      </c>
      <c r="J1355" s="34" t="s">
        <v>8066</v>
      </c>
      <c r="K1355" s="34" t="s">
        <v>6623</v>
      </c>
      <c r="L1355" s="37"/>
      <c r="M1355" s="37"/>
      <c r="N1355" s="37"/>
      <c r="O1355" s="37"/>
      <c r="P1355" s="37"/>
      <c r="Q1355" s="37"/>
      <c r="R1355" s="31" t="n">
        <f aca="false">COUNT($M1355:$Q1355)</f>
        <v>0</v>
      </c>
      <c r="S1355" s="32" t="str">
        <f aca="false">IF($L1355="","",IF($R1355&gt;=5,"",MAX($L1355:$Q1355)+CHOOSE($R1355+1,SETTINGS!$C$9,SETTINGS!$C$10,SETTINGS!$C$11,SETTINGS!$C$12,SETTINGS!$C$13)))</f>
        <v/>
      </c>
      <c r="T1355" s="34" t="str">
        <f aca="true">IF($H1355="","(chưa có nội dung)",IF($L1355="",IF($C1355&lt;TODAY(),"⚠ TRỄ HỌC",IF($C1355=TODAY(),"★ HỌC HÔM NAY","• Chưa tới")),IF($R1355&gt;=5,"✔ MASTER",IF($S1355&lt;TODAY(),"⚠ TRỄ ÔN",IF($S1355=TODAY(),"◆ ÔN HÔM NAY","✔ Đúng tiến độ")))))</f>
        <v>• Chưa tới</v>
      </c>
      <c r="U1355" s="38" t="n">
        <f aca="false">IF($H1355="","",$R1355/5)</f>
        <v>0</v>
      </c>
    </row>
    <row r="1356" customFormat="false" ht="15" hidden="false" customHeight="false" outlineLevel="0" collapsed="false">
      <c r="A1356" s="31" t="s">
        <v>8067</v>
      </c>
      <c r="B1356" s="31" t="n">
        <v>68</v>
      </c>
      <c r="C1356" s="32" t="n">
        <f aca="false">SETTINGS!$C$3+$B1356-1</f>
        <v>46367</v>
      </c>
      <c r="D1356" s="41" t="s">
        <v>7168</v>
      </c>
      <c r="E1356" s="34" t="s">
        <v>7996</v>
      </c>
      <c r="F1356" s="34" t="s">
        <v>280</v>
      </c>
      <c r="G1356" s="34" t="s">
        <v>8068</v>
      </c>
      <c r="H1356" s="35" t="s">
        <v>8069</v>
      </c>
      <c r="I1356" s="36" t="s">
        <v>8070</v>
      </c>
      <c r="J1356" s="34" t="s">
        <v>8071</v>
      </c>
      <c r="K1356" s="34" t="s">
        <v>1102</v>
      </c>
      <c r="L1356" s="37"/>
      <c r="M1356" s="37"/>
      <c r="N1356" s="37"/>
      <c r="O1356" s="37"/>
      <c r="P1356" s="37"/>
      <c r="Q1356" s="37"/>
      <c r="R1356" s="31" t="n">
        <f aca="false">COUNT($M1356:$Q1356)</f>
        <v>0</v>
      </c>
      <c r="S1356" s="32" t="str">
        <f aca="false">IF($L1356="","",IF($R1356&gt;=5,"",MAX($L1356:$Q1356)+CHOOSE($R1356+1,SETTINGS!$C$9,SETTINGS!$C$10,SETTINGS!$C$11,SETTINGS!$C$12,SETTINGS!$C$13)))</f>
        <v/>
      </c>
      <c r="T1356" s="34" t="str">
        <f aca="true">IF($H1356="","(chưa có nội dung)",IF($L1356="",IF($C1356&lt;TODAY(),"⚠ TRỄ HỌC",IF($C1356=TODAY(),"★ HỌC HÔM NAY","• Chưa tới")),IF($R1356&gt;=5,"✔ MASTER",IF($S1356&lt;TODAY(),"⚠ TRỄ ÔN",IF($S1356=TODAY(),"◆ ÔN HÔM NAY","✔ Đúng tiến độ")))))</f>
        <v>• Chưa tới</v>
      </c>
      <c r="U1356" s="38" t="n">
        <f aca="false">IF($H1356="","",$R1356/5)</f>
        <v>0</v>
      </c>
    </row>
    <row r="1357" customFormat="false" ht="15" hidden="false" customHeight="false" outlineLevel="0" collapsed="false">
      <c r="A1357" s="31" t="s">
        <v>8072</v>
      </c>
      <c r="B1357" s="31" t="n">
        <v>68</v>
      </c>
      <c r="C1357" s="32" t="n">
        <f aca="false">SETTINGS!$C$3+$B1357-1</f>
        <v>46367</v>
      </c>
      <c r="D1357" s="41" t="s">
        <v>7168</v>
      </c>
      <c r="E1357" s="34" t="s">
        <v>7996</v>
      </c>
      <c r="F1357" s="34" t="s">
        <v>183</v>
      </c>
      <c r="G1357" s="34" t="s">
        <v>8073</v>
      </c>
      <c r="H1357" s="35" t="s">
        <v>8074</v>
      </c>
      <c r="I1357" s="36" t="s">
        <v>8075</v>
      </c>
      <c r="J1357" s="34" t="s">
        <v>8076</v>
      </c>
      <c r="K1357" s="34" t="s">
        <v>8077</v>
      </c>
      <c r="L1357" s="37"/>
      <c r="M1357" s="37"/>
      <c r="N1357" s="37"/>
      <c r="O1357" s="37"/>
      <c r="P1357" s="37"/>
      <c r="Q1357" s="37"/>
      <c r="R1357" s="31" t="n">
        <f aca="false">COUNT($M1357:$Q1357)</f>
        <v>0</v>
      </c>
      <c r="S1357" s="32" t="str">
        <f aca="false">IF($L1357="","",IF($R1357&gt;=5,"",MAX($L1357:$Q1357)+CHOOSE($R1357+1,SETTINGS!$C$9,SETTINGS!$C$10,SETTINGS!$C$11,SETTINGS!$C$12,SETTINGS!$C$13)))</f>
        <v/>
      </c>
      <c r="T1357" s="34" t="str">
        <f aca="true">IF($H1357="","(chưa có nội dung)",IF($L1357="",IF($C1357&lt;TODAY(),"⚠ TRỄ HỌC",IF($C1357=TODAY(),"★ HỌC HÔM NAY","• Chưa tới")),IF($R1357&gt;=5,"✔ MASTER",IF($S1357&lt;TODAY(),"⚠ TRỄ ÔN",IF($S1357=TODAY(),"◆ ÔN HÔM NAY","✔ Đúng tiến độ")))))</f>
        <v>• Chưa tới</v>
      </c>
      <c r="U1357" s="38" t="n">
        <f aca="false">IF($H1357="","",$R1357/5)</f>
        <v>0</v>
      </c>
    </row>
    <row r="1358" customFormat="false" ht="15" hidden="false" customHeight="false" outlineLevel="0" collapsed="false">
      <c r="A1358" s="31" t="s">
        <v>8078</v>
      </c>
      <c r="B1358" s="31" t="n">
        <v>68</v>
      </c>
      <c r="C1358" s="32" t="n">
        <f aca="false">SETTINGS!$C$3+$B1358-1</f>
        <v>46367</v>
      </c>
      <c r="D1358" s="41" t="s">
        <v>7168</v>
      </c>
      <c r="E1358" s="34" t="s">
        <v>7996</v>
      </c>
      <c r="F1358" s="34" t="s">
        <v>280</v>
      </c>
      <c r="G1358" s="34" t="s">
        <v>8079</v>
      </c>
      <c r="H1358" s="35" t="s">
        <v>8080</v>
      </c>
      <c r="I1358" s="36" t="s">
        <v>8081</v>
      </c>
      <c r="J1358" s="34" t="s">
        <v>8082</v>
      </c>
      <c r="K1358" s="34" t="s">
        <v>8083</v>
      </c>
      <c r="L1358" s="37"/>
      <c r="M1358" s="37"/>
      <c r="N1358" s="37"/>
      <c r="O1358" s="37"/>
      <c r="P1358" s="37"/>
      <c r="Q1358" s="37"/>
      <c r="R1358" s="31" t="n">
        <f aca="false">COUNT($M1358:$Q1358)</f>
        <v>0</v>
      </c>
      <c r="S1358" s="32" t="str">
        <f aca="false">IF($L1358="","",IF($R1358&gt;=5,"",MAX($L1358:$Q1358)+CHOOSE($R1358+1,SETTINGS!$C$9,SETTINGS!$C$10,SETTINGS!$C$11,SETTINGS!$C$12,SETTINGS!$C$13)))</f>
        <v/>
      </c>
      <c r="T1358" s="34" t="str">
        <f aca="true">IF($H1358="","(chưa có nội dung)",IF($L1358="",IF($C1358&lt;TODAY(),"⚠ TRỄ HỌC",IF($C1358=TODAY(),"★ HỌC HÔM NAY","• Chưa tới")),IF($R1358&gt;=5,"✔ MASTER",IF($S1358&lt;TODAY(),"⚠ TRỄ ÔN",IF($S1358=TODAY(),"◆ ÔN HÔM NAY","✔ Đúng tiến độ")))))</f>
        <v>• Chưa tới</v>
      </c>
      <c r="U1358" s="38" t="n">
        <f aca="false">IF($H1358="","",$R1358/5)</f>
        <v>0</v>
      </c>
    </row>
    <row r="1359" customFormat="false" ht="15" hidden="false" customHeight="false" outlineLevel="0" collapsed="false">
      <c r="A1359" s="31" t="s">
        <v>8084</v>
      </c>
      <c r="B1359" s="31" t="n">
        <v>68</v>
      </c>
      <c r="C1359" s="32" t="n">
        <f aca="false">SETTINGS!$C$3+$B1359-1</f>
        <v>46367</v>
      </c>
      <c r="D1359" s="41" t="s">
        <v>7168</v>
      </c>
      <c r="E1359" s="34" t="s">
        <v>7996</v>
      </c>
      <c r="F1359" s="34" t="s">
        <v>280</v>
      </c>
      <c r="G1359" s="34" t="s">
        <v>8035</v>
      </c>
      <c r="H1359" s="35" t="s">
        <v>8085</v>
      </c>
      <c r="I1359" s="36" t="s">
        <v>8086</v>
      </c>
      <c r="J1359" s="34" t="s">
        <v>8087</v>
      </c>
      <c r="K1359" s="34" t="s">
        <v>8088</v>
      </c>
      <c r="L1359" s="37"/>
      <c r="M1359" s="37"/>
      <c r="N1359" s="37"/>
      <c r="O1359" s="37"/>
      <c r="P1359" s="37"/>
      <c r="Q1359" s="37"/>
      <c r="R1359" s="31" t="n">
        <f aca="false">COUNT($M1359:$Q1359)</f>
        <v>0</v>
      </c>
      <c r="S1359" s="32" t="str">
        <f aca="false">IF($L1359="","",IF($R1359&gt;=5,"",MAX($L1359:$Q1359)+CHOOSE($R1359+1,SETTINGS!$C$9,SETTINGS!$C$10,SETTINGS!$C$11,SETTINGS!$C$12,SETTINGS!$C$13)))</f>
        <v/>
      </c>
      <c r="T1359" s="34" t="str">
        <f aca="true">IF($H1359="","(chưa có nội dung)",IF($L1359="",IF($C1359&lt;TODAY(),"⚠ TRỄ HỌC",IF($C1359=TODAY(),"★ HỌC HÔM NAY","• Chưa tới")),IF($R1359&gt;=5,"✔ MASTER",IF($S1359&lt;TODAY(),"⚠ TRỄ ÔN",IF($S1359=TODAY(),"◆ ÔN HÔM NAY","✔ Đúng tiến độ")))))</f>
        <v>• Chưa tới</v>
      </c>
      <c r="U1359" s="38" t="n">
        <f aca="false">IF($H1359="","",$R1359/5)</f>
        <v>0</v>
      </c>
    </row>
    <row r="1360" customFormat="false" ht="15" hidden="false" customHeight="false" outlineLevel="0" collapsed="false">
      <c r="A1360" s="31" t="s">
        <v>8089</v>
      </c>
      <c r="B1360" s="31" t="n">
        <v>68</v>
      </c>
      <c r="C1360" s="32" t="n">
        <f aca="false">SETTINGS!$C$3+$B1360-1</f>
        <v>46367</v>
      </c>
      <c r="D1360" s="41" t="s">
        <v>7168</v>
      </c>
      <c r="E1360" s="34" t="s">
        <v>7996</v>
      </c>
      <c r="F1360" s="34" t="s">
        <v>280</v>
      </c>
      <c r="G1360" s="34" t="s">
        <v>8090</v>
      </c>
      <c r="H1360" s="35" t="s">
        <v>8091</v>
      </c>
      <c r="I1360" s="36" t="s">
        <v>8092</v>
      </c>
      <c r="J1360" s="34" t="s">
        <v>8093</v>
      </c>
      <c r="K1360" s="34" t="s">
        <v>8094</v>
      </c>
      <c r="L1360" s="37"/>
      <c r="M1360" s="37"/>
      <c r="N1360" s="37"/>
      <c r="O1360" s="37"/>
      <c r="P1360" s="37"/>
      <c r="Q1360" s="37"/>
      <c r="R1360" s="31" t="n">
        <f aca="false">COUNT($M1360:$Q1360)</f>
        <v>0</v>
      </c>
      <c r="S1360" s="32" t="str">
        <f aca="false">IF($L1360="","",IF($R1360&gt;=5,"",MAX($L1360:$Q1360)+CHOOSE($R1360+1,SETTINGS!$C$9,SETTINGS!$C$10,SETTINGS!$C$11,SETTINGS!$C$12,SETTINGS!$C$13)))</f>
        <v/>
      </c>
      <c r="T1360" s="34" t="str">
        <f aca="true">IF($H1360="","(chưa có nội dung)",IF($L1360="",IF($C1360&lt;TODAY(),"⚠ TRỄ HỌC",IF($C1360=TODAY(),"★ HỌC HÔM NAY","• Chưa tới")),IF($R1360&gt;=5,"✔ MASTER",IF($S1360&lt;TODAY(),"⚠ TRỄ ÔN",IF($S1360=TODAY(),"◆ ÔN HÔM NAY","✔ Đúng tiến độ")))))</f>
        <v>• Chưa tới</v>
      </c>
      <c r="U1360" s="38" t="n">
        <f aca="false">IF($H1360="","",$R1360/5)</f>
        <v>0</v>
      </c>
    </row>
    <row r="1361" customFormat="false" ht="15" hidden="false" customHeight="false" outlineLevel="0" collapsed="false">
      <c r="A1361" s="31" t="s">
        <v>8095</v>
      </c>
      <c r="B1361" s="31" t="n">
        <v>68</v>
      </c>
      <c r="C1361" s="32" t="n">
        <f aca="false">SETTINGS!$C$3+$B1361-1</f>
        <v>46367</v>
      </c>
      <c r="D1361" s="41" t="s">
        <v>7168</v>
      </c>
      <c r="E1361" s="34" t="s">
        <v>7996</v>
      </c>
      <c r="F1361" s="34" t="s">
        <v>3694</v>
      </c>
      <c r="G1361" s="34" t="s">
        <v>8096</v>
      </c>
      <c r="H1361" s="35" t="s">
        <v>8097</v>
      </c>
      <c r="I1361" s="36" t="s">
        <v>8098</v>
      </c>
      <c r="J1361" s="34" t="s">
        <v>8099</v>
      </c>
      <c r="K1361" s="34" t="s">
        <v>8100</v>
      </c>
      <c r="L1361" s="37"/>
      <c r="M1361" s="37"/>
      <c r="N1361" s="37"/>
      <c r="O1361" s="37"/>
      <c r="P1361" s="37"/>
      <c r="Q1361" s="37"/>
      <c r="R1361" s="31" t="n">
        <f aca="false">COUNT($M1361:$Q1361)</f>
        <v>0</v>
      </c>
      <c r="S1361" s="32" t="str">
        <f aca="false">IF($L1361="","",IF($R1361&gt;=5,"",MAX($L1361:$Q1361)+CHOOSE($R1361+1,SETTINGS!$C$9,SETTINGS!$C$10,SETTINGS!$C$11,SETTINGS!$C$12,SETTINGS!$C$13)))</f>
        <v/>
      </c>
      <c r="T1361" s="34" t="str">
        <f aca="true">IF($H1361="","(chưa có nội dung)",IF($L1361="",IF($C1361&lt;TODAY(),"⚠ TRỄ HỌC",IF($C1361=TODAY(),"★ HỌC HÔM NAY","• Chưa tới")),IF($R1361&gt;=5,"✔ MASTER",IF($S1361&lt;TODAY(),"⚠ TRỄ ÔN",IF($S1361=TODAY(),"◆ ÔN HÔM NAY","✔ Đúng tiến độ")))))</f>
        <v>• Chưa tới</v>
      </c>
      <c r="U1361" s="38" t="n">
        <f aca="false">IF($H1361="","",$R1361/5)</f>
        <v>0</v>
      </c>
    </row>
    <row r="1362" customFormat="false" ht="15" hidden="false" customHeight="false" outlineLevel="0" collapsed="false">
      <c r="A1362" s="31" t="s">
        <v>8101</v>
      </c>
      <c r="B1362" s="31" t="n">
        <v>68</v>
      </c>
      <c r="C1362" s="32" t="n">
        <f aca="false">SETTINGS!$C$3+$B1362-1</f>
        <v>46367</v>
      </c>
      <c r="D1362" s="41" t="s">
        <v>7168</v>
      </c>
      <c r="E1362" s="34" t="s">
        <v>7996</v>
      </c>
      <c r="F1362" s="34" t="s">
        <v>280</v>
      </c>
      <c r="G1362" s="34" t="s">
        <v>8102</v>
      </c>
      <c r="H1362" s="35" t="s">
        <v>8103</v>
      </c>
      <c r="I1362" s="36" t="s">
        <v>8104</v>
      </c>
      <c r="J1362" s="34" t="s">
        <v>8105</v>
      </c>
      <c r="K1362" s="34" t="s">
        <v>1432</v>
      </c>
      <c r="L1362" s="37"/>
      <c r="M1362" s="37"/>
      <c r="N1362" s="37"/>
      <c r="O1362" s="37"/>
      <c r="P1362" s="37"/>
      <c r="Q1362" s="37"/>
      <c r="R1362" s="31" t="n">
        <f aca="false">COUNT($M1362:$Q1362)</f>
        <v>0</v>
      </c>
      <c r="S1362" s="32" t="str">
        <f aca="false">IF($L1362="","",IF($R1362&gt;=5,"",MAX($L1362:$Q1362)+CHOOSE($R1362+1,SETTINGS!$C$9,SETTINGS!$C$10,SETTINGS!$C$11,SETTINGS!$C$12,SETTINGS!$C$13)))</f>
        <v/>
      </c>
      <c r="T1362" s="34" t="str">
        <f aca="true">IF($H1362="","(chưa có nội dung)",IF($L1362="",IF($C1362&lt;TODAY(),"⚠ TRỄ HỌC",IF($C1362=TODAY(),"★ HỌC HÔM NAY","• Chưa tới")),IF($R1362&gt;=5,"✔ MASTER",IF($S1362&lt;TODAY(),"⚠ TRỄ ÔN",IF($S1362=TODAY(),"◆ ÔN HÔM NAY","✔ Đúng tiến độ")))))</f>
        <v>• Chưa tới</v>
      </c>
      <c r="U1362" s="38" t="n">
        <f aca="false">IF($H1362="","",$R1362/5)</f>
        <v>0</v>
      </c>
    </row>
    <row r="1363" customFormat="false" ht="15" hidden="false" customHeight="false" outlineLevel="0" collapsed="false">
      <c r="A1363" s="31" t="s">
        <v>8106</v>
      </c>
      <c r="B1363" s="31" t="n">
        <v>69</v>
      </c>
      <c r="C1363" s="32" t="n">
        <f aca="false">SETTINGS!$C$3+$B1363-1</f>
        <v>46368</v>
      </c>
      <c r="D1363" s="41" t="s">
        <v>7168</v>
      </c>
      <c r="E1363" s="34" t="s">
        <v>8107</v>
      </c>
      <c r="F1363" s="34" t="s">
        <v>202</v>
      </c>
      <c r="G1363" s="34" t="s">
        <v>8108</v>
      </c>
      <c r="H1363" s="35" t="s">
        <v>8109</v>
      </c>
      <c r="I1363" s="36" t="s">
        <v>8110</v>
      </c>
      <c r="J1363" s="34" t="s">
        <v>8111</v>
      </c>
      <c r="K1363" s="34" t="s">
        <v>8112</v>
      </c>
      <c r="L1363" s="37"/>
      <c r="M1363" s="37"/>
      <c r="N1363" s="37"/>
      <c r="O1363" s="37"/>
      <c r="P1363" s="37"/>
      <c r="Q1363" s="37"/>
      <c r="R1363" s="31" t="n">
        <f aca="false">COUNT($M1363:$Q1363)</f>
        <v>0</v>
      </c>
      <c r="S1363" s="32" t="str">
        <f aca="false">IF($L1363="","",IF($R1363&gt;=5,"",MAX($L1363:$Q1363)+CHOOSE($R1363+1,SETTINGS!$C$9,SETTINGS!$C$10,SETTINGS!$C$11,SETTINGS!$C$12,SETTINGS!$C$13)))</f>
        <v/>
      </c>
      <c r="T1363" s="34" t="str">
        <f aca="true">IF($H1363="","(chưa có nội dung)",IF($L1363="",IF($C1363&lt;TODAY(),"⚠ TRỄ HỌC",IF($C1363=TODAY(),"★ HỌC HÔM NAY","• Chưa tới")),IF($R1363&gt;=5,"✔ MASTER",IF($S1363&lt;TODAY(),"⚠ TRỄ ÔN",IF($S1363=TODAY(),"◆ ÔN HÔM NAY","✔ Đúng tiến độ")))))</f>
        <v>• Chưa tới</v>
      </c>
      <c r="U1363" s="38" t="n">
        <f aca="false">IF($H1363="","",$R1363/5)</f>
        <v>0</v>
      </c>
    </row>
    <row r="1364" customFormat="false" ht="15" hidden="false" customHeight="false" outlineLevel="0" collapsed="false">
      <c r="A1364" s="31" t="s">
        <v>8113</v>
      </c>
      <c r="B1364" s="31" t="n">
        <v>69</v>
      </c>
      <c r="C1364" s="32" t="n">
        <f aca="false">SETTINGS!$C$3+$B1364-1</f>
        <v>46368</v>
      </c>
      <c r="D1364" s="41" t="s">
        <v>7168</v>
      </c>
      <c r="E1364" s="34" t="s">
        <v>8107</v>
      </c>
      <c r="F1364" s="34" t="s">
        <v>156</v>
      </c>
      <c r="G1364" s="34" t="s">
        <v>8114</v>
      </c>
      <c r="H1364" s="35" t="s">
        <v>8115</v>
      </c>
      <c r="I1364" s="36" t="s">
        <v>8116</v>
      </c>
      <c r="J1364" s="34" t="s">
        <v>8117</v>
      </c>
      <c r="K1364" s="34" t="s">
        <v>8118</v>
      </c>
      <c r="L1364" s="37"/>
      <c r="M1364" s="37"/>
      <c r="N1364" s="37"/>
      <c r="O1364" s="37"/>
      <c r="P1364" s="37"/>
      <c r="Q1364" s="37"/>
      <c r="R1364" s="31" t="n">
        <f aca="false">COUNT($M1364:$Q1364)</f>
        <v>0</v>
      </c>
      <c r="S1364" s="32" t="str">
        <f aca="false">IF($L1364="","",IF($R1364&gt;=5,"",MAX($L1364:$Q1364)+CHOOSE($R1364+1,SETTINGS!$C$9,SETTINGS!$C$10,SETTINGS!$C$11,SETTINGS!$C$12,SETTINGS!$C$13)))</f>
        <v/>
      </c>
      <c r="T1364" s="34" t="str">
        <f aca="true">IF($H1364="","(chưa có nội dung)",IF($L1364="",IF($C1364&lt;TODAY(),"⚠ TRỄ HỌC",IF($C1364=TODAY(),"★ HỌC HÔM NAY","• Chưa tới")),IF($R1364&gt;=5,"✔ MASTER",IF($S1364&lt;TODAY(),"⚠ TRỄ ÔN",IF($S1364=TODAY(),"◆ ÔN HÔM NAY","✔ Đúng tiến độ")))))</f>
        <v>• Chưa tới</v>
      </c>
      <c r="U1364" s="38" t="n">
        <f aca="false">IF($H1364="","",$R1364/5)</f>
        <v>0</v>
      </c>
    </row>
    <row r="1365" customFormat="false" ht="15" hidden="false" customHeight="false" outlineLevel="0" collapsed="false">
      <c r="A1365" s="31" t="s">
        <v>8119</v>
      </c>
      <c r="B1365" s="31" t="n">
        <v>69</v>
      </c>
      <c r="C1365" s="32" t="n">
        <f aca="false">SETTINGS!$C$3+$B1365-1</f>
        <v>46368</v>
      </c>
      <c r="D1365" s="41" t="s">
        <v>7168</v>
      </c>
      <c r="E1365" s="34" t="s">
        <v>8107</v>
      </c>
      <c r="F1365" s="34" t="s">
        <v>156</v>
      </c>
      <c r="G1365" s="34" t="s">
        <v>8120</v>
      </c>
      <c r="H1365" s="35" t="s">
        <v>8121</v>
      </c>
      <c r="I1365" s="36" t="s">
        <v>8122</v>
      </c>
      <c r="J1365" s="34" t="s">
        <v>8123</v>
      </c>
      <c r="K1365" s="34" t="s">
        <v>8124</v>
      </c>
      <c r="L1365" s="37"/>
      <c r="M1365" s="37"/>
      <c r="N1365" s="37"/>
      <c r="O1365" s="37"/>
      <c r="P1365" s="37"/>
      <c r="Q1365" s="37"/>
      <c r="R1365" s="31" t="n">
        <f aca="false">COUNT($M1365:$Q1365)</f>
        <v>0</v>
      </c>
      <c r="S1365" s="32" t="str">
        <f aca="false">IF($L1365="","",IF($R1365&gt;=5,"",MAX($L1365:$Q1365)+CHOOSE($R1365+1,SETTINGS!$C$9,SETTINGS!$C$10,SETTINGS!$C$11,SETTINGS!$C$12,SETTINGS!$C$13)))</f>
        <v/>
      </c>
      <c r="T1365" s="34" t="str">
        <f aca="true">IF($H1365="","(chưa có nội dung)",IF($L1365="",IF($C1365&lt;TODAY(),"⚠ TRỄ HỌC",IF($C1365=TODAY(),"★ HỌC HÔM NAY","• Chưa tới")),IF($R1365&gt;=5,"✔ MASTER",IF($S1365&lt;TODAY(),"⚠ TRỄ ÔN",IF($S1365=TODAY(),"◆ ÔN HÔM NAY","✔ Đúng tiến độ")))))</f>
        <v>• Chưa tới</v>
      </c>
      <c r="U1365" s="38" t="n">
        <f aca="false">IF($H1365="","",$R1365/5)</f>
        <v>0</v>
      </c>
    </row>
    <row r="1366" customFormat="false" ht="15" hidden="false" customHeight="false" outlineLevel="0" collapsed="false">
      <c r="A1366" s="31" t="s">
        <v>8125</v>
      </c>
      <c r="B1366" s="31" t="n">
        <v>69</v>
      </c>
      <c r="C1366" s="32" t="n">
        <f aca="false">SETTINGS!$C$3+$B1366-1</f>
        <v>46368</v>
      </c>
      <c r="D1366" s="41" t="s">
        <v>7168</v>
      </c>
      <c r="E1366" s="34" t="s">
        <v>8107</v>
      </c>
      <c r="F1366" s="34" t="s">
        <v>202</v>
      </c>
      <c r="G1366" s="34" t="s">
        <v>8126</v>
      </c>
      <c r="H1366" s="35" t="s">
        <v>8127</v>
      </c>
      <c r="I1366" s="36" t="s">
        <v>8128</v>
      </c>
      <c r="J1366" s="34" t="s">
        <v>8129</v>
      </c>
      <c r="K1366" s="34" t="s">
        <v>8130</v>
      </c>
      <c r="L1366" s="37"/>
      <c r="M1366" s="37"/>
      <c r="N1366" s="37"/>
      <c r="O1366" s="37"/>
      <c r="P1366" s="37"/>
      <c r="Q1366" s="37"/>
      <c r="R1366" s="31" t="n">
        <f aca="false">COUNT($M1366:$Q1366)</f>
        <v>0</v>
      </c>
      <c r="S1366" s="32" t="str">
        <f aca="false">IF($L1366="","",IF($R1366&gt;=5,"",MAX($L1366:$Q1366)+CHOOSE($R1366+1,SETTINGS!$C$9,SETTINGS!$C$10,SETTINGS!$C$11,SETTINGS!$C$12,SETTINGS!$C$13)))</f>
        <v/>
      </c>
      <c r="T1366" s="34" t="str">
        <f aca="true">IF($H1366="","(chưa có nội dung)",IF($L1366="",IF($C1366&lt;TODAY(),"⚠ TRỄ HỌC",IF($C1366=TODAY(),"★ HỌC HÔM NAY","• Chưa tới")),IF($R1366&gt;=5,"✔ MASTER",IF($S1366&lt;TODAY(),"⚠ TRỄ ÔN",IF($S1366=TODAY(),"◆ ÔN HÔM NAY","✔ Đúng tiến độ")))))</f>
        <v>• Chưa tới</v>
      </c>
      <c r="U1366" s="38" t="n">
        <f aca="false">IF($H1366="","",$R1366/5)</f>
        <v>0</v>
      </c>
    </row>
    <row r="1367" customFormat="false" ht="15" hidden="false" customHeight="false" outlineLevel="0" collapsed="false">
      <c r="A1367" s="31" t="s">
        <v>8131</v>
      </c>
      <c r="B1367" s="31" t="n">
        <v>69</v>
      </c>
      <c r="C1367" s="32" t="n">
        <f aca="false">SETTINGS!$C$3+$B1367-1</f>
        <v>46368</v>
      </c>
      <c r="D1367" s="41" t="s">
        <v>7168</v>
      </c>
      <c r="E1367" s="34" t="s">
        <v>8107</v>
      </c>
      <c r="F1367" s="34" t="s">
        <v>280</v>
      </c>
      <c r="G1367" s="34" t="s">
        <v>8132</v>
      </c>
      <c r="H1367" s="35" t="s">
        <v>8133</v>
      </c>
      <c r="I1367" s="36" t="s">
        <v>8134</v>
      </c>
      <c r="J1367" s="34" t="s">
        <v>8135</v>
      </c>
      <c r="K1367" s="34" t="s">
        <v>8136</v>
      </c>
      <c r="L1367" s="37"/>
      <c r="M1367" s="37"/>
      <c r="N1367" s="37"/>
      <c r="O1367" s="37"/>
      <c r="P1367" s="37"/>
      <c r="Q1367" s="37"/>
      <c r="R1367" s="31" t="n">
        <f aca="false">COUNT($M1367:$Q1367)</f>
        <v>0</v>
      </c>
      <c r="S1367" s="32" t="str">
        <f aca="false">IF($L1367="","",IF($R1367&gt;=5,"",MAX($L1367:$Q1367)+CHOOSE($R1367+1,SETTINGS!$C$9,SETTINGS!$C$10,SETTINGS!$C$11,SETTINGS!$C$12,SETTINGS!$C$13)))</f>
        <v/>
      </c>
      <c r="T1367" s="34" t="str">
        <f aca="true">IF($H1367="","(chưa có nội dung)",IF($L1367="",IF($C1367&lt;TODAY(),"⚠ TRỄ HỌC",IF($C1367=TODAY(),"★ HỌC HÔM NAY","• Chưa tới")),IF($R1367&gt;=5,"✔ MASTER",IF($S1367&lt;TODAY(),"⚠ TRỄ ÔN",IF($S1367=TODAY(),"◆ ÔN HÔM NAY","✔ Đúng tiến độ")))))</f>
        <v>• Chưa tới</v>
      </c>
      <c r="U1367" s="38" t="n">
        <f aca="false">IF($H1367="","",$R1367/5)</f>
        <v>0</v>
      </c>
    </row>
    <row r="1368" customFormat="false" ht="15" hidden="false" customHeight="false" outlineLevel="0" collapsed="false">
      <c r="A1368" s="31" t="s">
        <v>8137</v>
      </c>
      <c r="B1368" s="31" t="n">
        <v>69</v>
      </c>
      <c r="C1368" s="32" t="n">
        <f aca="false">SETTINGS!$C$3+$B1368-1</f>
        <v>46368</v>
      </c>
      <c r="D1368" s="41" t="s">
        <v>7168</v>
      </c>
      <c r="E1368" s="34" t="s">
        <v>8107</v>
      </c>
      <c r="F1368" s="34" t="s">
        <v>183</v>
      </c>
      <c r="G1368" s="34" t="s">
        <v>8138</v>
      </c>
      <c r="H1368" s="35" t="s">
        <v>8139</v>
      </c>
      <c r="I1368" s="36" t="s">
        <v>8140</v>
      </c>
      <c r="J1368" s="34" t="s">
        <v>8141</v>
      </c>
      <c r="K1368" s="34" t="s">
        <v>8142</v>
      </c>
      <c r="L1368" s="37"/>
      <c r="M1368" s="37"/>
      <c r="N1368" s="37"/>
      <c r="O1368" s="37"/>
      <c r="P1368" s="37"/>
      <c r="Q1368" s="37"/>
      <c r="R1368" s="31" t="n">
        <f aca="false">COUNT($M1368:$Q1368)</f>
        <v>0</v>
      </c>
      <c r="S1368" s="32" t="str">
        <f aca="false">IF($L1368="","",IF($R1368&gt;=5,"",MAX($L1368:$Q1368)+CHOOSE($R1368+1,SETTINGS!$C$9,SETTINGS!$C$10,SETTINGS!$C$11,SETTINGS!$C$12,SETTINGS!$C$13)))</f>
        <v/>
      </c>
      <c r="T1368" s="34" t="str">
        <f aca="true">IF($H1368="","(chưa có nội dung)",IF($L1368="",IF($C1368&lt;TODAY(),"⚠ TRỄ HỌC",IF($C1368=TODAY(),"★ HỌC HÔM NAY","• Chưa tới")),IF($R1368&gt;=5,"✔ MASTER",IF($S1368&lt;TODAY(),"⚠ TRỄ ÔN",IF($S1368=TODAY(),"◆ ÔN HÔM NAY","✔ Đúng tiến độ")))))</f>
        <v>• Chưa tới</v>
      </c>
      <c r="U1368" s="38" t="n">
        <f aca="false">IF($H1368="","",$R1368/5)</f>
        <v>0</v>
      </c>
    </row>
    <row r="1369" customFormat="false" ht="15" hidden="false" customHeight="false" outlineLevel="0" collapsed="false">
      <c r="A1369" s="31" t="s">
        <v>8143</v>
      </c>
      <c r="B1369" s="31" t="n">
        <v>69</v>
      </c>
      <c r="C1369" s="32" t="n">
        <f aca="false">SETTINGS!$C$3+$B1369-1</f>
        <v>46368</v>
      </c>
      <c r="D1369" s="41" t="s">
        <v>7168</v>
      </c>
      <c r="E1369" s="34" t="s">
        <v>8107</v>
      </c>
      <c r="F1369" s="34" t="s">
        <v>163</v>
      </c>
      <c r="G1369" s="34" t="s">
        <v>8144</v>
      </c>
      <c r="H1369" s="35" t="s">
        <v>8145</v>
      </c>
      <c r="I1369" s="36" t="s">
        <v>8146</v>
      </c>
      <c r="J1369" s="34" t="s">
        <v>8147</v>
      </c>
      <c r="K1369" s="34" t="s">
        <v>8148</v>
      </c>
      <c r="L1369" s="37"/>
      <c r="M1369" s="37"/>
      <c r="N1369" s="37"/>
      <c r="O1369" s="37"/>
      <c r="P1369" s="37"/>
      <c r="Q1369" s="37"/>
      <c r="R1369" s="31" t="n">
        <f aca="false">COUNT($M1369:$Q1369)</f>
        <v>0</v>
      </c>
      <c r="S1369" s="32" t="str">
        <f aca="false">IF($L1369="","",IF($R1369&gt;=5,"",MAX($L1369:$Q1369)+CHOOSE($R1369+1,SETTINGS!$C$9,SETTINGS!$C$10,SETTINGS!$C$11,SETTINGS!$C$12,SETTINGS!$C$13)))</f>
        <v/>
      </c>
      <c r="T1369" s="34" t="str">
        <f aca="true">IF($H1369="","(chưa có nội dung)",IF($L1369="",IF($C1369&lt;TODAY(),"⚠ TRỄ HỌC",IF($C1369=TODAY(),"★ HỌC HÔM NAY","• Chưa tới")),IF($R1369&gt;=5,"✔ MASTER",IF($S1369&lt;TODAY(),"⚠ TRỄ ÔN",IF($S1369=TODAY(),"◆ ÔN HÔM NAY","✔ Đúng tiến độ")))))</f>
        <v>• Chưa tới</v>
      </c>
      <c r="U1369" s="38" t="n">
        <f aca="false">IF($H1369="","",$R1369/5)</f>
        <v>0</v>
      </c>
    </row>
    <row r="1370" customFormat="false" ht="15" hidden="false" customHeight="false" outlineLevel="0" collapsed="false">
      <c r="A1370" s="31" t="s">
        <v>8149</v>
      </c>
      <c r="B1370" s="31" t="n">
        <v>69</v>
      </c>
      <c r="C1370" s="32" t="n">
        <f aca="false">SETTINGS!$C$3+$B1370-1</f>
        <v>46368</v>
      </c>
      <c r="D1370" s="41" t="s">
        <v>7168</v>
      </c>
      <c r="E1370" s="34" t="s">
        <v>8107</v>
      </c>
      <c r="F1370" s="34" t="s">
        <v>280</v>
      </c>
      <c r="G1370" s="34" t="s">
        <v>8150</v>
      </c>
      <c r="H1370" s="35" t="s">
        <v>8151</v>
      </c>
      <c r="I1370" s="36" t="s">
        <v>8152</v>
      </c>
      <c r="J1370" s="34" t="s">
        <v>8153</v>
      </c>
      <c r="K1370" s="34" t="s">
        <v>8154</v>
      </c>
      <c r="L1370" s="37"/>
      <c r="M1370" s="37"/>
      <c r="N1370" s="37"/>
      <c r="O1370" s="37"/>
      <c r="P1370" s="37"/>
      <c r="Q1370" s="37"/>
      <c r="R1370" s="31" t="n">
        <f aca="false">COUNT($M1370:$Q1370)</f>
        <v>0</v>
      </c>
      <c r="S1370" s="32" t="str">
        <f aca="false">IF($L1370="","",IF($R1370&gt;=5,"",MAX($L1370:$Q1370)+CHOOSE($R1370+1,SETTINGS!$C$9,SETTINGS!$C$10,SETTINGS!$C$11,SETTINGS!$C$12,SETTINGS!$C$13)))</f>
        <v/>
      </c>
      <c r="T1370" s="34" t="str">
        <f aca="true">IF($H1370="","(chưa có nội dung)",IF($L1370="",IF($C1370&lt;TODAY(),"⚠ TRỄ HỌC",IF($C1370=TODAY(),"★ HỌC HÔM NAY","• Chưa tới")),IF($R1370&gt;=5,"✔ MASTER",IF($S1370&lt;TODAY(),"⚠ TRỄ ÔN",IF($S1370=TODAY(),"◆ ÔN HÔM NAY","✔ Đúng tiến độ")))))</f>
        <v>• Chưa tới</v>
      </c>
      <c r="U1370" s="38" t="n">
        <f aca="false">IF($H1370="","",$R1370/5)</f>
        <v>0</v>
      </c>
    </row>
    <row r="1371" customFormat="false" ht="15" hidden="false" customHeight="false" outlineLevel="0" collapsed="false">
      <c r="A1371" s="31" t="s">
        <v>8155</v>
      </c>
      <c r="B1371" s="31" t="n">
        <v>69</v>
      </c>
      <c r="C1371" s="32" t="n">
        <f aca="false">SETTINGS!$C$3+$B1371-1</f>
        <v>46368</v>
      </c>
      <c r="D1371" s="41" t="s">
        <v>7168</v>
      </c>
      <c r="E1371" s="34" t="s">
        <v>8107</v>
      </c>
      <c r="F1371" s="34" t="s">
        <v>202</v>
      </c>
      <c r="G1371" s="34" t="s">
        <v>8156</v>
      </c>
      <c r="H1371" s="35" t="s">
        <v>8157</v>
      </c>
      <c r="I1371" s="36" t="s">
        <v>8158</v>
      </c>
      <c r="J1371" s="34" t="s">
        <v>8159</v>
      </c>
      <c r="K1371" s="34" t="s">
        <v>8160</v>
      </c>
      <c r="L1371" s="37"/>
      <c r="M1371" s="37"/>
      <c r="N1371" s="37"/>
      <c r="O1371" s="37"/>
      <c r="P1371" s="37"/>
      <c r="Q1371" s="37"/>
      <c r="R1371" s="31" t="n">
        <f aca="false">COUNT($M1371:$Q1371)</f>
        <v>0</v>
      </c>
      <c r="S1371" s="32" t="str">
        <f aca="false">IF($L1371="","",IF($R1371&gt;=5,"",MAX($L1371:$Q1371)+CHOOSE($R1371+1,SETTINGS!$C$9,SETTINGS!$C$10,SETTINGS!$C$11,SETTINGS!$C$12,SETTINGS!$C$13)))</f>
        <v/>
      </c>
      <c r="T1371" s="34" t="str">
        <f aca="true">IF($H1371="","(chưa có nội dung)",IF($L1371="",IF($C1371&lt;TODAY(),"⚠ TRỄ HỌC",IF($C1371=TODAY(),"★ HỌC HÔM NAY","• Chưa tới")),IF($R1371&gt;=5,"✔ MASTER",IF($S1371&lt;TODAY(),"⚠ TRỄ ÔN",IF($S1371=TODAY(),"◆ ÔN HÔM NAY","✔ Đúng tiến độ")))))</f>
        <v>• Chưa tới</v>
      </c>
      <c r="U1371" s="38" t="n">
        <f aca="false">IF($H1371="","",$R1371/5)</f>
        <v>0</v>
      </c>
    </row>
    <row r="1372" customFormat="false" ht="15" hidden="false" customHeight="false" outlineLevel="0" collapsed="false">
      <c r="A1372" s="31" t="s">
        <v>8161</v>
      </c>
      <c r="B1372" s="31" t="n">
        <v>69</v>
      </c>
      <c r="C1372" s="32" t="n">
        <f aca="false">SETTINGS!$C$3+$B1372-1</f>
        <v>46368</v>
      </c>
      <c r="D1372" s="41" t="s">
        <v>7168</v>
      </c>
      <c r="E1372" s="34" t="s">
        <v>8107</v>
      </c>
      <c r="F1372" s="34" t="s">
        <v>156</v>
      </c>
      <c r="G1372" s="34" t="s">
        <v>8162</v>
      </c>
      <c r="H1372" s="35" t="s">
        <v>8163</v>
      </c>
      <c r="I1372" s="36" t="s">
        <v>8164</v>
      </c>
      <c r="J1372" s="34" t="s">
        <v>8165</v>
      </c>
      <c r="K1372" s="34" t="s">
        <v>8166</v>
      </c>
      <c r="L1372" s="37"/>
      <c r="M1372" s="37"/>
      <c r="N1372" s="37"/>
      <c r="O1372" s="37"/>
      <c r="P1372" s="37"/>
      <c r="Q1372" s="37"/>
      <c r="R1372" s="31" t="n">
        <f aca="false">COUNT($M1372:$Q1372)</f>
        <v>0</v>
      </c>
      <c r="S1372" s="32" t="str">
        <f aca="false">IF($L1372="","",IF($R1372&gt;=5,"",MAX($L1372:$Q1372)+CHOOSE($R1372+1,SETTINGS!$C$9,SETTINGS!$C$10,SETTINGS!$C$11,SETTINGS!$C$12,SETTINGS!$C$13)))</f>
        <v/>
      </c>
      <c r="T1372" s="34" t="str">
        <f aca="true">IF($H1372="","(chưa có nội dung)",IF($L1372="",IF($C1372&lt;TODAY(),"⚠ TRỄ HỌC",IF($C1372=TODAY(),"★ HỌC HÔM NAY","• Chưa tới")),IF($R1372&gt;=5,"✔ MASTER",IF($S1372&lt;TODAY(),"⚠ TRỄ ÔN",IF($S1372=TODAY(),"◆ ÔN HÔM NAY","✔ Đúng tiến độ")))))</f>
        <v>• Chưa tới</v>
      </c>
      <c r="U1372" s="38" t="n">
        <f aca="false">IF($H1372="","",$R1372/5)</f>
        <v>0</v>
      </c>
    </row>
    <row r="1373" customFormat="false" ht="15" hidden="false" customHeight="false" outlineLevel="0" collapsed="false">
      <c r="A1373" s="31" t="s">
        <v>8167</v>
      </c>
      <c r="B1373" s="31" t="n">
        <v>69</v>
      </c>
      <c r="C1373" s="32" t="n">
        <f aca="false">SETTINGS!$C$3+$B1373-1</f>
        <v>46368</v>
      </c>
      <c r="D1373" s="41" t="s">
        <v>7168</v>
      </c>
      <c r="E1373" s="34" t="s">
        <v>8107</v>
      </c>
      <c r="F1373" s="34" t="s">
        <v>280</v>
      </c>
      <c r="G1373" s="34" t="s">
        <v>8168</v>
      </c>
      <c r="H1373" s="35" t="s">
        <v>8169</v>
      </c>
      <c r="I1373" s="36" t="s">
        <v>8170</v>
      </c>
      <c r="J1373" s="34" t="s">
        <v>8171</v>
      </c>
      <c r="K1373" s="34" t="s">
        <v>3717</v>
      </c>
      <c r="L1373" s="37"/>
      <c r="M1373" s="37"/>
      <c r="N1373" s="37"/>
      <c r="O1373" s="37"/>
      <c r="P1373" s="37"/>
      <c r="Q1373" s="37"/>
      <c r="R1373" s="31" t="n">
        <f aca="false">COUNT($M1373:$Q1373)</f>
        <v>0</v>
      </c>
      <c r="S1373" s="32" t="str">
        <f aca="false">IF($L1373="","",IF($R1373&gt;=5,"",MAX($L1373:$Q1373)+CHOOSE($R1373+1,SETTINGS!$C$9,SETTINGS!$C$10,SETTINGS!$C$11,SETTINGS!$C$12,SETTINGS!$C$13)))</f>
        <v/>
      </c>
      <c r="T1373" s="34" t="str">
        <f aca="true">IF($H1373="","(chưa có nội dung)",IF($L1373="",IF($C1373&lt;TODAY(),"⚠ TRỄ HỌC",IF($C1373=TODAY(),"★ HỌC HÔM NAY","• Chưa tới")),IF($R1373&gt;=5,"✔ MASTER",IF($S1373&lt;TODAY(),"⚠ TRỄ ÔN",IF($S1373=TODAY(),"◆ ÔN HÔM NAY","✔ Đúng tiến độ")))))</f>
        <v>• Chưa tới</v>
      </c>
      <c r="U1373" s="38" t="n">
        <f aca="false">IF($H1373="","",$R1373/5)</f>
        <v>0</v>
      </c>
    </row>
    <row r="1374" customFormat="false" ht="15" hidden="false" customHeight="false" outlineLevel="0" collapsed="false">
      <c r="A1374" s="31" t="s">
        <v>8172</v>
      </c>
      <c r="B1374" s="31" t="n">
        <v>69</v>
      </c>
      <c r="C1374" s="32" t="n">
        <f aca="false">SETTINGS!$C$3+$B1374-1</f>
        <v>46368</v>
      </c>
      <c r="D1374" s="41" t="s">
        <v>7168</v>
      </c>
      <c r="E1374" s="34" t="s">
        <v>8107</v>
      </c>
      <c r="F1374" s="34" t="s">
        <v>163</v>
      </c>
      <c r="G1374" s="34" t="s">
        <v>8173</v>
      </c>
      <c r="H1374" s="35" t="s">
        <v>8174</v>
      </c>
      <c r="I1374" s="36" t="s">
        <v>8175</v>
      </c>
      <c r="J1374" s="34" t="s">
        <v>8176</v>
      </c>
      <c r="K1374" s="34" t="s">
        <v>5038</v>
      </c>
      <c r="L1374" s="37"/>
      <c r="M1374" s="37"/>
      <c r="N1374" s="37"/>
      <c r="O1374" s="37"/>
      <c r="P1374" s="37"/>
      <c r="Q1374" s="37"/>
      <c r="R1374" s="31" t="n">
        <f aca="false">COUNT($M1374:$Q1374)</f>
        <v>0</v>
      </c>
      <c r="S1374" s="32" t="str">
        <f aca="false">IF($L1374="","",IF($R1374&gt;=5,"",MAX($L1374:$Q1374)+CHOOSE($R1374+1,SETTINGS!$C$9,SETTINGS!$C$10,SETTINGS!$C$11,SETTINGS!$C$12,SETTINGS!$C$13)))</f>
        <v/>
      </c>
      <c r="T1374" s="34" t="str">
        <f aca="true">IF($H1374="","(chưa có nội dung)",IF($L1374="",IF($C1374&lt;TODAY(),"⚠ TRỄ HỌC",IF($C1374=TODAY(),"★ HỌC HÔM NAY","• Chưa tới")),IF($R1374&gt;=5,"✔ MASTER",IF($S1374&lt;TODAY(),"⚠ TRỄ ÔN",IF($S1374=TODAY(),"◆ ÔN HÔM NAY","✔ Đúng tiến độ")))))</f>
        <v>• Chưa tới</v>
      </c>
      <c r="U1374" s="38" t="n">
        <f aca="false">IF($H1374="","",$R1374/5)</f>
        <v>0</v>
      </c>
    </row>
    <row r="1375" customFormat="false" ht="15" hidden="false" customHeight="false" outlineLevel="0" collapsed="false">
      <c r="A1375" s="31" t="s">
        <v>8177</v>
      </c>
      <c r="B1375" s="31" t="n">
        <v>69</v>
      </c>
      <c r="C1375" s="32" t="n">
        <f aca="false">SETTINGS!$C$3+$B1375-1</f>
        <v>46368</v>
      </c>
      <c r="D1375" s="41" t="s">
        <v>7168</v>
      </c>
      <c r="E1375" s="34" t="s">
        <v>8107</v>
      </c>
      <c r="F1375" s="34" t="s">
        <v>156</v>
      </c>
      <c r="G1375" s="34" t="s">
        <v>8178</v>
      </c>
      <c r="H1375" s="35" t="s">
        <v>8179</v>
      </c>
      <c r="I1375" s="36" t="s">
        <v>8180</v>
      </c>
      <c r="J1375" s="34" t="s">
        <v>8181</v>
      </c>
      <c r="K1375" s="34" t="s">
        <v>3729</v>
      </c>
      <c r="L1375" s="37"/>
      <c r="M1375" s="37"/>
      <c r="N1375" s="37"/>
      <c r="O1375" s="37"/>
      <c r="P1375" s="37"/>
      <c r="Q1375" s="37"/>
      <c r="R1375" s="31" t="n">
        <f aca="false">COUNT($M1375:$Q1375)</f>
        <v>0</v>
      </c>
      <c r="S1375" s="32" t="str">
        <f aca="false">IF($L1375="","",IF($R1375&gt;=5,"",MAX($L1375:$Q1375)+CHOOSE($R1375+1,SETTINGS!$C$9,SETTINGS!$C$10,SETTINGS!$C$11,SETTINGS!$C$12,SETTINGS!$C$13)))</f>
        <v/>
      </c>
      <c r="T1375" s="34" t="str">
        <f aca="true">IF($H1375="","(chưa có nội dung)",IF($L1375="",IF($C1375&lt;TODAY(),"⚠ TRỄ HỌC",IF($C1375=TODAY(),"★ HỌC HÔM NAY","• Chưa tới")),IF($R1375&gt;=5,"✔ MASTER",IF($S1375&lt;TODAY(),"⚠ TRỄ ÔN",IF($S1375=TODAY(),"◆ ÔN HÔM NAY","✔ Đúng tiến độ")))))</f>
        <v>• Chưa tới</v>
      </c>
      <c r="U1375" s="38" t="n">
        <f aca="false">IF($H1375="","",$R1375/5)</f>
        <v>0</v>
      </c>
    </row>
    <row r="1376" customFormat="false" ht="15" hidden="false" customHeight="false" outlineLevel="0" collapsed="false">
      <c r="A1376" s="31" t="s">
        <v>8182</v>
      </c>
      <c r="B1376" s="31" t="n">
        <v>69</v>
      </c>
      <c r="C1376" s="32" t="n">
        <f aca="false">SETTINGS!$C$3+$B1376-1</f>
        <v>46368</v>
      </c>
      <c r="D1376" s="41" t="s">
        <v>7168</v>
      </c>
      <c r="E1376" s="34" t="s">
        <v>8107</v>
      </c>
      <c r="F1376" s="34" t="s">
        <v>202</v>
      </c>
      <c r="G1376" s="34" t="s">
        <v>8183</v>
      </c>
      <c r="H1376" s="35" t="s">
        <v>8184</v>
      </c>
      <c r="I1376" s="36" t="s">
        <v>8185</v>
      </c>
      <c r="J1376" s="34" t="s">
        <v>8186</v>
      </c>
      <c r="K1376" s="34" t="s">
        <v>8187</v>
      </c>
      <c r="L1376" s="37"/>
      <c r="M1376" s="37"/>
      <c r="N1376" s="37"/>
      <c r="O1376" s="37"/>
      <c r="P1376" s="37"/>
      <c r="Q1376" s="37"/>
      <c r="R1376" s="31" t="n">
        <f aca="false">COUNT($M1376:$Q1376)</f>
        <v>0</v>
      </c>
      <c r="S1376" s="32" t="str">
        <f aca="false">IF($L1376="","",IF($R1376&gt;=5,"",MAX($L1376:$Q1376)+CHOOSE($R1376+1,SETTINGS!$C$9,SETTINGS!$C$10,SETTINGS!$C$11,SETTINGS!$C$12,SETTINGS!$C$13)))</f>
        <v/>
      </c>
      <c r="T1376" s="34" t="str">
        <f aca="true">IF($H1376="","(chưa có nội dung)",IF($L1376="",IF($C1376&lt;TODAY(),"⚠ TRỄ HỌC",IF($C1376=TODAY(),"★ HỌC HÔM NAY","• Chưa tới")),IF($R1376&gt;=5,"✔ MASTER",IF($S1376&lt;TODAY(),"⚠ TRỄ ÔN",IF($S1376=TODAY(),"◆ ÔN HÔM NAY","✔ Đúng tiến độ")))))</f>
        <v>• Chưa tới</v>
      </c>
      <c r="U1376" s="38" t="n">
        <f aca="false">IF($H1376="","",$R1376/5)</f>
        <v>0</v>
      </c>
    </row>
    <row r="1377" customFormat="false" ht="15" hidden="false" customHeight="false" outlineLevel="0" collapsed="false">
      <c r="A1377" s="31" t="s">
        <v>8188</v>
      </c>
      <c r="B1377" s="31" t="n">
        <v>69</v>
      </c>
      <c r="C1377" s="32" t="n">
        <f aca="false">SETTINGS!$C$3+$B1377-1</f>
        <v>46368</v>
      </c>
      <c r="D1377" s="41" t="s">
        <v>7168</v>
      </c>
      <c r="E1377" s="34" t="s">
        <v>8107</v>
      </c>
      <c r="F1377" s="34" t="s">
        <v>163</v>
      </c>
      <c r="G1377" s="34" t="s">
        <v>8189</v>
      </c>
      <c r="H1377" s="35" t="s">
        <v>8190</v>
      </c>
      <c r="I1377" s="36" t="s">
        <v>8191</v>
      </c>
      <c r="J1377" s="34" t="s">
        <v>8192</v>
      </c>
      <c r="K1377" s="34" t="s">
        <v>8193</v>
      </c>
      <c r="L1377" s="37"/>
      <c r="M1377" s="37"/>
      <c r="N1377" s="37"/>
      <c r="O1377" s="37"/>
      <c r="P1377" s="37"/>
      <c r="Q1377" s="37"/>
      <c r="R1377" s="31" t="n">
        <f aca="false">COUNT($M1377:$Q1377)</f>
        <v>0</v>
      </c>
      <c r="S1377" s="32" t="str">
        <f aca="false">IF($L1377="","",IF($R1377&gt;=5,"",MAX($L1377:$Q1377)+CHOOSE($R1377+1,SETTINGS!$C$9,SETTINGS!$C$10,SETTINGS!$C$11,SETTINGS!$C$12,SETTINGS!$C$13)))</f>
        <v/>
      </c>
      <c r="T1377" s="34" t="str">
        <f aca="true">IF($H1377="","(chưa có nội dung)",IF($L1377="",IF($C1377&lt;TODAY(),"⚠ TRỄ HỌC",IF($C1377=TODAY(),"★ HỌC HÔM NAY","• Chưa tới")),IF($R1377&gt;=5,"✔ MASTER",IF($S1377&lt;TODAY(),"⚠ TRỄ ÔN",IF($S1377=TODAY(),"◆ ÔN HÔM NAY","✔ Đúng tiến độ")))))</f>
        <v>• Chưa tới</v>
      </c>
      <c r="U1377" s="38" t="n">
        <f aca="false">IF($H1377="","",$R1377/5)</f>
        <v>0</v>
      </c>
    </row>
    <row r="1378" customFormat="false" ht="15" hidden="false" customHeight="false" outlineLevel="0" collapsed="false">
      <c r="A1378" s="31" t="s">
        <v>8194</v>
      </c>
      <c r="B1378" s="31" t="n">
        <v>69</v>
      </c>
      <c r="C1378" s="32" t="n">
        <f aca="false">SETTINGS!$C$3+$B1378-1</f>
        <v>46368</v>
      </c>
      <c r="D1378" s="41" t="s">
        <v>7168</v>
      </c>
      <c r="E1378" s="34" t="s">
        <v>8107</v>
      </c>
      <c r="F1378" s="34" t="s">
        <v>280</v>
      </c>
      <c r="G1378" s="34" t="s">
        <v>3447</v>
      </c>
      <c r="H1378" s="35" t="s">
        <v>8195</v>
      </c>
      <c r="I1378" s="36" t="s">
        <v>8196</v>
      </c>
      <c r="J1378" s="34" t="s">
        <v>8197</v>
      </c>
      <c r="K1378" s="34" t="s">
        <v>3447</v>
      </c>
      <c r="L1378" s="37"/>
      <c r="M1378" s="37"/>
      <c r="N1378" s="37"/>
      <c r="O1378" s="37"/>
      <c r="P1378" s="37"/>
      <c r="Q1378" s="37"/>
      <c r="R1378" s="31" t="n">
        <f aca="false">COUNT($M1378:$Q1378)</f>
        <v>0</v>
      </c>
      <c r="S1378" s="32" t="str">
        <f aca="false">IF($L1378="","",IF($R1378&gt;=5,"",MAX($L1378:$Q1378)+CHOOSE($R1378+1,SETTINGS!$C$9,SETTINGS!$C$10,SETTINGS!$C$11,SETTINGS!$C$12,SETTINGS!$C$13)))</f>
        <v/>
      </c>
      <c r="T1378" s="34" t="str">
        <f aca="true">IF($H1378="","(chưa có nội dung)",IF($L1378="",IF($C1378&lt;TODAY(),"⚠ TRỄ HỌC",IF($C1378=TODAY(),"★ HỌC HÔM NAY","• Chưa tới")),IF($R1378&gt;=5,"✔ MASTER",IF($S1378&lt;TODAY(),"⚠ TRỄ ÔN",IF($S1378=TODAY(),"◆ ÔN HÔM NAY","✔ Đúng tiến độ")))))</f>
        <v>• Chưa tới</v>
      </c>
      <c r="U1378" s="38" t="n">
        <f aca="false">IF($H1378="","",$R1378/5)</f>
        <v>0</v>
      </c>
    </row>
    <row r="1379" customFormat="false" ht="15" hidden="false" customHeight="false" outlineLevel="0" collapsed="false">
      <c r="A1379" s="31" t="s">
        <v>8198</v>
      </c>
      <c r="B1379" s="31" t="n">
        <v>69</v>
      </c>
      <c r="C1379" s="32" t="n">
        <f aca="false">SETTINGS!$C$3+$B1379-1</f>
        <v>46368</v>
      </c>
      <c r="D1379" s="41" t="s">
        <v>7168</v>
      </c>
      <c r="E1379" s="34" t="s">
        <v>8107</v>
      </c>
      <c r="F1379" s="34" t="s">
        <v>280</v>
      </c>
      <c r="G1379" s="34" t="s">
        <v>8199</v>
      </c>
      <c r="H1379" s="35" t="s">
        <v>8200</v>
      </c>
      <c r="I1379" s="36" t="s">
        <v>8201</v>
      </c>
      <c r="J1379" s="34" t="s">
        <v>8202</v>
      </c>
      <c r="K1379" s="34" t="s">
        <v>8203</v>
      </c>
      <c r="L1379" s="37"/>
      <c r="M1379" s="37"/>
      <c r="N1379" s="37"/>
      <c r="O1379" s="37"/>
      <c r="P1379" s="37"/>
      <c r="Q1379" s="37"/>
      <c r="R1379" s="31" t="n">
        <f aca="false">COUNT($M1379:$Q1379)</f>
        <v>0</v>
      </c>
      <c r="S1379" s="32" t="str">
        <f aca="false">IF($L1379="","",IF($R1379&gt;=5,"",MAX($L1379:$Q1379)+CHOOSE($R1379+1,SETTINGS!$C$9,SETTINGS!$C$10,SETTINGS!$C$11,SETTINGS!$C$12,SETTINGS!$C$13)))</f>
        <v/>
      </c>
      <c r="T1379" s="34" t="str">
        <f aca="true">IF($H1379="","(chưa có nội dung)",IF($L1379="",IF($C1379&lt;TODAY(),"⚠ TRỄ HỌC",IF($C1379=TODAY(),"★ HỌC HÔM NAY","• Chưa tới")),IF($R1379&gt;=5,"✔ MASTER",IF($S1379&lt;TODAY(),"⚠ TRỄ ÔN",IF($S1379=TODAY(),"◆ ÔN HÔM NAY","✔ Đúng tiến độ")))))</f>
        <v>• Chưa tới</v>
      </c>
      <c r="U1379" s="38" t="n">
        <f aca="false">IF($H1379="","",$R1379/5)</f>
        <v>0</v>
      </c>
    </row>
    <row r="1380" customFormat="false" ht="15" hidden="false" customHeight="false" outlineLevel="0" collapsed="false">
      <c r="A1380" s="31" t="s">
        <v>8204</v>
      </c>
      <c r="B1380" s="31" t="n">
        <v>69</v>
      </c>
      <c r="C1380" s="32" t="n">
        <f aca="false">SETTINGS!$C$3+$B1380-1</f>
        <v>46368</v>
      </c>
      <c r="D1380" s="41" t="s">
        <v>7168</v>
      </c>
      <c r="E1380" s="34" t="s">
        <v>8107</v>
      </c>
      <c r="F1380" s="34" t="s">
        <v>202</v>
      </c>
      <c r="G1380" s="34" t="s">
        <v>8205</v>
      </c>
      <c r="H1380" s="35" t="s">
        <v>8206</v>
      </c>
      <c r="I1380" s="36" t="s">
        <v>8207</v>
      </c>
      <c r="J1380" s="34" t="s">
        <v>8208</v>
      </c>
      <c r="K1380" s="34" t="s">
        <v>8209</v>
      </c>
      <c r="L1380" s="37"/>
      <c r="M1380" s="37"/>
      <c r="N1380" s="37"/>
      <c r="O1380" s="37"/>
      <c r="P1380" s="37"/>
      <c r="Q1380" s="37"/>
      <c r="R1380" s="31" t="n">
        <f aca="false">COUNT($M1380:$Q1380)</f>
        <v>0</v>
      </c>
      <c r="S1380" s="32" t="str">
        <f aca="false">IF($L1380="","",IF($R1380&gt;=5,"",MAX($L1380:$Q1380)+CHOOSE($R1380+1,SETTINGS!$C$9,SETTINGS!$C$10,SETTINGS!$C$11,SETTINGS!$C$12,SETTINGS!$C$13)))</f>
        <v/>
      </c>
      <c r="T1380" s="34" t="str">
        <f aca="true">IF($H1380="","(chưa có nội dung)",IF($L1380="",IF($C1380&lt;TODAY(),"⚠ TRỄ HỌC",IF($C1380=TODAY(),"★ HỌC HÔM NAY","• Chưa tới")),IF($R1380&gt;=5,"✔ MASTER",IF($S1380&lt;TODAY(),"⚠ TRỄ ÔN",IF($S1380=TODAY(),"◆ ÔN HÔM NAY","✔ Đúng tiến độ")))))</f>
        <v>• Chưa tới</v>
      </c>
      <c r="U1380" s="38" t="n">
        <f aca="false">IF($H1380="","",$R1380/5)</f>
        <v>0</v>
      </c>
    </row>
    <row r="1381" customFormat="false" ht="15" hidden="false" customHeight="false" outlineLevel="0" collapsed="false">
      <c r="A1381" s="31" t="s">
        <v>8210</v>
      </c>
      <c r="B1381" s="31" t="n">
        <v>69</v>
      </c>
      <c r="C1381" s="32" t="n">
        <f aca="false">SETTINGS!$C$3+$B1381-1</f>
        <v>46368</v>
      </c>
      <c r="D1381" s="41" t="s">
        <v>7168</v>
      </c>
      <c r="E1381" s="34" t="s">
        <v>8107</v>
      </c>
      <c r="F1381" s="34" t="s">
        <v>183</v>
      </c>
      <c r="G1381" s="34" t="s">
        <v>8211</v>
      </c>
      <c r="H1381" s="35" t="s">
        <v>8212</v>
      </c>
      <c r="I1381" s="36" t="s">
        <v>8213</v>
      </c>
      <c r="J1381" s="34" t="s">
        <v>8214</v>
      </c>
      <c r="K1381" s="34" t="s">
        <v>8215</v>
      </c>
      <c r="L1381" s="37"/>
      <c r="M1381" s="37"/>
      <c r="N1381" s="37"/>
      <c r="O1381" s="37"/>
      <c r="P1381" s="37"/>
      <c r="Q1381" s="37"/>
      <c r="R1381" s="31" t="n">
        <f aca="false">COUNT($M1381:$Q1381)</f>
        <v>0</v>
      </c>
      <c r="S1381" s="32" t="str">
        <f aca="false">IF($L1381="","",IF($R1381&gt;=5,"",MAX($L1381:$Q1381)+CHOOSE($R1381+1,SETTINGS!$C$9,SETTINGS!$C$10,SETTINGS!$C$11,SETTINGS!$C$12,SETTINGS!$C$13)))</f>
        <v/>
      </c>
      <c r="T1381" s="34" t="str">
        <f aca="true">IF($H1381="","(chưa có nội dung)",IF($L1381="",IF($C1381&lt;TODAY(),"⚠ TRỄ HỌC",IF($C1381=TODAY(),"★ HỌC HÔM NAY","• Chưa tới")),IF($R1381&gt;=5,"✔ MASTER",IF($S1381&lt;TODAY(),"⚠ TRỄ ÔN",IF($S1381=TODAY(),"◆ ÔN HÔM NAY","✔ Đúng tiến độ")))))</f>
        <v>• Chưa tới</v>
      </c>
      <c r="U1381" s="38" t="n">
        <f aca="false">IF($H1381="","",$R1381/5)</f>
        <v>0</v>
      </c>
    </row>
    <row r="1382" customFormat="false" ht="15" hidden="false" customHeight="false" outlineLevel="0" collapsed="false">
      <c r="A1382" s="31" t="s">
        <v>8216</v>
      </c>
      <c r="B1382" s="31" t="n">
        <v>69</v>
      </c>
      <c r="C1382" s="32" t="n">
        <f aca="false">SETTINGS!$C$3+$B1382-1</f>
        <v>46368</v>
      </c>
      <c r="D1382" s="41" t="s">
        <v>7168</v>
      </c>
      <c r="E1382" s="34" t="s">
        <v>8107</v>
      </c>
      <c r="F1382" s="34" t="s">
        <v>202</v>
      </c>
      <c r="G1382" s="34" t="s">
        <v>8217</v>
      </c>
      <c r="H1382" s="35" t="s">
        <v>8218</v>
      </c>
      <c r="I1382" s="36" t="s">
        <v>8219</v>
      </c>
      <c r="J1382" s="34" t="s">
        <v>8220</v>
      </c>
      <c r="K1382" s="34" t="s">
        <v>2379</v>
      </c>
      <c r="L1382" s="37"/>
      <c r="M1382" s="37"/>
      <c r="N1382" s="37"/>
      <c r="O1382" s="37"/>
      <c r="P1382" s="37"/>
      <c r="Q1382" s="37"/>
      <c r="R1382" s="31" t="n">
        <f aca="false">COUNT($M1382:$Q1382)</f>
        <v>0</v>
      </c>
      <c r="S1382" s="32" t="str">
        <f aca="false">IF($L1382="","",IF($R1382&gt;=5,"",MAX($L1382:$Q1382)+CHOOSE($R1382+1,SETTINGS!$C$9,SETTINGS!$C$10,SETTINGS!$C$11,SETTINGS!$C$12,SETTINGS!$C$13)))</f>
        <v/>
      </c>
      <c r="T1382" s="34" t="str">
        <f aca="true">IF($H1382="","(chưa có nội dung)",IF($L1382="",IF($C1382&lt;TODAY(),"⚠ TRỄ HỌC",IF($C1382=TODAY(),"★ HỌC HÔM NAY","• Chưa tới")),IF($R1382&gt;=5,"✔ MASTER",IF($S1382&lt;TODAY(),"⚠ TRỄ ÔN",IF($S1382=TODAY(),"◆ ÔN HÔM NAY","✔ Đúng tiến độ")))))</f>
        <v>• Chưa tới</v>
      </c>
      <c r="U1382" s="38" t="n">
        <f aca="false">IF($H1382="","",$R1382/5)</f>
        <v>0</v>
      </c>
    </row>
    <row r="1383" customFormat="false" ht="15" hidden="false" customHeight="false" outlineLevel="0" collapsed="false">
      <c r="A1383" s="31" t="s">
        <v>8221</v>
      </c>
      <c r="B1383" s="31" t="n">
        <v>70</v>
      </c>
      <c r="C1383" s="32" t="n">
        <f aca="false">SETTINGS!$C$3+$B1383-1</f>
        <v>46369</v>
      </c>
      <c r="D1383" s="41" t="s">
        <v>7168</v>
      </c>
      <c r="E1383" s="34" t="s">
        <v>8222</v>
      </c>
      <c r="F1383" s="34" t="s">
        <v>280</v>
      </c>
      <c r="G1383" s="34" t="s">
        <v>8223</v>
      </c>
      <c r="H1383" s="35" t="s">
        <v>8224</v>
      </c>
      <c r="I1383" s="36" t="s">
        <v>8225</v>
      </c>
      <c r="J1383" s="34" t="s">
        <v>8226</v>
      </c>
      <c r="K1383" s="34" t="s">
        <v>8227</v>
      </c>
      <c r="L1383" s="37"/>
      <c r="M1383" s="37"/>
      <c r="N1383" s="37"/>
      <c r="O1383" s="37"/>
      <c r="P1383" s="37"/>
      <c r="Q1383" s="37"/>
      <c r="R1383" s="31" t="n">
        <f aca="false">COUNT($M1383:$Q1383)</f>
        <v>0</v>
      </c>
      <c r="S1383" s="32" t="str">
        <f aca="false">IF($L1383="","",IF($R1383&gt;=5,"",MAX($L1383:$Q1383)+CHOOSE($R1383+1,SETTINGS!$C$9,SETTINGS!$C$10,SETTINGS!$C$11,SETTINGS!$C$12,SETTINGS!$C$13)))</f>
        <v/>
      </c>
      <c r="T1383" s="34" t="str">
        <f aca="true">IF($H1383="","(chưa có nội dung)",IF($L1383="",IF($C1383&lt;TODAY(),"⚠ TRỄ HỌC",IF($C1383=TODAY(),"★ HỌC HÔM NAY","• Chưa tới")),IF($R1383&gt;=5,"✔ MASTER",IF($S1383&lt;TODAY(),"⚠ TRỄ ÔN",IF($S1383=TODAY(),"◆ ÔN HÔM NAY","✔ Đúng tiến độ")))))</f>
        <v>• Chưa tới</v>
      </c>
      <c r="U1383" s="38" t="n">
        <f aca="false">IF($H1383="","",$R1383/5)</f>
        <v>0</v>
      </c>
    </row>
    <row r="1384" customFormat="false" ht="15" hidden="false" customHeight="false" outlineLevel="0" collapsed="false">
      <c r="A1384" s="31" t="s">
        <v>8228</v>
      </c>
      <c r="B1384" s="31" t="n">
        <v>70</v>
      </c>
      <c r="C1384" s="32" t="n">
        <f aca="false">SETTINGS!$C$3+$B1384-1</f>
        <v>46369</v>
      </c>
      <c r="D1384" s="41" t="s">
        <v>7168</v>
      </c>
      <c r="E1384" s="34" t="s">
        <v>8222</v>
      </c>
      <c r="F1384" s="34" t="s">
        <v>280</v>
      </c>
      <c r="G1384" s="34" t="s">
        <v>8229</v>
      </c>
      <c r="H1384" s="35" t="s">
        <v>8230</v>
      </c>
      <c r="I1384" s="36" t="s">
        <v>8231</v>
      </c>
      <c r="J1384" s="34" t="s">
        <v>8232</v>
      </c>
      <c r="K1384" s="34" t="s">
        <v>8229</v>
      </c>
      <c r="L1384" s="37"/>
      <c r="M1384" s="37"/>
      <c r="N1384" s="37"/>
      <c r="O1384" s="37"/>
      <c r="P1384" s="37"/>
      <c r="Q1384" s="37"/>
      <c r="R1384" s="31" t="n">
        <f aca="false">COUNT($M1384:$Q1384)</f>
        <v>0</v>
      </c>
      <c r="S1384" s="32" t="str">
        <f aca="false">IF($L1384="","",IF($R1384&gt;=5,"",MAX($L1384:$Q1384)+CHOOSE($R1384+1,SETTINGS!$C$9,SETTINGS!$C$10,SETTINGS!$C$11,SETTINGS!$C$12,SETTINGS!$C$13)))</f>
        <v/>
      </c>
      <c r="T1384" s="34" t="str">
        <f aca="true">IF($H1384="","(chưa có nội dung)",IF($L1384="",IF($C1384&lt;TODAY(),"⚠ TRỄ HỌC",IF($C1384=TODAY(),"★ HỌC HÔM NAY","• Chưa tới")),IF($R1384&gt;=5,"✔ MASTER",IF($S1384&lt;TODAY(),"⚠ TRỄ ÔN",IF($S1384=TODAY(),"◆ ÔN HÔM NAY","✔ Đúng tiến độ")))))</f>
        <v>• Chưa tới</v>
      </c>
      <c r="U1384" s="38" t="n">
        <f aca="false">IF($H1384="","",$R1384/5)</f>
        <v>0</v>
      </c>
    </row>
    <row r="1385" customFormat="false" ht="26.85" hidden="false" customHeight="false" outlineLevel="0" collapsed="false">
      <c r="A1385" s="31" t="s">
        <v>8233</v>
      </c>
      <c r="B1385" s="31" t="n">
        <v>70</v>
      </c>
      <c r="C1385" s="32" t="n">
        <f aca="false">SETTINGS!$C$3+$B1385-1</f>
        <v>46369</v>
      </c>
      <c r="D1385" s="41" t="s">
        <v>7168</v>
      </c>
      <c r="E1385" s="34" t="s">
        <v>8222</v>
      </c>
      <c r="F1385" s="34" t="s">
        <v>280</v>
      </c>
      <c r="G1385" s="34" t="s">
        <v>8234</v>
      </c>
      <c r="H1385" s="35" t="s">
        <v>8235</v>
      </c>
      <c r="I1385" s="36" t="s">
        <v>8236</v>
      </c>
      <c r="J1385" s="34" t="s">
        <v>8237</v>
      </c>
      <c r="K1385" s="34" t="s">
        <v>8238</v>
      </c>
      <c r="L1385" s="37"/>
      <c r="M1385" s="37"/>
      <c r="N1385" s="37"/>
      <c r="O1385" s="37"/>
      <c r="P1385" s="37"/>
      <c r="Q1385" s="37"/>
      <c r="R1385" s="31" t="n">
        <f aca="false">COUNT($M1385:$Q1385)</f>
        <v>0</v>
      </c>
      <c r="S1385" s="32" t="str">
        <f aca="false">IF($L1385="","",IF($R1385&gt;=5,"",MAX($L1385:$Q1385)+CHOOSE($R1385+1,SETTINGS!$C$9,SETTINGS!$C$10,SETTINGS!$C$11,SETTINGS!$C$12,SETTINGS!$C$13)))</f>
        <v/>
      </c>
      <c r="T1385" s="34" t="str">
        <f aca="true">IF($H1385="","(chưa có nội dung)",IF($L1385="",IF($C1385&lt;TODAY(),"⚠ TRỄ HỌC",IF($C1385=TODAY(),"★ HỌC HÔM NAY","• Chưa tới")),IF($R1385&gt;=5,"✔ MASTER",IF($S1385&lt;TODAY(),"⚠ TRỄ ÔN",IF($S1385=TODAY(),"◆ ÔN HÔM NAY","✔ Đúng tiến độ")))))</f>
        <v>• Chưa tới</v>
      </c>
      <c r="U1385" s="38" t="n">
        <f aca="false">IF($H1385="","",$R1385/5)</f>
        <v>0</v>
      </c>
    </row>
    <row r="1386" customFormat="false" ht="15" hidden="false" customHeight="false" outlineLevel="0" collapsed="false">
      <c r="A1386" s="31" t="s">
        <v>8239</v>
      </c>
      <c r="B1386" s="31" t="n">
        <v>70</v>
      </c>
      <c r="C1386" s="32" t="n">
        <f aca="false">SETTINGS!$C$3+$B1386-1</f>
        <v>46369</v>
      </c>
      <c r="D1386" s="41" t="s">
        <v>7168</v>
      </c>
      <c r="E1386" s="34" t="s">
        <v>8222</v>
      </c>
      <c r="F1386" s="34" t="s">
        <v>280</v>
      </c>
      <c r="G1386" s="34" t="s">
        <v>8240</v>
      </c>
      <c r="H1386" s="35" t="s">
        <v>8241</v>
      </c>
      <c r="I1386" s="36" t="s">
        <v>8242</v>
      </c>
      <c r="J1386" s="34" t="s">
        <v>8243</v>
      </c>
      <c r="K1386" s="34" t="s">
        <v>8244</v>
      </c>
      <c r="L1386" s="37"/>
      <c r="M1386" s="37"/>
      <c r="N1386" s="37"/>
      <c r="O1386" s="37"/>
      <c r="P1386" s="37"/>
      <c r="Q1386" s="37"/>
      <c r="R1386" s="31" t="n">
        <f aca="false">COUNT($M1386:$Q1386)</f>
        <v>0</v>
      </c>
      <c r="S1386" s="32" t="str">
        <f aca="false">IF($L1386="","",IF($R1386&gt;=5,"",MAX($L1386:$Q1386)+CHOOSE($R1386+1,SETTINGS!$C$9,SETTINGS!$C$10,SETTINGS!$C$11,SETTINGS!$C$12,SETTINGS!$C$13)))</f>
        <v/>
      </c>
      <c r="T1386" s="34" t="str">
        <f aca="true">IF($H1386="","(chưa có nội dung)",IF($L1386="",IF($C1386&lt;TODAY(),"⚠ TRỄ HỌC",IF($C1386=TODAY(),"★ HỌC HÔM NAY","• Chưa tới")),IF($R1386&gt;=5,"✔ MASTER",IF($S1386&lt;TODAY(),"⚠ TRỄ ÔN",IF($S1386=TODAY(),"◆ ÔN HÔM NAY","✔ Đúng tiến độ")))))</f>
        <v>• Chưa tới</v>
      </c>
      <c r="U1386" s="38" t="n">
        <f aca="false">IF($H1386="","",$R1386/5)</f>
        <v>0</v>
      </c>
    </row>
    <row r="1387" customFormat="false" ht="15" hidden="false" customHeight="false" outlineLevel="0" collapsed="false">
      <c r="A1387" s="31" t="s">
        <v>8245</v>
      </c>
      <c r="B1387" s="31" t="n">
        <v>70</v>
      </c>
      <c r="C1387" s="32" t="n">
        <f aca="false">SETTINGS!$C$3+$B1387-1</f>
        <v>46369</v>
      </c>
      <c r="D1387" s="41" t="s">
        <v>7168</v>
      </c>
      <c r="E1387" s="34" t="s">
        <v>8222</v>
      </c>
      <c r="F1387" s="34" t="s">
        <v>280</v>
      </c>
      <c r="G1387" s="34" t="s">
        <v>8246</v>
      </c>
      <c r="H1387" s="35" t="s">
        <v>8247</v>
      </c>
      <c r="I1387" s="36" t="s">
        <v>8248</v>
      </c>
      <c r="J1387" s="34" t="s">
        <v>8249</v>
      </c>
      <c r="K1387" s="34" t="s">
        <v>8250</v>
      </c>
      <c r="L1387" s="37"/>
      <c r="M1387" s="37"/>
      <c r="N1387" s="37"/>
      <c r="O1387" s="37"/>
      <c r="P1387" s="37"/>
      <c r="Q1387" s="37"/>
      <c r="R1387" s="31" t="n">
        <f aca="false">COUNT($M1387:$Q1387)</f>
        <v>0</v>
      </c>
      <c r="S1387" s="32" t="str">
        <f aca="false">IF($L1387="","",IF($R1387&gt;=5,"",MAX($L1387:$Q1387)+CHOOSE($R1387+1,SETTINGS!$C$9,SETTINGS!$C$10,SETTINGS!$C$11,SETTINGS!$C$12,SETTINGS!$C$13)))</f>
        <v/>
      </c>
      <c r="T1387" s="34" t="str">
        <f aca="true">IF($H1387="","(chưa có nội dung)",IF($L1387="",IF($C1387&lt;TODAY(),"⚠ TRỄ HỌC",IF($C1387=TODAY(),"★ HỌC HÔM NAY","• Chưa tới")),IF($R1387&gt;=5,"✔ MASTER",IF($S1387&lt;TODAY(),"⚠ TRỄ ÔN",IF($S1387=TODAY(),"◆ ÔN HÔM NAY","✔ Đúng tiến độ")))))</f>
        <v>• Chưa tới</v>
      </c>
      <c r="U1387" s="38" t="n">
        <f aca="false">IF($H1387="","",$R1387/5)</f>
        <v>0</v>
      </c>
    </row>
    <row r="1388" customFormat="false" ht="15" hidden="false" customHeight="false" outlineLevel="0" collapsed="false">
      <c r="A1388" s="31" t="s">
        <v>8251</v>
      </c>
      <c r="B1388" s="31" t="n">
        <v>70</v>
      </c>
      <c r="C1388" s="32" t="n">
        <f aca="false">SETTINGS!$C$3+$B1388-1</f>
        <v>46369</v>
      </c>
      <c r="D1388" s="41" t="s">
        <v>7168</v>
      </c>
      <c r="E1388" s="34" t="s">
        <v>8222</v>
      </c>
      <c r="F1388" s="34" t="s">
        <v>472</v>
      </c>
      <c r="G1388" s="34" t="s">
        <v>7212</v>
      </c>
      <c r="H1388" s="35" t="s">
        <v>8252</v>
      </c>
      <c r="I1388" s="36" t="s">
        <v>8253</v>
      </c>
      <c r="J1388" s="34" t="s">
        <v>8254</v>
      </c>
      <c r="K1388" s="34" t="s">
        <v>3423</v>
      </c>
      <c r="L1388" s="37"/>
      <c r="M1388" s="37"/>
      <c r="N1388" s="37"/>
      <c r="O1388" s="37"/>
      <c r="P1388" s="37"/>
      <c r="Q1388" s="37"/>
      <c r="R1388" s="31" t="n">
        <f aca="false">COUNT($M1388:$Q1388)</f>
        <v>0</v>
      </c>
      <c r="S1388" s="32" t="str">
        <f aca="false">IF($L1388="","",IF($R1388&gt;=5,"",MAX($L1388:$Q1388)+CHOOSE($R1388+1,SETTINGS!$C$9,SETTINGS!$C$10,SETTINGS!$C$11,SETTINGS!$C$12,SETTINGS!$C$13)))</f>
        <v/>
      </c>
      <c r="T1388" s="34" t="str">
        <f aca="true">IF($H1388="","(chưa có nội dung)",IF($L1388="",IF($C1388&lt;TODAY(),"⚠ TRỄ HỌC",IF($C1388=TODAY(),"★ HỌC HÔM NAY","• Chưa tới")),IF($R1388&gt;=5,"✔ MASTER",IF($S1388&lt;TODAY(),"⚠ TRỄ ÔN",IF($S1388=TODAY(),"◆ ÔN HÔM NAY","✔ Đúng tiến độ")))))</f>
        <v>• Chưa tới</v>
      </c>
      <c r="U1388" s="38" t="n">
        <f aca="false">IF($H1388="","",$R1388/5)</f>
        <v>0</v>
      </c>
    </row>
    <row r="1389" customFormat="false" ht="26.85" hidden="false" customHeight="false" outlineLevel="0" collapsed="false">
      <c r="A1389" s="31" t="s">
        <v>8255</v>
      </c>
      <c r="B1389" s="31" t="n">
        <v>70</v>
      </c>
      <c r="C1389" s="32" t="n">
        <f aca="false">SETTINGS!$C$3+$B1389-1</f>
        <v>46369</v>
      </c>
      <c r="D1389" s="41" t="s">
        <v>7168</v>
      </c>
      <c r="E1389" s="34" t="s">
        <v>8222</v>
      </c>
      <c r="F1389" s="34" t="s">
        <v>3694</v>
      </c>
      <c r="G1389" s="34" t="s">
        <v>8256</v>
      </c>
      <c r="H1389" s="35" t="s">
        <v>8257</v>
      </c>
      <c r="I1389" s="36" t="s">
        <v>8258</v>
      </c>
      <c r="J1389" s="34" t="s">
        <v>8259</v>
      </c>
      <c r="K1389" s="34" t="s">
        <v>8260</v>
      </c>
      <c r="L1389" s="37"/>
      <c r="M1389" s="37"/>
      <c r="N1389" s="37"/>
      <c r="O1389" s="37"/>
      <c r="P1389" s="37"/>
      <c r="Q1389" s="37"/>
      <c r="R1389" s="31" t="n">
        <f aca="false">COUNT($M1389:$Q1389)</f>
        <v>0</v>
      </c>
      <c r="S1389" s="32" t="str">
        <f aca="false">IF($L1389="","",IF($R1389&gt;=5,"",MAX($L1389:$Q1389)+CHOOSE($R1389+1,SETTINGS!$C$9,SETTINGS!$C$10,SETTINGS!$C$11,SETTINGS!$C$12,SETTINGS!$C$13)))</f>
        <v/>
      </c>
      <c r="T1389" s="34" t="str">
        <f aca="true">IF($H1389="","(chưa có nội dung)",IF($L1389="",IF($C1389&lt;TODAY(),"⚠ TRỄ HỌC",IF($C1389=TODAY(),"★ HỌC HÔM NAY","• Chưa tới")),IF($R1389&gt;=5,"✔ MASTER",IF($S1389&lt;TODAY(),"⚠ TRỄ ÔN",IF($S1389=TODAY(),"◆ ÔN HÔM NAY","✔ Đúng tiến độ")))))</f>
        <v>• Chưa tới</v>
      </c>
      <c r="U1389" s="38" t="n">
        <f aca="false">IF($H1389="","",$R1389/5)</f>
        <v>0</v>
      </c>
    </row>
    <row r="1390" customFormat="false" ht="15" hidden="false" customHeight="false" outlineLevel="0" collapsed="false">
      <c r="A1390" s="31" t="s">
        <v>8261</v>
      </c>
      <c r="B1390" s="31" t="n">
        <v>70</v>
      </c>
      <c r="C1390" s="32" t="n">
        <f aca="false">SETTINGS!$C$3+$B1390-1</f>
        <v>46369</v>
      </c>
      <c r="D1390" s="41" t="s">
        <v>7168</v>
      </c>
      <c r="E1390" s="34" t="s">
        <v>8222</v>
      </c>
      <c r="F1390" s="34" t="s">
        <v>3694</v>
      </c>
      <c r="G1390" s="34" t="s">
        <v>8262</v>
      </c>
      <c r="H1390" s="35" t="s">
        <v>8263</v>
      </c>
      <c r="I1390" s="36" t="s">
        <v>8264</v>
      </c>
      <c r="J1390" s="34" t="s">
        <v>8265</v>
      </c>
      <c r="K1390" s="34" t="s">
        <v>8266</v>
      </c>
      <c r="L1390" s="37"/>
      <c r="M1390" s="37"/>
      <c r="N1390" s="37"/>
      <c r="O1390" s="37"/>
      <c r="P1390" s="37"/>
      <c r="Q1390" s="37"/>
      <c r="R1390" s="31" t="n">
        <f aca="false">COUNT($M1390:$Q1390)</f>
        <v>0</v>
      </c>
      <c r="S1390" s="32" t="str">
        <f aca="false">IF($L1390="","",IF($R1390&gt;=5,"",MAX($L1390:$Q1390)+CHOOSE($R1390+1,SETTINGS!$C$9,SETTINGS!$C$10,SETTINGS!$C$11,SETTINGS!$C$12,SETTINGS!$C$13)))</f>
        <v/>
      </c>
      <c r="T1390" s="34" t="str">
        <f aca="true">IF($H1390="","(chưa có nội dung)",IF($L1390="",IF($C1390&lt;TODAY(),"⚠ TRỄ HỌC",IF($C1390=TODAY(),"★ HỌC HÔM NAY","• Chưa tới")),IF($R1390&gt;=5,"✔ MASTER",IF($S1390&lt;TODAY(),"⚠ TRỄ ÔN",IF($S1390=TODAY(),"◆ ÔN HÔM NAY","✔ Đúng tiến độ")))))</f>
        <v>• Chưa tới</v>
      </c>
      <c r="U1390" s="38" t="n">
        <f aca="false">IF($H1390="","",$R1390/5)</f>
        <v>0</v>
      </c>
    </row>
    <row r="1391" customFormat="false" ht="23.85" hidden="false" customHeight="false" outlineLevel="0" collapsed="false">
      <c r="A1391" s="31" t="s">
        <v>8267</v>
      </c>
      <c r="B1391" s="31" t="n">
        <v>70</v>
      </c>
      <c r="C1391" s="32" t="n">
        <f aca="false">SETTINGS!$C$3+$B1391-1</f>
        <v>46369</v>
      </c>
      <c r="D1391" s="41" t="s">
        <v>7168</v>
      </c>
      <c r="E1391" s="34" t="s">
        <v>8222</v>
      </c>
      <c r="F1391" s="34" t="s">
        <v>280</v>
      </c>
      <c r="G1391" s="34" t="s">
        <v>8268</v>
      </c>
      <c r="H1391" s="35" t="s">
        <v>8269</v>
      </c>
      <c r="I1391" s="36" t="s">
        <v>8270</v>
      </c>
      <c r="J1391" s="34" t="s">
        <v>8271</v>
      </c>
      <c r="K1391" s="34" t="s">
        <v>8272</v>
      </c>
      <c r="L1391" s="37"/>
      <c r="M1391" s="37"/>
      <c r="N1391" s="37"/>
      <c r="O1391" s="37"/>
      <c r="P1391" s="37"/>
      <c r="Q1391" s="37"/>
      <c r="R1391" s="31" t="n">
        <f aca="false">COUNT($M1391:$Q1391)</f>
        <v>0</v>
      </c>
      <c r="S1391" s="32" t="str">
        <f aca="false">IF($L1391="","",IF($R1391&gt;=5,"",MAX($L1391:$Q1391)+CHOOSE($R1391+1,SETTINGS!$C$9,SETTINGS!$C$10,SETTINGS!$C$11,SETTINGS!$C$12,SETTINGS!$C$13)))</f>
        <v/>
      </c>
      <c r="T1391" s="34" t="str">
        <f aca="true">IF($H1391="","(chưa có nội dung)",IF($L1391="",IF($C1391&lt;TODAY(),"⚠ TRỄ HỌC",IF($C1391=TODAY(),"★ HỌC HÔM NAY","• Chưa tới")),IF($R1391&gt;=5,"✔ MASTER",IF($S1391&lt;TODAY(),"⚠ TRỄ ÔN",IF($S1391=TODAY(),"◆ ÔN HÔM NAY","✔ Đúng tiến độ")))))</f>
        <v>• Chưa tới</v>
      </c>
      <c r="U1391" s="38" t="n">
        <f aca="false">IF($H1391="","",$R1391/5)</f>
        <v>0</v>
      </c>
    </row>
    <row r="1392" customFormat="false" ht="15" hidden="false" customHeight="false" outlineLevel="0" collapsed="false">
      <c r="A1392" s="31" t="s">
        <v>8273</v>
      </c>
      <c r="B1392" s="31" t="n">
        <v>70</v>
      </c>
      <c r="C1392" s="32" t="n">
        <f aca="false">SETTINGS!$C$3+$B1392-1</f>
        <v>46369</v>
      </c>
      <c r="D1392" s="41" t="s">
        <v>7168</v>
      </c>
      <c r="E1392" s="34" t="s">
        <v>8222</v>
      </c>
      <c r="F1392" s="34" t="s">
        <v>280</v>
      </c>
      <c r="G1392" s="34" t="s">
        <v>8274</v>
      </c>
      <c r="H1392" s="35" t="s">
        <v>8275</v>
      </c>
      <c r="I1392" s="36" t="s">
        <v>8276</v>
      </c>
      <c r="J1392" s="34" t="s">
        <v>8277</v>
      </c>
      <c r="K1392" s="34" t="s">
        <v>8278</v>
      </c>
      <c r="L1392" s="37"/>
      <c r="M1392" s="37"/>
      <c r="N1392" s="37"/>
      <c r="O1392" s="37"/>
      <c r="P1392" s="37"/>
      <c r="Q1392" s="37"/>
      <c r="R1392" s="31" t="n">
        <f aca="false">COUNT($M1392:$Q1392)</f>
        <v>0</v>
      </c>
      <c r="S1392" s="32" t="str">
        <f aca="false">IF($L1392="","",IF($R1392&gt;=5,"",MAX($L1392:$Q1392)+CHOOSE($R1392+1,SETTINGS!$C$9,SETTINGS!$C$10,SETTINGS!$C$11,SETTINGS!$C$12,SETTINGS!$C$13)))</f>
        <v/>
      </c>
      <c r="T1392" s="34" t="str">
        <f aca="true">IF($H1392="","(chưa có nội dung)",IF($L1392="",IF($C1392&lt;TODAY(),"⚠ TRỄ HỌC",IF($C1392=TODAY(),"★ HỌC HÔM NAY","• Chưa tới")),IF($R1392&gt;=5,"✔ MASTER",IF($S1392&lt;TODAY(),"⚠ TRỄ ÔN",IF($S1392=TODAY(),"◆ ÔN HÔM NAY","✔ Đúng tiến độ")))))</f>
        <v>• Chưa tới</v>
      </c>
      <c r="U1392" s="38" t="n">
        <f aca="false">IF($H1392="","",$R1392/5)</f>
        <v>0</v>
      </c>
    </row>
    <row r="1393" customFormat="false" ht="23.85" hidden="false" customHeight="false" outlineLevel="0" collapsed="false">
      <c r="A1393" s="31" t="s">
        <v>8279</v>
      </c>
      <c r="B1393" s="31" t="n">
        <v>70</v>
      </c>
      <c r="C1393" s="32" t="n">
        <f aca="false">SETTINGS!$C$3+$B1393-1</f>
        <v>46369</v>
      </c>
      <c r="D1393" s="41" t="s">
        <v>7168</v>
      </c>
      <c r="E1393" s="34" t="s">
        <v>8222</v>
      </c>
      <c r="F1393" s="34" t="s">
        <v>280</v>
      </c>
      <c r="G1393" s="34" t="s">
        <v>8280</v>
      </c>
      <c r="H1393" s="35" t="s">
        <v>8281</v>
      </c>
      <c r="I1393" s="36" t="s">
        <v>8282</v>
      </c>
      <c r="J1393" s="34" t="s">
        <v>8283</v>
      </c>
      <c r="K1393" s="34" t="s">
        <v>8284</v>
      </c>
      <c r="L1393" s="37"/>
      <c r="M1393" s="37"/>
      <c r="N1393" s="37"/>
      <c r="O1393" s="37"/>
      <c r="P1393" s="37"/>
      <c r="Q1393" s="37"/>
      <c r="R1393" s="31" t="n">
        <f aca="false">COUNT($M1393:$Q1393)</f>
        <v>0</v>
      </c>
      <c r="S1393" s="32" t="str">
        <f aca="false">IF($L1393="","",IF($R1393&gt;=5,"",MAX($L1393:$Q1393)+CHOOSE($R1393+1,SETTINGS!$C$9,SETTINGS!$C$10,SETTINGS!$C$11,SETTINGS!$C$12,SETTINGS!$C$13)))</f>
        <v/>
      </c>
      <c r="T1393" s="34" t="str">
        <f aca="true">IF($H1393="","(chưa có nội dung)",IF($L1393="",IF($C1393&lt;TODAY(),"⚠ TRỄ HỌC",IF($C1393=TODAY(),"★ HỌC HÔM NAY","• Chưa tới")),IF($R1393&gt;=5,"✔ MASTER",IF($S1393&lt;TODAY(),"⚠ TRỄ ÔN",IF($S1393=TODAY(),"◆ ÔN HÔM NAY","✔ Đúng tiến độ")))))</f>
        <v>• Chưa tới</v>
      </c>
      <c r="U1393" s="38" t="n">
        <f aca="false">IF($H1393="","",$R1393/5)</f>
        <v>0</v>
      </c>
    </row>
    <row r="1394" customFormat="false" ht="15" hidden="false" customHeight="false" outlineLevel="0" collapsed="false">
      <c r="A1394" s="31" t="s">
        <v>8285</v>
      </c>
      <c r="B1394" s="31" t="n">
        <v>70</v>
      </c>
      <c r="C1394" s="32" t="n">
        <f aca="false">SETTINGS!$C$3+$B1394-1</f>
        <v>46369</v>
      </c>
      <c r="D1394" s="41" t="s">
        <v>7168</v>
      </c>
      <c r="E1394" s="34" t="s">
        <v>8222</v>
      </c>
      <c r="F1394" s="34" t="s">
        <v>280</v>
      </c>
      <c r="G1394" s="34" t="s">
        <v>8286</v>
      </c>
      <c r="H1394" s="35" t="s">
        <v>8287</v>
      </c>
      <c r="I1394" s="36" t="s">
        <v>8288</v>
      </c>
      <c r="J1394" s="34" t="s">
        <v>8289</v>
      </c>
      <c r="K1394" s="34" t="s">
        <v>8290</v>
      </c>
      <c r="L1394" s="37"/>
      <c r="M1394" s="37"/>
      <c r="N1394" s="37"/>
      <c r="O1394" s="37"/>
      <c r="P1394" s="37"/>
      <c r="Q1394" s="37"/>
      <c r="R1394" s="31" t="n">
        <f aca="false">COUNT($M1394:$Q1394)</f>
        <v>0</v>
      </c>
      <c r="S1394" s="32" t="str">
        <f aca="false">IF($L1394="","",IF($R1394&gt;=5,"",MAX($L1394:$Q1394)+CHOOSE($R1394+1,SETTINGS!$C$9,SETTINGS!$C$10,SETTINGS!$C$11,SETTINGS!$C$12,SETTINGS!$C$13)))</f>
        <v/>
      </c>
      <c r="T1394" s="34" t="str">
        <f aca="true">IF($H1394="","(chưa có nội dung)",IF($L1394="",IF($C1394&lt;TODAY(),"⚠ TRỄ HỌC",IF($C1394=TODAY(),"★ HỌC HÔM NAY","• Chưa tới")),IF($R1394&gt;=5,"✔ MASTER",IF($S1394&lt;TODAY(),"⚠ TRỄ ÔN",IF($S1394=TODAY(),"◆ ÔN HÔM NAY","✔ Đúng tiến độ")))))</f>
        <v>• Chưa tới</v>
      </c>
      <c r="U1394" s="38" t="n">
        <f aca="false">IF($H1394="","",$R1394/5)</f>
        <v>0</v>
      </c>
    </row>
    <row r="1395" customFormat="false" ht="23.85" hidden="false" customHeight="false" outlineLevel="0" collapsed="false">
      <c r="A1395" s="31" t="s">
        <v>8291</v>
      </c>
      <c r="B1395" s="31" t="n">
        <v>70</v>
      </c>
      <c r="C1395" s="32" t="n">
        <f aca="false">SETTINGS!$C$3+$B1395-1</f>
        <v>46369</v>
      </c>
      <c r="D1395" s="41" t="s">
        <v>7168</v>
      </c>
      <c r="E1395" s="34" t="s">
        <v>8222</v>
      </c>
      <c r="F1395" s="34" t="s">
        <v>472</v>
      </c>
      <c r="G1395" s="34" t="s">
        <v>8292</v>
      </c>
      <c r="H1395" s="35" t="s">
        <v>8293</v>
      </c>
      <c r="I1395" s="36" t="s">
        <v>8294</v>
      </c>
      <c r="J1395" s="34" t="s">
        <v>8295</v>
      </c>
      <c r="K1395" s="34" t="s">
        <v>8296</v>
      </c>
      <c r="L1395" s="37"/>
      <c r="M1395" s="37"/>
      <c r="N1395" s="37"/>
      <c r="O1395" s="37"/>
      <c r="P1395" s="37"/>
      <c r="Q1395" s="37"/>
      <c r="R1395" s="31" t="n">
        <f aca="false">COUNT($M1395:$Q1395)</f>
        <v>0</v>
      </c>
      <c r="S1395" s="32" t="str">
        <f aca="false">IF($L1395="","",IF($R1395&gt;=5,"",MAX($L1395:$Q1395)+CHOOSE($R1395+1,SETTINGS!$C$9,SETTINGS!$C$10,SETTINGS!$C$11,SETTINGS!$C$12,SETTINGS!$C$13)))</f>
        <v/>
      </c>
      <c r="T1395" s="34" t="str">
        <f aca="true">IF($H1395="","(chưa có nội dung)",IF($L1395="",IF($C1395&lt;TODAY(),"⚠ TRỄ HỌC",IF($C1395=TODAY(),"★ HỌC HÔM NAY","• Chưa tới")),IF($R1395&gt;=5,"✔ MASTER",IF($S1395&lt;TODAY(),"⚠ TRỄ ÔN",IF($S1395=TODAY(),"◆ ÔN HÔM NAY","✔ Đúng tiến độ")))))</f>
        <v>• Chưa tới</v>
      </c>
      <c r="U1395" s="38" t="n">
        <f aca="false">IF($H1395="","",$R1395/5)</f>
        <v>0</v>
      </c>
    </row>
    <row r="1396" customFormat="false" ht="15" hidden="false" customHeight="false" outlineLevel="0" collapsed="false">
      <c r="A1396" s="31" t="s">
        <v>8297</v>
      </c>
      <c r="B1396" s="31" t="n">
        <v>70</v>
      </c>
      <c r="C1396" s="32" t="n">
        <f aca="false">SETTINGS!$C$3+$B1396-1</f>
        <v>46369</v>
      </c>
      <c r="D1396" s="41" t="s">
        <v>7168</v>
      </c>
      <c r="E1396" s="34" t="s">
        <v>8222</v>
      </c>
      <c r="F1396" s="34" t="s">
        <v>3694</v>
      </c>
      <c r="G1396" s="34" t="s">
        <v>8298</v>
      </c>
      <c r="H1396" s="35" t="s">
        <v>8299</v>
      </c>
      <c r="I1396" s="36" t="s">
        <v>8300</v>
      </c>
      <c r="J1396" s="34" t="s">
        <v>8301</v>
      </c>
      <c r="K1396" s="34" t="s">
        <v>8302</v>
      </c>
      <c r="L1396" s="37"/>
      <c r="M1396" s="37"/>
      <c r="N1396" s="37"/>
      <c r="O1396" s="37"/>
      <c r="P1396" s="37"/>
      <c r="Q1396" s="37"/>
      <c r="R1396" s="31" t="n">
        <f aca="false">COUNT($M1396:$Q1396)</f>
        <v>0</v>
      </c>
      <c r="S1396" s="32" t="str">
        <f aca="false">IF($L1396="","",IF($R1396&gt;=5,"",MAX($L1396:$Q1396)+CHOOSE($R1396+1,SETTINGS!$C$9,SETTINGS!$C$10,SETTINGS!$C$11,SETTINGS!$C$12,SETTINGS!$C$13)))</f>
        <v/>
      </c>
      <c r="T1396" s="34" t="str">
        <f aca="true">IF($H1396="","(chưa có nội dung)",IF($L1396="",IF($C1396&lt;TODAY(),"⚠ TRỄ HỌC",IF($C1396=TODAY(),"★ HỌC HÔM NAY","• Chưa tới")),IF($R1396&gt;=5,"✔ MASTER",IF($S1396&lt;TODAY(),"⚠ TRỄ ÔN",IF($S1396=TODAY(),"◆ ÔN HÔM NAY","✔ Đúng tiến độ")))))</f>
        <v>• Chưa tới</v>
      </c>
      <c r="U1396" s="38" t="n">
        <f aca="false">IF($H1396="","",$R1396/5)</f>
        <v>0</v>
      </c>
    </row>
    <row r="1397" customFormat="false" ht="15" hidden="false" customHeight="false" outlineLevel="0" collapsed="false">
      <c r="A1397" s="31" t="s">
        <v>8303</v>
      </c>
      <c r="B1397" s="31" t="n">
        <v>70</v>
      </c>
      <c r="C1397" s="32" t="n">
        <f aca="false">SETTINGS!$C$3+$B1397-1</f>
        <v>46369</v>
      </c>
      <c r="D1397" s="41" t="s">
        <v>7168</v>
      </c>
      <c r="E1397" s="34" t="s">
        <v>8222</v>
      </c>
      <c r="F1397" s="34" t="s">
        <v>280</v>
      </c>
      <c r="G1397" s="34" t="s">
        <v>8304</v>
      </c>
      <c r="H1397" s="35" t="s">
        <v>8305</v>
      </c>
      <c r="I1397" s="36" t="s">
        <v>8306</v>
      </c>
      <c r="J1397" s="34" t="s">
        <v>8307</v>
      </c>
      <c r="K1397" s="34" t="s">
        <v>8308</v>
      </c>
      <c r="L1397" s="37"/>
      <c r="M1397" s="37"/>
      <c r="N1397" s="37"/>
      <c r="O1397" s="37"/>
      <c r="P1397" s="37"/>
      <c r="Q1397" s="37"/>
      <c r="R1397" s="31" t="n">
        <f aca="false">COUNT($M1397:$Q1397)</f>
        <v>0</v>
      </c>
      <c r="S1397" s="32" t="str">
        <f aca="false">IF($L1397="","",IF($R1397&gt;=5,"",MAX($L1397:$Q1397)+CHOOSE($R1397+1,SETTINGS!$C$9,SETTINGS!$C$10,SETTINGS!$C$11,SETTINGS!$C$12,SETTINGS!$C$13)))</f>
        <v/>
      </c>
      <c r="T1397" s="34" t="str">
        <f aca="true">IF($H1397="","(chưa có nội dung)",IF($L1397="",IF($C1397&lt;TODAY(),"⚠ TRỄ HỌC",IF($C1397=TODAY(),"★ HỌC HÔM NAY","• Chưa tới")),IF($R1397&gt;=5,"✔ MASTER",IF($S1397&lt;TODAY(),"⚠ TRỄ ÔN",IF($S1397=TODAY(),"◆ ÔN HÔM NAY","✔ Đúng tiến độ")))))</f>
        <v>• Chưa tới</v>
      </c>
      <c r="U1397" s="38" t="n">
        <f aca="false">IF($H1397="","",$R1397/5)</f>
        <v>0</v>
      </c>
    </row>
    <row r="1398" customFormat="false" ht="15" hidden="false" customHeight="false" outlineLevel="0" collapsed="false">
      <c r="A1398" s="31" t="s">
        <v>8309</v>
      </c>
      <c r="B1398" s="31" t="n">
        <v>70</v>
      </c>
      <c r="C1398" s="32" t="n">
        <f aca="false">SETTINGS!$C$3+$B1398-1</f>
        <v>46369</v>
      </c>
      <c r="D1398" s="41" t="s">
        <v>7168</v>
      </c>
      <c r="E1398" s="34" t="s">
        <v>8222</v>
      </c>
      <c r="F1398" s="34" t="s">
        <v>3656</v>
      </c>
      <c r="G1398" s="34" t="s">
        <v>8310</v>
      </c>
      <c r="H1398" s="35" t="s">
        <v>8311</v>
      </c>
      <c r="I1398" s="36" t="s">
        <v>8312</v>
      </c>
      <c r="J1398" s="34" t="s">
        <v>8313</v>
      </c>
      <c r="K1398" s="34" t="s">
        <v>8314</v>
      </c>
      <c r="L1398" s="37"/>
      <c r="M1398" s="37"/>
      <c r="N1398" s="37"/>
      <c r="O1398" s="37"/>
      <c r="P1398" s="37"/>
      <c r="Q1398" s="37"/>
      <c r="R1398" s="31" t="n">
        <f aca="false">COUNT($M1398:$Q1398)</f>
        <v>0</v>
      </c>
      <c r="S1398" s="32" t="str">
        <f aca="false">IF($L1398="","",IF($R1398&gt;=5,"",MAX($L1398:$Q1398)+CHOOSE($R1398+1,SETTINGS!$C$9,SETTINGS!$C$10,SETTINGS!$C$11,SETTINGS!$C$12,SETTINGS!$C$13)))</f>
        <v/>
      </c>
      <c r="T1398" s="34" t="str">
        <f aca="true">IF($H1398="","(chưa có nội dung)",IF($L1398="",IF($C1398&lt;TODAY(),"⚠ TRỄ HỌC",IF($C1398=TODAY(),"★ HỌC HÔM NAY","• Chưa tới")),IF($R1398&gt;=5,"✔ MASTER",IF($S1398&lt;TODAY(),"⚠ TRỄ ÔN",IF($S1398=TODAY(),"◆ ÔN HÔM NAY","✔ Đúng tiến độ")))))</f>
        <v>• Chưa tới</v>
      </c>
      <c r="U1398" s="38" t="n">
        <f aca="false">IF($H1398="","",$R1398/5)</f>
        <v>0</v>
      </c>
    </row>
    <row r="1399" customFormat="false" ht="15" hidden="false" customHeight="false" outlineLevel="0" collapsed="false">
      <c r="A1399" s="31" t="s">
        <v>8315</v>
      </c>
      <c r="B1399" s="31" t="n">
        <v>70</v>
      </c>
      <c r="C1399" s="32" t="n">
        <f aca="false">SETTINGS!$C$3+$B1399-1</f>
        <v>46369</v>
      </c>
      <c r="D1399" s="41" t="s">
        <v>7168</v>
      </c>
      <c r="E1399" s="34" t="s">
        <v>8222</v>
      </c>
      <c r="F1399" s="34" t="s">
        <v>280</v>
      </c>
      <c r="G1399" s="34" t="s">
        <v>8316</v>
      </c>
      <c r="H1399" s="35" t="s">
        <v>8317</v>
      </c>
      <c r="I1399" s="36" t="s">
        <v>8318</v>
      </c>
      <c r="J1399" s="34" t="s">
        <v>8319</v>
      </c>
      <c r="K1399" s="34" t="s">
        <v>7795</v>
      </c>
      <c r="L1399" s="37"/>
      <c r="M1399" s="37"/>
      <c r="N1399" s="37"/>
      <c r="O1399" s="37"/>
      <c r="P1399" s="37"/>
      <c r="Q1399" s="37"/>
      <c r="R1399" s="31" t="n">
        <f aca="false">COUNT($M1399:$Q1399)</f>
        <v>0</v>
      </c>
      <c r="S1399" s="32" t="str">
        <f aca="false">IF($L1399="","",IF($R1399&gt;=5,"",MAX($L1399:$Q1399)+CHOOSE($R1399+1,SETTINGS!$C$9,SETTINGS!$C$10,SETTINGS!$C$11,SETTINGS!$C$12,SETTINGS!$C$13)))</f>
        <v/>
      </c>
      <c r="T1399" s="34" t="str">
        <f aca="true">IF($H1399="","(chưa có nội dung)",IF($L1399="",IF($C1399&lt;TODAY(),"⚠ TRỄ HỌC",IF($C1399=TODAY(),"★ HỌC HÔM NAY","• Chưa tới")),IF($R1399&gt;=5,"✔ MASTER",IF($S1399&lt;TODAY(),"⚠ TRỄ ÔN",IF($S1399=TODAY(),"◆ ÔN HÔM NAY","✔ Đúng tiến độ")))))</f>
        <v>• Chưa tới</v>
      </c>
      <c r="U1399" s="38" t="n">
        <f aca="false">IF($H1399="","",$R1399/5)</f>
        <v>0</v>
      </c>
    </row>
    <row r="1400" customFormat="false" ht="15" hidden="false" customHeight="false" outlineLevel="0" collapsed="false">
      <c r="A1400" s="31" t="s">
        <v>8320</v>
      </c>
      <c r="B1400" s="31" t="n">
        <v>70</v>
      </c>
      <c r="C1400" s="32" t="n">
        <f aca="false">SETTINGS!$C$3+$B1400-1</f>
        <v>46369</v>
      </c>
      <c r="D1400" s="41" t="s">
        <v>7168</v>
      </c>
      <c r="E1400" s="34" t="s">
        <v>8222</v>
      </c>
      <c r="F1400" s="34" t="s">
        <v>3656</v>
      </c>
      <c r="G1400" s="34" t="s">
        <v>8321</v>
      </c>
      <c r="H1400" s="35" t="s">
        <v>8322</v>
      </c>
      <c r="I1400" s="36" t="s">
        <v>8323</v>
      </c>
      <c r="J1400" s="34" t="s">
        <v>8324</v>
      </c>
      <c r="K1400" s="34" t="s">
        <v>8321</v>
      </c>
      <c r="L1400" s="37"/>
      <c r="M1400" s="37"/>
      <c r="N1400" s="37"/>
      <c r="O1400" s="37"/>
      <c r="P1400" s="37"/>
      <c r="Q1400" s="37"/>
      <c r="R1400" s="31" t="n">
        <f aca="false">COUNT($M1400:$Q1400)</f>
        <v>0</v>
      </c>
      <c r="S1400" s="32" t="str">
        <f aca="false">IF($L1400="","",IF($R1400&gt;=5,"",MAX($L1400:$Q1400)+CHOOSE($R1400+1,SETTINGS!$C$9,SETTINGS!$C$10,SETTINGS!$C$11,SETTINGS!$C$12,SETTINGS!$C$13)))</f>
        <v/>
      </c>
      <c r="T1400" s="34" t="str">
        <f aca="true">IF($H1400="","(chưa có nội dung)",IF($L1400="",IF($C1400&lt;TODAY(),"⚠ TRỄ HỌC",IF($C1400=TODAY(),"★ HỌC HÔM NAY","• Chưa tới")),IF($R1400&gt;=5,"✔ MASTER",IF($S1400&lt;TODAY(),"⚠ TRỄ ÔN",IF($S1400=TODAY(),"◆ ÔN HÔM NAY","✔ Đúng tiến độ")))))</f>
        <v>• Chưa tới</v>
      </c>
      <c r="U1400" s="38" t="n">
        <f aca="false">IF($H1400="","",$R1400/5)</f>
        <v>0</v>
      </c>
    </row>
    <row r="1401" customFormat="false" ht="15" hidden="false" customHeight="false" outlineLevel="0" collapsed="false">
      <c r="A1401" s="31" t="s">
        <v>8325</v>
      </c>
      <c r="B1401" s="31" t="n">
        <v>70</v>
      </c>
      <c r="C1401" s="32" t="n">
        <f aca="false">SETTINGS!$C$3+$B1401-1</f>
        <v>46369</v>
      </c>
      <c r="D1401" s="41" t="s">
        <v>7168</v>
      </c>
      <c r="E1401" s="34" t="s">
        <v>8222</v>
      </c>
      <c r="F1401" s="34" t="s">
        <v>280</v>
      </c>
      <c r="G1401" s="34" t="s">
        <v>8326</v>
      </c>
      <c r="H1401" s="35" t="s">
        <v>8327</v>
      </c>
      <c r="I1401" s="36" t="s">
        <v>8328</v>
      </c>
      <c r="J1401" s="34" t="s">
        <v>8329</v>
      </c>
      <c r="K1401" s="34" t="s">
        <v>8330</v>
      </c>
      <c r="L1401" s="37"/>
      <c r="M1401" s="37"/>
      <c r="N1401" s="37"/>
      <c r="O1401" s="37"/>
      <c r="P1401" s="37"/>
      <c r="Q1401" s="37"/>
      <c r="R1401" s="31" t="n">
        <f aca="false">COUNT($M1401:$Q1401)</f>
        <v>0</v>
      </c>
      <c r="S1401" s="32" t="str">
        <f aca="false">IF($L1401="","",IF($R1401&gt;=5,"",MAX($L1401:$Q1401)+CHOOSE($R1401+1,SETTINGS!$C$9,SETTINGS!$C$10,SETTINGS!$C$11,SETTINGS!$C$12,SETTINGS!$C$13)))</f>
        <v/>
      </c>
      <c r="T1401" s="34" t="str">
        <f aca="true">IF($H1401="","(chưa có nội dung)",IF($L1401="",IF($C1401&lt;TODAY(),"⚠ TRỄ HỌC",IF($C1401=TODAY(),"★ HỌC HÔM NAY","• Chưa tới")),IF($R1401&gt;=5,"✔ MASTER",IF($S1401&lt;TODAY(),"⚠ TRỄ ÔN",IF($S1401=TODAY(),"◆ ÔN HÔM NAY","✔ Đúng tiến độ")))))</f>
        <v>• Chưa tới</v>
      </c>
      <c r="U1401" s="38" t="n">
        <f aca="false">IF($H1401="","",$R1401/5)</f>
        <v>0</v>
      </c>
    </row>
    <row r="1402" customFormat="false" ht="15" hidden="false" customHeight="false" outlineLevel="0" collapsed="false">
      <c r="A1402" s="31" t="s">
        <v>8331</v>
      </c>
      <c r="B1402" s="31" t="n">
        <v>70</v>
      </c>
      <c r="C1402" s="32" t="n">
        <f aca="false">SETTINGS!$C$3+$B1402-1</f>
        <v>46369</v>
      </c>
      <c r="D1402" s="41" t="s">
        <v>7168</v>
      </c>
      <c r="E1402" s="34" t="s">
        <v>8222</v>
      </c>
      <c r="F1402" s="34" t="s">
        <v>280</v>
      </c>
      <c r="G1402" s="34" t="s">
        <v>8332</v>
      </c>
      <c r="H1402" s="35" t="s">
        <v>8333</v>
      </c>
      <c r="I1402" s="36" t="s">
        <v>8334</v>
      </c>
      <c r="J1402" s="34" t="s">
        <v>8335</v>
      </c>
      <c r="K1402" s="34" t="s">
        <v>8336</v>
      </c>
      <c r="L1402" s="37"/>
      <c r="M1402" s="37"/>
      <c r="N1402" s="37"/>
      <c r="O1402" s="37"/>
      <c r="P1402" s="37"/>
      <c r="Q1402" s="37"/>
      <c r="R1402" s="31" t="n">
        <f aca="false">COUNT($M1402:$Q1402)</f>
        <v>0</v>
      </c>
      <c r="S1402" s="32" t="str">
        <f aca="false">IF($L1402="","",IF($R1402&gt;=5,"",MAX($L1402:$Q1402)+CHOOSE($R1402+1,SETTINGS!$C$9,SETTINGS!$C$10,SETTINGS!$C$11,SETTINGS!$C$12,SETTINGS!$C$13)))</f>
        <v/>
      </c>
      <c r="T1402" s="34" t="str">
        <f aca="true">IF($H1402="","(chưa có nội dung)",IF($L1402="",IF($C1402&lt;TODAY(),"⚠ TRỄ HỌC",IF($C1402=TODAY(),"★ HỌC HÔM NAY","• Chưa tới")),IF($R1402&gt;=5,"✔ MASTER",IF($S1402&lt;TODAY(),"⚠ TRỄ ÔN",IF($S1402=TODAY(),"◆ ÔN HÔM NAY","✔ Đúng tiến độ")))))</f>
        <v>• Chưa tới</v>
      </c>
      <c r="U1402" s="38" t="n">
        <f aca="false">IF($H1402="","",$R1402/5)</f>
        <v>0</v>
      </c>
    </row>
    <row r="1403" customFormat="false" ht="15" hidden="false" customHeight="false" outlineLevel="0" collapsed="false">
      <c r="A1403" s="31" t="s">
        <v>8337</v>
      </c>
      <c r="B1403" s="31" t="n">
        <v>71</v>
      </c>
      <c r="C1403" s="32" t="n">
        <f aca="false">SETTINGS!$C$3+$B1403-1</f>
        <v>46370</v>
      </c>
      <c r="D1403" s="41" t="s">
        <v>7168</v>
      </c>
      <c r="E1403" s="34" t="s">
        <v>8338</v>
      </c>
      <c r="F1403" s="34" t="s">
        <v>280</v>
      </c>
      <c r="G1403" s="34" t="s">
        <v>8339</v>
      </c>
      <c r="H1403" s="35" t="s">
        <v>8340</v>
      </c>
      <c r="I1403" s="36" t="s">
        <v>8341</v>
      </c>
      <c r="J1403" s="34" t="s">
        <v>8342</v>
      </c>
      <c r="K1403" s="34" t="s">
        <v>8343</v>
      </c>
      <c r="L1403" s="37"/>
      <c r="M1403" s="37"/>
      <c r="N1403" s="37"/>
      <c r="O1403" s="37"/>
      <c r="P1403" s="37"/>
      <c r="Q1403" s="37"/>
      <c r="R1403" s="31" t="n">
        <f aca="false">COUNT($M1403:$Q1403)</f>
        <v>0</v>
      </c>
      <c r="S1403" s="32" t="str">
        <f aca="false">IF($L1403="","",IF($R1403&gt;=5,"",MAX($L1403:$Q1403)+CHOOSE($R1403+1,SETTINGS!$C$9,SETTINGS!$C$10,SETTINGS!$C$11,SETTINGS!$C$12,SETTINGS!$C$13)))</f>
        <v/>
      </c>
      <c r="T1403" s="34" t="str">
        <f aca="true">IF($H1403="","(chưa có nội dung)",IF($L1403="",IF($C1403&lt;TODAY(),"⚠ TRỄ HỌC",IF($C1403=TODAY(),"★ HỌC HÔM NAY","• Chưa tới")),IF($R1403&gt;=5,"✔ MASTER",IF($S1403&lt;TODAY(),"⚠ TRỄ ÔN",IF($S1403=TODAY(),"◆ ÔN HÔM NAY","✔ Đúng tiến độ")))))</f>
        <v>• Chưa tới</v>
      </c>
      <c r="U1403" s="38" t="n">
        <f aca="false">IF($H1403="","",$R1403/5)</f>
        <v>0</v>
      </c>
    </row>
    <row r="1404" customFormat="false" ht="26.85" hidden="false" customHeight="false" outlineLevel="0" collapsed="false">
      <c r="A1404" s="31" t="s">
        <v>8344</v>
      </c>
      <c r="B1404" s="31" t="n">
        <v>71</v>
      </c>
      <c r="C1404" s="32" t="n">
        <f aca="false">SETTINGS!$C$3+$B1404-1</f>
        <v>46370</v>
      </c>
      <c r="D1404" s="41" t="s">
        <v>7168</v>
      </c>
      <c r="E1404" s="34" t="s">
        <v>8338</v>
      </c>
      <c r="F1404" s="34" t="s">
        <v>280</v>
      </c>
      <c r="G1404" s="34" t="s">
        <v>8345</v>
      </c>
      <c r="H1404" s="35" t="s">
        <v>8346</v>
      </c>
      <c r="I1404" s="36" t="s">
        <v>8347</v>
      </c>
      <c r="J1404" s="34" t="s">
        <v>8348</v>
      </c>
      <c r="K1404" s="34" t="s">
        <v>8349</v>
      </c>
      <c r="L1404" s="37"/>
      <c r="M1404" s="37"/>
      <c r="N1404" s="37"/>
      <c r="O1404" s="37"/>
      <c r="P1404" s="37"/>
      <c r="Q1404" s="37"/>
      <c r="R1404" s="31" t="n">
        <f aca="false">COUNT($M1404:$Q1404)</f>
        <v>0</v>
      </c>
      <c r="S1404" s="32" t="str">
        <f aca="false">IF($L1404="","",IF($R1404&gt;=5,"",MAX($L1404:$Q1404)+CHOOSE($R1404+1,SETTINGS!$C$9,SETTINGS!$C$10,SETTINGS!$C$11,SETTINGS!$C$12,SETTINGS!$C$13)))</f>
        <v/>
      </c>
      <c r="T1404" s="34" t="str">
        <f aca="true">IF($H1404="","(chưa có nội dung)",IF($L1404="",IF($C1404&lt;TODAY(),"⚠ TRỄ HỌC",IF($C1404=TODAY(),"★ HỌC HÔM NAY","• Chưa tới")),IF($R1404&gt;=5,"✔ MASTER",IF($S1404&lt;TODAY(),"⚠ TRỄ ÔN",IF($S1404=TODAY(),"◆ ÔN HÔM NAY","✔ Đúng tiến độ")))))</f>
        <v>• Chưa tới</v>
      </c>
      <c r="U1404" s="38" t="n">
        <f aca="false">IF($H1404="","",$R1404/5)</f>
        <v>0</v>
      </c>
    </row>
    <row r="1405" customFormat="false" ht="15" hidden="false" customHeight="false" outlineLevel="0" collapsed="false">
      <c r="A1405" s="31" t="s">
        <v>8350</v>
      </c>
      <c r="B1405" s="31" t="n">
        <v>71</v>
      </c>
      <c r="C1405" s="32" t="n">
        <f aca="false">SETTINGS!$C$3+$B1405-1</f>
        <v>46370</v>
      </c>
      <c r="D1405" s="41" t="s">
        <v>7168</v>
      </c>
      <c r="E1405" s="34" t="s">
        <v>8338</v>
      </c>
      <c r="F1405" s="34" t="s">
        <v>280</v>
      </c>
      <c r="G1405" s="34" t="s">
        <v>8351</v>
      </c>
      <c r="H1405" s="35" t="s">
        <v>8352</v>
      </c>
      <c r="I1405" s="36" t="s">
        <v>8353</v>
      </c>
      <c r="J1405" s="34" t="s">
        <v>8354</v>
      </c>
      <c r="K1405" s="34" t="s">
        <v>8355</v>
      </c>
      <c r="L1405" s="37"/>
      <c r="M1405" s="37"/>
      <c r="N1405" s="37"/>
      <c r="O1405" s="37"/>
      <c r="P1405" s="37"/>
      <c r="Q1405" s="37"/>
      <c r="R1405" s="31" t="n">
        <f aca="false">COUNT($M1405:$Q1405)</f>
        <v>0</v>
      </c>
      <c r="S1405" s="32" t="str">
        <f aca="false">IF($L1405="","",IF($R1405&gt;=5,"",MAX($L1405:$Q1405)+CHOOSE($R1405+1,SETTINGS!$C$9,SETTINGS!$C$10,SETTINGS!$C$11,SETTINGS!$C$12,SETTINGS!$C$13)))</f>
        <v/>
      </c>
      <c r="T1405" s="34" t="str">
        <f aca="true">IF($H1405="","(chưa có nội dung)",IF($L1405="",IF($C1405&lt;TODAY(),"⚠ TRỄ HỌC",IF($C1405=TODAY(),"★ HỌC HÔM NAY","• Chưa tới")),IF($R1405&gt;=5,"✔ MASTER",IF($S1405&lt;TODAY(),"⚠ TRỄ ÔN",IF($S1405=TODAY(),"◆ ÔN HÔM NAY","✔ Đúng tiến độ")))))</f>
        <v>• Chưa tới</v>
      </c>
      <c r="U1405" s="38" t="n">
        <f aca="false">IF($H1405="","",$R1405/5)</f>
        <v>0</v>
      </c>
    </row>
    <row r="1406" customFormat="false" ht="15" hidden="false" customHeight="false" outlineLevel="0" collapsed="false">
      <c r="A1406" s="31" t="s">
        <v>8356</v>
      </c>
      <c r="B1406" s="31" t="n">
        <v>71</v>
      </c>
      <c r="C1406" s="32" t="n">
        <f aca="false">SETTINGS!$C$3+$B1406-1</f>
        <v>46370</v>
      </c>
      <c r="D1406" s="41" t="s">
        <v>7168</v>
      </c>
      <c r="E1406" s="34" t="s">
        <v>8338</v>
      </c>
      <c r="F1406" s="34" t="s">
        <v>280</v>
      </c>
      <c r="G1406" s="34" t="s">
        <v>8357</v>
      </c>
      <c r="H1406" s="35" t="s">
        <v>8358</v>
      </c>
      <c r="I1406" s="36" t="s">
        <v>8359</v>
      </c>
      <c r="J1406" s="34" t="s">
        <v>8360</v>
      </c>
      <c r="K1406" s="34" t="s">
        <v>8361</v>
      </c>
      <c r="L1406" s="37"/>
      <c r="M1406" s="37"/>
      <c r="N1406" s="37"/>
      <c r="O1406" s="37"/>
      <c r="P1406" s="37"/>
      <c r="Q1406" s="37"/>
      <c r="R1406" s="31" t="n">
        <f aca="false">COUNT($M1406:$Q1406)</f>
        <v>0</v>
      </c>
      <c r="S1406" s="32" t="str">
        <f aca="false">IF($L1406="","",IF($R1406&gt;=5,"",MAX($L1406:$Q1406)+CHOOSE($R1406+1,SETTINGS!$C$9,SETTINGS!$C$10,SETTINGS!$C$11,SETTINGS!$C$12,SETTINGS!$C$13)))</f>
        <v/>
      </c>
      <c r="T1406" s="34" t="str">
        <f aca="true">IF($H1406="","(chưa có nội dung)",IF($L1406="",IF($C1406&lt;TODAY(),"⚠ TRỄ HỌC",IF($C1406=TODAY(),"★ HỌC HÔM NAY","• Chưa tới")),IF($R1406&gt;=5,"✔ MASTER",IF($S1406&lt;TODAY(),"⚠ TRỄ ÔN",IF($S1406=TODAY(),"◆ ÔN HÔM NAY","✔ Đúng tiến độ")))))</f>
        <v>• Chưa tới</v>
      </c>
      <c r="U1406" s="38" t="n">
        <f aca="false">IF($H1406="","",$R1406/5)</f>
        <v>0</v>
      </c>
    </row>
    <row r="1407" customFormat="false" ht="15" hidden="false" customHeight="false" outlineLevel="0" collapsed="false">
      <c r="A1407" s="31" t="s">
        <v>8362</v>
      </c>
      <c r="B1407" s="31" t="n">
        <v>71</v>
      </c>
      <c r="C1407" s="32" t="n">
        <f aca="false">SETTINGS!$C$3+$B1407-1</f>
        <v>46370</v>
      </c>
      <c r="D1407" s="41" t="s">
        <v>7168</v>
      </c>
      <c r="E1407" s="34" t="s">
        <v>8338</v>
      </c>
      <c r="F1407" s="34" t="s">
        <v>280</v>
      </c>
      <c r="G1407" s="34" t="s">
        <v>8363</v>
      </c>
      <c r="H1407" s="35" t="s">
        <v>8364</v>
      </c>
      <c r="I1407" s="36" t="s">
        <v>8365</v>
      </c>
      <c r="J1407" s="34" t="s">
        <v>8366</v>
      </c>
      <c r="K1407" s="34" t="s">
        <v>8367</v>
      </c>
      <c r="L1407" s="37"/>
      <c r="M1407" s="37"/>
      <c r="N1407" s="37"/>
      <c r="O1407" s="37"/>
      <c r="P1407" s="37"/>
      <c r="Q1407" s="37"/>
      <c r="R1407" s="31" t="n">
        <f aca="false">COUNT($M1407:$Q1407)</f>
        <v>0</v>
      </c>
      <c r="S1407" s="32" t="str">
        <f aca="false">IF($L1407="","",IF($R1407&gt;=5,"",MAX($L1407:$Q1407)+CHOOSE($R1407+1,SETTINGS!$C$9,SETTINGS!$C$10,SETTINGS!$C$11,SETTINGS!$C$12,SETTINGS!$C$13)))</f>
        <v/>
      </c>
      <c r="T1407" s="34" t="str">
        <f aca="true">IF($H1407="","(chưa có nội dung)",IF($L1407="",IF($C1407&lt;TODAY(),"⚠ TRỄ HỌC",IF($C1407=TODAY(),"★ HỌC HÔM NAY","• Chưa tới")),IF($R1407&gt;=5,"✔ MASTER",IF($S1407&lt;TODAY(),"⚠ TRỄ ÔN",IF($S1407=TODAY(),"◆ ÔN HÔM NAY","✔ Đúng tiến độ")))))</f>
        <v>• Chưa tới</v>
      </c>
      <c r="U1407" s="38" t="n">
        <f aca="false">IF($H1407="","",$R1407/5)</f>
        <v>0</v>
      </c>
    </row>
    <row r="1408" customFormat="false" ht="15" hidden="false" customHeight="false" outlineLevel="0" collapsed="false">
      <c r="A1408" s="31" t="s">
        <v>8368</v>
      </c>
      <c r="B1408" s="31" t="n">
        <v>71</v>
      </c>
      <c r="C1408" s="32" t="n">
        <f aca="false">SETTINGS!$C$3+$B1408-1</f>
        <v>46370</v>
      </c>
      <c r="D1408" s="41" t="s">
        <v>7168</v>
      </c>
      <c r="E1408" s="34" t="s">
        <v>8338</v>
      </c>
      <c r="F1408" s="34" t="s">
        <v>280</v>
      </c>
      <c r="G1408" s="34" t="s">
        <v>8369</v>
      </c>
      <c r="H1408" s="35" t="s">
        <v>8370</v>
      </c>
      <c r="I1408" s="36" t="s">
        <v>8371</v>
      </c>
      <c r="J1408" s="34" t="s">
        <v>8372</v>
      </c>
      <c r="K1408" s="34" t="s">
        <v>8373</v>
      </c>
      <c r="L1408" s="37"/>
      <c r="M1408" s="37"/>
      <c r="N1408" s="37"/>
      <c r="O1408" s="37"/>
      <c r="P1408" s="37"/>
      <c r="Q1408" s="37"/>
      <c r="R1408" s="31" t="n">
        <f aca="false">COUNT($M1408:$Q1408)</f>
        <v>0</v>
      </c>
      <c r="S1408" s="32" t="str">
        <f aca="false">IF($L1408="","",IF($R1408&gt;=5,"",MAX($L1408:$Q1408)+CHOOSE($R1408+1,SETTINGS!$C$9,SETTINGS!$C$10,SETTINGS!$C$11,SETTINGS!$C$12,SETTINGS!$C$13)))</f>
        <v/>
      </c>
      <c r="T1408" s="34" t="str">
        <f aca="true">IF($H1408="","(chưa có nội dung)",IF($L1408="",IF($C1408&lt;TODAY(),"⚠ TRỄ HỌC",IF($C1408=TODAY(),"★ HỌC HÔM NAY","• Chưa tới")),IF($R1408&gt;=5,"✔ MASTER",IF($S1408&lt;TODAY(),"⚠ TRỄ ÔN",IF($S1408=TODAY(),"◆ ÔN HÔM NAY","✔ Đúng tiến độ")))))</f>
        <v>• Chưa tới</v>
      </c>
      <c r="U1408" s="38" t="n">
        <f aca="false">IF($H1408="","",$R1408/5)</f>
        <v>0</v>
      </c>
    </row>
    <row r="1409" customFormat="false" ht="15" hidden="false" customHeight="false" outlineLevel="0" collapsed="false">
      <c r="A1409" s="31" t="s">
        <v>8374</v>
      </c>
      <c r="B1409" s="31" t="n">
        <v>71</v>
      </c>
      <c r="C1409" s="32" t="n">
        <f aca="false">SETTINGS!$C$3+$B1409-1</f>
        <v>46370</v>
      </c>
      <c r="D1409" s="41" t="s">
        <v>7168</v>
      </c>
      <c r="E1409" s="34" t="s">
        <v>8338</v>
      </c>
      <c r="F1409" s="34" t="s">
        <v>280</v>
      </c>
      <c r="G1409" s="34" t="s">
        <v>8375</v>
      </c>
      <c r="H1409" s="35" t="s">
        <v>8376</v>
      </c>
      <c r="I1409" s="36" t="s">
        <v>8377</v>
      </c>
      <c r="J1409" s="34" t="s">
        <v>8378</v>
      </c>
      <c r="K1409" s="34" t="s">
        <v>8379</v>
      </c>
      <c r="L1409" s="37"/>
      <c r="M1409" s="37"/>
      <c r="N1409" s="37"/>
      <c r="O1409" s="37"/>
      <c r="P1409" s="37"/>
      <c r="Q1409" s="37"/>
      <c r="R1409" s="31" t="n">
        <f aca="false">COUNT($M1409:$Q1409)</f>
        <v>0</v>
      </c>
      <c r="S1409" s="32" t="str">
        <f aca="false">IF($L1409="","",IF($R1409&gt;=5,"",MAX($L1409:$Q1409)+CHOOSE($R1409+1,SETTINGS!$C$9,SETTINGS!$C$10,SETTINGS!$C$11,SETTINGS!$C$12,SETTINGS!$C$13)))</f>
        <v/>
      </c>
      <c r="T1409" s="34" t="str">
        <f aca="true">IF($H1409="","(chưa có nội dung)",IF($L1409="",IF($C1409&lt;TODAY(),"⚠ TRỄ HỌC",IF($C1409=TODAY(),"★ HỌC HÔM NAY","• Chưa tới")),IF($R1409&gt;=5,"✔ MASTER",IF($S1409&lt;TODAY(),"⚠ TRỄ ÔN",IF($S1409=TODAY(),"◆ ÔN HÔM NAY","✔ Đúng tiến độ")))))</f>
        <v>• Chưa tới</v>
      </c>
      <c r="U1409" s="38" t="n">
        <f aca="false">IF($H1409="","",$R1409/5)</f>
        <v>0</v>
      </c>
    </row>
    <row r="1410" customFormat="false" ht="26.85" hidden="false" customHeight="false" outlineLevel="0" collapsed="false">
      <c r="A1410" s="31" t="s">
        <v>8380</v>
      </c>
      <c r="B1410" s="31" t="n">
        <v>71</v>
      </c>
      <c r="C1410" s="32" t="n">
        <f aca="false">SETTINGS!$C$3+$B1410-1</f>
        <v>46370</v>
      </c>
      <c r="D1410" s="41" t="s">
        <v>7168</v>
      </c>
      <c r="E1410" s="34" t="s">
        <v>8338</v>
      </c>
      <c r="F1410" s="34" t="s">
        <v>280</v>
      </c>
      <c r="G1410" s="34" t="s">
        <v>8381</v>
      </c>
      <c r="H1410" s="35" t="s">
        <v>8382</v>
      </c>
      <c r="I1410" s="36" t="s">
        <v>8383</v>
      </c>
      <c r="J1410" s="34" t="s">
        <v>8384</v>
      </c>
      <c r="K1410" s="34" t="s">
        <v>8385</v>
      </c>
      <c r="L1410" s="37"/>
      <c r="M1410" s="37"/>
      <c r="N1410" s="37"/>
      <c r="O1410" s="37"/>
      <c r="P1410" s="37"/>
      <c r="Q1410" s="37"/>
      <c r="R1410" s="31" t="n">
        <f aca="false">COUNT($M1410:$Q1410)</f>
        <v>0</v>
      </c>
      <c r="S1410" s="32" t="str">
        <f aca="false">IF($L1410="","",IF($R1410&gt;=5,"",MAX($L1410:$Q1410)+CHOOSE($R1410+1,SETTINGS!$C$9,SETTINGS!$C$10,SETTINGS!$C$11,SETTINGS!$C$12,SETTINGS!$C$13)))</f>
        <v/>
      </c>
      <c r="T1410" s="34" t="str">
        <f aca="true">IF($H1410="","(chưa có nội dung)",IF($L1410="",IF($C1410&lt;TODAY(),"⚠ TRỄ HỌC",IF($C1410=TODAY(),"★ HỌC HÔM NAY","• Chưa tới")),IF($R1410&gt;=5,"✔ MASTER",IF($S1410&lt;TODAY(),"⚠ TRỄ ÔN",IF($S1410=TODAY(),"◆ ÔN HÔM NAY","✔ Đúng tiến độ")))))</f>
        <v>• Chưa tới</v>
      </c>
      <c r="U1410" s="38" t="n">
        <f aca="false">IF($H1410="","",$R1410/5)</f>
        <v>0</v>
      </c>
    </row>
    <row r="1411" customFormat="false" ht="26.85" hidden="false" customHeight="false" outlineLevel="0" collapsed="false">
      <c r="A1411" s="31" t="s">
        <v>8386</v>
      </c>
      <c r="B1411" s="31" t="n">
        <v>71</v>
      </c>
      <c r="C1411" s="32" t="n">
        <f aca="false">SETTINGS!$C$3+$B1411-1</f>
        <v>46370</v>
      </c>
      <c r="D1411" s="41" t="s">
        <v>7168</v>
      </c>
      <c r="E1411" s="34" t="s">
        <v>8338</v>
      </c>
      <c r="F1411" s="34" t="s">
        <v>280</v>
      </c>
      <c r="G1411" s="34" t="s">
        <v>244</v>
      </c>
      <c r="H1411" s="35" t="s">
        <v>8387</v>
      </c>
      <c r="I1411" s="36" t="s">
        <v>8388</v>
      </c>
      <c r="J1411" s="34" t="s">
        <v>8389</v>
      </c>
      <c r="K1411" s="34" t="s">
        <v>8390</v>
      </c>
      <c r="L1411" s="37"/>
      <c r="M1411" s="37"/>
      <c r="N1411" s="37"/>
      <c r="O1411" s="37"/>
      <c r="P1411" s="37"/>
      <c r="Q1411" s="37"/>
      <c r="R1411" s="31" t="n">
        <f aca="false">COUNT($M1411:$Q1411)</f>
        <v>0</v>
      </c>
      <c r="S1411" s="32" t="str">
        <f aca="false">IF($L1411="","",IF($R1411&gt;=5,"",MAX($L1411:$Q1411)+CHOOSE($R1411+1,SETTINGS!$C$9,SETTINGS!$C$10,SETTINGS!$C$11,SETTINGS!$C$12,SETTINGS!$C$13)))</f>
        <v/>
      </c>
      <c r="T1411" s="34" t="str">
        <f aca="true">IF($H1411="","(chưa có nội dung)",IF($L1411="",IF($C1411&lt;TODAY(),"⚠ TRỄ HỌC",IF($C1411=TODAY(),"★ HỌC HÔM NAY","• Chưa tới")),IF($R1411&gt;=5,"✔ MASTER",IF($S1411&lt;TODAY(),"⚠ TRỄ ÔN",IF($S1411=TODAY(),"◆ ÔN HÔM NAY","✔ Đúng tiến độ")))))</f>
        <v>• Chưa tới</v>
      </c>
      <c r="U1411" s="38" t="n">
        <f aca="false">IF($H1411="","",$R1411/5)</f>
        <v>0</v>
      </c>
    </row>
    <row r="1412" customFormat="false" ht="23.85" hidden="false" customHeight="false" outlineLevel="0" collapsed="false">
      <c r="A1412" s="31" t="s">
        <v>8391</v>
      </c>
      <c r="B1412" s="31" t="n">
        <v>71</v>
      </c>
      <c r="C1412" s="32" t="n">
        <f aca="false">SETTINGS!$C$3+$B1412-1</f>
        <v>46370</v>
      </c>
      <c r="D1412" s="41" t="s">
        <v>7168</v>
      </c>
      <c r="E1412" s="34" t="s">
        <v>8338</v>
      </c>
      <c r="F1412" s="34" t="s">
        <v>183</v>
      </c>
      <c r="G1412" s="34" t="s">
        <v>8392</v>
      </c>
      <c r="H1412" s="35" t="s">
        <v>8393</v>
      </c>
      <c r="I1412" s="36" t="s">
        <v>8394</v>
      </c>
      <c r="J1412" s="34" t="s">
        <v>8395</v>
      </c>
      <c r="K1412" s="34" t="s">
        <v>8396</v>
      </c>
      <c r="L1412" s="37"/>
      <c r="M1412" s="37"/>
      <c r="N1412" s="37"/>
      <c r="O1412" s="37"/>
      <c r="P1412" s="37"/>
      <c r="Q1412" s="37"/>
      <c r="R1412" s="31" t="n">
        <f aca="false">COUNT($M1412:$Q1412)</f>
        <v>0</v>
      </c>
      <c r="S1412" s="32" t="str">
        <f aca="false">IF($L1412="","",IF($R1412&gt;=5,"",MAX($L1412:$Q1412)+CHOOSE($R1412+1,SETTINGS!$C$9,SETTINGS!$C$10,SETTINGS!$C$11,SETTINGS!$C$12,SETTINGS!$C$13)))</f>
        <v/>
      </c>
      <c r="T1412" s="34" t="str">
        <f aca="true">IF($H1412="","(chưa có nội dung)",IF($L1412="",IF($C1412&lt;TODAY(),"⚠ TRỄ HỌC",IF($C1412=TODAY(),"★ HỌC HÔM NAY","• Chưa tới")),IF($R1412&gt;=5,"✔ MASTER",IF($S1412&lt;TODAY(),"⚠ TRỄ ÔN",IF($S1412=TODAY(),"◆ ÔN HÔM NAY","✔ Đúng tiến độ")))))</f>
        <v>• Chưa tới</v>
      </c>
      <c r="U1412" s="38" t="n">
        <f aca="false">IF($H1412="","",$R1412/5)</f>
        <v>0</v>
      </c>
    </row>
    <row r="1413" customFormat="false" ht="26.85" hidden="false" customHeight="false" outlineLevel="0" collapsed="false">
      <c r="A1413" s="31" t="s">
        <v>8397</v>
      </c>
      <c r="B1413" s="31" t="n">
        <v>71</v>
      </c>
      <c r="C1413" s="32" t="n">
        <f aca="false">SETTINGS!$C$3+$B1413-1</f>
        <v>46370</v>
      </c>
      <c r="D1413" s="41" t="s">
        <v>7168</v>
      </c>
      <c r="E1413" s="34" t="s">
        <v>8338</v>
      </c>
      <c r="F1413" s="34" t="s">
        <v>280</v>
      </c>
      <c r="G1413" s="34" t="s">
        <v>8398</v>
      </c>
      <c r="H1413" s="35" t="s">
        <v>8399</v>
      </c>
      <c r="I1413" s="36" t="s">
        <v>8400</v>
      </c>
      <c r="J1413" s="34" t="s">
        <v>8401</v>
      </c>
      <c r="K1413" s="34" t="s">
        <v>8402</v>
      </c>
      <c r="L1413" s="37"/>
      <c r="M1413" s="37"/>
      <c r="N1413" s="37"/>
      <c r="O1413" s="37"/>
      <c r="P1413" s="37"/>
      <c r="Q1413" s="37"/>
      <c r="R1413" s="31" t="n">
        <f aca="false">COUNT($M1413:$Q1413)</f>
        <v>0</v>
      </c>
      <c r="S1413" s="32" t="str">
        <f aca="false">IF($L1413="","",IF($R1413&gt;=5,"",MAX($L1413:$Q1413)+CHOOSE($R1413+1,SETTINGS!$C$9,SETTINGS!$C$10,SETTINGS!$C$11,SETTINGS!$C$12,SETTINGS!$C$13)))</f>
        <v/>
      </c>
      <c r="T1413" s="34" t="str">
        <f aca="true">IF($H1413="","(chưa có nội dung)",IF($L1413="",IF($C1413&lt;TODAY(),"⚠ TRỄ HỌC",IF($C1413=TODAY(),"★ HỌC HÔM NAY","• Chưa tới")),IF($R1413&gt;=5,"✔ MASTER",IF($S1413&lt;TODAY(),"⚠ TRỄ ÔN",IF($S1413=TODAY(),"◆ ÔN HÔM NAY","✔ Đúng tiến độ")))))</f>
        <v>• Chưa tới</v>
      </c>
      <c r="U1413" s="38" t="n">
        <f aca="false">IF($H1413="","",$R1413/5)</f>
        <v>0</v>
      </c>
    </row>
    <row r="1414" customFormat="false" ht="26.85" hidden="false" customHeight="false" outlineLevel="0" collapsed="false">
      <c r="A1414" s="31" t="s">
        <v>8403</v>
      </c>
      <c r="B1414" s="31" t="n">
        <v>71</v>
      </c>
      <c r="C1414" s="32" t="n">
        <f aca="false">SETTINGS!$C$3+$B1414-1</f>
        <v>46370</v>
      </c>
      <c r="D1414" s="41" t="s">
        <v>7168</v>
      </c>
      <c r="E1414" s="34" t="s">
        <v>8338</v>
      </c>
      <c r="F1414" s="34" t="s">
        <v>280</v>
      </c>
      <c r="G1414" s="34" t="s">
        <v>8404</v>
      </c>
      <c r="H1414" s="35" t="s">
        <v>8405</v>
      </c>
      <c r="I1414" s="36" t="s">
        <v>8406</v>
      </c>
      <c r="J1414" s="34" t="s">
        <v>8407</v>
      </c>
      <c r="K1414" s="34" t="s">
        <v>8408</v>
      </c>
      <c r="L1414" s="37"/>
      <c r="M1414" s="37"/>
      <c r="N1414" s="37"/>
      <c r="O1414" s="37"/>
      <c r="P1414" s="37"/>
      <c r="Q1414" s="37"/>
      <c r="R1414" s="31" t="n">
        <f aca="false">COUNT($M1414:$Q1414)</f>
        <v>0</v>
      </c>
      <c r="S1414" s="32" t="str">
        <f aca="false">IF($L1414="","",IF($R1414&gt;=5,"",MAX($L1414:$Q1414)+CHOOSE($R1414+1,SETTINGS!$C$9,SETTINGS!$C$10,SETTINGS!$C$11,SETTINGS!$C$12,SETTINGS!$C$13)))</f>
        <v/>
      </c>
      <c r="T1414" s="34" t="str">
        <f aca="true">IF($H1414="","(chưa có nội dung)",IF($L1414="",IF($C1414&lt;TODAY(),"⚠ TRỄ HỌC",IF($C1414=TODAY(),"★ HỌC HÔM NAY","• Chưa tới")),IF($R1414&gt;=5,"✔ MASTER",IF($S1414&lt;TODAY(),"⚠ TRỄ ÔN",IF($S1414=TODAY(),"◆ ÔN HÔM NAY","✔ Đúng tiến độ")))))</f>
        <v>• Chưa tới</v>
      </c>
      <c r="U1414" s="38" t="n">
        <f aca="false">IF($H1414="","",$R1414/5)</f>
        <v>0</v>
      </c>
    </row>
    <row r="1415" customFormat="false" ht="15" hidden="false" customHeight="false" outlineLevel="0" collapsed="false">
      <c r="A1415" s="31" t="s">
        <v>8409</v>
      </c>
      <c r="B1415" s="31" t="n">
        <v>71</v>
      </c>
      <c r="C1415" s="32" t="n">
        <f aca="false">SETTINGS!$C$3+$B1415-1</f>
        <v>46370</v>
      </c>
      <c r="D1415" s="41" t="s">
        <v>7168</v>
      </c>
      <c r="E1415" s="34" t="s">
        <v>8338</v>
      </c>
      <c r="F1415" s="34" t="s">
        <v>280</v>
      </c>
      <c r="G1415" s="34" t="s">
        <v>8410</v>
      </c>
      <c r="H1415" s="35" t="s">
        <v>8411</v>
      </c>
      <c r="I1415" s="36" t="s">
        <v>8412</v>
      </c>
      <c r="J1415" s="34" t="s">
        <v>8413</v>
      </c>
      <c r="K1415" s="34" t="s">
        <v>8414</v>
      </c>
      <c r="L1415" s="37"/>
      <c r="M1415" s="37"/>
      <c r="N1415" s="37"/>
      <c r="O1415" s="37"/>
      <c r="P1415" s="37"/>
      <c r="Q1415" s="37"/>
      <c r="R1415" s="31" t="n">
        <f aca="false">COUNT($M1415:$Q1415)</f>
        <v>0</v>
      </c>
      <c r="S1415" s="32" t="str">
        <f aca="false">IF($L1415="","",IF($R1415&gt;=5,"",MAX($L1415:$Q1415)+CHOOSE($R1415+1,SETTINGS!$C$9,SETTINGS!$C$10,SETTINGS!$C$11,SETTINGS!$C$12,SETTINGS!$C$13)))</f>
        <v/>
      </c>
      <c r="T1415" s="34" t="str">
        <f aca="true">IF($H1415="","(chưa có nội dung)",IF($L1415="",IF($C1415&lt;TODAY(),"⚠ TRỄ HỌC",IF($C1415=TODAY(),"★ HỌC HÔM NAY","• Chưa tới")),IF($R1415&gt;=5,"✔ MASTER",IF($S1415&lt;TODAY(),"⚠ TRỄ ÔN",IF($S1415=TODAY(),"◆ ÔN HÔM NAY","✔ Đúng tiến độ")))))</f>
        <v>• Chưa tới</v>
      </c>
      <c r="U1415" s="38" t="n">
        <f aca="false">IF($H1415="","",$R1415/5)</f>
        <v>0</v>
      </c>
    </row>
    <row r="1416" customFormat="false" ht="26.85" hidden="false" customHeight="false" outlineLevel="0" collapsed="false">
      <c r="A1416" s="31" t="s">
        <v>8415</v>
      </c>
      <c r="B1416" s="31" t="n">
        <v>71</v>
      </c>
      <c r="C1416" s="32" t="n">
        <f aca="false">SETTINGS!$C$3+$B1416-1</f>
        <v>46370</v>
      </c>
      <c r="D1416" s="41" t="s">
        <v>7168</v>
      </c>
      <c r="E1416" s="34" t="s">
        <v>8338</v>
      </c>
      <c r="F1416" s="34" t="s">
        <v>280</v>
      </c>
      <c r="G1416" s="34" t="s">
        <v>8416</v>
      </c>
      <c r="H1416" s="35" t="s">
        <v>8417</v>
      </c>
      <c r="I1416" s="36" t="s">
        <v>8418</v>
      </c>
      <c r="J1416" s="34" t="s">
        <v>8419</v>
      </c>
      <c r="K1416" s="34" t="s">
        <v>8420</v>
      </c>
      <c r="L1416" s="37"/>
      <c r="M1416" s="37"/>
      <c r="N1416" s="37"/>
      <c r="O1416" s="37"/>
      <c r="P1416" s="37"/>
      <c r="Q1416" s="37"/>
      <c r="R1416" s="31" t="n">
        <f aca="false">COUNT($M1416:$Q1416)</f>
        <v>0</v>
      </c>
      <c r="S1416" s="32" t="str">
        <f aca="false">IF($L1416="","",IF($R1416&gt;=5,"",MAX($L1416:$Q1416)+CHOOSE($R1416+1,SETTINGS!$C$9,SETTINGS!$C$10,SETTINGS!$C$11,SETTINGS!$C$12,SETTINGS!$C$13)))</f>
        <v/>
      </c>
      <c r="T1416" s="34" t="str">
        <f aca="true">IF($H1416="","(chưa có nội dung)",IF($L1416="",IF($C1416&lt;TODAY(),"⚠ TRỄ HỌC",IF($C1416=TODAY(),"★ HỌC HÔM NAY","• Chưa tới")),IF($R1416&gt;=5,"✔ MASTER",IF($S1416&lt;TODAY(),"⚠ TRỄ ÔN",IF($S1416=TODAY(),"◆ ÔN HÔM NAY","✔ Đúng tiến độ")))))</f>
        <v>• Chưa tới</v>
      </c>
      <c r="U1416" s="38" t="n">
        <f aca="false">IF($H1416="","",$R1416/5)</f>
        <v>0</v>
      </c>
    </row>
    <row r="1417" customFormat="false" ht="26.85" hidden="false" customHeight="false" outlineLevel="0" collapsed="false">
      <c r="A1417" s="31" t="s">
        <v>8421</v>
      </c>
      <c r="B1417" s="31" t="n">
        <v>71</v>
      </c>
      <c r="C1417" s="32" t="n">
        <f aca="false">SETTINGS!$C$3+$B1417-1</f>
        <v>46370</v>
      </c>
      <c r="D1417" s="41" t="s">
        <v>7168</v>
      </c>
      <c r="E1417" s="34" t="s">
        <v>8338</v>
      </c>
      <c r="F1417" s="34" t="s">
        <v>3656</v>
      </c>
      <c r="G1417" s="34" t="s">
        <v>6895</v>
      </c>
      <c r="H1417" s="35" t="s">
        <v>8422</v>
      </c>
      <c r="I1417" s="36" t="s">
        <v>8423</v>
      </c>
      <c r="J1417" s="34" t="s">
        <v>8424</v>
      </c>
      <c r="K1417" s="34" t="s">
        <v>8425</v>
      </c>
      <c r="L1417" s="37"/>
      <c r="M1417" s="37"/>
      <c r="N1417" s="37"/>
      <c r="O1417" s="37"/>
      <c r="P1417" s="37"/>
      <c r="Q1417" s="37"/>
      <c r="R1417" s="31" t="n">
        <f aca="false">COUNT($M1417:$Q1417)</f>
        <v>0</v>
      </c>
      <c r="S1417" s="32" t="str">
        <f aca="false">IF($L1417="","",IF($R1417&gt;=5,"",MAX($L1417:$Q1417)+CHOOSE($R1417+1,SETTINGS!$C$9,SETTINGS!$C$10,SETTINGS!$C$11,SETTINGS!$C$12,SETTINGS!$C$13)))</f>
        <v/>
      </c>
      <c r="T1417" s="34" t="str">
        <f aca="true">IF($H1417="","(chưa có nội dung)",IF($L1417="",IF($C1417&lt;TODAY(),"⚠ TRỄ HỌC",IF($C1417=TODAY(),"★ HỌC HÔM NAY","• Chưa tới")),IF($R1417&gt;=5,"✔ MASTER",IF($S1417&lt;TODAY(),"⚠ TRỄ ÔN",IF($S1417=TODAY(),"◆ ÔN HÔM NAY","✔ Đúng tiến độ")))))</f>
        <v>• Chưa tới</v>
      </c>
      <c r="U1417" s="38" t="n">
        <f aca="false">IF($H1417="","",$R1417/5)</f>
        <v>0</v>
      </c>
    </row>
    <row r="1418" customFormat="false" ht="26.85" hidden="false" customHeight="false" outlineLevel="0" collapsed="false">
      <c r="A1418" s="31" t="s">
        <v>8426</v>
      </c>
      <c r="B1418" s="31" t="n">
        <v>71</v>
      </c>
      <c r="C1418" s="32" t="n">
        <f aca="false">SETTINGS!$C$3+$B1418-1</f>
        <v>46370</v>
      </c>
      <c r="D1418" s="41" t="s">
        <v>7168</v>
      </c>
      <c r="E1418" s="34" t="s">
        <v>8338</v>
      </c>
      <c r="F1418" s="34" t="s">
        <v>183</v>
      </c>
      <c r="G1418" s="34" t="s">
        <v>8427</v>
      </c>
      <c r="H1418" s="35" t="s">
        <v>8428</v>
      </c>
      <c r="I1418" s="36" t="s">
        <v>8429</v>
      </c>
      <c r="J1418" s="34" t="s">
        <v>8430</v>
      </c>
      <c r="K1418" s="34" t="s">
        <v>8431</v>
      </c>
      <c r="L1418" s="37"/>
      <c r="M1418" s="37"/>
      <c r="N1418" s="37"/>
      <c r="O1418" s="37"/>
      <c r="P1418" s="37"/>
      <c r="Q1418" s="37"/>
      <c r="R1418" s="31" t="n">
        <f aca="false">COUNT($M1418:$Q1418)</f>
        <v>0</v>
      </c>
      <c r="S1418" s="32" t="str">
        <f aca="false">IF($L1418="","",IF($R1418&gt;=5,"",MAX($L1418:$Q1418)+CHOOSE($R1418+1,SETTINGS!$C$9,SETTINGS!$C$10,SETTINGS!$C$11,SETTINGS!$C$12,SETTINGS!$C$13)))</f>
        <v/>
      </c>
      <c r="T1418" s="34" t="str">
        <f aca="true">IF($H1418="","(chưa có nội dung)",IF($L1418="",IF($C1418&lt;TODAY(),"⚠ TRỄ HỌC",IF($C1418=TODAY(),"★ HỌC HÔM NAY","• Chưa tới")),IF($R1418&gt;=5,"✔ MASTER",IF($S1418&lt;TODAY(),"⚠ TRỄ ÔN",IF($S1418=TODAY(),"◆ ÔN HÔM NAY","✔ Đúng tiến độ")))))</f>
        <v>• Chưa tới</v>
      </c>
      <c r="U1418" s="38" t="n">
        <f aca="false">IF($H1418="","",$R1418/5)</f>
        <v>0</v>
      </c>
    </row>
    <row r="1419" customFormat="false" ht="15" hidden="false" customHeight="false" outlineLevel="0" collapsed="false">
      <c r="A1419" s="31" t="s">
        <v>8432</v>
      </c>
      <c r="B1419" s="31" t="n">
        <v>71</v>
      </c>
      <c r="C1419" s="32" t="n">
        <f aca="false">SETTINGS!$C$3+$B1419-1</f>
        <v>46370</v>
      </c>
      <c r="D1419" s="41" t="s">
        <v>7168</v>
      </c>
      <c r="E1419" s="34" t="s">
        <v>8338</v>
      </c>
      <c r="F1419" s="34" t="s">
        <v>280</v>
      </c>
      <c r="G1419" s="34" t="s">
        <v>8433</v>
      </c>
      <c r="H1419" s="35" t="s">
        <v>8434</v>
      </c>
      <c r="I1419" s="36" t="s">
        <v>8435</v>
      </c>
      <c r="J1419" s="34" t="s">
        <v>8436</v>
      </c>
      <c r="K1419" s="34" t="s">
        <v>8437</v>
      </c>
      <c r="L1419" s="37"/>
      <c r="M1419" s="37"/>
      <c r="N1419" s="37"/>
      <c r="O1419" s="37"/>
      <c r="P1419" s="37"/>
      <c r="Q1419" s="37"/>
      <c r="R1419" s="31" t="n">
        <f aca="false">COUNT($M1419:$Q1419)</f>
        <v>0</v>
      </c>
      <c r="S1419" s="32" t="str">
        <f aca="false">IF($L1419="","",IF($R1419&gt;=5,"",MAX($L1419:$Q1419)+CHOOSE($R1419+1,SETTINGS!$C$9,SETTINGS!$C$10,SETTINGS!$C$11,SETTINGS!$C$12,SETTINGS!$C$13)))</f>
        <v/>
      </c>
      <c r="T1419" s="34" t="str">
        <f aca="true">IF($H1419="","(chưa có nội dung)",IF($L1419="",IF($C1419&lt;TODAY(),"⚠ TRỄ HỌC",IF($C1419=TODAY(),"★ HỌC HÔM NAY","• Chưa tới")),IF($R1419&gt;=5,"✔ MASTER",IF($S1419&lt;TODAY(),"⚠ TRỄ ÔN",IF($S1419=TODAY(),"◆ ÔN HÔM NAY","✔ Đúng tiến độ")))))</f>
        <v>• Chưa tới</v>
      </c>
      <c r="U1419" s="38" t="n">
        <f aca="false">IF($H1419="","",$R1419/5)</f>
        <v>0</v>
      </c>
    </row>
    <row r="1420" customFormat="false" ht="15" hidden="false" customHeight="false" outlineLevel="0" collapsed="false">
      <c r="A1420" s="31" t="s">
        <v>8438</v>
      </c>
      <c r="B1420" s="31" t="n">
        <v>71</v>
      </c>
      <c r="C1420" s="32" t="n">
        <f aca="false">SETTINGS!$C$3+$B1420-1</f>
        <v>46370</v>
      </c>
      <c r="D1420" s="41" t="s">
        <v>7168</v>
      </c>
      <c r="E1420" s="34" t="s">
        <v>8338</v>
      </c>
      <c r="F1420" s="34" t="s">
        <v>280</v>
      </c>
      <c r="G1420" s="34" t="s">
        <v>8439</v>
      </c>
      <c r="H1420" s="35" t="s">
        <v>8440</v>
      </c>
      <c r="I1420" s="36" t="s">
        <v>8441</v>
      </c>
      <c r="J1420" s="34" t="s">
        <v>8442</v>
      </c>
      <c r="K1420" s="34" t="s">
        <v>8443</v>
      </c>
      <c r="L1420" s="37"/>
      <c r="M1420" s="37"/>
      <c r="N1420" s="37"/>
      <c r="O1420" s="37"/>
      <c r="P1420" s="37"/>
      <c r="Q1420" s="37"/>
      <c r="R1420" s="31" t="n">
        <f aca="false">COUNT($M1420:$Q1420)</f>
        <v>0</v>
      </c>
      <c r="S1420" s="32" t="str">
        <f aca="false">IF($L1420="","",IF($R1420&gt;=5,"",MAX($L1420:$Q1420)+CHOOSE($R1420+1,SETTINGS!$C$9,SETTINGS!$C$10,SETTINGS!$C$11,SETTINGS!$C$12,SETTINGS!$C$13)))</f>
        <v/>
      </c>
      <c r="T1420" s="34" t="str">
        <f aca="true">IF($H1420="","(chưa có nội dung)",IF($L1420="",IF($C1420&lt;TODAY(),"⚠ TRỄ HỌC",IF($C1420=TODAY(),"★ HỌC HÔM NAY","• Chưa tới")),IF($R1420&gt;=5,"✔ MASTER",IF($S1420&lt;TODAY(),"⚠ TRỄ ÔN",IF($S1420=TODAY(),"◆ ÔN HÔM NAY","✔ Đúng tiến độ")))))</f>
        <v>• Chưa tới</v>
      </c>
      <c r="U1420" s="38" t="n">
        <f aca="false">IF($H1420="","",$R1420/5)</f>
        <v>0</v>
      </c>
    </row>
    <row r="1421" customFormat="false" ht="26.85" hidden="false" customHeight="false" outlineLevel="0" collapsed="false">
      <c r="A1421" s="31" t="s">
        <v>8444</v>
      </c>
      <c r="B1421" s="31" t="n">
        <v>71</v>
      </c>
      <c r="C1421" s="32" t="n">
        <f aca="false">SETTINGS!$C$3+$B1421-1</f>
        <v>46370</v>
      </c>
      <c r="D1421" s="41" t="s">
        <v>7168</v>
      </c>
      <c r="E1421" s="34" t="s">
        <v>8338</v>
      </c>
      <c r="F1421" s="34" t="s">
        <v>3694</v>
      </c>
      <c r="G1421" s="34" t="s">
        <v>8445</v>
      </c>
      <c r="H1421" s="35" t="s">
        <v>8446</v>
      </c>
      <c r="I1421" s="36" t="s">
        <v>8447</v>
      </c>
      <c r="J1421" s="34" t="s">
        <v>8448</v>
      </c>
      <c r="K1421" s="34" t="s">
        <v>8449</v>
      </c>
      <c r="L1421" s="37"/>
      <c r="M1421" s="37"/>
      <c r="N1421" s="37"/>
      <c r="O1421" s="37"/>
      <c r="P1421" s="37"/>
      <c r="Q1421" s="37"/>
      <c r="R1421" s="31" t="n">
        <f aca="false">COUNT($M1421:$Q1421)</f>
        <v>0</v>
      </c>
      <c r="S1421" s="32" t="str">
        <f aca="false">IF($L1421="","",IF($R1421&gt;=5,"",MAX($L1421:$Q1421)+CHOOSE($R1421+1,SETTINGS!$C$9,SETTINGS!$C$10,SETTINGS!$C$11,SETTINGS!$C$12,SETTINGS!$C$13)))</f>
        <v/>
      </c>
      <c r="T1421" s="34" t="str">
        <f aca="true">IF($H1421="","(chưa có nội dung)",IF($L1421="",IF($C1421&lt;TODAY(),"⚠ TRỄ HỌC",IF($C1421=TODAY(),"★ HỌC HÔM NAY","• Chưa tới")),IF($R1421&gt;=5,"✔ MASTER",IF($S1421&lt;TODAY(),"⚠ TRỄ ÔN",IF($S1421=TODAY(),"◆ ÔN HÔM NAY","✔ Đúng tiến độ")))))</f>
        <v>• Chưa tới</v>
      </c>
      <c r="U1421" s="38" t="n">
        <f aca="false">IF($H1421="","",$R1421/5)</f>
        <v>0</v>
      </c>
    </row>
    <row r="1422" customFormat="false" ht="26.85" hidden="false" customHeight="false" outlineLevel="0" collapsed="false">
      <c r="A1422" s="31" t="s">
        <v>8450</v>
      </c>
      <c r="B1422" s="31" t="n">
        <v>71</v>
      </c>
      <c r="C1422" s="32" t="n">
        <f aca="false">SETTINGS!$C$3+$B1422-1</f>
        <v>46370</v>
      </c>
      <c r="D1422" s="41" t="s">
        <v>7168</v>
      </c>
      <c r="E1422" s="34" t="s">
        <v>8338</v>
      </c>
      <c r="F1422" s="34" t="s">
        <v>183</v>
      </c>
      <c r="G1422" s="34" t="s">
        <v>8451</v>
      </c>
      <c r="H1422" s="35" t="s">
        <v>8452</v>
      </c>
      <c r="I1422" s="36" t="s">
        <v>8453</v>
      </c>
      <c r="J1422" s="34" t="s">
        <v>8454</v>
      </c>
      <c r="K1422" s="34" t="s">
        <v>8455</v>
      </c>
      <c r="L1422" s="37"/>
      <c r="M1422" s="37"/>
      <c r="N1422" s="37"/>
      <c r="O1422" s="37"/>
      <c r="P1422" s="37"/>
      <c r="Q1422" s="37"/>
      <c r="R1422" s="31" t="n">
        <f aca="false">COUNT($M1422:$Q1422)</f>
        <v>0</v>
      </c>
      <c r="S1422" s="32" t="str">
        <f aca="false">IF($L1422="","",IF($R1422&gt;=5,"",MAX($L1422:$Q1422)+CHOOSE($R1422+1,SETTINGS!$C$9,SETTINGS!$C$10,SETTINGS!$C$11,SETTINGS!$C$12,SETTINGS!$C$13)))</f>
        <v/>
      </c>
      <c r="T1422" s="34" t="str">
        <f aca="true">IF($H1422="","(chưa có nội dung)",IF($L1422="",IF($C1422&lt;TODAY(),"⚠ TRỄ HỌC",IF($C1422=TODAY(),"★ HỌC HÔM NAY","• Chưa tới")),IF($R1422&gt;=5,"✔ MASTER",IF($S1422&lt;TODAY(),"⚠ TRỄ ÔN",IF($S1422=TODAY(),"◆ ÔN HÔM NAY","✔ Đúng tiến độ")))))</f>
        <v>• Chưa tới</v>
      </c>
      <c r="U1422" s="38" t="n">
        <f aca="false">IF($H1422="","",$R1422/5)</f>
        <v>0</v>
      </c>
    </row>
    <row r="1423" customFormat="false" ht="15" hidden="false" customHeight="false" outlineLevel="0" collapsed="false">
      <c r="A1423" s="31" t="s">
        <v>8456</v>
      </c>
      <c r="B1423" s="31" t="n">
        <v>72</v>
      </c>
      <c r="C1423" s="32" t="n">
        <f aca="false">SETTINGS!$C$3+$B1423-1</f>
        <v>46371</v>
      </c>
      <c r="D1423" s="41" t="s">
        <v>7168</v>
      </c>
      <c r="E1423" s="34" t="s">
        <v>8457</v>
      </c>
      <c r="F1423" s="34" t="s">
        <v>280</v>
      </c>
      <c r="G1423" s="34" t="s">
        <v>8458</v>
      </c>
      <c r="H1423" s="35" t="s">
        <v>8459</v>
      </c>
      <c r="I1423" s="36" t="s">
        <v>8460</v>
      </c>
      <c r="J1423" s="34" t="s">
        <v>8461</v>
      </c>
      <c r="K1423" s="34" t="s">
        <v>5656</v>
      </c>
      <c r="L1423" s="37"/>
      <c r="M1423" s="37"/>
      <c r="N1423" s="37"/>
      <c r="O1423" s="37"/>
      <c r="P1423" s="37"/>
      <c r="Q1423" s="37"/>
      <c r="R1423" s="31" t="n">
        <f aca="false">COUNT($M1423:$Q1423)</f>
        <v>0</v>
      </c>
      <c r="S1423" s="32" t="str">
        <f aca="false">IF($L1423="","",IF($R1423&gt;=5,"",MAX($L1423:$Q1423)+CHOOSE($R1423+1,SETTINGS!$C$9,SETTINGS!$C$10,SETTINGS!$C$11,SETTINGS!$C$12,SETTINGS!$C$13)))</f>
        <v/>
      </c>
      <c r="T1423" s="34" t="str">
        <f aca="true">IF($H1423="","(chưa có nội dung)",IF($L1423="",IF($C1423&lt;TODAY(),"⚠ TRỄ HỌC",IF($C1423=TODAY(),"★ HỌC HÔM NAY","• Chưa tới")),IF($R1423&gt;=5,"✔ MASTER",IF($S1423&lt;TODAY(),"⚠ TRỄ ÔN",IF($S1423=TODAY(),"◆ ÔN HÔM NAY","✔ Đúng tiến độ")))))</f>
        <v>• Chưa tới</v>
      </c>
      <c r="U1423" s="38" t="n">
        <f aca="false">IF($H1423="","",$R1423/5)</f>
        <v>0</v>
      </c>
    </row>
    <row r="1424" customFormat="false" ht="15" hidden="false" customHeight="false" outlineLevel="0" collapsed="false">
      <c r="A1424" s="31" t="s">
        <v>8462</v>
      </c>
      <c r="B1424" s="31" t="n">
        <v>72</v>
      </c>
      <c r="C1424" s="32" t="n">
        <f aca="false">SETTINGS!$C$3+$B1424-1</f>
        <v>46371</v>
      </c>
      <c r="D1424" s="41" t="s">
        <v>7168</v>
      </c>
      <c r="E1424" s="34" t="s">
        <v>8457</v>
      </c>
      <c r="F1424" s="34" t="s">
        <v>3656</v>
      </c>
      <c r="G1424" s="34" t="s">
        <v>4633</v>
      </c>
      <c r="H1424" s="35" t="s">
        <v>8463</v>
      </c>
      <c r="I1424" s="36" t="s">
        <v>8464</v>
      </c>
      <c r="J1424" s="34" t="s">
        <v>8465</v>
      </c>
      <c r="K1424" s="34" t="s">
        <v>8466</v>
      </c>
      <c r="L1424" s="37"/>
      <c r="M1424" s="37"/>
      <c r="N1424" s="37"/>
      <c r="O1424" s="37"/>
      <c r="P1424" s="37"/>
      <c r="Q1424" s="37"/>
      <c r="R1424" s="31" t="n">
        <f aca="false">COUNT($M1424:$Q1424)</f>
        <v>0</v>
      </c>
      <c r="S1424" s="32" t="str">
        <f aca="false">IF($L1424="","",IF($R1424&gt;=5,"",MAX($L1424:$Q1424)+CHOOSE($R1424+1,SETTINGS!$C$9,SETTINGS!$C$10,SETTINGS!$C$11,SETTINGS!$C$12,SETTINGS!$C$13)))</f>
        <v/>
      </c>
      <c r="T1424" s="34" t="str">
        <f aca="true">IF($H1424="","(chưa có nội dung)",IF($L1424="",IF($C1424&lt;TODAY(),"⚠ TRỄ HỌC",IF($C1424=TODAY(),"★ HỌC HÔM NAY","• Chưa tới")),IF($R1424&gt;=5,"✔ MASTER",IF($S1424&lt;TODAY(),"⚠ TRỄ ÔN",IF($S1424=TODAY(),"◆ ÔN HÔM NAY","✔ Đúng tiến độ")))))</f>
        <v>• Chưa tới</v>
      </c>
      <c r="U1424" s="38" t="n">
        <f aca="false">IF($H1424="","",$R1424/5)</f>
        <v>0</v>
      </c>
    </row>
    <row r="1425" customFormat="false" ht="15" hidden="false" customHeight="false" outlineLevel="0" collapsed="false">
      <c r="A1425" s="31" t="s">
        <v>8467</v>
      </c>
      <c r="B1425" s="31" t="n">
        <v>72</v>
      </c>
      <c r="C1425" s="32" t="n">
        <f aca="false">SETTINGS!$C$3+$B1425-1</f>
        <v>46371</v>
      </c>
      <c r="D1425" s="41" t="s">
        <v>7168</v>
      </c>
      <c r="E1425" s="34" t="s">
        <v>8457</v>
      </c>
      <c r="F1425" s="34" t="s">
        <v>280</v>
      </c>
      <c r="G1425" s="34" t="s">
        <v>8468</v>
      </c>
      <c r="H1425" s="35" t="s">
        <v>8469</v>
      </c>
      <c r="I1425" s="36" t="s">
        <v>8470</v>
      </c>
      <c r="J1425" s="34" t="s">
        <v>8471</v>
      </c>
      <c r="K1425" s="34" t="s">
        <v>8472</v>
      </c>
      <c r="L1425" s="37"/>
      <c r="M1425" s="37"/>
      <c r="N1425" s="37"/>
      <c r="O1425" s="37"/>
      <c r="P1425" s="37"/>
      <c r="Q1425" s="37"/>
      <c r="R1425" s="31" t="n">
        <f aca="false">COUNT($M1425:$Q1425)</f>
        <v>0</v>
      </c>
      <c r="S1425" s="32" t="str">
        <f aca="false">IF($L1425="","",IF($R1425&gt;=5,"",MAX($L1425:$Q1425)+CHOOSE($R1425+1,SETTINGS!$C$9,SETTINGS!$C$10,SETTINGS!$C$11,SETTINGS!$C$12,SETTINGS!$C$13)))</f>
        <v/>
      </c>
      <c r="T1425" s="34" t="str">
        <f aca="true">IF($H1425="","(chưa có nội dung)",IF($L1425="",IF($C1425&lt;TODAY(),"⚠ TRỄ HỌC",IF($C1425=TODAY(),"★ HỌC HÔM NAY","• Chưa tới")),IF($R1425&gt;=5,"✔ MASTER",IF($S1425&lt;TODAY(),"⚠ TRỄ ÔN",IF($S1425=TODAY(),"◆ ÔN HÔM NAY","✔ Đúng tiến độ")))))</f>
        <v>• Chưa tới</v>
      </c>
      <c r="U1425" s="38" t="n">
        <f aca="false">IF($H1425="","",$R1425/5)</f>
        <v>0</v>
      </c>
    </row>
    <row r="1426" customFormat="false" ht="15" hidden="false" customHeight="false" outlineLevel="0" collapsed="false">
      <c r="A1426" s="31" t="s">
        <v>8473</v>
      </c>
      <c r="B1426" s="31" t="n">
        <v>72</v>
      </c>
      <c r="C1426" s="32" t="n">
        <f aca="false">SETTINGS!$C$3+$B1426-1</f>
        <v>46371</v>
      </c>
      <c r="D1426" s="41" t="s">
        <v>7168</v>
      </c>
      <c r="E1426" s="34" t="s">
        <v>8457</v>
      </c>
      <c r="F1426" s="34" t="s">
        <v>3694</v>
      </c>
      <c r="G1426" s="34" t="s">
        <v>8474</v>
      </c>
      <c r="H1426" s="35" t="s">
        <v>8475</v>
      </c>
      <c r="I1426" s="36" t="s">
        <v>8476</v>
      </c>
      <c r="J1426" s="34" t="s">
        <v>8477</v>
      </c>
      <c r="K1426" s="34" t="s">
        <v>8478</v>
      </c>
      <c r="L1426" s="37"/>
      <c r="M1426" s="37"/>
      <c r="N1426" s="37"/>
      <c r="O1426" s="37"/>
      <c r="P1426" s="37"/>
      <c r="Q1426" s="37"/>
      <c r="R1426" s="31" t="n">
        <f aca="false">COUNT($M1426:$Q1426)</f>
        <v>0</v>
      </c>
      <c r="S1426" s="32" t="str">
        <f aca="false">IF($L1426="","",IF($R1426&gt;=5,"",MAX($L1426:$Q1426)+CHOOSE($R1426+1,SETTINGS!$C$9,SETTINGS!$C$10,SETTINGS!$C$11,SETTINGS!$C$12,SETTINGS!$C$13)))</f>
        <v/>
      </c>
      <c r="T1426" s="34" t="str">
        <f aca="true">IF($H1426="","(chưa có nội dung)",IF($L1426="",IF($C1426&lt;TODAY(),"⚠ TRỄ HỌC",IF($C1426=TODAY(),"★ HỌC HÔM NAY","• Chưa tới")),IF($R1426&gt;=5,"✔ MASTER",IF($S1426&lt;TODAY(),"⚠ TRỄ ÔN",IF($S1426=TODAY(),"◆ ÔN HÔM NAY","✔ Đúng tiến độ")))))</f>
        <v>• Chưa tới</v>
      </c>
      <c r="U1426" s="38" t="n">
        <f aca="false">IF($H1426="","",$R1426/5)</f>
        <v>0</v>
      </c>
    </row>
    <row r="1427" customFormat="false" ht="15" hidden="false" customHeight="false" outlineLevel="0" collapsed="false">
      <c r="A1427" s="31" t="s">
        <v>8479</v>
      </c>
      <c r="B1427" s="31" t="n">
        <v>72</v>
      </c>
      <c r="C1427" s="32" t="n">
        <f aca="false">SETTINGS!$C$3+$B1427-1</f>
        <v>46371</v>
      </c>
      <c r="D1427" s="41" t="s">
        <v>7168</v>
      </c>
      <c r="E1427" s="34" t="s">
        <v>8457</v>
      </c>
      <c r="F1427" s="34" t="s">
        <v>280</v>
      </c>
      <c r="G1427" s="34" t="s">
        <v>8480</v>
      </c>
      <c r="H1427" s="35" t="s">
        <v>8481</v>
      </c>
      <c r="I1427" s="36" t="s">
        <v>8482</v>
      </c>
      <c r="J1427" s="34" t="s">
        <v>8483</v>
      </c>
      <c r="K1427" s="34" t="s">
        <v>8484</v>
      </c>
      <c r="L1427" s="37"/>
      <c r="M1427" s="37"/>
      <c r="N1427" s="37"/>
      <c r="O1427" s="37"/>
      <c r="P1427" s="37"/>
      <c r="Q1427" s="37"/>
      <c r="R1427" s="31" t="n">
        <f aca="false">COUNT($M1427:$Q1427)</f>
        <v>0</v>
      </c>
      <c r="S1427" s="32" t="str">
        <f aca="false">IF($L1427="","",IF($R1427&gt;=5,"",MAX($L1427:$Q1427)+CHOOSE($R1427+1,SETTINGS!$C$9,SETTINGS!$C$10,SETTINGS!$C$11,SETTINGS!$C$12,SETTINGS!$C$13)))</f>
        <v/>
      </c>
      <c r="T1427" s="34" t="str">
        <f aca="true">IF($H1427="","(chưa có nội dung)",IF($L1427="",IF($C1427&lt;TODAY(),"⚠ TRỄ HỌC",IF($C1427=TODAY(),"★ HỌC HÔM NAY","• Chưa tới")),IF($R1427&gt;=5,"✔ MASTER",IF($S1427&lt;TODAY(),"⚠ TRỄ ÔN",IF($S1427=TODAY(),"◆ ÔN HÔM NAY","✔ Đúng tiến độ")))))</f>
        <v>• Chưa tới</v>
      </c>
      <c r="U1427" s="38" t="n">
        <f aca="false">IF($H1427="","",$R1427/5)</f>
        <v>0</v>
      </c>
    </row>
    <row r="1428" customFormat="false" ht="15" hidden="false" customHeight="false" outlineLevel="0" collapsed="false">
      <c r="A1428" s="31" t="s">
        <v>8485</v>
      </c>
      <c r="B1428" s="31" t="n">
        <v>72</v>
      </c>
      <c r="C1428" s="32" t="n">
        <f aca="false">SETTINGS!$C$3+$B1428-1</f>
        <v>46371</v>
      </c>
      <c r="D1428" s="41" t="s">
        <v>7168</v>
      </c>
      <c r="E1428" s="34" t="s">
        <v>8457</v>
      </c>
      <c r="F1428" s="34" t="s">
        <v>280</v>
      </c>
      <c r="G1428" s="34" t="s">
        <v>8486</v>
      </c>
      <c r="H1428" s="35" t="s">
        <v>8487</v>
      </c>
      <c r="I1428" s="36" t="s">
        <v>8488</v>
      </c>
      <c r="J1428" s="34" t="s">
        <v>8489</v>
      </c>
      <c r="K1428" s="34" t="s">
        <v>8490</v>
      </c>
      <c r="L1428" s="37"/>
      <c r="M1428" s="37"/>
      <c r="N1428" s="37"/>
      <c r="O1428" s="37"/>
      <c r="P1428" s="37"/>
      <c r="Q1428" s="37"/>
      <c r="R1428" s="31" t="n">
        <f aca="false">COUNT($M1428:$Q1428)</f>
        <v>0</v>
      </c>
      <c r="S1428" s="32" t="str">
        <f aca="false">IF($L1428="","",IF($R1428&gt;=5,"",MAX($L1428:$Q1428)+CHOOSE($R1428+1,SETTINGS!$C$9,SETTINGS!$C$10,SETTINGS!$C$11,SETTINGS!$C$12,SETTINGS!$C$13)))</f>
        <v/>
      </c>
      <c r="T1428" s="34" t="str">
        <f aca="true">IF($H1428="","(chưa có nội dung)",IF($L1428="",IF($C1428&lt;TODAY(),"⚠ TRỄ HỌC",IF($C1428=TODAY(),"★ HỌC HÔM NAY","• Chưa tới")),IF($R1428&gt;=5,"✔ MASTER",IF($S1428&lt;TODAY(),"⚠ TRỄ ÔN",IF($S1428=TODAY(),"◆ ÔN HÔM NAY","✔ Đúng tiến độ")))))</f>
        <v>• Chưa tới</v>
      </c>
      <c r="U1428" s="38" t="n">
        <f aca="false">IF($H1428="","",$R1428/5)</f>
        <v>0</v>
      </c>
    </row>
    <row r="1429" customFormat="false" ht="15" hidden="false" customHeight="false" outlineLevel="0" collapsed="false">
      <c r="A1429" s="31" t="s">
        <v>8491</v>
      </c>
      <c r="B1429" s="31" t="n">
        <v>72</v>
      </c>
      <c r="C1429" s="32" t="n">
        <f aca="false">SETTINGS!$C$3+$B1429-1</f>
        <v>46371</v>
      </c>
      <c r="D1429" s="41" t="s">
        <v>7168</v>
      </c>
      <c r="E1429" s="34" t="s">
        <v>8457</v>
      </c>
      <c r="F1429" s="34" t="s">
        <v>4047</v>
      </c>
      <c r="G1429" s="34" t="s">
        <v>8492</v>
      </c>
      <c r="H1429" s="35" t="s">
        <v>8493</v>
      </c>
      <c r="I1429" s="36" t="s">
        <v>8494</v>
      </c>
      <c r="J1429" s="34" t="s">
        <v>8495</v>
      </c>
      <c r="K1429" s="34" t="s">
        <v>8496</v>
      </c>
      <c r="L1429" s="37"/>
      <c r="M1429" s="37"/>
      <c r="N1429" s="37"/>
      <c r="O1429" s="37"/>
      <c r="P1429" s="37"/>
      <c r="Q1429" s="37"/>
      <c r="R1429" s="31" t="n">
        <f aca="false">COUNT($M1429:$Q1429)</f>
        <v>0</v>
      </c>
      <c r="S1429" s="32" t="str">
        <f aca="false">IF($L1429="","",IF($R1429&gt;=5,"",MAX($L1429:$Q1429)+CHOOSE($R1429+1,SETTINGS!$C$9,SETTINGS!$C$10,SETTINGS!$C$11,SETTINGS!$C$12,SETTINGS!$C$13)))</f>
        <v/>
      </c>
      <c r="T1429" s="34" t="str">
        <f aca="true">IF($H1429="","(chưa có nội dung)",IF($L1429="",IF($C1429&lt;TODAY(),"⚠ TRỄ HỌC",IF($C1429=TODAY(),"★ HỌC HÔM NAY","• Chưa tới")),IF($R1429&gt;=5,"✔ MASTER",IF($S1429&lt;TODAY(),"⚠ TRỄ ÔN",IF($S1429=TODAY(),"◆ ÔN HÔM NAY","✔ Đúng tiến độ")))))</f>
        <v>• Chưa tới</v>
      </c>
      <c r="U1429" s="38" t="n">
        <f aca="false">IF($H1429="","",$R1429/5)</f>
        <v>0</v>
      </c>
    </row>
    <row r="1430" customFormat="false" ht="23.85" hidden="false" customHeight="false" outlineLevel="0" collapsed="false">
      <c r="A1430" s="31" t="s">
        <v>8497</v>
      </c>
      <c r="B1430" s="31" t="n">
        <v>72</v>
      </c>
      <c r="C1430" s="32" t="n">
        <f aca="false">SETTINGS!$C$3+$B1430-1</f>
        <v>46371</v>
      </c>
      <c r="D1430" s="41" t="s">
        <v>7168</v>
      </c>
      <c r="E1430" s="34" t="s">
        <v>8457</v>
      </c>
      <c r="F1430" s="34" t="s">
        <v>5676</v>
      </c>
      <c r="G1430" s="34" t="s">
        <v>8498</v>
      </c>
      <c r="H1430" s="35" t="s">
        <v>8499</v>
      </c>
      <c r="I1430" s="36" t="s">
        <v>8500</v>
      </c>
      <c r="J1430" s="34" t="s">
        <v>8501</v>
      </c>
      <c r="K1430" s="34" t="s">
        <v>8502</v>
      </c>
      <c r="L1430" s="37"/>
      <c r="M1430" s="37"/>
      <c r="N1430" s="37"/>
      <c r="O1430" s="37"/>
      <c r="P1430" s="37"/>
      <c r="Q1430" s="37"/>
      <c r="R1430" s="31" t="n">
        <f aca="false">COUNT($M1430:$Q1430)</f>
        <v>0</v>
      </c>
      <c r="S1430" s="32" t="str">
        <f aca="false">IF($L1430="","",IF($R1430&gt;=5,"",MAX($L1430:$Q1430)+CHOOSE($R1430+1,SETTINGS!$C$9,SETTINGS!$C$10,SETTINGS!$C$11,SETTINGS!$C$12,SETTINGS!$C$13)))</f>
        <v/>
      </c>
      <c r="T1430" s="34" t="str">
        <f aca="true">IF($H1430="","(chưa có nội dung)",IF($L1430="",IF($C1430&lt;TODAY(),"⚠ TRỄ HỌC",IF($C1430=TODAY(),"★ HỌC HÔM NAY","• Chưa tới")),IF($R1430&gt;=5,"✔ MASTER",IF($S1430&lt;TODAY(),"⚠ TRỄ ÔN",IF($S1430=TODAY(),"◆ ÔN HÔM NAY","✔ Đúng tiến độ")))))</f>
        <v>• Chưa tới</v>
      </c>
      <c r="U1430" s="38" t="n">
        <f aca="false">IF($H1430="","",$R1430/5)</f>
        <v>0</v>
      </c>
    </row>
    <row r="1431" customFormat="false" ht="26.85" hidden="false" customHeight="false" outlineLevel="0" collapsed="false">
      <c r="A1431" s="31" t="s">
        <v>8503</v>
      </c>
      <c r="B1431" s="31" t="n">
        <v>72</v>
      </c>
      <c r="C1431" s="32" t="n">
        <f aca="false">SETTINGS!$C$3+$B1431-1</f>
        <v>46371</v>
      </c>
      <c r="D1431" s="41" t="s">
        <v>7168</v>
      </c>
      <c r="E1431" s="34" t="s">
        <v>8457</v>
      </c>
      <c r="F1431" s="34" t="s">
        <v>3656</v>
      </c>
      <c r="G1431" s="34" t="s">
        <v>6895</v>
      </c>
      <c r="H1431" s="35" t="s">
        <v>8504</v>
      </c>
      <c r="I1431" s="36" t="s">
        <v>8505</v>
      </c>
      <c r="J1431" s="34" t="s">
        <v>8506</v>
      </c>
      <c r="K1431" s="34" t="s">
        <v>8507</v>
      </c>
      <c r="L1431" s="37"/>
      <c r="M1431" s="37"/>
      <c r="N1431" s="37"/>
      <c r="O1431" s="37"/>
      <c r="P1431" s="37"/>
      <c r="Q1431" s="37"/>
      <c r="R1431" s="31" t="n">
        <f aca="false">COUNT($M1431:$Q1431)</f>
        <v>0</v>
      </c>
      <c r="S1431" s="32" t="str">
        <f aca="false">IF($L1431="","",IF($R1431&gt;=5,"",MAX($L1431:$Q1431)+CHOOSE($R1431+1,SETTINGS!$C$9,SETTINGS!$C$10,SETTINGS!$C$11,SETTINGS!$C$12,SETTINGS!$C$13)))</f>
        <v/>
      </c>
      <c r="T1431" s="34" t="str">
        <f aca="true">IF($H1431="","(chưa có nội dung)",IF($L1431="",IF($C1431&lt;TODAY(),"⚠ TRỄ HỌC",IF($C1431=TODAY(),"★ HỌC HÔM NAY","• Chưa tới")),IF($R1431&gt;=5,"✔ MASTER",IF($S1431&lt;TODAY(),"⚠ TRỄ ÔN",IF($S1431=TODAY(),"◆ ÔN HÔM NAY","✔ Đúng tiến độ")))))</f>
        <v>• Chưa tới</v>
      </c>
      <c r="U1431" s="38" t="n">
        <f aca="false">IF($H1431="","",$R1431/5)</f>
        <v>0</v>
      </c>
    </row>
    <row r="1432" customFormat="false" ht="15" hidden="false" customHeight="false" outlineLevel="0" collapsed="false">
      <c r="A1432" s="31" t="s">
        <v>8508</v>
      </c>
      <c r="B1432" s="31" t="n">
        <v>72</v>
      </c>
      <c r="C1432" s="32" t="n">
        <f aca="false">SETTINGS!$C$3+$B1432-1</f>
        <v>46371</v>
      </c>
      <c r="D1432" s="41" t="s">
        <v>7168</v>
      </c>
      <c r="E1432" s="34" t="s">
        <v>8457</v>
      </c>
      <c r="F1432" s="34" t="s">
        <v>3656</v>
      </c>
      <c r="G1432" s="34" t="s">
        <v>7581</v>
      </c>
      <c r="H1432" s="35" t="s">
        <v>8509</v>
      </c>
      <c r="I1432" s="36" t="s">
        <v>8510</v>
      </c>
      <c r="J1432" s="34" t="s">
        <v>8511</v>
      </c>
      <c r="K1432" s="34" t="s">
        <v>8512</v>
      </c>
      <c r="L1432" s="37"/>
      <c r="M1432" s="37"/>
      <c r="N1432" s="37"/>
      <c r="O1432" s="37"/>
      <c r="P1432" s="37"/>
      <c r="Q1432" s="37"/>
      <c r="R1432" s="31" t="n">
        <f aca="false">COUNT($M1432:$Q1432)</f>
        <v>0</v>
      </c>
      <c r="S1432" s="32" t="str">
        <f aca="false">IF($L1432="","",IF($R1432&gt;=5,"",MAX($L1432:$Q1432)+CHOOSE($R1432+1,SETTINGS!$C$9,SETTINGS!$C$10,SETTINGS!$C$11,SETTINGS!$C$12,SETTINGS!$C$13)))</f>
        <v/>
      </c>
      <c r="T1432" s="34" t="str">
        <f aca="true">IF($H1432="","(chưa có nội dung)",IF($L1432="",IF($C1432&lt;TODAY(),"⚠ TRỄ HỌC",IF($C1432=TODAY(),"★ HỌC HÔM NAY","• Chưa tới")),IF($R1432&gt;=5,"✔ MASTER",IF($S1432&lt;TODAY(),"⚠ TRỄ ÔN",IF($S1432=TODAY(),"◆ ÔN HÔM NAY","✔ Đúng tiến độ")))))</f>
        <v>• Chưa tới</v>
      </c>
      <c r="U1432" s="38" t="n">
        <f aca="false">IF($H1432="","",$R1432/5)</f>
        <v>0</v>
      </c>
    </row>
    <row r="1433" customFormat="false" ht="26.85" hidden="false" customHeight="false" outlineLevel="0" collapsed="false">
      <c r="A1433" s="31" t="s">
        <v>8513</v>
      </c>
      <c r="B1433" s="31" t="n">
        <v>72</v>
      </c>
      <c r="C1433" s="32" t="n">
        <f aca="false">SETTINGS!$C$3+$B1433-1</f>
        <v>46371</v>
      </c>
      <c r="D1433" s="41" t="s">
        <v>7168</v>
      </c>
      <c r="E1433" s="34" t="s">
        <v>8457</v>
      </c>
      <c r="F1433" s="34" t="s">
        <v>280</v>
      </c>
      <c r="G1433" s="34" t="s">
        <v>8514</v>
      </c>
      <c r="H1433" s="35" t="s">
        <v>8515</v>
      </c>
      <c r="I1433" s="36" t="s">
        <v>8516</v>
      </c>
      <c r="J1433" s="34" t="s">
        <v>8517</v>
      </c>
      <c r="K1433" s="34" t="s">
        <v>8077</v>
      </c>
      <c r="L1433" s="37"/>
      <c r="M1433" s="37"/>
      <c r="N1433" s="37"/>
      <c r="O1433" s="37"/>
      <c r="P1433" s="37"/>
      <c r="Q1433" s="37"/>
      <c r="R1433" s="31" t="n">
        <f aca="false">COUNT($M1433:$Q1433)</f>
        <v>0</v>
      </c>
      <c r="S1433" s="32" t="str">
        <f aca="false">IF($L1433="","",IF($R1433&gt;=5,"",MAX($L1433:$Q1433)+CHOOSE($R1433+1,SETTINGS!$C$9,SETTINGS!$C$10,SETTINGS!$C$11,SETTINGS!$C$12,SETTINGS!$C$13)))</f>
        <v/>
      </c>
      <c r="T1433" s="34" t="str">
        <f aca="true">IF($H1433="","(chưa có nội dung)",IF($L1433="",IF($C1433&lt;TODAY(),"⚠ TRỄ HỌC",IF($C1433=TODAY(),"★ HỌC HÔM NAY","• Chưa tới")),IF($R1433&gt;=5,"✔ MASTER",IF($S1433&lt;TODAY(),"⚠ TRỄ ÔN",IF($S1433=TODAY(),"◆ ÔN HÔM NAY","✔ Đúng tiến độ")))))</f>
        <v>• Chưa tới</v>
      </c>
      <c r="U1433" s="38" t="n">
        <f aca="false">IF($H1433="","",$R1433/5)</f>
        <v>0</v>
      </c>
    </row>
    <row r="1434" customFormat="false" ht="15" hidden="false" customHeight="false" outlineLevel="0" collapsed="false">
      <c r="A1434" s="31" t="s">
        <v>8518</v>
      </c>
      <c r="B1434" s="31" t="n">
        <v>72</v>
      </c>
      <c r="C1434" s="32" t="n">
        <f aca="false">SETTINGS!$C$3+$B1434-1</f>
        <v>46371</v>
      </c>
      <c r="D1434" s="41" t="s">
        <v>7168</v>
      </c>
      <c r="E1434" s="34" t="s">
        <v>8457</v>
      </c>
      <c r="F1434" s="34" t="s">
        <v>280</v>
      </c>
      <c r="G1434" s="34" t="s">
        <v>1918</v>
      </c>
      <c r="H1434" s="35" t="s">
        <v>8519</v>
      </c>
      <c r="I1434" s="36" t="s">
        <v>8520</v>
      </c>
      <c r="J1434" s="34" t="s">
        <v>8521</v>
      </c>
      <c r="K1434" s="34" t="s">
        <v>8522</v>
      </c>
      <c r="L1434" s="37"/>
      <c r="M1434" s="37"/>
      <c r="N1434" s="37"/>
      <c r="O1434" s="37"/>
      <c r="P1434" s="37"/>
      <c r="Q1434" s="37"/>
      <c r="R1434" s="31" t="n">
        <f aca="false">COUNT($M1434:$Q1434)</f>
        <v>0</v>
      </c>
      <c r="S1434" s="32" t="str">
        <f aca="false">IF($L1434="","",IF($R1434&gt;=5,"",MAX($L1434:$Q1434)+CHOOSE($R1434+1,SETTINGS!$C$9,SETTINGS!$C$10,SETTINGS!$C$11,SETTINGS!$C$12,SETTINGS!$C$13)))</f>
        <v/>
      </c>
      <c r="T1434" s="34" t="str">
        <f aca="true">IF($H1434="","(chưa có nội dung)",IF($L1434="",IF($C1434&lt;TODAY(),"⚠ TRỄ HỌC",IF($C1434=TODAY(),"★ HỌC HÔM NAY","• Chưa tới")),IF($R1434&gt;=5,"✔ MASTER",IF($S1434&lt;TODAY(),"⚠ TRỄ ÔN",IF($S1434=TODAY(),"◆ ÔN HÔM NAY","✔ Đúng tiến độ")))))</f>
        <v>• Chưa tới</v>
      </c>
      <c r="U1434" s="38" t="n">
        <f aca="false">IF($H1434="","",$R1434/5)</f>
        <v>0</v>
      </c>
    </row>
    <row r="1435" customFormat="false" ht="23.85" hidden="false" customHeight="false" outlineLevel="0" collapsed="false">
      <c r="A1435" s="31" t="s">
        <v>8523</v>
      </c>
      <c r="B1435" s="31" t="n">
        <v>72</v>
      </c>
      <c r="C1435" s="32" t="n">
        <f aca="false">SETTINGS!$C$3+$B1435-1</f>
        <v>46371</v>
      </c>
      <c r="D1435" s="41" t="s">
        <v>7168</v>
      </c>
      <c r="E1435" s="34" t="s">
        <v>8457</v>
      </c>
      <c r="F1435" s="34" t="s">
        <v>280</v>
      </c>
      <c r="G1435" s="34" t="s">
        <v>8524</v>
      </c>
      <c r="H1435" s="35" t="s">
        <v>8525</v>
      </c>
      <c r="I1435" s="36" t="s">
        <v>8526</v>
      </c>
      <c r="J1435" s="34" t="s">
        <v>8527</v>
      </c>
      <c r="K1435" s="34" t="s">
        <v>8528</v>
      </c>
      <c r="L1435" s="37"/>
      <c r="M1435" s="37"/>
      <c r="N1435" s="37"/>
      <c r="O1435" s="37"/>
      <c r="P1435" s="37"/>
      <c r="Q1435" s="37"/>
      <c r="R1435" s="31" t="n">
        <f aca="false">COUNT($M1435:$Q1435)</f>
        <v>0</v>
      </c>
      <c r="S1435" s="32" t="str">
        <f aca="false">IF($L1435="","",IF($R1435&gt;=5,"",MAX($L1435:$Q1435)+CHOOSE($R1435+1,SETTINGS!$C$9,SETTINGS!$C$10,SETTINGS!$C$11,SETTINGS!$C$12,SETTINGS!$C$13)))</f>
        <v/>
      </c>
      <c r="T1435" s="34" t="str">
        <f aca="true">IF($H1435="","(chưa có nội dung)",IF($L1435="",IF($C1435&lt;TODAY(),"⚠ TRỄ HỌC",IF($C1435=TODAY(),"★ HỌC HÔM NAY","• Chưa tới")),IF($R1435&gt;=5,"✔ MASTER",IF($S1435&lt;TODAY(),"⚠ TRỄ ÔN",IF($S1435=TODAY(),"◆ ÔN HÔM NAY","✔ Đúng tiến độ")))))</f>
        <v>• Chưa tới</v>
      </c>
      <c r="U1435" s="38" t="n">
        <f aca="false">IF($H1435="","",$R1435/5)</f>
        <v>0</v>
      </c>
    </row>
    <row r="1436" customFormat="false" ht="15" hidden="false" customHeight="false" outlineLevel="0" collapsed="false">
      <c r="A1436" s="31" t="s">
        <v>8529</v>
      </c>
      <c r="B1436" s="31" t="n">
        <v>72</v>
      </c>
      <c r="C1436" s="32" t="n">
        <f aca="false">SETTINGS!$C$3+$B1436-1</f>
        <v>46371</v>
      </c>
      <c r="D1436" s="41" t="s">
        <v>7168</v>
      </c>
      <c r="E1436" s="34" t="s">
        <v>8457</v>
      </c>
      <c r="F1436" s="34" t="s">
        <v>280</v>
      </c>
      <c r="G1436" s="34" t="s">
        <v>8530</v>
      </c>
      <c r="H1436" s="35" t="s">
        <v>8531</v>
      </c>
      <c r="I1436" s="36" t="s">
        <v>8532</v>
      </c>
      <c r="J1436" s="34" t="s">
        <v>8533</v>
      </c>
      <c r="K1436" s="34" t="s">
        <v>8534</v>
      </c>
      <c r="L1436" s="37"/>
      <c r="M1436" s="37"/>
      <c r="N1436" s="37"/>
      <c r="O1436" s="37"/>
      <c r="P1436" s="37"/>
      <c r="Q1436" s="37"/>
      <c r="R1436" s="31" t="n">
        <f aca="false">COUNT($M1436:$Q1436)</f>
        <v>0</v>
      </c>
      <c r="S1436" s="32" t="str">
        <f aca="false">IF($L1436="","",IF($R1436&gt;=5,"",MAX($L1436:$Q1436)+CHOOSE($R1436+1,SETTINGS!$C$9,SETTINGS!$C$10,SETTINGS!$C$11,SETTINGS!$C$12,SETTINGS!$C$13)))</f>
        <v/>
      </c>
      <c r="T1436" s="34" t="str">
        <f aca="true">IF($H1436="","(chưa có nội dung)",IF($L1436="",IF($C1436&lt;TODAY(),"⚠ TRỄ HỌC",IF($C1436=TODAY(),"★ HỌC HÔM NAY","• Chưa tới")),IF($R1436&gt;=5,"✔ MASTER",IF($S1436&lt;TODAY(),"⚠ TRỄ ÔN",IF($S1436=TODAY(),"◆ ÔN HÔM NAY","✔ Đúng tiến độ")))))</f>
        <v>• Chưa tới</v>
      </c>
      <c r="U1436" s="38" t="n">
        <f aca="false">IF($H1436="","",$R1436/5)</f>
        <v>0</v>
      </c>
    </row>
    <row r="1437" customFormat="false" ht="26.85" hidden="false" customHeight="false" outlineLevel="0" collapsed="false">
      <c r="A1437" s="31" t="s">
        <v>8535</v>
      </c>
      <c r="B1437" s="31" t="n">
        <v>72</v>
      </c>
      <c r="C1437" s="32" t="n">
        <f aca="false">SETTINGS!$C$3+$B1437-1</f>
        <v>46371</v>
      </c>
      <c r="D1437" s="41" t="s">
        <v>7168</v>
      </c>
      <c r="E1437" s="34" t="s">
        <v>8457</v>
      </c>
      <c r="F1437" s="34" t="s">
        <v>280</v>
      </c>
      <c r="G1437" s="34" t="s">
        <v>8536</v>
      </c>
      <c r="H1437" s="35" t="s">
        <v>8537</v>
      </c>
      <c r="I1437" s="36" t="s">
        <v>8538</v>
      </c>
      <c r="J1437" s="34" t="s">
        <v>8539</v>
      </c>
      <c r="K1437" s="34" t="s">
        <v>8540</v>
      </c>
      <c r="L1437" s="37"/>
      <c r="M1437" s="37"/>
      <c r="N1437" s="37"/>
      <c r="O1437" s="37"/>
      <c r="P1437" s="37"/>
      <c r="Q1437" s="37"/>
      <c r="R1437" s="31" t="n">
        <f aca="false">COUNT($M1437:$Q1437)</f>
        <v>0</v>
      </c>
      <c r="S1437" s="32" t="str">
        <f aca="false">IF($L1437="","",IF($R1437&gt;=5,"",MAX($L1437:$Q1437)+CHOOSE($R1437+1,SETTINGS!$C$9,SETTINGS!$C$10,SETTINGS!$C$11,SETTINGS!$C$12,SETTINGS!$C$13)))</f>
        <v/>
      </c>
      <c r="T1437" s="34" t="str">
        <f aca="true">IF($H1437="","(chưa có nội dung)",IF($L1437="",IF($C1437&lt;TODAY(),"⚠ TRỄ HỌC",IF($C1437=TODAY(),"★ HỌC HÔM NAY","• Chưa tới")),IF($R1437&gt;=5,"✔ MASTER",IF($S1437&lt;TODAY(),"⚠ TRỄ ÔN",IF($S1437=TODAY(),"◆ ÔN HÔM NAY","✔ Đúng tiến độ")))))</f>
        <v>• Chưa tới</v>
      </c>
      <c r="U1437" s="38" t="n">
        <f aca="false">IF($H1437="","",$R1437/5)</f>
        <v>0</v>
      </c>
    </row>
    <row r="1438" customFormat="false" ht="15" hidden="false" customHeight="false" outlineLevel="0" collapsed="false">
      <c r="A1438" s="31" t="s">
        <v>8541</v>
      </c>
      <c r="B1438" s="31" t="n">
        <v>72</v>
      </c>
      <c r="C1438" s="32" t="n">
        <f aca="false">SETTINGS!$C$3+$B1438-1</f>
        <v>46371</v>
      </c>
      <c r="D1438" s="41" t="s">
        <v>7168</v>
      </c>
      <c r="E1438" s="34" t="s">
        <v>8457</v>
      </c>
      <c r="F1438" s="34" t="s">
        <v>280</v>
      </c>
      <c r="G1438" s="34" t="s">
        <v>8542</v>
      </c>
      <c r="H1438" s="35" t="s">
        <v>8543</v>
      </c>
      <c r="I1438" s="36" t="s">
        <v>8544</v>
      </c>
      <c r="J1438" s="34" t="s">
        <v>8545</v>
      </c>
      <c r="K1438" s="34" t="s">
        <v>8546</v>
      </c>
      <c r="L1438" s="37"/>
      <c r="M1438" s="37"/>
      <c r="N1438" s="37"/>
      <c r="O1438" s="37"/>
      <c r="P1438" s="37"/>
      <c r="Q1438" s="37"/>
      <c r="R1438" s="31" t="n">
        <f aca="false">COUNT($M1438:$Q1438)</f>
        <v>0</v>
      </c>
      <c r="S1438" s="32" t="str">
        <f aca="false">IF($L1438="","",IF($R1438&gt;=5,"",MAX($L1438:$Q1438)+CHOOSE($R1438+1,SETTINGS!$C$9,SETTINGS!$C$10,SETTINGS!$C$11,SETTINGS!$C$12,SETTINGS!$C$13)))</f>
        <v/>
      </c>
      <c r="T1438" s="34" t="str">
        <f aca="true">IF($H1438="","(chưa có nội dung)",IF($L1438="",IF($C1438&lt;TODAY(),"⚠ TRỄ HỌC",IF($C1438=TODAY(),"★ HỌC HÔM NAY","• Chưa tới")),IF($R1438&gt;=5,"✔ MASTER",IF($S1438&lt;TODAY(),"⚠ TRỄ ÔN",IF($S1438=TODAY(),"◆ ÔN HÔM NAY","✔ Đúng tiến độ")))))</f>
        <v>• Chưa tới</v>
      </c>
      <c r="U1438" s="38" t="n">
        <f aca="false">IF($H1438="","",$R1438/5)</f>
        <v>0</v>
      </c>
    </row>
    <row r="1439" customFormat="false" ht="15" hidden="false" customHeight="false" outlineLevel="0" collapsed="false">
      <c r="A1439" s="31" t="s">
        <v>8547</v>
      </c>
      <c r="B1439" s="31" t="n">
        <v>72</v>
      </c>
      <c r="C1439" s="32" t="n">
        <f aca="false">SETTINGS!$C$3+$B1439-1</f>
        <v>46371</v>
      </c>
      <c r="D1439" s="41" t="s">
        <v>7168</v>
      </c>
      <c r="E1439" s="34" t="s">
        <v>8457</v>
      </c>
      <c r="F1439" s="34" t="s">
        <v>280</v>
      </c>
      <c r="G1439" s="34" t="s">
        <v>8548</v>
      </c>
      <c r="H1439" s="35" t="s">
        <v>8549</v>
      </c>
      <c r="I1439" s="36" t="s">
        <v>8550</v>
      </c>
      <c r="J1439" s="34" t="s">
        <v>8551</v>
      </c>
      <c r="K1439" s="34" t="s">
        <v>8552</v>
      </c>
      <c r="L1439" s="37"/>
      <c r="M1439" s="37"/>
      <c r="N1439" s="37"/>
      <c r="O1439" s="37"/>
      <c r="P1439" s="37"/>
      <c r="Q1439" s="37"/>
      <c r="R1439" s="31" t="n">
        <f aca="false">COUNT($M1439:$Q1439)</f>
        <v>0</v>
      </c>
      <c r="S1439" s="32" t="str">
        <f aca="false">IF($L1439="","",IF($R1439&gt;=5,"",MAX($L1439:$Q1439)+CHOOSE($R1439+1,SETTINGS!$C$9,SETTINGS!$C$10,SETTINGS!$C$11,SETTINGS!$C$12,SETTINGS!$C$13)))</f>
        <v/>
      </c>
      <c r="T1439" s="34" t="str">
        <f aca="true">IF($H1439="","(chưa có nội dung)",IF($L1439="",IF($C1439&lt;TODAY(),"⚠ TRỄ HỌC",IF($C1439=TODAY(),"★ HỌC HÔM NAY","• Chưa tới")),IF($R1439&gt;=5,"✔ MASTER",IF($S1439&lt;TODAY(),"⚠ TRỄ ÔN",IF($S1439=TODAY(),"◆ ÔN HÔM NAY","✔ Đúng tiến độ")))))</f>
        <v>• Chưa tới</v>
      </c>
      <c r="U1439" s="38" t="n">
        <f aca="false">IF($H1439="","",$R1439/5)</f>
        <v>0</v>
      </c>
    </row>
    <row r="1440" customFormat="false" ht="26.85" hidden="false" customHeight="false" outlineLevel="0" collapsed="false">
      <c r="A1440" s="31" t="s">
        <v>8553</v>
      </c>
      <c r="B1440" s="31" t="n">
        <v>72</v>
      </c>
      <c r="C1440" s="32" t="n">
        <f aca="false">SETTINGS!$C$3+$B1440-1</f>
        <v>46371</v>
      </c>
      <c r="D1440" s="41" t="s">
        <v>7168</v>
      </c>
      <c r="E1440" s="34" t="s">
        <v>8457</v>
      </c>
      <c r="F1440" s="34" t="s">
        <v>280</v>
      </c>
      <c r="G1440" s="34" t="s">
        <v>8554</v>
      </c>
      <c r="H1440" s="35" t="s">
        <v>8555</v>
      </c>
      <c r="I1440" s="36" t="s">
        <v>8556</v>
      </c>
      <c r="J1440" s="34" t="s">
        <v>8557</v>
      </c>
      <c r="K1440" s="34" t="s">
        <v>8558</v>
      </c>
      <c r="L1440" s="37"/>
      <c r="M1440" s="37"/>
      <c r="N1440" s="37"/>
      <c r="O1440" s="37"/>
      <c r="P1440" s="37"/>
      <c r="Q1440" s="37"/>
      <c r="R1440" s="31" t="n">
        <f aca="false">COUNT($M1440:$Q1440)</f>
        <v>0</v>
      </c>
      <c r="S1440" s="32" t="str">
        <f aca="false">IF($L1440="","",IF($R1440&gt;=5,"",MAX($L1440:$Q1440)+CHOOSE($R1440+1,SETTINGS!$C$9,SETTINGS!$C$10,SETTINGS!$C$11,SETTINGS!$C$12,SETTINGS!$C$13)))</f>
        <v/>
      </c>
      <c r="T1440" s="34" t="str">
        <f aca="true">IF($H1440="","(chưa có nội dung)",IF($L1440="",IF($C1440&lt;TODAY(),"⚠ TRỄ HỌC",IF($C1440=TODAY(),"★ HỌC HÔM NAY","• Chưa tới")),IF($R1440&gt;=5,"✔ MASTER",IF($S1440&lt;TODAY(),"⚠ TRỄ ÔN",IF($S1440=TODAY(),"◆ ÔN HÔM NAY","✔ Đúng tiến độ")))))</f>
        <v>• Chưa tới</v>
      </c>
      <c r="U1440" s="38" t="n">
        <f aca="false">IF($H1440="","",$R1440/5)</f>
        <v>0</v>
      </c>
    </row>
    <row r="1441" customFormat="false" ht="15" hidden="false" customHeight="false" outlineLevel="0" collapsed="false">
      <c r="A1441" s="31" t="s">
        <v>8559</v>
      </c>
      <c r="B1441" s="31" t="n">
        <v>72</v>
      </c>
      <c r="C1441" s="32" t="n">
        <f aca="false">SETTINGS!$C$3+$B1441-1</f>
        <v>46371</v>
      </c>
      <c r="D1441" s="41" t="s">
        <v>7168</v>
      </c>
      <c r="E1441" s="34" t="s">
        <v>8457</v>
      </c>
      <c r="F1441" s="34" t="s">
        <v>3656</v>
      </c>
      <c r="G1441" s="34" t="s">
        <v>8560</v>
      </c>
      <c r="H1441" s="35" t="s">
        <v>8561</v>
      </c>
      <c r="I1441" s="36" t="s">
        <v>8562</v>
      </c>
      <c r="J1441" s="34" t="s">
        <v>8563</v>
      </c>
      <c r="K1441" s="34" t="s">
        <v>8564</v>
      </c>
      <c r="L1441" s="37"/>
      <c r="M1441" s="37"/>
      <c r="N1441" s="37"/>
      <c r="O1441" s="37"/>
      <c r="P1441" s="37"/>
      <c r="Q1441" s="37"/>
      <c r="R1441" s="31" t="n">
        <f aca="false">COUNT($M1441:$Q1441)</f>
        <v>0</v>
      </c>
      <c r="S1441" s="32" t="str">
        <f aca="false">IF($L1441="","",IF($R1441&gt;=5,"",MAX($L1441:$Q1441)+CHOOSE($R1441+1,SETTINGS!$C$9,SETTINGS!$C$10,SETTINGS!$C$11,SETTINGS!$C$12,SETTINGS!$C$13)))</f>
        <v/>
      </c>
      <c r="T1441" s="34" t="str">
        <f aca="true">IF($H1441="","(chưa có nội dung)",IF($L1441="",IF($C1441&lt;TODAY(),"⚠ TRỄ HỌC",IF($C1441=TODAY(),"★ HỌC HÔM NAY","• Chưa tới")),IF($R1441&gt;=5,"✔ MASTER",IF($S1441&lt;TODAY(),"⚠ TRỄ ÔN",IF($S1441=TODAY(),"◆ ÔN HÔM NAY","✔ Đúng tiến độ")))))</f>
        <v>• Chưa tới</v>
      </c>
      <c r="U1441" s="38" t="n">
        <f aca="false">IF($H1441="","",$R1441/5)</f>
        <v>0</v>
      </c>
    </row>
    <row r="1442" customFormat="false" ht="26.85" hidden="false" customHeight="false" outlineLevel="0" collapsed="false">
      <c r="A1442" s="31" t="s">
        <v>8565</v>
      </c>
      <c r="B1442" s="31" t="n">
        <v>72</v>
      </c>
      <c r="C1442" s="32" t="n">
        <f aca="false">SETTINGS!$C$3+$B1442-1</f>
        <v>46371</v>
      </c>
      <c r="D1442" s="41" t="s">
        <v>7168</v>
      </c>
      <c r="E1442" s="34" t="s">
        <v>8457</v>
      </c>
      <c r="F1442" s="34" t="s">
        <v>183</v>
      </c>
      <c r="G1442" s="34" t="s">
        <v>8566</v>
      </c>
      <c r="H1442" s="35" t="s">
        <v>8567</v>
      </c>
      <c r="I1442" s="36" t="s">
        <v>8568</v>
      </c>
      <c r="J1442" s="34" t="s">
        <v>8569</v>
      </c>
      <c r="K1442" s="34" t="s">
        <v>8570</v>
      </c>
      <c r="L1442" s="37"/>
      <c r="M1442" s="37"/>
      <c r="N1442" s="37"/>
      <c r="O1442" s="37"/>
      <c r="P1442" s="37"/>
      <c r="Q1442" s="37"/>
      <c r="R1442" s="31" t="n">
        <f aca="false">COUNT($M1442:$Q1442)</f>
        <v>0</v>
      </c>
      <c r="S1442" s="32" t="str">
        <f aca="false">IF($L1442="","",IF($R1442&gt;=5,"",MAX($L1442:$Q1442)+CHOOSE($R1442+1,SETTINGS!$C$9,SETTINGS!$C$10,SETTINGS!$C$11,SETTINGS!$C$12,SETTINGS!$C$13)))</f>
        <v/>
      </c>
      <c r="T1442" s="34" t="str">
        <f aca="true">IF($H1442="","(chưa có nội dung)",IF($L1442="",IF($C1442&lt;TODAY(),"⚠ TRỄ HỌC",IF($C1442=TODAY(),"★ HỌC HÔM NAY","• Chưa tới")),IF($R1442&gt;=5,"✔ MASTER",IF($S1442&lt;TODAY(),"⚠ TRỄ ÔN",IF($S1442=TODAY(),"◆ ÔN HÔM NAY","✔ Đúng tiến độ")))))</f>
        <v>• Chưa tới</v>
      </c>
      <c r="U1442" s="38" t="n">
        <f aca="false">IF($H1442="","",$R1442/5)</f>
        <v>0</v>
      </c>
    </row>
    <row r="1443" customFormat="false" ht="23.85" hidden="false" customHeight="false" outlineLevel="0" collapsed="false">
      <c r="A1443" s="31" t="s">
        <v>8571</v>
      </c>
      <c r="B1443" s="31" t="n">
        <v>73</v>
      </c>
      <c r="C1443" s="32" t="n">
        <f aca="false">SETTINGS!$C$3+$B1443-1</f>
        <v>46372</v>
      </c>
      <c r="D1443" s="41" t="s">
        <v>7168</v>
      </c>
      <c r="E1443" s="34" t="s">
        <v>8572</v>
      </c>
      <c r="F1443" s="34" t="s">
        <v>280</v>
      </c>
      <c r="G1443" s="34" t="s">
        <v>8573</v>
      </c>
      <c r="H1443" s="35" t="s">
        <v>8574</v>
      </c>
      <c r="I1443" s="36" t="s">
        <v>8575</v>
      </c>
      <c r="J1443" s="34" t="s">
        <v>8576</v>
      </c>
      <c r="K1443" s="34" t="s">
        <v>8577</v>
      </c>
      <c r="L1443" s="37"/>
      <c r="M1443" s="37"/>
      <c r="N1443" s="37"/>
      <c r="O1443" s="37"/>
      <c r="P1443" s="37"/>
      <c r="Q1443" s="37"/>
      <c r="R1443" s="31" t="n">
        <f aca="false">COUNT($M1443:$Q1443)</f>
        <v>0</v>
      </c>
      <c r="S1443" s="32" t="str">
        <f aca="false">IF($L1443="","",IF($R1443&gt;=5,"",MAX($L1443:$Q1443)+CHOOSE($R1443+1,SETTINGS!$C$9,SETTINGS!$C$10,SETTINGS!$C$11,SETTINGS!$C$12,SETTINGS!$C$13)))</f>
        <v/>
      </c>
      <c r="T1443" s="34" t="str">
        <f aca="true">IF($H1443="","(chưa có nội dung)",IF($L1443="",IF($C1443&lt;TODAY(),"⚠ TRỄ HỌC",IF($C1443=TODAY(),"★ HỌC HÔM NAY","• Chưa tới")),IF($R1443&gt;=5,"✔ MASTER",IF($S1443&lt;TODAY(),"⚠ TRỄ ÔN",IF($S1443=TODAY(),"◆ ÔN HÔM NAY","✔ Đúng tiến độ")))))</f>
        <v>• Chưa tới</v>
      </c>
      <c r="U1443" s="38" t="n">
        <f aca="false">IF($H1443="","",$R1443/5)</f>
        <v>0</v>
      </c>
    </row>
    <row r="1444" customFormat="false" ht="26.85" hidden="false" customHeight="false" outlineLevel="0" collapsed="false">
      <c r="A1444" s="31" t="s">
        <v>8578</v>
      </c>
      <c r="B1444" s="31" t="n">
        <v>73</v>
      </c>
      <c r="C1444" s="32" t="n">
        <f aca="false">SETTINGS!$C$3+$B1444-1</f>
        <v>46372</v>
      </c>
      <c r="D1444" s="41" t="s">
        <v>7168</v>
      </c>
      <c r="E1444" s="34" t="s">
        <v>8572</v>
      </c>
      <c r="F1444" s="34" t="s">
        <v>3656</v>
      </c>
      <c r="G1444" s="34" t="s">
        <v>8579</v>
      </c>
      <c r="H1444" s="35" t="s">
        <v>8580</v>
      </c>
      <c r="I1444" s="36" t="s">
        <v>8581</v>
      </c>
      <c r="J1444" s="34" t="s">
        <v>8582</v>
      </c>
      <c r="K1444" s="34" t="s">
        <v>8579</v>
      </c>
      <c r="L1444" s="37"/>
      <c r="M1444" s="37"/>
      <c r="N1444" s="37"/>
      <c r="O1444" s="37"/>
      <c r="P1444" s="37"/>
      <c r="Q1444" s="37"/>
      <c r="R1444" s="31" t="n">
        <f aca="false">COUNT($M1444:$Q1444)</f>
        <v>0</v>
      </c>
      <c r="S1444" s="32" t="str">
        <f aca="false">IF($L1444="","",IF($R1444&gt;=5,"",MAX($L1444:$Q1444)+CHOOSE($R1444+1,SETTINGS!$C$9,SETTINGS!$C$10,SETTINGS!$C$11,SETTINGS!$C$12,SETTINGS!$C$13)))</f>
        <v/>
      </c>
      <c r="T1444" s="34" t="str">
        <f aca="true">IF($H1444="","(chưa có nội dung)",IF($L1444="",IF($C1444&lt;TODAY(),"⚠ TRỄ HỌC",IF($C1444=TODAY(),"★ HỌC HÔM NAY","• Chưa tới")),IF($R1444&gt;=5,"✔ MASTER",IF($S1444&lt;TODAY(),"⚠ TRỄ ÔN",IF($S1444=TODAY(),"◆ ÔN HÔM NAY","✔ Đúng tiến độ")))))</f>
        <v>• Chưa tới</v>
      </c>
      <c r="U1444" s="38" t="n">
        <f aca="false">IF($H1444="","",$R1444/5)</f>
        <v>0</v>
      </c>
    </row>
    <row r="1445" customFormat="false" ht="23.85" hidden="false" customHeight="false" outlineLevel="0" collapsed="false">
      <c r="A1445" s="31" t="s">
        <v>8583</v>
      </c>
      <c r="B1445" s="31" t="n">
        <v>73</v>
      </c>
      <c r="C1445" s="32" t="n">
        <f aca="false">SETTINGS!$C$3+$B1445-1</f>
        <v>46372</v>
      </c>
      <c r="D1445" s="41" t="s">
        <v>7168</v>
      </c>
      <c r="E1445" s="34" t="s">
        <v>8572</v>
      </c>
      <c r="F1445" s="34" t="s">
        <v>5676</v>
      </c>
      <c r="G1445" s="34" t="s">
        <v>8584</v>
      </c>
      <c r="H1445" s="35" t="s">
        <v>8585</v>
      </c>
      <c r="I1445" s="36" t="s">
        <v>8586</v>
      </c>
      <c r="J1445" s="34" t="s">
        <v>8587</v>
      </c>
      <c r="K1445" s="34" t="s">
        <v>8588</v>
      </c>
      <c r="L1445" s="37"/>
      <c r="M1445" s="37"/>
      <c r="N1445" s="37"/>
      <c r="O1445" s="37"/>
      <c r="P1445" s="37"/>
      <c r="Q1445" s="37"/>
      <c r="R1445" s="31" t="n">
        <f aca="false">COUNT($M1445:$Q1445)</f>
        <v>0</v>
      </c>
      <c r="S1445" s="32" t="str">
        <f aca="false">IF($L1445="","",IF($R1445&gt;=5,"",MAX($L1445:$Q1445)+CHOOSE($R1445+1,SETTINGS!$C$9,SETTINGS!$C$10,SETTINGS!$C$11,SETTINGS!$C$12,SETTINGS!$C$13)))</f>
        <v/>
      </c>
      <c r="T1445" s="34" t="str">
        <f aca="true">IF($H1445="","(chưa có nội dung)",IF($L1445="",IF($C1445&lt;TODAY(),"⚠ TRỄ HỌC",IF($C1445=TODAY(),"★ HỌC HÔM NAY","• Chưa tới")),IF($R1445&gt;=5,"✔ MASTER",IF($S1445&lt;TODAY(),"⚠ TRỄ ÔN",IF($S1445=TODAY(),"◆ ÔN HÔM NAY","✔ Đúng tiến độ")))))</f>
        <v>• Chưa tới</v>
      </c>
      <c r="U1445" s="38" t="n">
        <f aca="false">IF($H1445="","",$R1445/5)</f>
        <v>0</v>
      </c>
    </row>
    <row r="1446" customFormat="false" ht="23.85" hidden="false" customHeight="false" outlineLevel="0" collapsed="false">
      <c r="A1446" s="31" t="s">
        <v>8589</v>
      </c>
      <c r="B1446" s="31" t="n">
        <v>73</v>
      </c>
      <c r="C1446" s="32" t="n">
        <f aca="false">SETTINGS!$C$3+$B1446-1</f>
        <v>46372</v>
      </c>
      <c r="D1446" s="41" t="s">
        <v>7168</v>
      </c>
      <c r="E1446" s="34" t="s">
        <v>8572</v>
      </c>
      <c r="F1446" s="34" t="s">
        <v>3656</v>
      </c>
      <c r="G1446" s="34" t="s">
        <v>8590</v>
      </c>
      <c r="H1446" s="35" t="s">
        <v>8591</v>
      </c>
      <c r="I1446" s="36" t="s">
        <v>8592</v>
      </c>
      <c r="J1446" s="34" t="s">
        <v>8593</v>
      </c>
      <c r="K1446" s="34" t="s">
        <v>8594</v>
      </c>
      <c r="L1446" s="37"/>
      <c r="M1446" s="37"/>
      <c r="N1446" s="37"/>
      <c r="O1446" s="37"/>
      <c r="P1446" s="37"/>
      <c r="Q1446" s="37"/>
      <c r="R1446" s="31" t="n">
        <f aca="false">COUNT($M1446:$Q1446)</f>
        <v>0</v>
      </c>
      <c r="S1446" s="32" t="str">
        <f aca="false">IF($L1446="","",IF($R1446&gt;=5,"",MAX($L1446:$Q1446)+CHOOSE($R1446+1,SETTINGS!$C$9,SETTINGS!$C$10,SETTINGS!$C$11,SETTINGS!$C$12,SETTINGS!$C$13)))</f>
        <v/>
      </c>
      <c r="T1446" s="34" t="str">
        <f aca="true">IF($H1446="","(chưa có nội dung)",IF($L1446="",IF($C1446&lt;TODAY(),"⚠ TRỄ HỌC",IF($C1446=TODAY(),"★ HỌC HÔM NAY","• Chưa tới")),IF($R1446&gt;=5,"✔ MASTER",IF($S1446&lt;TODAY(),"⚠ TRỄ ÔN",IF($S1446=TODAY(),"◆ ÔN HÔM NAY","✔ Đúng tiến độ")))))</f>
        <v>• Chưa tới</v>
      </c>
      <c r="U1446" s="38" t="n">
        <f aca="false">IF($H1446="","",$R1446/5)</f>
        <v>0</v>
      </c>
    </row>
    <row r="1447" customFormat="false" ht="23.85" hidden="false" customHeight="false" outlineLevel="0" collapsed="false">
      <c r="A1447" s="31" t="s">
        <v>8595</v>
      </c>
      <c r="B1447" s="31" t="n">
        <v>73</v>
      </c>
      <c r="C1447" s="32" t="n">
        <f aca="false">SETTINGS!$C$3+$B1447-1</f>
        <v>46372</v>
      </c>
      <c r="D1447" s="41" t="s">
        <v>7168</v>
      </c>
      <c r="E1447" s="34" t="s">
        <v>8572</v>
      </c>
      <c r="F1447" s="34" t="s">
        <v>280</v>
      </c>
      <c r="G1447" s="34" t="s">
        <v>8596</v>
      </c>
      <c r="H1447" s="35" t="s">
        <v>8597</v>
      </c>
      <c r="I1447" s="36" t="s">
        <v>8598</v>
      </c>
      <c r="J1447" s="34" t="s">
        <v>8599</v>
      </c>
      <c r="K1447" s="34" t="s">
        <v>8600</v>
      </c>
      <c r="L1447" s="37"/>
      <c r="M1447" s="37"/>
      <c r="N1447" s="37"/>
      <c r="O1447" s="37"/>
      <c r="P1447" s="37"/>
      <c r="Q1447" s="37"/>
      <c r="R1447" s="31" t="n">
        <f aca="false">COUNT($M1447:$Q1447)</f>
        <v>0</v>
      </c>
      <c r="S1447" s="32" t="str">
        <f aca="false">IF($L1447="","",IF($R1447&gt;=5,"",MAX($L1447:$Q1447)+CHOOSE($R1447+1,SETTINGS!$C$9,SETTINGS!$C$10,SETTINGS!$C$11,SETTINGS!$C$12,SETTINGS!$C$13)))</f>
        <v/>
      </c>
      <c r="T1447" s="34" t="str">
        <f aca="true">IF($H1447="","(chưa có nội dung)",IF($L1447="",IF($C1447&lt;TODAY(),"⚠ TRỄ HỌC",IF($C1447=TODAY(),"★ HỌC HÔM NAY","• Chưa tới")),IF($R1447&gt;=5,"✔ MASTER",IF($S1447&lt;TODAY(),"⚠ TRỄ ÔN",IF($S1447=TODAY(),"◆ ÔN HÔM NAY","✔ Đúng tiến độ")))))</f>
        <v>• Chưa tới</v>
      </c>
      <c r="U1447" s="38" t="n">
        <f aca="false">IF($H1447="","",$R1447/5)</f>
        <v>0</v>
      </c>
    </row>
    <row r="1448" customFormat="false" ht="23.85" hidden="false" customHeight="false" outlineLevel="0" collapsed="false">
      <c r="A1448" s="31" t="s">
        <v>8601</v>
      </c>
      <c r="B1448" s="31" t="n">
        <v>73</v>
      </c>
      <c r="C1448" s="32" t="n">
        <f aca="false">SETTINGS!$C$3+$B1448-1</f>
        <v>46372</v>
      </c>
      <c r="D1448" s="41" t="s">
        <v>7168</v>
      </c>
      <c r="E1448" s="34" t="s">
        <v>8572</v>
      </c>
      <c r="F1448" s="34" t="s">
        <v>280</v>
      </c>
      <c r="G1448" s="34" t="s">
        <v>5595</v>
      </c>
      <c r="H1448" s="35" t="s">
        <v>8602</v>
      </c>
      <c r="I1448" s="36" t="s">
        <v>8603</v>
      </c>
      <c r="J1448" s="34" t="s">
        <v>8604</v>
      </c>
      <c r="K1448" s="34" t="s">
        <v>8605</v>
      </c>
      <c r="L1448" s="37"/>
      <c r="M1448" s="37"/>
      <c r="N1448" s="37"/>
      <c r="O1448" s="37"/>
      <c r="P1448" s="37"/>
      <c r="Q1448" s="37"/>
      <c r="R1448" s="31" t="n">
        <f aca="false">COUNT($M1448:$Q1448)</f>
        <v>0</v>
      </c>
      <c r="S1448" s="32" t="str">
        <f aca="false">IF($L1448="","",IF($R1448&gt;=5,"",MAX($L1448:$Q1448)+CHOOSE($R1448+1,SETTINGS!$C$9,SETTINGS!$C$10,SETTINGS!$C$11,SETTINGS!$C$12,SETTINGS!$C$13)))</f>
        <v/>
      </c>
      <c r="T1448" s="34" t="str">
        <f aca="true">IF($H1448="","(chưa có nội dung)",IF($L1448="",IF($C1448&lt;TODAY(),"⚠ TRỄ HỌC",IF($C1448=TODAY(),"★ HỌC HÔM NAY","• Chưa tới")),IF($R1448&gt;=5,"✔ MASTER",IF($S1448&lt;TODAY(),"⚠ TRỄ ÔN",IF($S1448=TODAY(),"◆ ÔN HÔM NAY","✔ Đúng tiến độ")))))</f>
        <v>• Chưa tới</v>
      </c>
      <c r="U1448" s="38" t="n">
        <f aca="false">IF($H1448="","",$R1448/5)</f>
        <v>0</v>
      </c>
    </row>
    <row r="1449" customFormat="false" ht="26.85" hidden="false" customHeight="false" outlineLevel="0" collapsed="false">
      <c r="A1449" s="31" t="s">
        <v>8606</v>
      </c>
      <c r="B1449" s="31" t="n">
        <v>73</v>
      </c>
      <c r="C1449" s="32" t="n">
        <f aca="false">SETTINGS!$C$3+$B1449-1</f>
        <v>46372</v>
      </c>
      <c r="D1449" s="41" t="s">
        <v>7168</v>
      </c>
      <c r="E1449" s="34" t="s">
        <v>8572</v>
      </c>
      <c r="F1449" s="34" t="s">
        <v>280</v>
      </c>
      <c r="G1449" s="34" t="s">
        <v>8607</v>
      </c>
      <c r="H1449" s="35" t="s">
        <v>8608</v>
      </c>
      <c r="I1449" s="36" t="s">
        <v>8609</v>
      </c>
      <c r="J1449" s="34" t="s">
        <v>8610</v>
      </c>
      <c r="K1449" s="34" t="s">
        <v>8611</v>
      </c>
      <c r="L1449" s="37"/>
      <c r="M1449" s="37"/>
      <c r="N1449" s="37"/>
      <c r="O1449" s="37"/>
      <c r="P1449" s="37"/>
      <c r="Q1449" s="37"/>
      <c r="R1449" s="31" t="n">
        <f aca="false">COUNT($M1449:$Q1449)</f>
        <v>0</v>
      </c>
      <c r="S1449" s="32" t="str">
        <f aca="false">IF($L1449="","",IF($R1449&gt;=5,"",MAX($L1449:$Q1449)+CHOOSE($R1449+1,SETTINGS!$C$9,SETTINGS!$C$10,SETTINGS!$C$11,SETTINGS!$C$12,SETTINGS!$C$13)))</f>
        <v/>
      </c>
      <c r="T1449" s="34" t="str">
        <f aca="true">IF($H1449="","(chưa có nội dung)",IF($L1449="",IF($C1449&lt;TODAY(),"⚠ TRỄ HỌC",IF($C1449=TODAY(),"★ HỌC HÔM NAY","• Chưa tới")),IF($R1449&gt;=5,"✔ MASTER",IF($S1449&lt;TODAY(),"⚠ TRỄ ÔN",IF($S1449=TODAY(),"◆ ÔN HÔM NAY","✔ Đúng tiến độ")))))</f>
        <v>• Chưa tới</v>
      </c>
      <c r="U1449" s="38" t="n">
        <f aca="false">IF($H1449="","",$R1449/5)</f>
        <v>0</v>
      </c>
    </row>
    <row r="1450" customFormat="false" ht="23.85" hidden="false" customHeight="false" outlineLevel="0" collapsed="false">
      <c r="A1450" s="31" t="s">
        <v>8612</v>
      </c>
      <c r="B1450" s="31" t="n">
        <v>73</v>
      </c>
      <c r="C1450" s="32" t="n">
        <f aca="false">SETTINGS!$C$3+$B1450-1</f>
        <v>46372</v>
      </c>
      <c r="D1450" s="41" t="s">
        <v>7168</v>
      </c>
      <c r="E1450" s="34" t="s">
        <v>8572</v>
      </c>
      <c r="F1450" s="34" t="s">
        <v>280</v>
      </c>
      <c r="G1450" s="34" t="s">
        <v>5080</v>
      </c>
      <c r="H1450" s="35" t="s">
        <v>8613</v>
      </c>
      <c r="I1450" s="36" t="s">
        <v>8614</v>
      </c>
      <c r="J1450" s="34" t="s">
        <v>8615</v>
      </c>
      <c r="K1450" s="34" t="s">
        <v>8616</v>
      </c>
      <c r="L1450" s="37"/>
      <c r="M1450" s="37"/>
      <c r="N1450" s="37"/>
      <c r="O1450" s="37"/>
      <c r="P1450" s="37"/>
      <c r="Q1450" s="37"/>
      <c r="R1450" s="31" t="n">
        <f aca="false">COUNT($M1450:$Q1450)</f>
        <v>0</v>
      </c>
      <c r="S1450" s="32" t="str">
        <f aca="false">IF($L1450="","",IF($R1450&gt;=5,"",MAX($L1450:$Q1450)+CHOOSE($R1450+1,SETTINGS!$C$9,SETTINGS!$C$10,SETTINGS!$C$11,SETTINGS!$C$12,SETTINGS!$C$13)))</f>
        <v/>
      </c>
      <c r="T1450" s="34" t="str">
        <f aca="true">IF($H1450="","(chưa có nội dung)",IF($L1450="",IF($C1450&lt;TODAY(),"⚠ TRỄ HỌC",IF($C1450=TODAY(),"★ HỌC HÔM NAY","• Chưa tới")),IF($R1450&gt;=5,"✔ MASTER",IF($S1450&lt;TODAY(),"⚠ TRỄ ÔN",IF($S1450=TODAY(),"◆ ÔN HÔM NAY","✔ Đúng tiến độ")))))</f>
        <v>• Chưa tới</v>
      </c>
      <c r="U1450" s="38" t="n">
        <f aca="false">IF($H1450="","",$R1450/5)</f>
        <v>0</v>
      </c>
    </row>
    <row r="1451" customFormat="false" ht="23.85" hidden="false" customHeight="false" outlineLevel="0" collapsed="false">
      <c r="A1451" s="31" t="s">
        <v>8617</v>
      </c>
      <c r="B1451" s="31" t="n">
        <v>73</v>
      </c>
      <c r="C1451" s="32" t="n">
        <f aca="false">SETTINGS!$C$3+$B1451-1</f>
        <v>46372</v>
      </c>
      <c r="D1451" s="41" t="s">
        <v>7168</v>
      </c>
      <c r="E1451" s="34" t="s">
        <v>8572</v>
      </c>
      <c r="F1451" s="34" t="s">
        <v>280</v>
      </c>
      <c r="G1451" s="34" t="s">
        <v>8618</v>
      </c>
      <c r="H1451" s="35" t="s">
        <v>8619</v>
      </c>
      <c r="I1451" s="36" t="s">
        <v>8620</v>
      </c>
      <c r="J1451" s="34" t="s">
        <v>8621</v>
      </c>
      <c r="K1451" s="34" t="s">
        <v>8622</v>
      </c>
      <c r="L1451" s="37"/>
      <c r="M1451" s="37"/>
      <c r="N1451" s="37"/>
      <c r="O1451" s="37"/>
      <c r="P1451" s="37"/>
      <c r="Q1451" s="37"/>
      <c r="R1451" s="31" t="n">
        <f aca="false">COUNT($M1451:$Q1451)</f>
        <v>0</v>
      </c>
      <c r="S1451" s="32" t="str">
        <f aca="false">IF($L1451="","",IF($R1451&gt;=5,"",MAX($L1451:$Q1451)+CHOOSE($R1451+1,SETTINGS!$C$9,SETTINGS!$C$10,SETTINGS!$C$11,SETTINGS!$C$12,SETTINGS!$C$13)))</f>
        <v/>
      </c>
      <c r="T1451" s="34" t="str">
        <f aca="true">IF($H1451="","(chưa có nội dung)",IF($L1451="",IF($C1451&lt;TODAY(),"⚠ TRỄ HỌC",IF($C1451=TODAY(),"★ HỌC HÔM NAY","• Chưa tới")),IF($R1451&gt;=5,"✔ MASTER",IF($S1451&lt;TODAY(),"⚠ TRỄ ÔN",IF($S1451=TODAY(),"◆ ÔN HÔM NAY","✔ Đúng tiến độ")))))</f>
        <v>• Chưa tới</v>
      </c>
      <c r="U1451" s="38" t="n">
        <f aca="false">IF($H1451="","",$R1451/5)</f>
        <v>0</v>
      </c>
    </row>
    <row r="1452" customFormat="false" ht="23.85" hidden="false" customHeight="false" outlineLevel="0" collapsed="false">
      <c r="A1452" s="31" t="s">
        <v>8623</v>
      </c>
      <c r="B1452" s="31" t="n">
        <v>73</v>
      </c>
      <c r="C1452" s="32" t="n">
        <f aca="false">SETTINGS!$C$3+$B1452-1</f>
        <v>46372</v>
      </c>
      <c r="D1452" s="41" t="s">
        <v>7168</v>
      </c>
      <c r="E1452" s="34" t="s">
        <v>8572</v>
      </c>
      <c r="F1452" s="34" t="s">
        <v>4047</v>
      </c>
      <c r="G1452" s="34" t="s">
        <v>8624</v>
      </c>
      <c r="H1452" s="35" t="s">
        <v>8625</v>
      </c>
      <c r="I1452" s="36" t="s">
        <v>8626</v>
      </c>
      <c r="J1452" s="34" t="s">
        <v>8627</v>
      </c>
      <c r="K1452" s="34" t="s">
        <v>8628</v>
      </c>
      <c r="L1452" s="37"/>
      <c r="M1452" s="37"/>
      <c r="N1452" s="37"/>
      <c r="O1452" s="37"/>
      <c r="P1452" s="37"/>
      <c r="Q1452" s="37"/>
      <c r="R1452" s="31" t="n">
        <f aca="false">COUNT($M1452:$Q1452)</f>
        <v>0</v>
      </c>
      <c r="S1452" s="32" t="str">
        <f aca="false">IF($L1452="","",IF($R1452&gt;=5,"",MAX($L1452:$Q1452)+CHOOSE($R1452+1,SETTINGS!$C$9,SETTINGS!$C$10,SETTINGS!$C$11,SETTINGS!$C$12,SETTINGS!$C$13)))</f>
        <v/>
      </c>
      <c r="T1452" s="34" t="str">
        <f aca="true">IF($H1452="","(chưa có nội dung)",IF($L1452="",IF($C1452&lt;TODAY(),"⚠ TRỄ HỌC",IF($C1452=TODAY(),"★ HỌC HÔM NAY","• Chưa tới")),IF($R1452&gt;=5,"✔ MASTER",IF($S1452&lt;TODAY(),"⚠ TRỄ ÔN",IF($S1452=TODAY(),"◆ ÔN HÔM NAY","✔ Đúng tiến độ")))))</f>
        <v>• Chưa tới</v>
      </c>
      <c r="U1452" s="38" t="n">
        <f aca="false">IF($H1452="","",$R1452/5)</f>
        <v>0</v>
      </c>
    </row>
    <row r="1453" customFormat="false" ht="23.85" hidden="false" customHeight="false" outlineLevel="0" collapsed="false">
      <c r="A1453" s="31" t="s">
        <v>8629</v>
      </c>
      <c r="B1453" s="31" t="n">
        <v>73</v>
      </c>
      <c r="C1453" s="32" t="n">
        <f aca="false">SETTINGS!$C$3+$B1453-1</f>
        <v>46372</v>
      </c>
      <c r="D1453" s="41" t="s">
        <v>7168</v>
      </c>
      <c r="E1453" s="34" t="s">
        <v>8572</v>
      </c>
      <c r="F1453" s="34" t="s">
        <v>183</v>
      </c>
      <c r="G1453" s="34" t="s">
        <v>8630</v>
      </c>
      <c r="H1453" s="35" t="s">
        <v>8631</v>
      </c>
      <c r="I1453" s="36" t="s">
        <v>8632</v>
      </c>
      <c r="J1453" s="34" t="s">
        <v>8633</v>
      </c>
      <c r="K1453" s="34" t="s">
        <v>8634</v>
      </c>
      <c r="L1453" s="37"/>
      <c r="M1453" s="37"/>
      <c r="N1453" s="37"/>
      <c r="O1453" s="37"/>
      <c r="P1453" s="37"/>
      <c r="Q1453" s="37"/>
      <c r="R1453" s="31" t="n">
        <f aca="false">COUNT($M1453:$Q1453)</f>
        <v>0</v>
      </c>
      <c r="S1453" s="32" t="str">
        <f aca="false">IF($L1453="","",IF($R1453&gt;=5,"",MAX($L1453:$Q1453)+CHOOSE($R1453+1,SETTINGS!$C$9,SETTINGS!$C$10,SETTINGS!$C$11,SETTINGS!$C$12,SETTINGS!$C$13)))</f>
        <v/>
      </c>
      <c r="T1453" s="34" t="str">
        <f aca="true">IF($H1453="","(chưa có nội dung)",IF($L1453="",IF($C1453&lt;TODAY(),"⚠ TRỄ HỌC",IF($C1453=TODAY(),"★ HỌC HÔM NAY","• Chưa tới")),IF($R1453&gt;=5,"✔ MASTER",IF($S1453&lt;TODAY(),"⚠ TRỄ ÔN",IF($S1453=TODAY(),"◆ ÔN HÔM NAY","✔ Đúng tiến độ")))))</f>
        <v>• Chưa tới</v>
      </c>
      <c r="U1453" s="38" t="n">
        <f aca="false">IF($H1453="","",$R1453/5)</f>
        <v>0</v>
      </c>
    </row>
    <row r="1454" customFormat="false" ht="23.85" hidden="false" customHeight="false" outlineLevel="0" collapsed="false">
      <c r="A1454" s="31" t="s">
        <v>8635</v>
      </c>
      <c r="B1454" s="31" t="n">
        <v>73</v>
      </c>
      <c r="C1454" s="32" t="n">
        <f aca="false">SETTINGS!$C$3+$B1454-1</f>
        <v>46372</v>
      </c>
      <c r="D1454" s="41" t="s">
        <v>7168</v>
      </c>
      <c r="E1454" s="34" t="s">
        <v>8572</v>
      </c>
      <c r="F1454" s="34" t="s">
        <v>280</v>
      </c>
      <c r="G1454" s="34" t="s">
        <v>8636</v>
      </c>
      <c r="H1454" s="35" t="s">
        <v>8637</v>
      </c>
      <c r="I1454" s="36" t="s">
        <v>8638</v>
      </c>
      <c r="J1454" s="34" t="s">
        <v>8639</v>
      </c>
      <c r="K1454" s="34" t="s">
        <v>8640</v>
      </c>
      <c r="L1454" s="37"/>
      <c r="M1454" s="37"/>
      <c r="N1454" s="37"/>
      <c r="O1454" s="37"/>
      <c r="P1454" s="37"/>
      <c r="Q1454" s="37"/>
      <c r="R1454" s="31" t="n">
        <f aca="false">COUNT($M1454:$Q1454)</f>
        <v>0</v>
      </c>
      <c r="S1454" s="32" t="str">
        <f aca="false">IF($L1454="","",IF($R1454&gt;=5,"",MAX($L1454:$Q1454)+CHOOSE($R1454+1,SETTINGS!$C$9,SETTINGS!$C$10,SETTINGS!$C$11,SETTINGS!$C$12,SETTINGS!$C$13)))</f>
        <v/>
      </c>
      <c r="T1454" s="34" t="str">
        <f aca="true">IF($H1454="","(chưa có nội dung)",IF($L1454="",IF($C1454&lt;TODAY(),"⚠ TRỄ HỌC",IF($C1454=TODAY(),"★ HỌC HÔM NAY","• Chưa tới")),IF($R1454&gt;=5,"✔ MASTER",IF($S1454&lt;TODAY(),"⚠ TRỄ ÔN",IF($S1454=TODAY(),"◆ ÔN HÔM NAY","✔ Đúng tiến độ")))))</f>
        <v>• Chưa tới</v>
      </c>
      <c r="U1454" s="38" t="n">
        <f aca="false">IF($H1454="","",$R1454/5)</f>
        <v>0</v>
      </c>
    </row>
    <row r="1455" customFormat="false" ht="23.85" hidden="false" customHeight="false" outlineLevel="0" collapsed="false">
      <c r="A1455" s="31" t="s">
        <v>8641</v>
      </c>
      <c r="B1455" s="31" t="n">
        <v>73</v>
      </c>
      <c r="C1455" s="32" t="n">
        <f aca="false">SETTINGS!$C$3+$B1455-1</f>
        <v>46372</v>
      </c>
      <c r="D1455" s="41" t="s">
        <v>7168</v>
      </c>
      <c r="E1455" s="34" t="s">
        <v>8572</v>
      </c>
      <c r="F1455" s="34" t="s">
        <v>280</v>
      </c>
      <c r="G1455" s="34" t="s">
        <v>8642</v>
      </c>
      <c r="H1455" s="35" t="s">
        <v>8643</v>
      </c>
      <c r="I1455" s="36" t="s">
        <v>8644</v>
      </c>
      <c r="J1455" s="34" t="s">
        <v>8645</v>
      </c>
      <c r="K1455" s="34" t="s">
        <v>8646</v>
      </c>
      <c r="L1455" s="37"/>
      <c r="M1455" s="37"/>
      <c r="N1455" s="37"/>
      <c r="O1455" s="37"/>
      <c r="P1455" s="37"/>
      <c r="Q1455" s="37"/>
      <c r="R1455" s="31" t="n">
        <f aca="false">COUNT($M1455:$Q1455)</f>
        <v>0</v>
      </c>
      <c r="S1455" s="32" t="str">
        <f aca="false">IF($L1455="","",IF($R1455&gt;=5,"",MAX($L1455:$Q1455)+CHOOSE($R1455+1,SETTINGS!$C$9,SETTINGS!$C$10,SETTINGS!$C$11,SETTINGS!$C$12,SETTINGS!$C$13)))</f>
        <v/>
      </c>
      <c r="T1455" s="34" t="str">
        <f aca="true">IF($H1455="","(chưa có nội dung)",IF($L1455="",IF($C1455&lt;TODAY(),"⚠ TRỄ HỌC",IF($C1455=TODAY(),"★ HỌC HÔM NAY","• Chưa tới")),IF($R1455&gt;=5,"✔ MASTER",IF($S1455&lt;TODAY(),"⚠ TRỄ ÔN",IF($S1455=TODAY(),"◆ ÔN HÔM NAY","✔ Đúng tiến độ")))))</f>
        <v>• Chưa tới</v>
      </c>
      <c r="U1455" s="38" t="n">
        <f aca="false">IF($H1455="","",$R1455/5)</f>
        <v>0</v>
      </c>
    </row>
    <row r="1456" customFormat="false" ht="23.85" hidden="false" customHeight="false" outlineLevel="0" collapsed="false">
      <c r="A1456" s="31" t="s">
        <v>8647</v>
      </c>
      <c r="B1456" s="31" t="n">
        <v>73</v>
      </c>
      <c r="C1456" s="32" t="n">
        <f aca="false">SETTINGS!$C$3+$B1456-1</f>
        <v>46372</v>
      </c>
      <c r="D1456" s="41" t="s">
        <v>7168</v>
      </c>
      <c r="E1456" s="34" t="s">
        <v>8572</v>
      </c>
      <c r="F1456" s="34" t="s">
        <v>280</v>
      </c>
      <c r="G1456" s="34" t="s">
        <v>8648</v>
      </c>
      <c r="H1456" s="35" t="s">
        <v>8649</v>
      </c>
      <c r="I1456" s="36" t="s">
        <v>8650</v>
      </c>
      <c r="J1456" s="34" t="s">
        <v>8651</v>
      </c>
      <c r="K1456" s="34" t="s">
        <v>8652</v>
      </c>
      <c r="L1456" s="37"/>
      <c r="M1456" s="37"/>
      <c r="N1456" s="37"/>
      <c r="O1456" s="37"/>
      <c r="P1456" s="37"/>
      <c r="Q1456" s="37"/>
      <c r="R1456" s="31" t="n">
        <f aca="false">COUNT($M1456:$Q1456)</f>
        <v>0</v>
      </c>
      <c r="S1456" s="32" t="str">
        <f aca="false">IF($L1456="","",IF($R1456&gt;=5,"",MAX($L1456:$Q1456)+CHOOSE($R1456+1,SETTINGS!$C$9,SETTINGS!$C$10,SETTINGS!$C$11,SETTINGS!$C$12,SETTINGS!$C$13)))</f>
        <v/>
      </c>
      <c r="T1456" s="34" t="str">
        <f aca="true">IF($H1456="","(chưa có nội dung)",IF($L1456="",IF($C1456&lt;TODAY(),"⚠ TRỄ HỌC",IF($C1456=TODAY(),"★ HỌC HÔM NAY","• Chưa tới")),IF($R1456&gt;=5,"✔ MASTER",IF($S1456&lt;TODAY(),"⚠ TRỄ ÔN",IF($S1456=TODAY(),"◆ ÔN HÔM NAY","✔ Đúng tiến độ")))))</f>
        <v>• Chưa tới</v>
      </c>
      <c r="U1456" s="38" t="n">
        <f aca="false">IF($H1456="","",$R1456/5)</f>
        <v>0</v>
      </c>
    </row>
    <row r="1457" customFormat="false" ht="23.85" hidden="false" customHeight="false" outlineLevel="0" collapsed="false">
      <c r="A1457" s="31" t="s">
        <v>8653</v>
      </c>
      <c r="B1457" s="31" t="n">
        <v>73</v>
      </c>
      <c r="C1457" s="32" t="n">
        <f aca="false">SETTINGS!$C$3+$B1457-1</f>
        <v>46372</v>
      </c>
      <c r="D1457" s="41" t="s">
        <v>7168</v>
      </c>
      <c r="E1457" s="34" t="s">
        <v>8572</v>
      </c>
      <c r="F1457" s="34" t="s">
        <v>280</v>
      </c>
      <c r="G1457" s="34" t="s">
        <v>8654</v>
      </c>
      <c r="H1457" s="35" t="s">
        <v>8655</v>
      </c>
      <c r="I1457" s="36" t="s">
        <v>8656</v>
      </c>
      <c r="J1457" s="34" t="s">
        <v>8657</v>
      </c>
      <c r="K1457" s="34" t="s">
        <v>8654</v>
      </c>
      <c r="L1457" s="37"/>
      <c r="M1457" s="37"/>
      <c r="N1457" s="37"/>
      <c r="O1457" s="37"/>
      <c r="P1457" s="37"/>
      <c r="Q1457" s="37"/>
      <c r="R1457" s="31" t="n">
        <f aca="false">COUNT($M1457:$Q1457)</f>
        <v>0</v>
      </c>
      <c r="S1457" s="32" t="str">
        <f aca="false">IF($L1457="","",IF($R1457&gt;=5,"",MAX($L1457:$Q1457)+CHOOSE($R1457+1,SETTINGS!$C$9,SETTINGS!$C$10,SETTINGS!$C$11,SETTINGS!$C$12,SETTINGS!$C$13)))</f>
        <v/>
      </c>
      <c r="T1457" s="34" t="str">
        <f aca="true">IF($H1457="","(chưa có nội dung)",IF($L1457="",IF($C1457&lt;TODAY(),"⚠ TRỄ HỌC",IF($C1457=TODAY(),"★ HỌC HÔM NAY","• Chưa tới")),IF($R1457&gt;=5,"✔ MASTER",IF($S1457&lt;TODAY(),"⚠ TRỄ ÔN",IF($S1457=TODAY(),"◆ ÔN HÔM NAY","✔ Đúng tiến độ")))))</f>
        <v>• Chưa tới</v>
      </c>
      <c r="U1457" s="38" t="n">
        <f aca="false">IF($H1457="","",$R1457/5)</f>
        <v>0</v>
      </c>
    </row>
    <row r="1458" customFormat="false" ht="23.85" hidden="false" customHeight="false" outlineLevel="0" collapsed="false">
      <c r="A1458" s="31" t="s">
        <v>8658</v>
      </c>
      <c r="B1458" s="31" t="n">
        <v>73</v>
      </c>
      <c r="C1458" s="32" t="n">
        <f aca="false">SETTINGS!$C$3+$B1458-1</f>
        <v>46372</v>
      </c>
      <c r="D1458" s="41" t="s">
        <v>7168</v>
      </c>
      <c r="E1458" s="34" t="s">
        <v>8572</v>
      </c>
      <c r="F1458" s="34" t="s">
        <v>280</v>
      </c>
      <c r="G1458" s="34" t="s">
        <v>8659</v>
      </c>
      <c r="H1458" s="35" t="s">
        <v>8660</v>
      </c>
      <c r="I1458" s="36" t="s">
        <v>8661</v>
      </c>
      <c r="J1458" s="34" t="s">
        <v>8662</v>
      </c>
      <c r="K1458" s="34" t="s">
        <v>8663</v>
      </c>
      <c r="L1458" s="37"/>
      <c r="M1458" s="37"/>
      <c r="N1458" s="37"/>
      <c r="O1458" s="37"/>
      <c r="P1458" s="37"/>
      <c r="Q1458" s="37"/>
      <c r="R1458" s="31" t="n">
        <f aca="false">COUNT($M1458:$Q1458)</f>
        <v>0</v>
      </c>
      <c r="S1458" s="32" t="str">
        <f aca="false">IF($L1458="","",IF($R1458&gt;=5,"",MAX($L1458:$Q1458)+CHOOSE($R1458+1,SETTINGS!$C$9,SETTINGS!$C$10,SETTINGS!$C$11,SETTINGS!$C$12,SETTINGS!$C$13)))</f>
        <v/>
      </c>
      <c r="T1458" s="34" t="str">
        <f aca="true">IF($H1458="","(chưa có nội dung)",IF($L1458="",IF($C1458&lt;TODAY(),"⚠ TRỄ HỌC",IF($C1458=TODAY(),"★ HỌC HÔM NAY","• Chưa tới")),IF($R1458&gt;=5,"✔ MASTER",IF($S1458&lt;TODAY(),"⚠ TRỄ ÔN",IF($S1458=TODAY(),"◆ ÔN HÔM NAY","✔ Đúng tiến độ")))))</f>
        <v>• Chưa tới</v>
      </c>
      <c r="U1458" s="38" t="n">
        <f aca="false">IF($H1458="","",$R1458/5)</f>
        <v>0</v>
      </c>
    </row>
    <row r="1459" customFormat="false" ht="23.85" hidden="false" customHeight="false" outlineLevel="0" collapsed="false">
      <c r="A1459" s="31" t="s">
        <v>8664</v>
      </c>
      <c r="B1459" s="31" t="n">
        <v>73</v>
      </c>
      <c r="C1459" s="32" t="n">
        <f aca="false">SETTINGS!$C$3+$B1459-1</f>
        <v>46372</v>
      </c>
      <c r="D1459" s="41" t="s">
        <v>7168</v>
      </c>
      <c r="E1459" s="34" t="s">
        <v>8572</v>
      </c>
      <c r="F1459" s="34" t="s">
        <v>183</v>
      </c>
      <c r="G1459" s="34" t="s">
        <v>8665</v>
      </c>
      <c r="H1459" s="35" t="s">
        <v>8666</v>
      </c>
      <c r="I1459" s="36" t="s">
        <v>8667</v>
      </c>
      <c r="J1459" s="34" t="s">
        <v>8668</v>
      </c>
      <c r="K1459" s="34" t="s">
        <v>8669</v>
      </c>
      <c r="L1459" s="37"/>
      <c r="M1459" s="37"/>
      <c r="N1459" s="37"/>
      <c r="O1459" s="37"/>
      <c r="P1459" s="37"/>
      <c r="Q1459" s="37"/>
      <c r="R1459" s="31" t="n">
        <f aca="false">COUNT($M1459:$Q1459)</f>
        <v>0</v>
      </c>
      <c r="S1459" s="32" t="str">
        <f aca="false">IF($L1459="","",IF($R1459&gt;=5,"",MAX($L1459:$Q1459)+CHOOSE($R1459+1,SETTINGS!$C$9,SETTINGS!$C$10,SETTINGS!$C$11,SETTINGS!$C$12,SETTINGS!$C$13)))</f>
        <v/>
      </c>
      <c r="T1459" s="34" t="str">
        <f aca="true">IF($H1459="","(chưa có nội dung)",IF($L1459="",IF($C1459&lt;TODAY(),"⚠ TRỄ HỌC",IF($C1459=TODAY(),"★ HỌC HÔM NAY","• Chưa tới")),IF($R1459&gt;=5,"✔ MASTER",IF($S1459&lt;TODAY(),"⚠ TRỄ ÔN",IF($S1459=TODAY(),"◆ ÔN HÔM NAY","✔ Đúng tiến độ")))))</f>
        <v>• Chưa tới</v>
      </c>
      <c r="U1459" s="38" t="n">
        <f aca="false">IF($H1459="","",$R1459/5)</f>
        <v>0</v>
      </c>
    </row>
    <row r="1460" customFormat="false" ht="23.85" hidden="false" customHeight="false" outlineLevel="0" collapsed="false">
      <c r="A1460" s="31" t="s">
        <v>8670</v>
      </c>
      <c r="B1460" s="31" t="n">
        <v>73</v>
      </c>
      <c r="C1460" s="32" t="n">
        <f aca="false">SETTINGS!$C$3+$B1460-1</f>
        <v>46372</v>
      </c>
      <c r="D1460" s="41" t="s">
        <v>7168</v>
      </c>
      <c r="E1460" s="34" t="s">
        <v>8572</v>
      </c>
      <c r="F1460" s="34" t="s">
        <v>280</v>
      </c>
      <c r="G1460" s="34" t="s">
        <v>8671</v>
      </c>
      <c r="H1460" s="35" t="s">
        <v>8672</v>
      </c>
      <c r="I1460" s="36" t="s">
        <v>8673</v>
      </c>
      <c r="J1460" s="34" t="s">
        <v>8674</v>
      </c>
      <c r="K1460" s="34" t="s">
        <v>8675</v>
      </c>
      <c r="L1460" s="37"/>
      <c r="M1460" s="37"/>
      <c r="N1460" s="37"/>
      <c r="O1460" s="37"/>
      <c r="P1460" s="37"/>
      <c r="Q1460" s="37"/>
      <c r="R1460" s="31" t="n">
        <f aca="false">COUNT($M1460:$Q1460)</f>
        <v>0</v>
      </c>
      <c r="S1460" s="32" t="str">
        <f aca="false">IF($L1460="","",IF($R1460&gt;=5,"",MAX($L1460:$Q1460)+CHOOSE($R1460+1,SETTINGS!$C$9,SETTINGS!$C$10,SETTINGS!$C$11,SETTINGS!$C$12,SETTINGS!$C$13)))</f>
        <v/>
      </c>
      <c r="T1460" s="34" t="str">
        <f aca="true">IF($H1460="","(chưa có nội dung)",IF($L1460="",IF($C1460&lt;TODAY(),"⚠ TRỄ HỌC",IF($C1460=TODAY(),"★ HỌC HÔM NAY","• Chưa tới")),IF($R1460&gt;=5,"✔ MASTER",IF($S1460&lt;TODAY(),"⚠ TRỄ ÔN",IF($S1460=TODAY(),"◆ ÔN HÔM NAY","✔ Đúng tiến độ")))))</f>
        <v>• Chưa tới</v>
      </c>
      <c r="U1460" s="38" t="n">
        <f aca="false">IF($H1460="","",$R1460/5)</f>
        <v>0</v>
      </c>
    </row>
    <row r="1461" customFormat="false" ht="23.85" hidden="false" customHeight="false" outlineLevel="0" collapsed="false">
      <c r="A1461" s="31" t="s">
        <v>8676</v>
      </c>
      <c r="B1461" s="31" t="n">
        <v>73</v>
      </c>
      <c r="C1461" s="32" t="n">
        <f aca="false">SETTINGS!$C$3+$B1461-1</f>
        <v>46372</v>
      </c>
      <c r="D1461" s="41" t="s">
        <v>7168</v>
      </c>
      <c r="E1461" s="34" t="s">
        <v>8572</v>
      </c>
      <c r="F1461" s="34" t="s">
        <v>280</v>
      </c>
      <c r="G1461" s="34" t="s">
        <v>8677</v>
      </c>
      <c r="H1461" s="35" t="s">
        <v>8678</v>
      </c>
      <c r="I1461" s="36" t="s">
        <v>8679</v>
      </c>
      <c r="J1461" s="34" t="s">
        <v>8680</v>
      </c>
      <c r="K1461" s="34" t="s">
        <v>8681</v>
      </c>
      <c r="L1461" s="37"/>
      <c r="M1461" s="37"/>
      <c r="N1461" s="37"/>
      <c r="O1461" s="37"/>
      <c r="P1461" s="37"/>
      <c r="Q1461" s="37"/>
      <c r="R1461" s="31" t="n">
        <f aca="false">COUNT($M1461:$Q1461)</f>
        <v>0</v>
      </c>
      <c r="S1461" s="32" t="str">
        <f aca="false">IF($L1461="","",IF($R1461&gt;=5,"",MAX($L1461:$Q1461)+CHOOSE($R1461+1,SETTINGS!$C$9,SETTINGS!$C$10,SETTINGS!$C$11,SETTINGS!$C$12,SETTINGS!$C$13)))</f>
        <v/>
      </c>
      <c r="T1461" s="34" t="str">
        <f aca="true">IF($H1461="","(chưa có nội dung)",IF($L1461="",IF($C1461&lt;TODAY(),"⚠ TRỄ HỌC",IF($C1461=TODAY(),"★ HỌC HÔM NAY","• Chưa tới")),IF($R1461&gt;=5,"✔ MASTER",IF($S1461&lt;TODAY(),"⚠ TRỄ ÔN",IF($S1461=TODAY(),"◆ ÔN HÔM NAY","✔ Đúng tiến độ")))))</f>
        <v>• Chưa tới</v>
      </c>
      <c r="U1461" s="38" t="n">
        <f aca="false">IF($H1461="","",$R1461/5)</f>
        <v>0</v>
      </c>
    </row>
    <row r="1462" customFormat="false" ht="23.85" hidden="false" customHeight="false" outlineLevel="0" collapsed="false">
      <c r="A1462" s="31" t="s">
        <v>8682</v>
      </c>
      <c r="B1462" s="31" t="n">
        <v>73</v>
      </c>
      <c r="C1462" s="32" t="n">
        <f aca="false">SETTINGS!$C$3+$B1462-1</f>
        <v>46372</v>
      </c>
      <c r="D1462" s="41" t="s">
        <v>7168</v>
      </c>
      <c r="E1462" s="34" t="s">
        <v>8572</v>
      </c>
      <c r="F1462" s="34" t="s">
        <v>280</v>
      </c>
      <c r="G1462" s="34" t="s">
        <v>8683</v>
      </c>
      <c r="H1462" s="35" t="s">
        <v>8684</v>
      </c>
      <c r="I1462" s="36" t="s">
        <v>8685</v>
      </c>
      <c r="J1462" s="34" t="s">
        <v>8686</v>
      </c>
      <c r="K1462" s="34" t="s">
        <v>8687</v>
      </c>
      <c r="L1462" s="37"/>
      <c r="M1462" s="37"/>
      <c r="N1462" s="37"/>
      <c r="O1462" s="37"/>
      <c r="P1462" s="37"/>
      <c r="Q1462" s="37"/>
      <c r="R1462" s="31" t="n">
        <f aca="false">COUNT($M1462:$Q1462)</f>
        <v>0</v>
      </c>
      <c r="S1462" s="32" t="str">
        <f aca="false">IF($L1462="","",IF($R1462&gt;=5,"",MAX($L1462:$Q1462)+CHOOSE($R1462+1,SETTINGS!$C$9,SETTINGS!$C$10,SETTINGS!$C$11,SETTINGS!$C$12,SETTINGS!$C$13)))</f>
        <v/>
      </c>
      <c r="T1462" s="34" t="str">
        <f aca="true">IF($H1462="","(chưa có nội dung)",IF($L1462="",IF($C1462&lt;TODAY(),"⚠ TRỄ HỌC",IF($C1462=TODAY(),"★ HỌC HÔM NAY","• Chưa tới")),IF($R1462&gt;=5,"✔ MASTER",IF($S1462&lt;TODAY(),"⚠ TRỄ ÔN",IF($S1462=TODAY(),"◆ ÔN HÔM NAY","✔ Đúng tiến độ")))))</f>
        <v>• Chưa tới</v>
      </c>
      <c r="U1462" s="38" t="n">
        <f aca="false">IF($H1462="","",$R1462/5)</f>
        <v>0</v>
      </c>
    </row>
    <row r="1463" customFormat="false" ht="15" hidden="false" customHeight="false" outlineLevel="0" collapsed="false">
      <c r="A1463" s="31" t="s">
        <v>8688</v>
      </c>
      <c r="B1463" s="31" t="n">
        <v>74</v>
      </c>
      <c r="C1463" s="32" t="n">
        <f aca="false">SETTINGS!$C$3+$B1463-1</f>
        <v>46373</v>
      </c>
      <c r="D1463" s="41" t="s">
        <v>7168</v>
      </c>
      <c r="E1463" s="34" t="s">
        <v>8689</v>
      </c>
      <c r="F1463" s="34" t="s">
        <v>280</v>
      </c>
      <c r="G1463" s="34" t="s">
        <v>8690</v>
      </c>
      <c r="H1463" s="35" t="s">
        <v>8691</v>
      </c>
      <c r="I1463" s="36" t="s">
        <v>8692</v>
      </c>
      <c r="J1463" s="34" t="s">
        <v>8693</v>
      </c>
      <c r="K1463" s="34" t="s">
        <v>8694</v>
      </c>
      <c r="L1463" s="37"/>
      <c r="M1463" s="37"/>
      <c r="N1463" s="37"/>
      <c r="O1463" s="37"/>
      <c r="P1463" s="37"/>
      <c r="Q1463" s="37"/>
      <c r="R1463" s="31" t="n">
        <f aca="false">COUNT($M1463:$Q1463)</f>
        <v>0</v>
      </c>
      <c r="S1463" s="32" t="str">
        <f aca="false">IF($L1463="","",IF($R1463&gt;=5,"",MAX($L1463:$Q1463)+CHOOSE($R1463+1,SETTINGS!$C$9,SETTINGS!$C$10,SETTINGS!$C$11,SETTINGS!$C$12,SETTINGS!$C$13)))</f>
        <v/>
      </c>
      <c r="T1463" s="34" t="str">
        <f aca="true">IF($H1463="","(chưa có nội dung)",IF($L1463="",IF($C1463&lt;TODAY(),"⚠ TRỄ HỌC",IF($C1463=TODAY(),"★ HỌC HÔM NAY","• Chưa tới")),IF($R1463&gt;=5,"✔ MASTER",IF($S1463&lt;TODAY(),"⚠ TRỄ ÔN",IF($S1463=TODAY(),"◆ ÔN HÔM NAY","✔ Đúng tiến độ")))))</f>
        <v>• Chưa tới</v>
      </c>
      <c r="U1463" s="38" t="n">
        <f aca="false">IF($H1463="","",$R1463/5)</f>
        <v>0</v>
      </c>
    </row>
    <row r="1464" customFormat="false" ht="26.85" hidden="false" customHeight="false" outlineLevel="0" collapsed="false">
      <c r="A1464" s="31" t="s">
        <v>8695</v>
      </c>
      <c r="B1464" s="31" t="n">
        <v>74</v>
      </c>
      <c r="C1464" s="32" t="n">
        <f aca="false">SETTINGS!$C$3+$B1464-1</f>
        <v>46373</v>
      </c>
      <c r="D1464" s="41" t="s">
        <v>7168</v>
      </c>
      <c r="E1464" s="34" t="s">
        <v>8689</v>
      </c>
      <c r="F1464" s="34" t="s">
        <v>280</v>
      </c>
      <c r="G1464" s="34" t="s">
        <v>8696</v>
      </c>
      <c r="H1464" s="35" t="s">
        <v>8697</v>
      </c>
      <c r="I1464" s="36" t="s">
        <v>8698</v>
      </c>
      <c r="J1464" s="34" t="s">
        <v>8699</v>
      </c>
      <c r="K1464" s="34" t="s">
        <v>8700</v>
      </c>
      <c r="L1464" s="37"/>
      <c r="M1464" s="37"/>
      <c r="N1464" s="37"/>
      <c r="O1464" s="37"/>
      <c r="P1464" s="37"/>
      <c r="Q1464" s="37"/>
      <c r="R1464" s="31" t="n">
        <f aca="false">COUNT($M1464:$Q1464)</f>
        <v>0</v>
      </c>
      <c r="S1464" s="32" t="str">
        <f aca="false">IF($L1464="","",IF($R1464&gt;=5,"",MAX($L1464:$Q1464)+CHOOSE($R1464+1,SETTINGS!$C$9,SETTINGS!$C$10,SETTINGS!$C$11,SETTINGS!$C$12,SETTINGS!$C$13)))</f>
        <v/>
      </c>
      <c r="T1464" s="34" t="str">
        <f aca="true">IF($H1464="","(chưa có nội dung)",IF($L1464="",IF($C1464&lt;TODAY(),"⚠ TRỄ HỌC",IF($C1464=TODAY(),"★ HỌC HÔM NAY","• Chưa tới")),IF($R1464&gt;=5,"✔ MASTER",IF($S1464&lt;TODAY(),"⚠ TRỄ ÔN",IF($S1464=TODAY(),"◆ ÔN HÔM NAY","✔ Đúng tiến độ")))))</f>
        <v>• Chưa tới</v>
      </c>
      <c r="U1464" s="38" t="n">
        <f aca="false">IF($H1464="","",$R1464/5)</f>
        <v>0</v>
      </c>
    </row>
    <row r="1465" customFormat="false" ht="15" hidden="false" customHeight="false" outlineLevel="0" collapsed="false">
      <c r="A1465" s="31" t="s">
        <v>8701</v>
      </c>
      <c r="B1465" s="31" t="n">
        <v>74</v>
      </c>
      <c r="C1465" s="32" t="n">
        <f aca="false">SETTINGS!$C$3+$B1465-1</f>
        <v>46373</v>
      </c>
      <c r="D1465" s="41" t="s">
        <v>7168</v>
      </c>
      <c r="E1465" s="34" t="s">
        <v>8689</v>
      </c>
      <c r="F1465" s="34" t="s">
        <v>183</v>
      </c>
      <c r="G1465" s="34" t="s">
        <v>8702</v>
      </c>
      <c r="H1465" s="35" t="s">
        <v>8703</v>
      </c>
      <c r="I1465" s="36" t="s">
        <v>8704</v>
      </c>
      <c r="J1465" s="34" t="s">
        <v>8705</v>
      </c>
      <c r="K1465" s="34" t="s">
        <v>8706</v>
      </c>
      <c r="L1465" s="37"/>
      <c r="M1465" s="37"/>
      <c r="N1465" s="37"/>
      <c r="O1465" s="37"/>
      <c r="P1465" s="37"/>
      <c r="Q1465" s="37"/>
      <c r="R1465" s="31" t="n">
        <f aca="false">COUNT($M1465:$Q1465)</f>
        <v>0</v>
      </c>
      <c r="S1465" s="32" t="str">
        <f aca="false">IF($L1465="","",IF($R1465&gt;=5,"",MAX($L1465:$Q1465)+CHOOSE($R1465+1,SETTINGS!$C$9,SETTINGS!$C$10,SETTINGS!$C$11,SETTINGS!$C$12,SETTINGS!$C$13)))</f>
        <v/>
      </c>
      <c r="T1465" s="34" t="str">
        <f aca="true">IF($H1465="","(chưa có nội dung)",IF($L1465="",IF($C1465&lt;TODAY(),"⚠ TRỄ HỌC",IF($C1465=TODAY(),"★ HỌC HÔM NAY","• Chưa tới")),IF($R1465&gt;=5,"✔ MASTER",IF($S1465&lt;TODAY(),"⚠ TRỄ ÔN",IF($S1465=TODAY(),"◆ ÔN HÔM NAY","✔ Đúng tiến độ")))))</f>
        <v>• Chưa tới</v>
      </c>
      <c r="U1465" s="38" t="n">
        <f aca="false">IF($H1465="","",$R1465/5)</f>
        <v>0</v>
      </c>
    </row>
    <row r="1466" customFormat="false" ht="15" hidden="false" customHeight="false" outlineLevel="0" collapsed="false">
      <c r="A1466" s="31" t="s">
        <v>8707</v>
      </c>
      <c r="B1466" s="31" t="n">
        <v>74</v>
      </c>
      <c r="C1466" s="32" t="n">
        <f aca="false">SETTINGS!$C$3+$B1466-1</f>
        <v>46373</v>
      </c>
      <c r="D1466" s="41" t="s">
        <v>7168</v>
      </c>
      <c r="E1466" s="34" t="s">
        <v>8689</v>
      </c>
      <c r="F1466" s="34" t="s">
        <v>280</v>
      </c>
      <c r="G1466" s="34" t="s">
        <v>8708</v>
      </c>
      <c r="H1466" s="35" t="s">
        <v>8709</v>
      </c>
      <c r="I1466" s="36" t="s">
        <v>8710</v>
      </c>
      <c r="J1466" s="34" t="s">
        <v>8711</v>
      </c>
      <c r="K1466" s="34" t="s">
        <v>8712</v>
      </c>
      <c r="L1466" s="37"/>
      <c r="M1466" s="37"/>
      <c r="N1466" s="37"/>
      <c r="O1466" s="37"/>
      <c r="P1466" s="37"/>
      <c r="Q1466" s="37"/>
      <c r="R1466" s="31" t="n">
        <f aca="false">COUNT($M1466:$Q1466)</f>
        <v>0</v>
      </c>
      <c r="S1466" s="32" t="str">
        <f aca="false">IF($L1466="","",IF($R1466&gt;=5,"",MAX($L1466:$Q1466)+CHOOSE($R1466+1,SETTINGS!$C$9,SETTINGS!$C$10,SETTINGS!$C$11,SETTINGS!$C$12,SETTINGS!$C$13)))</f>
        <v/>
      </c>
      <c r="T1466" s="34" t="str">
        <f aca="true">IF($H1466="","(chưa có nội dung)",IF($L1466="",IF($C1466&lt;TODAY(),"⚠ TRỄ HỌC",IF($C1466=TODAY(),"★ HỌC HÔM NAY","• Chưa tới")),IF($R1466&gt;=5,"✔ MASTER",IF($S1466&lt;TODAY(),"⚠ TRỄ ÔN",IF($S1466=TODAY(),"◆ ÔN HÔM NAY","✔ Đúng tiến độ")))))</f>
        <v>• Chưa tới</v>
      </c>
      <c r="U1466" s="38" t="n">
        <f aca="false">IF($H1466="","",$R1466/5)</f>
        <v>0</v>
      </c>
    </row>
    <row r="1467" customFormat="false" ht="15" hidden="false" customHeight="false" outlineLevel="0" collapsed="false">
      <c r="A1467" s="31" t="s">
        <v>8713</v>
      </c>
      <c r="B1467" s="31" t="n">
        <v>74</v>
      </c>
      <c r="C1467" s="32" t="n">
        <f aca="false">SETTINGS!$C$3+$B1467-1</f>
        <v>46373</v>
      </c>
      <c r="D1467" s="41" t="s">
        <v>7168</v>
      </c>
      <c r="E1467" s="34" t="s">
        <v>8689</v>
      </c>
      <c r="F1467" s="34" t="s">
        <v>280</v>
      </c>
      <c r="G1467" s="34" t="s">
        <v>8714</v>
      </c>
      <c r="H1467" s="35" t="s">
        <v>8715</v>
      </c>
      <c r="I1467" s="36" t="s">
        <v>8716</v>
      </c>
      <c r="J1467" s="34" t="s">
        <v>8717</v>
      </c>
      <c r="K1467" s="34" t="s">
        <v>8718</v>
      </c>
      <c r="L1467" s="37"/>
      <c r="M1467" s="37"/>
      <c r="N1467" s="37"/>
      <c r="O1467" s="37"/>
      <c r="P1467" s="37"/>
      <c r="Q1467" s="37"/>
      <c r="R1467" s="31" t="n">
        <f aca="false">COUNT($M1467:$Q1467)</f>
        <v>0</v>
      </c>
      <c r="S1467" s="32" t="str">
        <f aca="false">IF($L1467="","",IF($R1467&gt;=5,"",MAX($L1467:$Q1467)+CHOOSE($R1467+1,SETTINGS!$C$9,SETTINGS!$C$10,SETTINGS!$C$11,SETTINGS!$C$12,SETTINGS!$C$13)))</f>
        <v/>
      </c>
      <c r="T1467" s="34" t="str">
        <f aca="true">IF($H1467="","(chưa có nội dung)",IF($L1467="",IF($C1467&lt;TODAY(),"⚠ TRỄ HỌC",IF($C1467=TODAY(),"★ HỌC HÔM NAY","• Chưa tới")),IF($R1467&gt;=5,"✔ MASTER",IF($S1467&lt;TODAY(),"⚠ TRỄ ÔN",IF($S1467=TODAY(),"◆ ÔN HÔM NAY","✔ Đúng tiến độ")))))</f>
        <v>• Chưa tới</v>
      </c>
      <c r="U1467" s="38" t="n">
        <f aca="false">IF($H1467="","",$R1467/5)</f>
        <v>0</v>
      </c>
    </row>
    <row r="1468" customFormat="false" ht="26.85" hidden="false" customHeight="false" outlineLevel="0" collapsed="false">
      <c r="A1468" s="31" t="s">
        <v>8719</v>
      </c>
      <c r="B1468" s="31" t="n">
        <v>74</v>
      </c>
      <c r="C1468" s="32" t="n">
        <f aca="false">SETTINGS!$C$3+$B1468-1</f>
        <v>46373</v>
      </c>
      <c r="D1468" s="41" t="s">
        <v>7168</v>
      </c>
      <c r="E1468" s="34" t="s">
        <v>8689</v>
      </c>
      <c r="F1468" s="34" t="s">
        <v>3656</v>
      </c>
      <c r="G1468" s="34" t="s">
        <v>8720</v>
      </c>
      <c r="H1468" s="35" t="s">
        <v>8721</v>
      </c>
      <c r="I1468" s="36" t="s">
        <v>8722</v>
      </c>
      <c r="J1468" s="34" t="s">
        <v>8723</v>
      </c>
      <c r="K1468" s="34" t="s">
        <v>8724</v>
      </c>
      <c r="L1468" s="37"/>
      <c r="M1468" s="37"/>
      <c r="N1468" s="37"/>
      <c r="O1468" s="37"/>
      <c r="P1468" s="37"/>
      <c r="Q1468" s="37"/>
      <c r="R1468" s="31" t="n">
        <f aca="false">COUNT($M1468:$Q1468)</f>
        <v>0</v>
      </c>
      <c r="S1468" s="32" t="str">
        <f aca="false">IF($L1468="","",IF($R1468&gt;=5,"",MAX($L1468:$Q1468)+CHOOSE($R1468+1,SETTINGS!$C$9,SETTINGS!$C$10,SETTINGS!$C$11,SETTINGS!$C$12,SETTINGS!$C$13)))</f>
        <v/>
      </c>
      <c r="T1468" s="34" t="str">
        <f aca="true">IF($H1468="","(chưa có nội dung)",IF($L1468="",IF($C1468&lt;TODAY(),"⚠ TRỄ HỌC",IF($C1468=TODAY(),"★ HỌC HÔM NAY","• Chưa tới")),IF($R1468&gt;=5,"✔ MASTER",IF($S1468&lt;TODAY(),"⚠ TRỄ ÔN",IF($S1468=TODAY(),"◆ ÔN HÔM NAY","✔ Đúng tiến độ")))))</f>
        <v>• Chưa tới</v>
      </c>
      <c r="U1468" s="38" t="n">
        <f aca="false">IF($H1468="","",$R1468/5)</f>
        <v>0</v>
      </c>
    </row>
    <row r="1469" customFormat="false" ht="15" hidden="false" customHeight="false" outlineLevel="0" collapsed="false">
      <c r="A1469" s="31" t="s">
        <v>8725</v>
      </c>
      <c r="B1469" s="31" t="n">
        <v>74</v>
      </c>
      <c r="C1469" s="32" t="n">
        <f aca="false">SETTINGS!$C$3+$B1469-1</f>
        <v>46373</v>
      </c>
      <c r="D1469" s="41" t="s">
        <v>7168</v>
      </c>
      <c r="E1469" s="34" t="s">
        <v>8689</v>
      </c>
      <c r="F1469" s="34" t="s">
        <v>280</v>
      </c>
      <c r="G1469" s="34" t="s">
        <v>8726</v>
      </c>
      <c r="H1469" s="35" t="s">
        <v>8727</v>
      </c>
      <c r="I1469" s="36" t="s">
        <v>8728</v>
      </c>
      <c r="J1469" s="34" t="s">
        <v>8729</v>
      </c>
      <c r="K1469" s="34" t="s">
        <v>8730</v>
      </c>
      <c r="L1469" s="37"/>
      <c r="M1469" s="37"/>
      <c r="N1469" s="37"/>
      <c r="O1469" s="37"/>
      <c r="P1469" s="37"/>
      <c r="Q1469" s="37"/>
      <c r="R1469" s="31" t="n">
        <f aca="false">COUNT($M1469:$Q1469)</f>
        <v>0</v>
      </c>
      <c r="S1469" s="32" t="str">
        <f aca="false">IF($L1469="","",IF($R1469&gt;=5,"",MAX($L1469:$Q1469)+CHOOSE($R1469+1,SETTINGS!$C$9,SETTINGS!$C$10,SETTINGS!$C$11,SETTINGS!$C$12,SETTINGS!$C$13)))</f>
        <v/>
      </c>
      <c r="T1469" s="34" t="str">
        <f aca="true">IF($H1469="","(chưa có nội dung)",IF($L1469="",IF($C1469&lt;TODAY(),"⚠ TRỄ HỌC",IF($C1469=TODAY(),"★ HỌC HÔM NAY","• Chưa tới")),IF($R1469&gt;=5,"✔ MASTER",IF($S1469&lt;TODAY(),"⚠ TRỄ ÔN",IF($S1469=TODAY(),"◆ ÔN HÔM NAY","✔ Đúng tiến độ")))))</f>
        <v>• Chưa tới</v>
      </c>
      <c r="U1469" s="38" t="n">
        <f aca="false">IF($H1469="","",$R1469/5)</f>
        <v>0</v>
      </c>
    </row>
    <row r="1470" customFormat="false" ht="15" hidden="false" customHeight="false" outlineLevel="0" collapsed="false">
      <c r="A1470" s="31" t="s">
        <v>8731</v>
      </c>
      <c r="B1470" s="31" t="n">
        <v>74</v>
      </c>
      <c r="C1470" s="32" t="n">
        <f aca="false">SETTINGS!$C$3+$B1470-1</f>
        <v>46373</v>
      </c>
      <c r="D1470" s="41" t="s">
        <v>7168</v>
      </c>
      <c r="E1470" s="34" t="s">
        <v>8689</v>
      </c>
      <c r="F1470" s="34" t="s">
        <v>280</v>
      </c>
      <c r="G1470" s="34" t="s">
        <v>8732</v>
      </c>
      <c r="H1470" s="35" t="s">
        <v>8733</v>
      </c>
      <c r="I1470" s="36" t="s">
        <v>8734</v>
      </c>
      <c r="J1470" s="34" t="s">
        <v>8735</v>
      </c>
      <c r="K1470" s="34" t="s">
        <v>8736</v>
      </c>
      <c r="L1470" s="37"/>
      <c r="M1470" s="37"/>
      <c r="N1470" s="37"/>
      <c r="O1470" s="37"/>
      <c r="P1470" s="37"/>
      <c r="Q1470" s="37"/>
      <c r="R1470" s="31" t="n">
        <f aca="false">COUNT($M1470:$Q1470)</f>
        <v>0</v>
      </c>
      <c r="S1470" s="32" t="str">
        <f aca="false">IF($L1470="","",IF($R1470&gt;=5,"",MAX($L1470:$Q1470)+CHOOSE($R1470+1,SETTINGS!$C$9,SETTINGS!$C$10,SETTINGS!$C$11,SETTINGS!$C$12,SETTINGS!$C$13)))</f>
        <v/>
      </c>
      <c r="T1470" s="34" t="str">
        <f aca="true">IF($H1470="","(chưa có nội dung)",IF($L1470="",IF($C1470&lt;TODAY(),"⚠ TRỄ HỌC",IF($C1470=TODAY(),"★ HỌC HÔM NAY","• Chưa tới")),IF($R1470&gt;=5,"✔ MASTER",IF($S1470&lt;TODAY(),"⚠ TRỄ ÔN",IF($S1470=TODAY(),"◆ ÔN HÔM NAY","✔ Đúng tiến độ")))))</f>
        <v>• Chưa tới</v>
      </c>
      <c r="U1470" s="38" t="n">
        <f aca="false">IF($H1470="","",$R1470/5)</f>
        <v>0</v>
      </c>
    </row>
    <row r="1471" customFormat="false" ht="15" hidden="false" customHeight="false" outlineLevel="0" collapsed="false">
      <c r="A1471" s="31" t="s">
        <v>8737</v>
      </c>
      <c r="B1471" s="31" t="n">
        <v>74</v>
      </c>
      <c r="C1471" s="32" t="n">
        <f aca="false">SETTINGS!$C$3+$B1471-1</f>
        <v>46373</v>
      </c>
      <c r="D1471" s="41" t="s">
        <v>7168</v>
      </c>
      <c r="E1471" s="34" t="s">
        <v>8689</v>
      </c>
      <c r="F1471" s="34" t="s">
        <v>280</v>
      </c>
      <c r="G1471" s="34" t="s">
        <v>8738</v>
      </c>
      <c r="H1471" s="35" t="s">
        <v>8739</v>
      </c>
      <c r="I1471" s="36" t="s">
        <v>8740</v>
      </c>
      <c r="J1471" s="34" t="s">
        <v>8741</v>
      </c>
      <c r="K1471" s="34" t="s">
        <v>8742</v>
      </c>
      <c r="L1471" s="37"/>
      <c r="M1471" s="37"/>
      <c r="N1471" s="37"/>
      <c r="O1471" s="37"/>
      <c r="P1471" s="37"/>
      <c r="Q1471" s="37"/>
      <c r="R1471" s="31" t="n">
        <f aca="false">COUNT($M1471:$Q1471)</f>
        <v>0</v>
      </c>
      <c r="S1471" s="32" t="str">
        <f aca="false">IF($L1471="","",IF($R1471&gt;=5,"",MAX($L1471:$Q1471)+CHOOSE($R1471+1,SETTINGS!$C$9,SETTINGS!$C$10,SETTINGS!$C$11,SETTINGS!$C$12,SETTINGS!$C$13)))</f>
        <v/>
      </c>
      <c r="T1471" s="34" t="str">
        <f aca="true">IF($H1471="","(chưa có nội dung)",IF($L1471="",IF($C1471&lt;TODAY(),"⚠ TRỄ HỌC",IF($C1471=TODAY(),"★ HỌC HÔM NAY","• Chưa tới")),IF($R1471&gt;=5,"✔ MASTER",IF($S1471&lt;TODAY(),"⚠ TRỄ ÔN",IF($S1471=TODAY(),"◆ ÔN HÔM NAY","✔ Đúng tiến độ")))))</f>
        <v>• Chưa tới</v>
      </c>
      <c r="U1471" s="38" t="n">
        <f aca="false">IF($H1471="","",$R1471/5)</f>
        <v>0</v>
      </c>
    </row>
    <row r="1472" customFormat="false" ht="15" hidden="false" customHeight="false" outlineLevel="0" collapsed="false">
      <c r="A1472" s="31" t="s">
        <v>8743</v>
      </c>
      <c r="B1472" s="31" t="n">
        <v>74</v>
      </c>
      <c r="C1472" s="32" t="n">
        <f aca="false">SETTINGS!$C$3+$B1472-1</f>
        <v>46373</v>
      </c>
      <c r="D1472" s="41" t="s">
        <v>7168</v>
      </c>
      <c r="E1472" s="34" t="s">
        <v>8689</v>
      </c>
      <c r="F1472" s="34" t="s">
        <v>3656</v>
      </c>
      <c r="G1472" s="34" t="s">
        <v>8744</v>
      </c>
      <c r="H1472" s="35" t="s">
        <v>8745</v>
      </c>
      <c r="I1472" s="36" t="s">
        <v>8746</v>
      </c>
      <c r="J1472" s="34" t="s">
        <v>8747</v>
      </c>
      <c r="K1472" s="34" t="s">
        <v>8748</v>
      </c>
      <c r="L1472" s="37"/>
      <c r="M1472" s="37"/>
      <c r="N1472" s="37"/>
      <c r="O1472" s="37"/>
      <c r="P1472" s="37"/>
      <c r="Q1472" s="37"/>
      <c r="R1472" s="31" t="n">
        <f aca="false">COUNT($M1472:$Q1472)</f>
        <v>0</v>
      </c>
      <c r="S1472" s="32" t="str">
        <f aca="false">IF($L1472="","",IF($R1472&gt;=5,"",MAX($L1472:$Q1472)+CHOOSE($R1472+1,SETTINGS!$C$9,SETTINGS!$C$10,SETTINGS!$C$11,SETTINGS!$C$12,SETTINGS!$C$13)))</f>
        <v/>
      </c>
      <c r="T1472" s="34" t="str">
        <f aca="true">IF($H1472="","(chưa có nội dung)",IF($L1472="",IF($C1472&lt;TODAY(),"⚠ TRỄ HỌC",IF($C1472=TODAY(),"★ HỌC HÔM NAY","• Chưa tới")),IF($R1472&gt;=5,"✔ MASTER",IF($S1472&lt;TODAY(),"⚠ TRỄ ÔN",IF($S1472=TODAY(),"◆ ÔN HÔM NAY","✔ Đúng tiến độ")))))</f>
        <v>• Chưa tới</v>
      </c>
      <c r="U1472" s="38" t="n">
        <f aca="false">IF($H1472="","",$R1472/5)</f>
        <v>0</v>
      </c>
    </row>
    <row r="1473" customFormat="false" ht="15" hidden="false" customHeight="false" outlineLevel="0" collapsed="false">
      <c r="A1473" s="31" t="s">
        <v>8749</v>
      </c>
      <c r="B1473" s="31" t="n">
        <v>74</v>
      </c>
      <c r="C1473" s="32" t="n">
        <f aca="false">SETTINGS!$C$3+$B1473-1</f>
        <v>46373</v>
      </c>
      <c r="D1473" s="41" t="s">
        <v>7168</v>
      </c>
      <c r="E1473" s="34" t="s">
        <v>8689</v>
      </c>
      <c r="F1473" s="34" t="s">
        <v>280</v>
      </c>
      <c r="G1473" s="34" t="s">
        <v>8750</v>
      </c>
      <c r="H1473" s="35" t="s">
        <v>8751</v>
      </c>
      <c r="I1473" s="36" t="s">
        <v>8752</v>
      </c>
      <c r="J1473" s="34" t="s">
        <v>8753</v>
      </c>
      <c r="K1473" s="34" t="s">
        <v>8754</v>
      </c>
      <c r="L1473" s="37"/>
      <c r="M1473" s="37"/>
      <c r="N1473" s="37"/>
      <c r="O1473" s="37"/>
      <c r="P1473" s="37"/>
      <c r="Q1473" s="37"/>
      <c r="R1473" s="31" t="n">
        <f aca="false">COUNT($M1473:$Q1473)</f>
        <v>0</v>
      </c>
      <c r="S1473" s="32" t="str">
        <f aca="false">IF($L1473="","",IF($R1473&gt;=5,"",MAX($L1473:$Q1473)+CHOOSE($R1473+1,SETTINGS!$C$9,SETTINGS!$C$10,SETTINGS!$C$11,SETTINGS!$C$12,SETTINGS!$C$13)))</f>
        <v/>
      </c>
      <c r="T1473" s="34" t="str">
        <f aca="true">IF($H1473="","(chưa có nội dung)",IF($L1473="",IF($C1473&lt;TODAY(),"⚠ TRỄ HỌC",IF($C1473=TODAY(),"★ HỌC HÔM NAY","• Chưa tới")),IF($R1473&gt;=5,"✔ MASTER",IF($S1473&lt;TODAY(),"⚠ TRỄ ÔN",IF($S1473=TODAY(),"◆ ÔN HÔM NAY","✔ Đúng tiến độ")))))</f>
        <v>• Chưa tới</v>
      </c>
      <c r="U1473" s="38" t="n">
        <f aca="false">IF($H1473="","",$R1473/5)</f>
        <v>0</v>
      </c>
    </row>
    <row r="1474" customFormat="false" ht="15" hidden="false" customHeight="false" outlineLevel="0" collapsed="false">
      <c r="A1474" s="31" t="s">
        <v>8755</v>
      </c>
      <c r="B1474" s="31" t="n">
        <v>74</v>
      </c>
      <c r="C1474" s="32" t="n">
        <f aca="false">SETTINGS!$C$3+$B1474-1</f>
        <v>46373</v>
      </c>
      <c r="D1474" s="41" t="s">
        <v>7168</v>
      </c>
      <c r="E1474" s="34" t="s">
        <v>8689</v>
      </c>
      <c r="F1474" s="34" t="s">
        <v>280</v>
      </c>
      <c r="G1474" s="34" t="s">
        <v>8756</v>
      </c>
      <c r="H1474" s="35" t="s">
        <v>8757</v>
      </c>
      <c r="I1474" s="36" t="s">
        <v>8758</v>
      </c>
      <c r="J1474" s="34" t="s">
        <v>8759</v>
      </c>
      <c r="K1474" s="34" t="s">
        <v>8760</v>
      </c>
      <c r="L1474" s="37"/>
      <c r="M1474" s="37"/>
      <c r="N1474" s="37"/>
      <c r="O1474" s="37"/>
      <c r="P1474" s="37"/>
      <c r="Q1474" s="37"/>
      <c r="R1474" s="31" t="n">
        <f aca="false">COUNT($M1474:$Q1474)</f>
        <v>0</v>
      </c>
      <c r="S1474" s="32" t="str">
        <f aca="false">IF($L1474="","",IF($R1474&gt;=5,"",MAX($L1474:$Q1474)+CHOOSE($R1474+1,SETTINGS!$C$9,SETTINGS!$C$10,SETTINGS!$C$11,SETTINGS!$C$12,SETTINGS!$C$13)))</f>
        <v/>
      </c>
      <c r="T1474" s="34" t="str">
        <f aca="true">IF($H1474="","(chưa có nội dung)",IF($L1474="",IF($C1474&lt;TODAY(),"⚠ TRỄ HỌC",IF($C1474=TODAY(),"★ HỌC HÔM NAY","• Chưa tới")),IF($R1474&gt;=5,"✔ MASTER",IF($S1474&lt;TODAY(),"⚠ TRỄ ÔN",IF($S1474=TODAY(),"◆ ÔN HÔM NAY","✔ Đúng tiến độ")))))</f>
        <v>• Chưa tới</v>
      </c>
      <c r="U1474" s="38" t="n">
        <f aca="false">IF($H1474="","",$R1474/5)</f>
        <v>0</v>
      </c>
    </row>
    <row r="1475" customFormat="false" ht="15" hidden="false" customHeight="false" outlineLevel="0" collapsed="false">
      <c r="A1475" s="31" t="s">
        <v>8761</v>
      </c>
      <c r="B1475" s="31" t="n">
        <v>74</v>
      </c>
      <c r="C1475" s="32" t="n">
        <f aca="false">SETTINGS!$C$3+$B1475-1</f>
        <v>46373</v>
      </c>
      <c r="D1475" s="41" t="s">
        <v>7168</v>
      </c>
      <c r="E1475" s="34" t="s">
        <v>8689</v>
      </c>
      <c r="F1475" s="34" t="s">
        <v>280</v>
      </c>
      <c r="G1475" s="34" t="s">
        <v>8458</v>
      </c>
      <c r="H1475" s="35" t="s">
        <v>8762</v>
      </c>
      <c r="I1475" s="36" t="s">
        <v>8763</v>
      </c>
      <c r="J1475" s="34" t="s">
        <v>8764</v>
      </c>
      <c r="K1475" s="34" t="s">
        <v>8765</v>
      </c>
      <c r="L1475" s="37"/>
      <c r="M1475" s="37"/>
      <c r="N1475" s="37"/>
      <c r="O1475" s="37"/>
      <c r="P1475" s="37"/>
      <c r="Q1475" s="37"/>
      <c r="R1475" s="31" t="n">
        <f aca="false">COUNT($M1475:$Q1475)</f>
        <v>0</v>
      </c>
      <c r="S1475" s="32" t="str">
        <f aca="false">IF($L1475="","",IF($R1475&gt;=5,"",MAX($L1475:$Q1475)+CHOOSE($R1475+1,SETTINGS!$C$9,SETTINGS!$C$10,SETTINGS!$C$11,SETTINGS!$C$12,SETTINGS!$C$13)))</f>
        <v/>
      </c>
      <c r="T1475" s="34" t="str">
        <f aca="true">IF($H1475="","(chưa có nội dung)",IF($L1475="",IF($C1475&lt;TODAY(),"⚠ TRỄ HỌC",IF($C1475=TODAY(),"★ HỌC HÔM NAY","• Chưa tới")),IF($R1475&gt;=5,"✔ MASTER",IF($S1475&lt;TODAY(),"⚠ TRỄ ÔN",IF($S1475=TODAY(),"◆ ÔN HÔM NAY","✔ Đúng tiến độ")))))</f>
        <v>• Chưa tới</v>
      </c>
      <c r="U1475" s="38" t="n">
        <f aca="false">IF($H1475="","",$R1475/5)</f>
        <v>0</v>
      </c>
    </row>
    <row r="1476" customFormat="false" ht="15" hidden="false" customHeight="false" outlineLevel="0" collapsed="false">
      <c r="A1476" s="31" t="s">
        <v>8766</v>
      </c>
      <c r="B1476" s="31" t="n">
        <v>74</v>
      </c>
      <c r="C1476" s="32" t="n">
        <f aca="false">SETTINGS!$C$3+$B1476-1</f>
        <v>46373</v>
      </c>
      <c r="D1476" s="41" t="s">
        <v>7168</v>
      </c>
      <c r="E1476" s="34" t="s">
        <v>8689</v>
      </c>
      <c r="F1476" s="34" t="s">
        <v>280</v>
      </c>
      <c r="G1476" s="34" t="s">
        <v>8767</v>
      </c>
      <c r="H1476" s="35" t="s">
        <v>8768</v>
      </c>
      <c r="I1476" s="36" t="s">
        <v>8769</v>
      </c>
      <c r="J1476" s="34" t="s">
        <v>8770</v>
      </c>
      <c r="K1476" s="34" t="s">
        <v>8771</v>
      </c>
      <c r="L1476" s="37"/>
      <c r="M1476" s="37"/>
      <c r="N1476" s="37"/>
      <c r="O1476" s="37"/>
      <c r="P1476" s="37"/>
      <c r="Q1476" s="37"/>
      <c r="R1476" s="31" t="n">
        <f aca="false">COUNT($M1476:$Q1476)</f>
        <v>0</v>
      </c>
      <c r="S1476" s="32" t="str">
        <f aca="false">IF($L1476="","",IF($R1476&gt;=5,"",MAX($L1476:$Q1476)+CHOOSE($R1476+1,SETTINGS!$C$9,SETTINGS!$C$10,SETTINGS!$C$11,SETTINGS!$C$12,SETTINGS!$C$13)))</f>
        <v/>
      </c>
      <c r="T1476" s="34" t="str">
        <f aca="true">IF($H1476="","(chưa có nội dung)",IF($L1476="",IF($C1476&lt;TODAY(),"⚠ TRỄ HỌC",IF($C1476=TODAY(),"★ HỌC HÔM NAY","• Chưa tới")),IF($R1476&gt;=5,"✔ MASTER",IF($S1476&lt;TODAY(),"⚠ TRỄ ÔN",IF($S1476=TODAY(),"◆ ÔN HÔM NAY","✔ Đúng tiến độ")))))</f>
        <v>• Chưa tới</v>
      </c>
      <c r="U1476" s="38" t="n">
        <f aca="false">IF($H1476="","",$R1476/5)</f>
        <v>0</v>
      </c>
    </row>
    <row r="1477" customFormat="false" ht="15" hidden="false" customHeight="false" outlineLevel="0" collapsed="false">
      <c r="A1477" s="31" t="s">
        <v>8772</v>
      </c>
      <c r="B1477" s="31" t="n">
        <v>74</v>
      </c>
      <c r="C1477" s="32" t="n">
        <f aca="false">SETTINGS!$C$3+$B1477-1</f>
        <v>46373</v>
      </c>
      <c r="D1477" s="41" t="s">
        <v>7168</v>
      </c>
      <c r="E1477" s="34" t="s">
        <v>8689</v>
      </c>
      <c r="F1477" s="34" t="s">
        <v>280</v>
      </c>
      <c r="G1477" s="34" t="s">
        <v>8773</v>
      </c>
      <c r="H1477" s="35" t="s">
        <v>8774</v>
      </c>
      <c r="I1477" s="36" t="s">
        <v>8775</v>
      </c>
      <c r="J1477" s="34" t="s">
        <v>8776</v>
      </c>
      <c r="K1477" s="34" t="s">
        <v>8777</v>
      </c>
      <c r="L1477" s="37"/>
      <c r="M1477" s="37"/>
      <c r="N1477" s="37"/>
      <c r="O1477" s="37"/>
      <c r="P1477" s="37"/>
      <c r="Q1477" s="37"/>
      <c r="R1477" s="31" t="n">
        <f aca="false">COUNT($M1477:$Q1477)</f>
        <v>0</v>
      </c>
      <c r="S1477" s="32" t="str">
        <f aca="false">IF($L1477="","",IF($R1477&gt;=5,"",MAX($L1477:$Q1477)+CHOOSE($R1477+1,SETTINGS!$C$9,SETTINGS!$C$10,SETTINGS!$C$11,SETTINGS!$C$12,SETTINGS!$C$13)))</f>
        <v/>
      </c>
      <c r="T1477" s="34" t="str">
        <f aca="true">IF($H1477="","(chưa có nội dung)",IF($L1477="",IF($C1477&lt;TODAY(),"⚠ TRỄ HỌC",IF($C1477=TODAY(),"★ HỌC HÔM NAY","• Chưa tới")),IF($R1477&gt;=5,"✔ MASTER",IF($S1477&lt;TODAY(),"⚠ TRỄ ÔN",IF($S1477=TODAY(),"◆ ÔN HÔM NAY","✔ Đúng tiến độ")))))</f>
        <v>• Chưa tới</v>
      </c>
      <c r="U1477" s="38" t="n">
        <f aca="false">IF($H1477="","",$R1477/5)</f>
        <v>0</v>
      </c>
    </row>
    <row r="1478" customFormat="false" ht="15" hidden="false" customHeight="false" outlineLevel="0" collapsed="false">
      <c r="A1478" s="31" t="s">
        <v>8778</v>
      </c>
      <c r="B1478" s="31" t="n">
        <v>74</v>
      </c>
      <c r="C1478" s="32" t="n">
        <f aca="false">SETTINGS!$C$3+$B1478-1</f>
        <v>46373</v>
      </c>
      <c r="D1478" s="41" t="s">
        <v>7168</v>
      </c>
      <c r="E1478" s="34" t="s">
        <v>8689</v>
      </c>
      <c r="F1478" s="34" t="s">
        <v>280</v>
      </c>
      <c r="G1478" s="34" t="s">
        <v>8779</v>
      </c>
      <c r="H1478" s="35" t="s">
        <v>8780</v>
      </c>
      <c r="I1478" s="36" t="s">
        <v>8781</v>
      </c>
      <c r="J1478" s="34" t="s">
        <v>8782</v>
      </c>
      <c r="K1478" s="34" t="s">
        <v>8783</v>
      </c>
      <c r="L1478" s="37"/>
      <c r="M1478" s="37"/>
      <c r="N1478" s="37"/>
      <c r="O1478" s="37"/>
      <c r="P1478" s="37"/>
      <c r="Q1478" s="37"/>
      <c r="R1478" s="31" t="n">
        <f aca="false">COUNT($M1478:$Q1478)</f>
        <v>0</v>
      </c>
      <c r="S1478" s="32" t="str">
        <f aca="false">IF($L1478="","",IF($R1478&gt;=5,"",MAX($L1478:$Q1478)+CHOOSE($R1478+1,SETTINGS!$C$9,SETTINGS!$C$10,SETTINGS!$C$11,SETTINGS!$C$12,SETTINGS!$C$13)))</f>
        <v/>
      </c>
      <c r="T1478" s="34" t="str">
        <f aca="true">IF($H1478="","(chưa có nội dung)",IF($L1478="",IF($C1478&lt;TODAY(),"⚠ TRỄ HỌC",IF($C1478=TODAY(),"★ HỌC HÔM NAY","• Chưa tới")),IF($R1478&gt;=5,"✔ MASTER",IF($S1478&lt;TODAY(),"⚠ TRỄ ÔN",IF($S1478=TODAY(),"◆ ÔN HÔM NAY","✔ Đúng tiến độ")))))</f>
        <v>• Chưa tới</v>
      </c>
      <c r="U1478" s="38" t="n">
        <f aca="false">IF($H1478="","",$R1478/5)</f>
        <v>0</v>
      </c>
    </row>
    <row r="1479" customFormat="false" ht="15" hidden="false" customHeight="false" outlineLevel="0" collapsed="false">
      <c r="A1479" s="31" t="s">
        <v>8784</v>
      </c>
      <c r="B1479" s="31" t="n">
        <v>74</v>
      </c>
      <c r="C1479" s="32" t="n">
        <f aca="false">SETTINGS!$C$3+$B1479-1</f>
        <v>46373</v>
      </c>
      <c r="D1479" s="41" t="s">
        <v>7168</v>
      </c>
      <c r="E1479" s="34" t="s">
        <v>8689</v>
      </c>
      <c r="F1479" s="34" t="s">
        <v>280</v>
      </c>
      <c r="G1479" s="34" t="s">
        <v>8785</v>
      </c>
      <c r="H1479" s="35" t="s">
        <v>8786</v>
      </c>
      <c r="I1479" s="36" t="s">
        <v>8787</v>
      </c>
      <c r="J1479" s="34" t="s">
        <v>8788</v>
      </c>
      <c r="K1479" s="34" t="s">
        <v>8789</v>
      </c>
      <c r="L1479" s="37"/>
      <c r="M1479" s="37"/>
      <c r="N1479" s="37"/>
      <c r="O1479" s="37"/>
      <c r="P1479" s="37"/>
      <c r="Q1479" s="37"/>
      <c r="R1479" s="31" t="n">
        <f aca="false">COUNT($M1479:$Q1479)</f>
        <v>0</v>
      </c>
      <c r="S1479" s="32" t="str">
        <f aca="false">IF($L1479="","",IF($R1479&gt;=5,"",MAX($L1479:$Q1479)+CHOOSE($R1479+1,SETTINGS!$C$9,SETTINGS!$C$10,SETTINGS!$C$11,SETTINGS!$C$12,SETTINGS!$C$13)))</f>
        <v/>
      </c>
      <c r="T1479" s="34" t="str">
        <f aca="true">IF($H1479="","(chưa có nội dung)",IF($L1479="",IF($C1479&lt;TODAY(),"⚠ TRỄ HỌC",IF($C1479=TODAY(),"★ HỌC HÔM NAY","• Chưa tới")),IF($R1479&gt;=5,"✔ MASTER",IF($S1479&lt;TODAY(),"⚠ TRỄ ÔN",IF($S1479=TODAY(),"◆ ÔN HÔM NAY","✔ Đúng tiến độ")))))</f>
        <v>• Chưa tới</v>
      </c>
      <c r="U1479" s="38" t="n">
        <f aca="false">IF($H1479="","",$R1479/5)</f>
        <v>0</v>
      </c>
    </row>
    <row r="1480" customFormat="false" ht="15" hidden="false" customHeight="false" outlineLevel="0" collapsed="false">
      <c r="A1480" s="31" t="s">
        <v>8790</v>
      </c>
      <c r="B1480" s="31" t="n">
        <v>74</v>
      </c>
      <c r="C1480" s="32" t="n">
        <f aca="false">SETTINGS!$C$3+$B1480-1</f>
        <v>46373</v>
      </c>
      <c r="D1480" s="41" t="s">
        <v>7168</v>
      </c>
      <c r="E1480" s="34" t="s">
        <v>8689</v>
      </c>
      <c r="F1480" s="34" t="s">
        <v>280</v>
      </c>
      <c r="G1480" s="34" t="s">
        <v>8791</v>
      </c>
      <c r="H1480" s="35" t="s">
        <v>8792</v>
      </c>
      <c r="I1480" s="36" t="s">
        <v>8793</v>
      </c>
      <c r="J1480" s="34" t="s">
        <v>8794</v>
      </c>
      <c r="K1480" s="34" t="s">
        <v>8795</v>
      </c>
      <c r="L1480" s="37"/>
      <c r="M1480" s="37"/>
      <c r="N1480" s="37"/>
      <c r="O1480" s="37"/>
      <c r="P1480" s="37"/>
      <c r="Q1480" s="37"/>
      <c r="R1480" s="31" t="n">
        <f aca="false">COUNT($M1480:$Q1480)</f>
        <v>0</v>
      </c>
      <c r="S1480" s="32" t="str">
        <f aca="false">IF($L1480="","",IF($R1480&gt;=5,"",MAX($L1480:$Q1480)+CHOOSE($R1480+1,SETTINGS!$C$9,SETTINGS!$C$10,SETTINGS!$C$11,SETTINGS!$C$12,SETTINGS!$C$13)))</f>
        <v/>
      </c>
      <c r="T1480" s="34" t="str">
        <f aca="true">IF($H1480="","(chưa có nội dung)",IF($L1480="",IF($C1480&lt;TODAY(),"⚠ TRỄ HỌC",IF($C1480=TODAY(),"★ HỌC HÔM NAY","• Chưa tới")),IF($R1480&gt;=5,"✔ MASTER",IF($S1480&lt;TODAY(),"⚠ TRỄ ÔN",IF($S1480=TODAY(),"◆ ÔN HÔM NAY","✔ Đúng tiến độ")))))</f>
        <v>• Chưa tới</v>
      </c>
      <c r="U1480" s="38" t="n">
        <f aca="false">IF($H1480="","",$R1480/5)</f>
        <v>0</v>
      </c>
    </row>
    <row r="1481" customFormat="false" ht="15" hidden="false" customHeight="false" outlineLevel="0" collapsed="false">
      <c r="A1481" s="31" t="s">
        <v>8796</v>
      </c>
      <c r="B1481" s="31" t="n">
        <v>74</v>
      </c>
      <c r="C1481" s="32" t="n">
        <f aca="false">SETTINGS!$C$3+$B1481-1</f>
        <v>46373</v>
      </c>
      <c r="D1481" s="41" t="s">
        <v>7168</v>
      </c>
      <c r="E1481" s="34" t="s">
        <v>8689</v>
      </c>
      <c r="F1481" s="34" t="s">
        <v>280</v>
      </c>
      <c r="G1481" s="34" t="s">
        <v>8797</v>
      </c>
      <c r="H1481" s="35" t="s">
        <v>8798</v>
      </c>
      <c r="I1481" s="36" t="s">
        <v>8799</v>
      </c>
      <c r="J1481" s="34" t="s">
        <v>8800</v>
      </c>
      <c r="K1481" s="34" t="s">
        <v>8801</v>
      </c>
      <c r="L1481" s="37"/>
      <c r="M1481" s="37"/>
      <c r="N1481" s="37"/>
      <c r="O1481" s="37"/>
      <c r="P1481" s="37"/>
      <c r="Q1481" s="37"/>
      <c r="R1481" s="31" t="n">
        <f aca="false">COUNT($M1481:$Q1481)</f>
        <v>0</v>
      </c>
      <c r="S1481" s="32" t="str">
        <f aca="false">IF($L1481="","",IF($R1481&gt;=5,"",MAX($L1481:$Q1481)+CHOOSE($R1481+1,SETTINGS!$C$9,SETTINGS!$C$10,SETTINGS!$C$11,SETTINGS!$C$12,SETTINGS!$C$13)))</f>
        <v/>
      </c>
      <c r="T1481" s="34" t="str">
        <f aca="true">IF($H1481="","(chưa có nội dung)",IF($L1481="",IF($C1481&lt;TODAY(),"⚠ TRỄ HỌC",IF($C1481=TODAY(),"★ HỌC HÔM NAY","• Chưa tới")),IF($R1481&gt;=5,"✔ MASTER",IF($S1481&lt;TODAY(),"⚠ TRỄ ÔN",IF($S1481=TODAY(),"◆ ÔN HÔM NAY","✔ Đúng tiến độ")))))</f>
        <v>• Chưa tới</v>
      </c>
      <c r="U1481" s="38" t="n">
        <f aca="false">IF($H1481="","",$R1481/5)</f>
        <v>0</v>
      </c>
    </row>
    <row r="1482" customFormat="false" ht="26.85" hidden="false" customHeight="false" outlineLevel="0" collapsed="false">
      <c r="A1482" s="31" t="s">
        <v>8802</v>
      </c>
      <c r="B1482" s="31" t="n">
        <v>74</v>
      </c>
      <c r="C1482" s="32" t="n">
        <f aca="false">SETTINGS!$C$3+$B1482-1</f>
        <v>46373</v>
      </c>
      <c r="D1482" s="41" t="s">
        <v>7168</v>
      </c>
      <c r="E1482" s="34" t="s">
        <v>8689</v>
      </c>
      <c r="F1482" s="34" t="s">
        <v>5676</v>
      </c>
      <c r="G1482" s="34" t="s">
        <v>8803</v>
      </c>
      <c r="H1482" s="35" t="s">
        <v>8804</v>
      </c>
      <c r="I1482" s="36" t="s">
        <v>8805</v>
      </c>
      <c r="J1482" s="34" t="s">
        <v>8806</v>
      </c>
      <c r="K1482" s="34" t="s">
        <v>8807</v>
      </c>
      <c r="L1482" s="37"/>
      <c r="M1482" s="37"/>
      <c r="N1482" s="37"/>
      <c r="O1482" s="37"/>
      <c r="P1482" s="37"/>
      <c r="Q1482" s="37"/>
      <c r="R1482" s="31" t="n">
        <f aca="false">COUNT($M1482:$Q1482)</f>
        <v>0</v>
      </c>
      <c r="S1482" s="32" t="str">
        <f aca="false">IF($L1482="","",IF($R1482&gt;=5,"",MAX($L1482:$Q1482)+CHOOSE($R1482+1,SETTINGS!$C$9,SETTINGS!$C$10,SETTINGS!$C$11,SETTINGS!$C$12,SETTINGS!$C$13)))</f>
        <v/>
      </c>
      <c r="T1482" s="34" t="str">
        <f aca="true">IF($H1482="","(chưa có nội dung)",IF($L1482="",IF($C1482&lt;TODAY(),"⚠ TRỄ HỌC",IF($C1482=TODAY(),"★ HỌC HÔM NAY","• Chưa tới")),IF($R1482&gt;=5,"✔ MASTER",IF($S1482&lt;TODAY(),"⚠ TRỄ ÔN",IF($S1482=TODAY(),"◆ ÔN HÔM NAY","✔ Đúng tiến độ")))))</f>
        <v>• Chưa tới</v>
      </c>
      <c r="U1482" s="38" t="n">
        <f aca="false">IF($H1482="","",$R1482/5)</f>
        <v>0</v>
      </c>
    </row>
    <row r="1483" customFormat="false" ht="15" hidden="false" customHeight="false" outlineLevel="0" collapsed="false">
      <c r="A1483" s="31" t="s">
        <v>8808</v>
      </c>
      <c r="B1483" s="31" t="n">
        <v>75</v>
      </c>
      <c r="C1483" s="32" t="n">
        <f aca="false">SETTINGS!$C$3+$B1483-1</f>
        <v>46374</v>
      </c>
      <c r="D1483" s="41" t="s">
        <v>7168</v>
      </c>
      <c r="E1483" s="34" t="s">
        <v>8809</v>
      </c>
      <c r="F1483" s="34" t="s">
        <v>280</v>
      </c>
      <c r="G1483" s="34" t="s">
        <v>8810</v>
      </c>
      <c r="H1483" s="35" t="s">
        <v>8811</v>
      </c>
      <c r="I1483" s="36" t="s">
        <v>8812</v>
      </c>
      <c r="J1483" s="34" t="s">
        <v>8813</v>
      </c>
      <c r="K1483" s="34" t="s">
        <v>8814</v>
      </c>
      <c r="L1483" s="37"/>
      <c r="M1483" s="37"/>
      <c r="N1483" s="37"/>
      <c r="O1483" s="37"/>
      <c r="P1483" s="37"/>
      <c r="Q1483" s="37"/>
      <c r="R1483" s="31" t="n">
        <f aca="false">COUNT($M1483:$Q1483)</f>
        <v>0</v>
      </c>
      <c r="S1483" s="32" t="str">
        <f aca="false">IF($L1483="","",IF($R1483&gt;=5,"",MAX($L1483:$Q1483)+CHOOSE($R1483+1,SETTINGS!$C$9,SETTINGS!$C$10,SETTINGS!$C$11,SETTINGS!$C$12,SETTINGS!$C$13)))</f>
        <v/>
      </c>
      <c r="T1483" s="34" t="str">
        <f aca="true">IF($H1483="","(chưa có nội dung)",IF($L1483="",IF($C1483&lt;TODAY(),"⚠ TRỄ HỌC",IF($C1483=TODAY(),"★ HỌC HÔM NAY","• Chưa tới")),IF($R1483&gt;=5,"✔ MASTER",IF($S1483&lt;TODAY(),"⚠ TRỄ ÔN",IF($S1483=TODAY(),"◆ ÔN HÔM NAY","✔ Đúng tiến độ")))))</f>
        <v>• Chưa tới</v>
      </c>
      <c r="U1483" s="38" t="n">
        <f aca="false">IF($H1483="","",$R1483/5)</f>
        <v>0</v>
      </c>
    </row>
    <row r="1484" customFormat="false" ht="15" hidden="false" customHeight="false" outlineLevel="0" collapsed="false">
      <c r="A1484" s="31" t="s">
        <v>8815</v>
      </c>
      <c r="B1484" s="31" t="n">
        <v>75</v>
      </c>
      <c r="C1484" s="32" t="n">
        <f aca="false">SETTINGS!$C$3+$B1484-1</f>
        <v>46374</v>
      </c>
      <c r="D1484" s="41" t="s">
        <v>7168</v>
      </c>
      <c r="E1484" s="34" t="s">
        <v>8809</v>
      </c>
      <c r="F1484" s="34" t="s">
        <v>280</v>
      </c>
      <c r="G1484" s="34" t="s">
        <v>2688</v>
      </c>
      <c r="H1484" s="35" t="s">
        <v>8816</v>
      </c>
      <c r="I1484" s="36" t="s">
        <v>8817</v>
      </c>
      <c r="J1484" s="34" t="s">
        <v>8818</v>
      </c>
      <c r="K1484" s="34" t="s">
        <v>8819</v>
      </c>
      <c r="L1484" s="37"/>
      <c r="M1484" s="37"/>
      <c r="N1484" s="37"/>
      <c r="O1484" s="37"/>
      <c r="P1484" s="37"/>
      <c r="Q1484" s="37"/>
      <c r="R1484" s="31" t="n">
        <f aca="false">COUNT($M1484:$Q1484)</f>
        <v>0</v>
      </c>
      <c r="S1484" s="32" t="str">
        <f aca="false">IF($L1484="","",IF($R1484&gt;=5,"",MAX($L1484:$Q1484)+CHOOSE($R1484+1,SETTINGS!$C$9,SETTINGS!$C$10,SETTINGS!$C$11,SETTINGS!$C$12,SETTINGS!$C$13)))</f>
        <v/>
      </c>
      <c r="T1484" s="34" t="str">
        <f aca="true">IF($H1484="","(chưa có nội dung)",IF($L1484="",IF($C1484&lt;TODAY(),"⚠ TRỄ HỌC",IF($C1484=TODAY(),"★ HỌC HÔM NAY","• Chưa tới")),IF($R1484&gt;=5,"✔ MASTER",IF($S1484&lt;TODAY(),"⚠ TRỄ ÔN",IF($S1484=TODAY(),"◆ ÔN HÔM NAY","✔ Đúng tiến độ")))))</f>
        <v>• Chưa tới</v>
      </c>
      <c r="U1484" s="38" t="n">
        <f aca="false">IF($H1484="","",$R1484/5)</f>
        <v>0</v>
      </c>
    </row>
    <row r="1485" customFormat="false" ht="26.85" hidden="false" customHeight="false" outlineLevel="0" collapsed="false">
      <c r="A1485" s="31" t="s">
        <v>8820</v>
      </c>
      <c r="B1485" s="31" t="n">
        <v>75</v>
      </c>
      <c r="C1485" s="32" t="n">
        <f aca="false">SETTINGS!$C$3+$B1485-1</f>
        <v>46374</v>
      </c>
      <c r="D1485" s="41" t="s">
        <v>7168</v>
      </c>
      <c r="E1485" s="34" t="s">
        <v>8809</v>
      </c>
      <c r="F1485" s="34" t="s">
        <v>280</v>
      </c>
      <c r="G1485" s="34" t="s">
        <v>8821</v>
      </c>
      <c r="H1485" s="35" t="s">
        <v>8822</v>
      </c>
      <c r="I1485" s="36" t="s">
        <v>8823</v>
      </c>
      <c r="J1485" s="34" t="s">
        <v>8824</v>
      </c>
      <c r="K1485" s="34" t="s">
        <v>8825</v>
      </c>
      <c r="L1485" s="37"/>
      <c r="M1485" s="37"/>
      <c r="N1485" s="37"/>
      <c r="O1485" s="37"/>
      <c r="P1485" s="37"/>
      <c r="Q1485" s="37"/>
      <c r="R1485" s="31" t="n">
        <f aca="false">COUNT($M1485:$Q1485)</f>
        <v>0</v>
      </c>
      <c r="S1485" s="32" t="str">
        <f aca="false">IF($L1485="","",IF($R1485&gt;=5,"",MAX($L1485:$Q1485)+CHOOSE($R1485+1,SETTINGS!$C$9,SETTINGS!$C$10,SETTINGS!$C$11,SETTINGS!$C$12,SETTINGS!$C$13)))</f>
        <v/>
      </c>
      <c r="T1485" s="34" t="str">
        <f aca="true">IF($H1485="","(chưa có nội dung)",IF($L1485="",IF($C1485&lt;TODAY(),"⚠ TRỄ HỌC",IF($C1485=TODAY(),"★ HỌC HÔM NAY","• Chưa tới")),IF($R1485&gt;=5,"✔ MASTER",IF($S1485&lt;TODAY(),"⚠ TRỄ ÔN",IF($S1485=TODAY(),"◆ ÔN HÔM NAY","✔ Đúng tiến độ")))))</f>
        <v>• Chưa tới</v>
      </c>
      <c r="U1485" s="38" t="n">
        <f aca="false">IF($H1485="","",$R1485/5)</f>
        <v>0</v>
      </c>
    </row>
    <row r="1486" customFormat="false" ht="26.85" hidden="false" customHeight="false" outlineLevel="0" collapsed="false">
      <c r="A1486" s="31" t="s">
        <v>8826</v>
      </c>
      <c r="B1486" s="31" t="n">
        <v>75</v>
      </c>
      <c r="C1486" s="32" t="n">
        <f aca="false">SETTINGS!$C$3+$B1486-1</f>
        <v>46374</v>
      </c>
      <c r="D1486" s="41" t="s">
        <v>7168</v>
      </c>
      <c r="E1486" s="34" t="s">
        <v>8809</v>
      </c>
      <c r="F1486" s="34" t="s">
        <v>3656</v>
      </c>
      <c r="G1486" s="34" t="s">
        <v>8827</v>
      </c>
      <c r="H1486" s="35" t="s">
        <v>8828</v>
      </c>
      <c r="I1486" s="36" t="s">
        <v>8829</v>
      </c>
      <c r="J1486" s="34" t="s">
        <v>8830</v>
      </c>
      <c r="K1486" s="34" t="s">
        <v>8827</v>
      </c>
      <c r="L1486" s="37"/>
      <c r="M1486" s="37"/>
      <c r="N1486" s="37"/>
      <c r="O1486" s="37"/>
      <c r="P1486" s="37"/>
      <c r="Q1486" s="37"/>
      <c r="R1486" s="31" t="n">
        <f aca="false">COUNT($M1486:$Q1486)</f>
        <v>0</v>
      </c>
      <c r="S1486" s="32" t="str">
        <f aca="false">IF($L1486="","",IF($R1486&gt;=5,"",MAX($L1486:$Q1486)+CHOOSE($R1486+1,SETTINGS!$C$9,SETTINGS!$C$10,SETTINGS!$C$11,SETTINGS!$C$12,SETTINGS!$C$13)))</f>
        <v/>
      </c>
      <c r="T1486" s="34" t="str">
        <f aca="true">IF($H1486="","(chưa có nội dung)",IF($L1486="",IF($C1486&lt;TODAY(),"⚠ TRỄ HỌC",IF($C1486=TODAY(),"★ HỌC HÔM NAY","• Chưa tới")),IF($R1486&gt;=5,"✔ MASTER",IF($S1486&lt;TODAY(),"⚠ TRỄ ÔN",IF($S1486=TODAY(),"◆ ÔN HÔM NAY","✔ Đúng tiến độ")))))</f>
        <v>• Chưa tới</v>
      </c>
      <c r="U1486" s="38" t="n">
        <f aca="false">IF($H1486="","",$R1486/5)</f>
        <v>0</v>
      </c>
    </row>
    <row r="1487" customFormat="false" ht="15" hidden="false" customHeight="false" outlineLevel="0" collapsed="false">
      <c r="A1487" s="31" t="s">
        <v>8831</v>
      </c>
      <c r="B1487" s="31" t="n">
        <v>75</v>
      </c>
      <c r="C1487" s="32" t="n">
        <f aca="false">SETTINGS!$C$3+$B1487-1</f>
        <v>46374</v>
      </c>
      <c r="D1487" s="41" t="s">
        <v>7168</v>
      </c>
      <c r="E1487" s="34" t="s">
        <v>8809</v>
      </c>
      <c r="F1487" s="34" t="s">
        <v>280</v>
      </c>
      <c r="G1487" s="34" t="s">
        <v>8832</v>
      </c>
      <c r="H1487" s="35" t="s">
        <v>8833</v>
      </c>
      <c r="I1487" s="36" t="s">
        <v>8834</v>
      </c>
      <c r="J1487" s="34" t="s">
        <v>8835</v>
      </c>
      <c r="K1487" s="34" t="s">
        <v>7923</v>
      </c>
      <c r="L1487" s="37"/>
      <c r="M1487" s="37"/>
      <c r="N1487" s="37"/>
      <c r="O1487" s="37"/>
      <c r="P1487" s="37"/>
      <c r="Q1487" s="37"/>
      <c r="R1487" s="31" t="n">
        <f aca="false">COUNT($M1487:$Q1487)</f>
        <v>0</v>
      </c>
      <c r="S1487" s="32" t="str">
        <f aca="false">IF($L1487="","",IF($R1487&gt;=5,"",MAX($L1487:$Q1487)+CHOOSE($R1487+1,SETTINGS!$C$9,SETTINGS!$C$10,SETTINGS!$C$11,SETTINGS!$C$12,SETTINGS!$C$13)))</f>
        <v/>
      </c>
      <c r="T1487" s="34" t="str">
        <f aca="true">IF($H1487="","(chưa có nội dung)",IF($L1487="",IF($C1487&lt;TODAY(),"⚠ TRỄ HỌC",IF($C1487=TODAY(),"★ HỌC HÔM NAY","• Chưa tới")),IF($R1487&gt;=5,"✔ MASTER",IF($S1487&lt;TODAY(),"⚠ TRỄ ÔN",IF($S1487=TODAY(),"◆ ÔN HÔM NAY","✔ Đúng tiến độ")))))</f>
        <v>• Chưa tới</v>
      </c>
      <c r="U1487" s="38" t="n">
        <f aca="false">IF($H1487="","",$R1487/5)</f>
        <v>0</v>
      </c>
    </row>
    <row r="1488" customFormat="false" ht="15" hidden="false" customHeight="false" outlineLevel="0" collapsed="false">
      <c r="A1488" s="31" t="s">
        <v>8836</v>
      </c>
      <c r="B1488" s="31" t="n">
        <v>75</v>
      </c>
      <c r="C1488" s="32" t="n">
        <f aca="false">SETTINGS!$C$3+$B1488-1</f>
        <v>46374</v>
      </c>
      <c r="D1488" s="41" t="s">
        <v>7168</v>
      </c>
      <c r="E1488" s="34" t="s">
        <v>8809</v>
      </c>
      <c r="F1488" s="34" t="s">
        <v>280</v>
      </c>
      <c r="G1488" s="34" t="s">
        <v>8837</v>
      </c>
      <c r="H1488" s="35" t="s">
        <v>8838</v>
      </c>
      <c r="I1488" s="36" t="s">
        <v>8839</v>
      </c>
      <c r="J1488" s="34" t="s">
        <v>8840</v>
      </c>
      <c r="K1488" s="34" t="s">
        <v>8841</v>
      </c>
      <c r="L1488" s="37"/>
      <c r="M1488" s="37"/>
      <c r="N1488" s="37"/>
      <c r="O1488" s="37"/>
      <c r="P1488" s="37"/>
      <c r="Q1488" s="37"/>
      <c r="R1488" s="31" t="n">
        <f aca="false">COUNT($M1488:$Q1488)</f>
        <v>0</v>
      </c>
      <c r="S1488" s="32" t="str">
        <f aca="false">IF($L1488="","",IF($R1488&gt;=5,"",MAX($L1488:$Q1488)+CHOOSE($R1488+1,SETTINGS!$C$9,SETTINGS!$C$10,SETTINGS!$C$11,SETTINGS!$C$12,SETTINGS!$C$13)))</f>
        <v/>
      </c>
      <c r="T1488" s="34" t="str">
        <f aca="true">IF($H1488="","(chưa có nội dung)",IF($L1488="",IF($C1488&lt;TODAY(),"⚠ TRỄ HỌC",IF($C1488=TODAY(),"★ HỌC HÔM NAY","• Chưa tới")),IF($R1488&gt;=5,"✔ MASTER",IF($S1488&lt;TODAY(),"⚠ TRỄ ÔN",IF($S1488=TODAY(),"◆ ÔN HÔM NAY","✔ Đúng tiến độ")))))</f>
        <v>• Chưa tới</v>
      </c>
      <c r="U1488" s="38" t="n">
        <f aca="false">IF($H1488="","",$R1488/5)</f>
        <v>0</v>
      </c>
    </row>
    <row r="1489" customFormat="false" ht="15" hidden="false" customHeight="false" outlineLevel="0" collapsed="false">
      <c r="A1489" s="31" t="s">
        <v>8842</v>
      </c>
      <c r="B1489" s="31" t="n">
        <v>75</v>
      </c>
      <c r="C1489" s="32" t="n">
        <f aca="false">SETTINGS!$C$3+$B1489-1</f>
        <v>46374</v>
      </c>
      <c r="D1489" s="41" t="s">
        <v>7168</v>
      </c>
      <c r="E1489" s="34" t="s">
        <v>8809</v>
      </c>
      <c r="F1489" s="34" t="s">
        <v>280</v>
      </c>
      <c r="G1489" s="34" t="s">
        <v>1183</v>
      </c>
      <c r="H1489" s="35" t="s">
        <v>8843</v>
      </c>
      <c r="I1489" s="36" t="s">
        <v>8844</v>
      </c>
      <c r="J1489" s="34" t="s">
        <v>8845</v>
      </c>
      <c r="K1489" s="34" t="s">
        <v>8846</v>
      </c>
      <c r="L1489" s="37"/>
      <c r="M1489" s="37"/>
      <c r="N1489" s="37"/>
      <c r="O1489" s="37"/>
      <c r="P1489" s="37"/>
      <c r="Q1489" s="37"/>
      <c r="R1489" s="31" t="n">
        <f aca="false">COUNT($M1489:$Q1489)</f>
        <v>0</v>
      </c>
      <c r="S1489" s="32" t="str">
        <f aca="false">IF($L1489="","",IF($R1489&gt;=5,"",MAX($L1489:$Q1489)+CHOOSE($R1489+1,SETTINGS!$C$9,SETTINGS!$C$10,SETTINGS!$C$11,SETTINGS!$C$12,SETTINGS!$C$13)))</f>
        <v/>
      </c>
      <c r="T1489" s="34" t="str">
        <f aca="true">IF($H1489="","(chưa có nội dung)",IF($L1489="",IF($C1489&lt;TODAY(),"⚠ TRỄ HỌC",IF($C1489=TODAY(),"★ HỌC HÔM NAY","• Chưa tới")),IF($R1489&gt;=5,"✔ MASTER",IF($S1489&lt;TODAY(),"⚠ TRỄ ÔN",IF($S1489=TODAY(),"◆ ÔN HÔM NAY","✔ Đúng tiến độ")))))</f>
        <v>• Chưa tới</v>
      </c>
      <c r="U1489" s="38" t="n">
        <f aca="false">IF($H1489="","",$R1489/5)</f>
        <v>0</v>
      </c>
    </row>
    <row r="1490" customFormat="false" ht="23.85" hidden="false" customHeight="false" outlineLevel="0" collapsed="false">
      <c r="A1490" s="31" t="s">
        <v>8847</v>
      </c>
      <c r="B1490" s="31" t="n">
        <v>75</v>
      </c>
      <c r="C1490" s="32" t="n">
        <f aca="false">SETTINGS!$C$3+$B1490-1</f>
        <v>46374</v>
      </c>
      <c r="D1490" s="41" t="s">
        <v>7168</v>
      </c>
      <c r="E1490" s="34" t="s">
        <v>8809</v>
      </c>
      <c r="F1490" s="34" t="s">
        <v>280</v>
      </c>
      <c r="G1490" s="34" t="s">
        <v>8848</v>
      </c>
      <c r="H1490" s="35" t="s">
        <v>8849</v>
      </c>
      <c r="I1490" s="36" t="s">
        <v>8850</v>
      </c>
      <c r="J1490" s="34" t="s">
        <v>8851</v>
      </c>
      <c r="K1490" s="34" t="s">
        <v>8852</v>
      </c>
      <c r="L1490" s="37"/>
      <c r="M1490" s="37"/>
      <c r="N1490" s="37"/>
      <c r="O1490" s="37"/>
      <c r="P1490" s="37"/>
      <c r="Q1490" s="37"/>
      <c r="R1490" s="31" t="n">
        <f aca="false">COUNT($M1490:$Q1490)</f>
        <v>0</v>
      </c>
      <c r="S1490" s="32" t="str">
        <f aca="false">IF($L1490="","",IF($R1490&gt;=5,"",MAX($L1490:$Q1490)+CHOOSE($R1490+1,SETTINGS!$C$9,SETTINGS!$C$10,SETTINGS!$C$11,SETTINGS!$C$12,SETTINGS!$C$13)))</f>
        <v/>
      </c>
      <c r="T1490" s="34" t="str">
        <f aca="true">IF($H1490="","(chưa có nội dung)",IF($L1490="",IF($C1490&lt;TODAY(),"⚠ TRỄ HỌC",IF($C1490=TODAY(),"★ HỌC HÔM NAY","• Chưa tới")),IF($R1490&gt;=5,"✔ MASTER",IF($S1490&lt;TODAY(),"⚠ TRỄ ÔN",IF($S1490=TODAY(),"◆ ÔN HÔM NAY","✔ Đúng tiến độ")))))</f>
        <v>• Chưa tới</v>
      </c>
      <c r="U1490" s="38" t="n">
        <f aca="false">IF($H1490="","",$R1490/5)</f>
        <v>0</v>
      </c>
    </row>
    <row r="1491" customFormat="false" ht="15" hidden="false" customHeight="false" outlineLevel="0" collapsed="false">
      <c r="A1491" s="31" t="s">
        <v>8853</v>
      </c>
      <c r="B1491" s="31" t="n">
        <v>75</v>
      </c>
      <c r="C1491" s="32" t="n">
        <f aca="false">SETTINGS!$C$3+$B1491-1</f>
        <v>46374</v>
      </c>
      <c r="D1491" s="41" t="s">
        <v>7168</v>
      </c>
      <c r="E1491" s="34" t="s">
        <v>8809</v>
      </c>
      <c r="F1491" s="34" t="s">
        <v>183</v>
      </c>
      <c r="G1491" s="34" t="s">
        <v>8854</v>
      </c>
      <c r="H1491" s="35" t="s">
        <v>8855</v>
      </c>
      <c r="I1491" s="36" t="s">
        <v>8856</v>
      </c>
      <c r="J1491" s="34" t="s">
        <v>8857</v>
      </c>
      <c r="K1491" s="34" t="s">
        <v>8858</v>
      </c>
      <c r="L1491" s="37"/>
      <c r="M1491" s="37"/>
      <c r="N1491" s="37"/>
      <c r="O1491" s="37"/>
      <c r="P1491" s="37"/>
      <c r="Q1491" s="37"/>
      <c r="R1491" s="31" t="n">
        <f aca="false">COUNT($M1491:$Q1491)</f>
        <v>0</v>
      </c>
      <c r="S1491" s="32" t="str">
        <f aca="false">IF($L1491="","",IF($R1491&gt;=5,"",MAX($L1491:$Q1491)+CHOOSE($R1491+1,SETTINGS!$C$9,SETTINGS!$C$10,SETTINGS!$C$11,SETTINGS!$C$12,SETTINGS!$C$13)))</f>
        <v/>
      </c>
      <c r="T1491" s="34" t="str">
        <f aca="true">IF($H1491="","(chưa có nội dung)",IF($L1491="",IF($C1491&lt;TODAY(),"⚠ TRỄ HỌC",IF($C1491=TODAY(),"★ HỌC HÔM NAY","• Chưa tới")),IF($R1491&gt;=5,"✔ MASTER",IF($S1491&lt;TODAY(),"⚠ TRỄ ÔN",IF($S1491=TODAY(),"◆ ÔN HÔM NAY","✔ Đúng tiến độ")))))</f>
        <v>• Chưa tới</v>
      </c>
      <c r="U1491" s="38" t="n">
        <f aca="false">IF($H1491="","",$R1491/5)</f>
        <v>0</v>
      </c>
    </row>
    <row r="1492" customFormat="false" ht="15" hidden="false" customHeight="false" outlineLevel="0" collapsed="false">
      <c r="A1492" s="31" t="s">
        <v>8859</v>
      </c>
      <c r="B1492" s="31" t="n">
        <v>75</v>
      </c>
      <c r="C1492" s="32" t="n">
        <f aca="false">SETTINGS!$C$3+$B1492-1</f>
        <v>46374</v>
      </c>
      <c r="D1492" s="41" t="s">
        <v>7168</v>
      </c>
      <c r="E1492" s="34" t="s">
        <v>8809</v>
      </c>
      <c r="F1492" s="34" t="s">
        <v>280</v>
      </c>
      <c r="G1492" s="34" t="s">
        <v>8860</v>
      </c>
      <c r="H1492" s="35" t="s">
        <v>8861</v>
      </c>
      <c r="I1492" s="36" t="s">
        <v>8862</v>
      </c>
      <c r="J1492" s="34" t="s">
        <v>8863</v>
      </c>
      <c r="K1492" s="34" t="s">
        <v>8864</v>
      </c>
      <c r="L1492" s="37"/>
      <c r="M1492" s="37"/>
      <c r="N1492" s="37"/>
      <c r="O1492" s="37"/>
      <c r="P1492" s="37"/>
      <c r="Q1492" s="37"/>
      <c r="R1492" s="31" t="n">
        <f aca="false">COUNT($M1492:$Q1492)</f>
        <v>0</v>
      </c>
      <c r="S1492" s="32" t="str">
        <f aca="false">IF($L1492="","",IF($R1492&gt;=5,"",MAX($L1492:$Q1492)+CHOOSE($R1492+1,SETTINGS!$C$9,SETTINGS!$C$10,SETTINGS!$C$11,SETTINGS!$C$12,SETTINGS!$C$13)))</f>
        <v/>
      </c>
      <c r="T1492" s="34" t="str">
        <f aca="true">IF($H1492="","(chưa có nội dung)",IF($L1492="",IF($C1492&lt;TODAY(),"⚠ TRỄ HỌC",IF($C1492=TODAY(),"★ HỌC HÔM NAY","• Chưa tới")),IF($R1492&gt;=5,"✔ MASTER",IF($S1492&lt;TODAY(),"⚠ TRỄ ÔN",IF($S1492=TODAY(),"◆ ÔN HÔM NAY","✔ Đúng tiến độ")))))</f>
        <v>• Chưa tới</v>
      </c>
      <c r="U1492" s="38" t="n">
        <f aca="false">IF($H1492="","",$R1492/5)</f>
        <v>0</v>
      </c>
    </row>
    <row r="1493" customFormat="false" ht="15" hidden="false" customHeight="false" outlineLevel="0" collapsed="false">
      <c r="A1493" s="31" t="s">
        <v>8865</v>
      </c>
      <c r="B1493" s="31" t="n">
        <v>75</v>
      </c>
      <c r="C1493" s="32" t="n">
        <f aca="false">SETTINGS!$C$3+$B1493-1</f>
        <v>46374</v>
      </c>
      <c r="D1493" s="41" t="s">
        <v>7168</v>
      </c>
      <c r="E1493" s="34" t="s">
        <v>8809</v>
      </c>
      <c r="F1493" s="34" t="s">
        <v>280</v>
      </c>
      <c r="G1493" s="34" t="s">
        <v>8659</v>
      </c>
      <c r="H1493" s="35" t="s">
        <v>8866</v>
      </c>
      <c r="I1493" s="36" t="s">
        <v>8867</v>
      </c>
      <c r="J1493" s="34" t="s">
        <v>8868</v>
      </c>
      <c r="K1493" s="34" t="s">
        <v>8869</v>
      </c>
      <c r="L1493" s="37"/>
      <c r="M1493" s="37"/>
      <c r="N1493" s="37"/>
      <c r="O1493" s="37"/>
      <c r="P1493" s="37"/>
      <c r="Q1493" s="37"/>
      <c r="R1493" s="31" t="n">
        <f aca="false">COUNT($M1493:$Q1493)</f>
        <v>0</v>
      </c>
      <c r="S1493" s="32" t="str">
        <f aca="false">IF($L1493="","",IF($R1493&gt;=5,"",MAX($L1493:$Q1493)+CHOOSE($R1493+1,SETTINGS!$C$9,SETTINGS!$C$10,SETTINGS!$C$11,SETTINGS!$C$12,SETTINGS!$C$13)))</f>
        <v/>
      </c>
      <c r="T1493" s="34" t="str">
        <f aca="true">IF($H1493="","(chưa có nội dung)",IF($L1493="",IF($C1493&lt;TODAY(),"⚠ TRỄ HỌC",IF($C1493=TODAY(),"★ HỌC HÔM NAY","• Chưa tới")),IF($R1493&gt;=5,"✔ MASTER",IF($S1493&lt;TODAY(),"⚠ TRỄ ÔN",IF($S1493=TODAY(),"◆ ÔN HÔM NAY","✔ Đúng tiến độ")))))</f>
        <v>• Chưa tới</v>
      </c>
      <c r="U1493" s="38" t="n">
        <f aca="false">IF($H1493="","",$R1493/5)</f>
        <v>0</v>
      </c>
    </row>
    <row r="1494" customFormat="false" ht="15" hidden="false" customHeight="false" outlineLevel="0" collapsed="false">
      <c r="A1494" s="31" t="s">
        <v>8870</v>
      </c>
      <c r="B1494" s="31" t="n">
        <v>75</v>
      </c>
      <c r="C1494" s="32" t="n">
        <f aca="false">SETTINGS!$C$3+$B1494-1</f>
        <v>46374</v>
      </c>
      <c r="D1494" s="41" t="s">
        <v>7168</v>
      </c>
      <c r="E1494" s="34" t="s">
        <v>8809</v>
      </c>
      <c r="F1494" s="34" t="s">
        <v>280</v>
      </c>
      <c r="G1494" s="34" t="s">
        <v>8871</v>
      </c>
      <c r="H1494" s="35" t="s">
        <v>8872</v>
      </c>
      <c r="I1494" s="36" t="s">
        <v>8873</v>
      </c>
      <c r="J1494" s="34" t="s">
        <v>8874</v>
      </c>
      <c r="K1494" s="34" t="s">
        <v>8875</v>
      </c>
      <c r="L1494" s="37"/>
      <c r="M1494" s="37"/>
      <c r="N1494" s="37"/>
      <c r="O1494" s="37"/>
      <c r="P1494" s="37"/>
      <c r="Q1494" s="37"/>
      <c r="R1494" s="31" t="n">
        <f aca="false">COUNT($M1494:$Q1494)</f>
        <v>0</v>
      </c>
      <c r="S1494" s="32" t="str">
        <f aca="false">IF($L1494="","",IF($R1494&gt;=5,"",MAX($L1494:$Q1494)+CHOOSE($R1494+1,SETTINGS!$C$9,SETTINGS!$C$10,SETTINGS!$C$11,SETTINGS!$C$12,SETTINGS!$C$13)))</f>
        <v/>
      </c>
      <c r="T1494" s="34" t="str">
        <f aca="true">IF($H1494="","(chưa có nội dung)",IF($L1494="",IF($C1494&lt;TODAY(),"⚠ TRỄ HỌC",IF($C1494=TODAY(),"★ HỌC HÔM NAY","• Chưa tới")),IF($R1494&gt;=5,"✔ MASTER",IF($S1494&lt;TODAY(),"⚠ TRỄ ÔN",IF($S1494=TODAY(),"◆ ÔN HÔM NAY","✔ Đúng tiến độ")))))</f>
        <v>• Chưa tới</v>
      </c>
      <c r="U1494" s="38" t="n">
        <f aca="false">IF($H1494="","",$R1494/5)</f>
        <v>0</v>
      </c>
    </row>
    <row r="1495" customFormat="false" ht="15" hidden="false" customHeight="false" outlineLevel="0" collapsed="false">
      <c r="A1495" s="31" t="s">
        <v>8876</v>
      </c>
      <c r="B1495" s="31" t="n">
        <v>75</v>
      </c>
      <c r="C1495" s="32" t="n">
        <f aca="false">SETTINGS!$C$3+$B1495-1</f>
        <v>46374</v>
      </c>
      <c r="D1495" s="41" t="s">
        <v>7168</v>
      </c>
      <c r="E1495" s="34" t="s">
        <v>8809</v>
      </c>
      <c r="F1495" s="34" t="s">
        <v>280</v>
      </c>
      <c r="G1495" s="34" t="s">
        <v>8877</v>
      </c>
      <c r="H1495" s="35" t="s">
        <v>8878</v>
      </c>
      <c r="I1495" s="36" t="s">
        <v>8879</v>
      </c>
      <c r="J1495" s="34" t="s">
        <v>8880</v>
      </c>
      <c r="K1495" s="34" t="s">
        <v>8881</v>
      </c>
      <c r="L1495" s="37"/>
      <c r="M1495" s="37"/>
      <c r="N1495" s="37"/>
      <c r="O1495" s="37"/>
      <c r="P1495" s="37"/>
      <c r="Q1495" s="37"/>
      <c r="R1495" s="31" t="n">
        <f aca="false">COUNT($M1495:$Q1495)</f>
        <v>0</v>
      </c>
      <c r="S1495" s="32" t="str">
        <f aca="false">IF($L1495="","",IF($R1495&gt;=5,"",MAX($L1495:$Q1495)+CHOOSE($R1495+1,SETTINGS!$C$9,SETTINGS!$C$10,SETTINGS!$C$11,SETTINGS!$C$12,SETTINGS!$C$13)))</f>
        <v/>
      </c>
      <c r="T1495" s="34" t="str">
        <f aca="true">IF($H1495="","(chưa có nội dung)",IF($L1495="",IF($C1495&lt;TODAY(),"⚠ TRỄ HỌC",IF($C1495=TODAY(),"★ HỌC HÔM NAY","• Chưa tới")),IF($R1495&gt;=5,"✔ MASTER",IF($S1495&lt;TODAY(),"⚠ TRỄ ÔN",IF($S1495=TODAY(),"◆ ÔN HÔM NAY","✔ Đúng tiến độ")))))</f>
        <v>• Chưa tới</v>
      </c>
      <c r="U1495" s="38" t="n">
        <f aca="false">IF($H1495="","",$R1495/5)</f>
        <v>0</v>
      </c>
    </row>
    <row r="1496" customFormat="false" ht="15" hidden="false" customHeight="false" outlineLevel="0" collapsed="false">
      <c r="A1496" s="31" t="s">
        <v>8882</v>
      </c>
      <c r="B1496" s="31" t="n">
        <v>75</v>
      </c>
      <c r="C1496" s="32" t="n">
        <f aca="false">SETTINGS!$C$3+$B1496-1</f>
        <v>46374</v>
      </c>
      <c r="D1496" s="41" t="s">
        <v>7168</v>
      </c>
      <c r="E1496" s="34" t="s">
        <v>8809</v>
      </c>
      <c r="F1496" s="34" t="s">
        <v>280</v>
      </c>
      <c r="G1496" s="34" t="s">
        <v>8883</v>
      </c>
      <c r="H1496" s="35" t="s">
        <v>8884</v>
      </c>
      <c r="I1496" s="36" t="s">
        <v>8885</v>
      </c>
      <c r="J1496" s="34" t="s">
        <v>8886</v>
      </c>
      <c r="K1496" s="34" t="s">
        <v>8887</v>
      </c>
      <c r="L1496" s="37"/>
      <c r="M1496" s="37"/>
      <c r="N1496" s="37"/>
      <c r="O1496" s="37"/>
      <c r="P1496" s="37"/>
      <c r="Q1496" s="37"/>
      <c r="R1496" s="31" t="n">
        <f aca="false">COUNT($M1496:$Q1496)</f>
        <v>0</v>
      </c>
      <c r="S1496" s="32" t="str">
        <f aca="false">IF($L1496="","",IF($R1496&gt;=5,"",MAX($L1496:$Q1496)+CHOOSE($R1496+1,SETTINGS!$C$9,SETTINGS!$C$10,SETTINGS!$C$11,SETTINGS!$C$12,SETTINGS!$C$13)))</f>
        <v/>
      </c>
      <c r="T1496" s="34" t="str">
        <f aca="true">IF($H1496="","(chưa có nội dung)",IF($L1496="",IF($C1496&lt;TODAY(),"⚠ TRỄ HỌC",IF($C1496=TODAY(),"★ HỌC HÔM NAY","• Chưa tới")),IF($R1496&gt;=5,"✔ MASTER",IF($S1496&lt;TODAY(),"⚠ TRỄ ÔN",IF($S1496=TODAY(),"◆ ÔN HÔM NAY","✔ Đúng tiến độ")))))</f>
        <v>• Chưa tới</v>
      </c>
      <c r="U1496" s="38" t="n">
        <f aca="false">IF($H1496="","",$R1496/5)</f>
        <v>0</v>
      </c>
    </row>
    <row r="1497" customFormat="false" ht="15" hidden="false" customHeight="false" outlineLevel="0" collapsed="false">
      <c r="A1497" s="31" t="s">
        <v>8888</v>
      </c>
      <c r="B1497" s="31" t="n">
        <v>75</v>
      </c>
      <c r="C1497" s="32" t="n">
        <f aca="false">SETTINGS!$C$3+$B1497-1</f>
        <v>46374</v>
      </c>
      <c r="D1497" s="41" t="s">
        <v>7168</v>
      </c>
      <c r="E1497" s="34" t="s">
        <v>8809</v>
      </c>
      <c r="F1497" s="34" t="s">
        <v>3656</v>
      </c>
      <c r="G1497" s="34" t="s">
        <v>8889</v>
      </c>
      <c r="H1497" s="35" t="s">
        <v>8890</v>
      </c>
      <c r="I1497" s="36" t="s">
        <v>8891</v>
      </c>
      <c r="J1497" s="34" t="s">
        <v>8892</v>
      </c>
      <c r="K1497" s="34" t="s">
        <v>8893</v>
      </c>
      <c r="L1497" s="37"/>
      <c r="M1497" s="37"/>
      <c r="N1497" s="37"/>
      <c r="O1497" s="37"/>
      <c r="P1497" s="37"/>
      <c r="Q1497" s="37"/>
      <c r="R1497" s="31" t="n">
        <f aca="false">COUNT($M1497:$Q1497)</f>
        <v>0</v>
      </c>
      <c r="S1497" s="32" t="str">
        <f aca="false">IF($L1497="","",IF($R1497&gt;=5,"",MAX($L1497:$Q1497)+CHOOSE($R1497+1,SETTINGS!$C$9,SETTINGS!$C$10,SETTINGS!$C$11,SETTINGS!$C$12,SETTINGS!$C$13)))</f>
        <v/>
      </c>
      <c r="T1497" s="34" t="str">
        <f aca="true">IF($H1497="","(chưa có nội dung)",IF($L1497="",IF($C1497&lt;TODAY(),"⚠ TRỄ HỌC",IF($C1497=TODAY(),"★ HỌC HÔM NAY","• Chưa tới")),IF($R1497&gt;=5,"✔ MASTER",IF($S1497&lt;TODAY(),"⚠ TRỄ ÔN",IF($S1497=TODAY(),"◆ ÔN HÔM NAY","✔ Đúng tiến độ")))))</f>
        <v>• Chưa tới</v>
      </c>
      <c r="U1497" s="38" t="n">
        <f aca="false">IF($H1497="","",$R1497/5)</f>
        <v>0</v>
      </c>
    </row>
    <row r="1498" customFormat="false" ht="15" hidden="false" customHeight="false" outlineLevel="0" collapsed="false">
      <c r="A1498" s="31" t="s">
        <v>8894</v>
      </c>
      <c r="B1498" s="31" t="n">
        <v>75</v>
      </c>
      <c r="C1498" s="32" t="n">
        <f aca="false">SETTINGS!$C$3+$B1498-1</f>
        <v>46374</v>
      </c>
      <c r="D1498" s="41" t="s">
        <v>7168</v>
      </c>
      <c r="E1498" s="34" t="s">
        <v>8809</v>
      </c>
      <c r="F1498" s="34" t="s">
        <v>280</v>
      </c>
      <c r="G1498" s="34" t="s">
        <v>8677</v>
      </c>
      <c r="H1498" s="35" t="s">
        <v>8895</v>
      </c>
      <c r="I1498" s="36" t="s">
        <v>8896</v>
      </c>
      <c r="J1498" s="34" t="s">
        <v>8897</v>
      </c>
      <c r="K1498" s="34" t="s">
        <v>8898</v>
      </c>
      <c r="L1498" s="37"/>
      <c r="M1498" s="37"/>
      <c r="N1498" s="37"/>
      <c r="O1498" s="37"/>
      <c r="P1498" s="37"/>
      <c r="Q1498" s="37"/>
      <c r="R1498" s="31" t="n">
        <f aca="false">COUNT($M1498:$Q1498)</f>
        <v>0</v>
      </c>
      <c r="S1498" s="32" t="str">
        <f aca="false">IF($L1498="","",IF($R1498&gt;=5,"",MAX($L1498:$Q1498)+CHOOSE($R1498+1,SETTINGS!$C$9,SETTINGS!$C$10,SETTINGS!$C$11,SETTINGS!$C$12,SETTINGS!$C$13)))</f>
        <v/>
      </c>
      <c r="T1498" s="34" t="str">
        <f aca="true">IF($H1498="","(chưa có nội dung)",IF($L1498="",IF($C1498&lt;TODAY(),"⚠ TRỄ HỌC",IF($C1498=TODAY(),"★ HỌC HÔM NAY","• Chưa tới")),IF($R1498&gt;=5,"✔ MASTER",IF($S1498&lt;TODAY(),"⚠ TRỄ ÔN",IF($S1498=TODAY(),"◆ ÔN HÔM NAY","✔ Đúng tiến độ")))))</f>
        <v>• Chưa tới</v>
      </c>
      <c r="U1498" s="38" t="n">
        <f aca="false">IF($H1498="","",$R1498/5)</f>
        <v>0</v>
      </c>
    </row>
    <row r="1499" customFormat="false" ht="26.85" hidden="false" customHeight="false" outlineLevel="0" collapsed="false">
      <c r="A1499" s="31" t="s">
        <v>8899</v>
      </c>
      <c r="B1499" s="31" t="n">
        <v>75</v>
      </c>
      <c r="C1499" s="32" t="n">
        <f aca="false">SETTINGS!$C$3+$B1499-1</f>
        <v>46374</v>
      </c>
      <c r="D1499" s="41" t="s">
        <v>7168</v>
      </c>
      <c r="E1499" s="34" t="s">
        <v>8809</v>
      </c>
      <c r="F1499" s="34" t="s">
        <v>280</v>
      </c>
      <c r="G1499" s="34" t="s">
        <v>8900</v>
      </c>
      <c r="H1499" s="35" t="s">
        <v>8901</v>
      </c>
      <c r="I1499" s="36" t="s">
        <v>8902</v>
      </c>
      <c r="J1499" s="34" t="s">
        <v>8903</v>
      </c>
      <c r="K1499" s="34" t="s">
        <v>8904</v>
      </c>
      <c r="L1499" s="37"/>
      <c r="M1499" s="37"/>
      <c r="N1499" s="37"/>
      <c r="O1499" s="37"/>
      <c r="P1499" s="37"/>
      <c r="Q1499" s="37"/>
      <c r="R1499" s="31" t="n">
        <f aca="false">COUNT($M1499:$Q1499)</f>
        <v>0</v>
      </c>
      <c r="S1499" s="32" t="str">
        <f aca="false">IF($L1499="","",IF($R1499&gt;=5,"",MAX($L1499:$Q1499)+CHOOSE($R1499+1,SETTINGS!$C$9,SETTINGS!$C$10,SETTINGS!$C$11,SETTINGS!$C$12,SETTINGS!$C$13)))</f>
        <v/>
      </c>
      <c r="T1499" s="34" t="str">
        <f aca="true">IF($H1499="","(chưa có nội dung)",IF($L1499="",IF($C1499&lt;TODAY(),"⚠ TRỄ HỌC",IF($C1499=TODAY(),"★ HỌC HÔM NAY","• Chưa tới")),IF($R1499&gt;=5,"✔ MASTER",IF($S1499&lt;TODAY(),"⚠ TRỄ ÔN",IF($S1499=TODAY(),"◆ ÔN HÔM NAY","✔ Đúng tiến độ")))))</f>
        <v>• Chưa tới</v>
      </c>
      <c r="U1499" s="38" t="n">
        <f aca="false">IF($H1499="","",$R1499/5)</f>
        <v>0</v>
      </c>
    </row>
    <row r="1500" customFormat="false" ht="15" hidden="false" customHeight="false" outlineLevel="0" collapsed="false">
      <c r="A1500" s="31" t="s">
        <v>8905</v>
      </c>
      <c r="B1500" s="31" t="n">
        <v>75</v>
      </c>
      <c r="C1500" s="32" t="n">
        <f aca="false">SETTINGS!$C$3+$B1500-1</f>
        <v>46374</v>
      </c>
      <c r="D1500" s="41" t="s">
        <v>7168</v>
      </c>
      <c r="E1500" s="34" t="s">
        <v>8809</v>
      </c>
      <c r="F1500" s="34" t="s">
        <v>280</v>
      </c>
      <c r="G1500" s="34" t="s">
        <v>8906</v>
      </c>
      <c r="H1500" s="35" t="s">
        <v>8907</v>
      </c>
      <c r="I1500" s="36" t="s">
        <v>8908</v>
      </c>
      <c r="J1500" s="34" t="s">
        <v>8909</v>
      </c>
      <c r="K1500" s="34" t="s">
        <v>8910</v>
      </c>
      <c r="L1500" s="37"/>
      <c r="M1500" s="37"/>
      <c r="N1500" s="37"/>
      <c r="O1500" s="37"/>
      <c r="P1500" s="37"/>
      <c r="Q1500" s="37"/>
      <c r="R1500" s="31" t="n">
        <f aca="false">COUNT($M1500:$Q1500)</f>
        <v>0</v>
      </c>
      <c r="S1500" s="32" t="str">
        <f aca="false">IF($L1500="","",IF($R1500&gt;=5,"",MAX($L1500:$Q1500)+CHOOSE($R1500+1,SETTINGS!$C$9,SETTINGS!$C$10,SETTINGS!$C$11,SETTINGS!$C$12,SETTINGS!$C$13)))</f>
        <v/>
      </c>
      <c r="T1500" s="34" t="str">
        <f aca="true">IF($H1500="","(chưa có nội dung)",IF($L1500="",IF($C1500&lt;TODAY(),"⚠ TRỄ HỌC",IF($C1500=TODAY(),"★ HỌC HÔM NAY","• Chưa tới")),IF($R1500&gt;=5,"✔ MASTER",IF($S1500&lt;TODAY(),"⚠ TRỄ ÔN",IF($S1500=TODAY(),"◆ ÔN HÔM NAY","✔ Đúng tiến độ")))))</f>
        <v>• Chưa tới</v>
      </c>
      <c r="U1500" s="38" t="n">
        <f aca="false">IF($H1500="","",$R1500/5)</f>
        <v>0</v>
      </c>
    </row>
    <row r="1501" customFormat="false" ht="15" hidden="false" customHeight="false" outlineLevel="0" collapsed="false">
      <c r="A1501" s="31" t="s">
        <v>8911</v>
      </c>
      <c r="B1501" s="31" t="n">
        <v>75</v>
      </c>
      <c r="C1501" s="32" t="n">
        <f aca="false">SETTINGS!$C$3+$B1501-1</f>
        <v>46374</v>
      </c>
      <c r="D1501" s="41" t="s">
        <v>7168</v>
      </c>
      <c r="E1501" s="34" t="s">
        <v>8809</v>
      </c>
      <c r="F1501" s="34" t="s">
        <v>280</v>
      </c>
      <c r="G1501" s="34" t="s">
        <v>8912</v>
      </c>
      <c r="H1501" s="35" t="s">
        <v>8913</v>
      </c>
      <c r="I1501" s="36" t="s">
        <v>8914</v>
      </c>
      <c r="J1501" s="34" t="s">
        <v>8915</v>
      </c>
      <c r="K1501" s="34" t="s">
        <v>8916</v>
      </c>
      <c r="L1501" s="37"/>
      <c r="M1501" s="37"/>
      <c r="N1501" s="37"/>
      <c r="O1501" s="37"/>
      <c r="P1501" s="37"/>
      <c r="Q1501" s="37"/>
      <c r="R1501" s="31" t="n">
        <f aca="false">COUNT($M1501:$Q1501)</f>
        <v>0</v>
      </c>
      <c r="S1501" s="32" t="str">
        <f aca="false">IF($L1501="","",IF($R1501&gt;=5,"",MAX($L1501:$Q1501)+CHOOSE($R1501+1,SETTINGS!$C$9,SETTINGS!$C$10,SETTINGS!$C$11,SETTINGS!$C$12,SETTINGS!$C$13)))</f>
        <v/>
      </c>
      <c r="T1501" s="34" t="str">
        <f aca="true">IF($H1501="","(chưa có nội dung)",IF($L1501="",IF($C1501&lt;TODAY(),"⚠ TRỄ HỌC",IF($C1501=TODAY(),"★ HỌC HÔM NAY","• Chưa tới")),IF($R1501&gt;=5,"✔ MASTER",IF($S1501&lt;TODAY(),"⚠ TRỄ ÔN",IF($S1501=TODAY(),"◆ ÔN HÔM NAY","✔ Đúng tiến độ")))))</f>
        <v>• Chưa tới</v>
      </c>
      <c r="U1501" s="38" t="n">
        <f aca="false">IF($H1501="","",$R1501/5)</f>
        <v>0</v>
      </c>
    </row>
    <row r="1502" customFormat="false" ht="15" hidden="false" customHeight="false" outlineLevel="0" collapsed="false">
      <c r="A1502" s="31" t="s">
        <v>8917</v>
      </c>
      <c r="B1502" s="31" t="n">
        <v>75</v>
      </c>
      <c r="C1502" s="32" t="n">
        <f aca="false">SETTINGS!$C$3+$B1502-1</f>
        <v>46374</v>
      </c>
      <c r="D1502" s="41" t="s">
        <v>7168</v>
      </c>
      <c r="E1502" s="34" t="s">
        <v>8809</v>
      </c>
      <c r="F1502" s="34" t="s">
        <v>280</v>
      </c>
      <c r="G1502" s="34" t="s">
        <v>8918</v>
      </c>
      <c r="H1502" s="35" t="s">
        <v>8919</v>
      </c>
      <c r="I1502" s="36" t="s">
        <v>8920</v>
      </c>
      <c r="J1502" s="34" t="s">
        <v>8921</v>
      </c>
      <c r="K1502" s="34" t="s">
        <v>8922</v>
      </c>
      <c r="L1502" s="37"/>
      <c r="M1502" s="37"/>
      <c r="N1502" s="37"/>
      <c r="O1502" s="37"/>
      <c r="P1502" s="37"/>
      <c r="Q1502" s="37"/>
      <c r="R1502" s="31" t="n">
        <f aca="false">COUNT($M1502:$Q1502)</f>
        <v>0</v>
      </c>
      <c r="S1502" s="32" t="str">
        <f aca="false">IF($L1502="","",IF($R1502&gt;=5,"",MAX($L1502:$Q1502)+CHOOSE($R1502+1,SETTINGS!$C$9,SETTINGS!$C$10,SETTINGS!$C$11,SETTINGS!$C$12,SETTINGS!$C$13)))</f>
        <v/>
      </c>
      <c r="T1502" s="34" t="str">
        <f aca="true">IF($H1502="","(chưa có nội dung)",IF($L1502="",IF($C1502&lt;TODAY(),"⚠ TRỄ HỌC",IF($C1502=TODAY(),"★ HỌC HÔM NAY","• Chưa tới")),IF($R1502&gt;=5,"✔ MASTER",IF($S1502&lt;TODAY(),"⚠ TRỄ ÔN",IF($S1502=TODAY(),"◆ ÔN HÔM NAY","✔ Đúng tiến độ")))))</f>
        <v>• Chưa tới</v>
      </c>
      <c r="U1502" s="38" t="n">
        <f aca="false">IF($H1502="","",$R1502/5)</f>
        <v>0</v>
      </c>
    </row>
    <row r="1503" customFormat="false" ht="15" hidden="false" customHeight="false" outlineLevel="0" collapsed="false">
      <c r="A1503" s="31" t="s">
        <v>8923</v>
      </c>
      <c r="B1503" s="31" t="n">
        <v>76</v>
      </c>
      <c r="C1503" s="32" t="n">
        <f aca="false">SETTINGS!$C$3+$B1503-1</f>
        <v>46375</v>
      </c>
      <c r="D1503" s="41" t="s">
        <v>7168</v>
      </c>
      <c r="E1503" s="34" t="s">
        <v>8924</v>
      </c>
      <c r="F1503" s="34" t="s">
        <v>280</v>
      </c>
      <c r="G1503" s="34" t="s">
        <v>8925</v>
      </c>
      <c r="H1503" s="35" t="s">
        <v>8926</v>
      </c>
      <c r="I1503" s="36" t="s">
        <v>8927</v>
      </c>
      <c r="J1503" s="34" t="s">
        <v>8928</v>
      </c>
      <c r="K1503" s="34" t="s">
        <v>8929</v>
      </c>
      <c r="L1503" s="37"/>
      <c r="M1503" s="37"/>
      <c r="N1503" s="37"/>
      <c r="O1503" s="37"/>
      <c r="P1503" s="37"/>
      <c r="Q1503" s="37"/>
      <c r="R1503" s="31" t="n">
        <f aca="false">COUNT($M1503:$Q1503)</f>
        <v>0</v>
      </c>
      <c r="S1503" s="32" t="str">
        <f aca="false">IF($L1503="","",IF($R1503&gt;=5,"",MAX($L1503:$Q1503)+CHOOSE($R1503+1,SETTINGS!$C$9,SETTINGS!$C$10,SETTINGS!$C$11,SETTINGS!$C$12,SETTINGS!$C$13)))</f>
        <v/>
      </c>
      <c r="T1503" s="34" t="str">
        <f aca="true">IF($H1503="","(chưa có nội dung)",IF($L1503="",IF($C1503&lt;TODAY(),"⚠ TRỄ HỌC",IF($C1503=TODAY(),"★ HỌC HÔM NAY","• Chưa tới")),IF($R1503&gt;=5,"✔ MASTER",IF($S1503&lt;TODAY(),"⚠ TRỄ ÔN",IF($S1503=TODAY(),"◆ ÔN HÔM NAY","✔ Đúng tiến độ")))))</f>
        <v>• Chưa tới</v>
      </c>
      <c r="U1503" s="38" t="n">
        <f aca="false">IF($H1503="","",$R1503/5)</f>
        <v>0</v>
      </c>
    </row>
    <row r="1504" customFormat="false" ht="15" hidden="false" customHeight="false" outlineLevel="0" collapsed="false">
      <c r="A1504" s="31" t="s">
        <v>8930</v>
      </c>
      <c r="B1504" s="31" t="n">
        <v>76</v>
      </c>
      <c r="C1504" s="32" t="n">
        <f aca="false">SETTINGS!$C$3+$B1504-1</f>
        <v>46375</v>
      </c>
      <c r="D1504" s="41" t="s">
        <v>7168</v>
      </c>
      <c r="E1504" s="34" t="s">
        <v>8924</v>
      </c>
      <c r="F1504" s="34" t="s">
        <v>280</v>
      </c>
      <c r="G1504" s="34" t="s">
        <v>8931</v>
      </c>
      <c r="H1504" s="35" t="s">
        <v>8932</v>
      </c>
      <c r="I1504" s="36" t="s">
        <v>8933</v>
      </c>
      <c r="J1504" s="34" t="s">
        <v>8934</v>
      </c>
      <c r="K1504" s="34" t="s">
        <v>8935</v>
      </c>
      <c r="L1504" s="37"/>
      <c r="M1504" s="37"/>
      <c r="N1504" s="37"/>
      <c r="O1504" s="37"/>
      <c r="P1504" s="37"/>
      <c r="Q1504" s="37"/>
      <c r="R1504" s="31" t="n">
        <f aca="false">COUNT($M1504:$Q1504)</f>
        <v>0</v>
      </c>
      <c r="S1504" s="32" t="str">
        <f aca="false">IF($L1504="","",IF($R1504&gt;=5,"",MAX($L1504:$Q1504)+CHOOSE($R1504+1,SETTINGS!$C$9,SETTINGS!$C$10,SETTINGS!$C$11,SETTINGS!$C$12,SETTINGS!$C$13)))</f>
        <v/>
      </c>
      <c r="T1504" s="34" t="str">
        <f aca="true">IF($H1504="","(chưa có nội dung)",IF($L1504="",IF($C1504&lt;TODAY(),"⚠ TRỄ HỌC",IF($C1504=TODAY(),"★ HỌC HÔM NAY","• Chưa tới")),IF($R1504&gt;=5,"✔ MASTER",IF($S1504&lt;TODAY(),"⚠ TRỄ ÔN",IF($S1504=TODAY(),"◆ ÔN HÔM NAY","✔ Đúng tiến độ")))))</f>
        <v>• Chưa tới</v>
      </c>
      <c r="U1504" s="38" t="n">
        <f aca="false">IF($H1504="","",$R1504/5)</f>
        <v>0</v>
      </c>
    </row>
    <row r="1505" customFormat="false" ht="15" hidden="false" customHeight="false" outlineLevel="0" collapsed="false">
      <c r="A1505" s="31" t="s">
        <v>8936</v>
      </c>
      <c r="B1505" s="31" t="n">
        <v>76</v>
      </c>
      <c r="C1505" s="32" t="n">
        <f aca="false">SETTINGS!$C$3+$B1505-1</f>
        <v>46375</v>
      </c>
      <c r="D1505" s="41" t="s">
        <v>7168</v>
      </c>
      <c r="E1505" s="34" t="s">
        <v>8924</v>
      </c>
      <c r="F1505" s="34" t="s">
        <v>280</v>
      </c>
      <c r="G1505" s="34" t="s">
        <v>8937</v>
      </c>
      <c r="H1505" s="35" t="s">
        <v>8938</v>
      </c>
      <c r="I1505" s="36" t="s">
        <v>8939</v>
      </c>
      <c r="J1505" s="34" t="s">
        <v>8940</v>
      </c>
      <c r="K1505" s="34" t="s">
        <v>8941</v>
      </c>
      <c r="L1505" s="37"/>
      <c r="M1505" s="37"/>
      <c r="N1505" s="37"/>
      <c r="O1505" s="37"/>
      <c r="P1505" s="37"/>
      <c r="Q1505" s="37"/>
      <c r="R1505" s="31" t="n">
        <f aca="false">COUNT($M1505:$Q1505)</f>
        <v>0</v>
      </c>
      <c r="S1505" s="32" t="str">
        <f aca="false">IF($L1505="","",IF($R1505&gt;=5,"",MAX($L1505:$Q1505)+CHOOSE($R1505+1,SETTINGS!$C$9,SETTINGS!$C$10,SETTINGS!$C$11,SETTINGS!$C$12,SETTINGS!$C$13)))</f>
        <v/>
      </c>
      <c r="T1505" s="34" t="str">
        <f aca="true">IF($H1505="","(chưa có nội dung)",IF($L1505="",IF($C1505&lt;TODAY(),"⚠ TRỄ HỌC",IF($C1505=TODAY(),"★ HỌC HÔM NAY","• Chưa tới")),IF($R1505&gt;=5,"✔ MASTER",IF($S1505&lt;TODAY(),"⚠ TRỄ ÔN",IF($S1505=TODAY(),"◆ ÔN HÔM NAY","✔ Đúng tiến độ")))))</f>
        <v>• Chưa tới</v>
      </c>
      <c r="U1505" s="38" t="n">
        <f aca="false">IF($H1505="","",$R1505/5)</f>
        <v>0</v>
      </c>
    </row>
    <row r="1506" customFormat="false" ht="15" hidden="false" customHeight="false" outlineLevel="0" collapsed="false">
      <c r="A1506" s="31" t="s">
        <v>8942</v>
      </c>
      <c r="B1506" s="31" t="n">
        <v>76</v>
      </c>
      <c r="C1506" s="32" t="n">
        <f aca="false">SETTINGS!$C$3+$B1506-1</f>
        <v>46375</v>
      </c>
      <c r="D1506" s="41" t="s">
        <v>7168</v>
      </c>
      <c r="E1506" s="34" t="s">
        <v>8924</v>
      </c>
      <c r="F1506" s="34" t="s">
        <v>280</v>
      </c>
      <c r="G1506" s="34" t="s">
        <v>8943</v>
      </c>
      <c r="H1506" s="35" t="s">
        <v>8944</v>
      </c>
      <c r="I1506" s="36" t="s">
        <v>8945</v>
      </c>
      <c r="J1506" s="34" t="s">
        <v>8946</v>
      </c>
      <c r="K1506" s="34" t="s">
        <v>8947</v>
      </c>
      <c r="L1506" s="37"/>
      <c r="M1506" s="37"/>
      <c r="N1506" s="37"/>
      <c r="O1506" s="37"/>
      <c r="P1506" s="37"/>
      <c r="Q1506" s="37"/>
      <c r="R1506" s="31" t="n">
        <f aca="false">COUNT($M1506:$Q1506)</f>
        <v>0</v>
      </c>
      <c r="S1506" s="32" t="str">
        <f aca="false">IF($L1506="","",IF($R1506&gt;=5,"",MAX($L1506:$Q1506)+CHOOSE($R1506+1,SETTINGS!$C$9,SETTINGS!$C$10,SETTINGS!$C$11,SETTINGS!$C$12,SETTINGS!$C$13)))</f>
        <v/>
      </c>
      <c r="T1506" s="34" t="str">
        <f aca="true">IF($H1506="","(chưa có nội dung)",IF($L1506="",IF($C1506&lt;TODAY(),"⚠ TRỄ HỌC",IF($C1506=TODAY(),"★ HỌC HÔM NAY","• Chưa tới")),IF($R1506&gt;=5,"✔ MASTER",IF($S1506&lt;TODAY(),"⚠ TRỄ ÔN",IF($S1506=TODAY(),"◆ ÔN HÔM NAY","✔ Đúng tiến độ")))))</f>
        <v>• Chưa tới</v>
      </c>
      <c r="U1506" s="38" t="n">
        <f aca="false">IF($H1506="","",$R1506/5)</f>
        <v>0</v>
      </c>
    </row>
    <row r="1507" customFormat="false" ht="15" hidden="false" customHeight="false" outlineLevel="0" collapsed="false">
      <c r="A1507" s="31" t="s">
        <v>8948</v>
      </c>
      <c r="B1507" s="31" t="n">
        <v>76</v>
      </c>
      <c r="C1507" s="32" t="n">
        <f aca="false">SETTINGS!$C$3+$B1507-1</f>
        <v>46375</v>
      </c>
      <c r="D1507" s="41" t="s">
        <v>7168</v>
      </c>
      <c r="E1507" s="34" t="s">
        <v>8924</v>
      </c>
      <c r="F1507" s="34" t="s">
        <v>280</v>
      </c>
      <c r="G1507" s="34" t="s">
        <v>8949</v>
      </c>
      <c r="H1507" s="35" t="s">
        <v>8950</v>
      </c>
      <c r="I1507" s="36" t="s">
        <v>8951</v>
      </c>
      <c r="J1507" s="34" t="s">
        <v>8952</v>
      </c>
      <c r="K1507" s="34" t="s">
        <v>8953</v>
      </c>
      <c r="L1507" s="37"/>
      <c r="M1507" s="37"/>
      <c r="N1507" s="37"/>
      <c r="O1507" s="37"/>
      <c r="P1507" s="37"/>
      <c r="Q1507" s="37"/>
      <c r="R1507" s="31" t="n">
        <f aca="false">COUNT($M1507:$Q1507)</f>
        <v>0</v>
      </c>
      <c r="S1507" s="32" t="str">
        <f aca="false">IF($L1507="","",IF($R1507&gt;=5,"",MAX($L1507:$Q1507)+CHOOSE($R1507+1,SETTINGS!$C$9,SETTINGS!$C$10,SETTINGS!$C$11,SETTINGS!$C$12,SETTINGS!$C$13)))</f>
        <v/>
      </c>
      <c r="T1507" s="34" t="str">
        <f aca="true">IF($H1507="","(chưa có nội dung)",IF($L1507="",IF($C1507&lt;TODAY(),"⚠ TRỄ HỌC",IF($C1507=TODAY(),"★ HỌC HÔM NAY","• Chưa tới")),IF($R1507&gt;=5,"✔ MASTER",IF($S1507&lt;TODAY(),"⚠ TRỄ ÔN",IF($S1507=TODAY(),"◆ ÔN HÔM NAY","✔ Đúng tiến độ")))))</f>
        <v>• Chưa tới</v>
      </c>
      <c r="U1507" s="38" t="n">
        <f aca="false">IF($H1507="","",$R1507/5)</f>
        <v>0</v>
      </c>
    </row>
    <row r="1508" customFormat="false" ht="26.85" hidden="false" customHeight="false" outlineLevel="0" collapsed="false">
      <c r="A1508" s="31" t="s">
        <v>8954</v>
      </c>
      <c r="B1508" s="31" t="n">
        <v>76</v>
      </c>
      <c r="C1508" s="32" t="n">
        <f aca="false">SETTINGS!$C$3+$B1508-1</f>
        <v>46375</v>
      </c>
      <c r="D1508" s="41" t="s">
        <v>7168</v>
      </c>
      <c r="E1508" s="34" t="s">
        <v>8924</v>
      </c>
      <c r="F1508" s="34" t="s">
        <v>3656</v>
      </c>
      <c r="G1508" s="34" t="s">
        <v>8955</v>
      </c>
      <c r="H1508" s="35" t="s">
        <v>8956</v>
      </c>
      <c r="I1508" s="36" t="s">
        <v>8957</v>
      </c>
      <c r="J1508" s="34" t="s">
        <v>8958</v>
      </c>
      <c r="K1508" s="34" t="s">
        <v>8959</v>
      </c>
      <c r="L1508" s="37"/>
      <c r="M1508" s="37"/>
      <c r="N1508" s="37"/>
      <c r="O1508" s="37"/>
      <c r="P1508" s="37"/>
      <c r="Q1508" s="37"/>
      <c r="R1508" s="31" t="n">
        <f aca="false">COUNT($M1508:$Q1508)</f>
        <v>0</v>
      </c>
      <c r="S1508" s="32" t="str">
        <f aca="false">IF($L1508="","",IF($R1508&gt;=5,"",MAX($L1508:$Q1508)+CHOOSE($R1508+1,SETTINGS!$C$9,SETTINGS!$C$10,SETTINGS!$C$11,SETTINGS!$C$12,SETTINGS!$C$13)))</f>
        <v/>
      </c>
      <c r="T1508" s="34" t="str">
        <f aca="true">IF($H1508="","(chưa có nội dung)",IF($L1508="",IF($C1508&lt;TODAY(),"⚠ TRỄ HỌC",IF($C1508=TODAY(),"★ HỌC HÔM NAY","• Chưa tới")),IF($R1508&gt;=5,"✔ MASTER",IF($S1508&lt;TODAY(),"⚠ TRỄ ÔN",IF($S1508=TODAY(),"◆ ÔN HÔM NAY","✔ Đúng tiến độ")))))</f>
        <v>• Chưa tới</v>
      </c>
      <c r="U1508" s="38" t="n">
        <f aca="false">IF($H1508="","",$R1508/5)</f>
        <v>0</v>
      </c>
    </row>
    <row r="1509" customFormat="false" ht="15" hidden="false" customHeight="false" outlineLevel="0" collapsed="false">
      <c r="A1509" s="31" t="s">
        <v>8960</v>
      </c>
      <c r="B1509" s="31" t="n">
        <v>76</v>
      </c>
      <c r="C1509" s="32" t="n">
        <f aca="false">SETTINGS!$C$3+$B1509-1</f>
        <v>46375</v>
      </c>
      <c r="D1509" s="41" t="s">
        <v>7168</v>
      </c>
      <c r="E1509" s="34" t="s">
        <v>8924</v>
      </c>
      <c r="F1509" s="34" t="s">
        <v>280</v>
      </c>
      <c r="G1509" s="34" t="s">
        <v>8961</v>
      </c>
      <c r="H1509" s="35" t="s">
        <v>8962</v>
      </c>
      <c r="I1509" s="36" t="s">
        <v>8963</v>
      </c>
      <c r="J1509" s="34" t="s">
        <v>8964</v>
      </c>
      <c r="K1509" s="34" t="s">
        <v>8965</v>
      </c>
      <c r="L1509" s="37"/>
      <c r="M1509" s="37"/>
      <c r="N1509" s="37"/>
      <c r="O1509" s="37"/>
      <c r="P1509" s="37"/>
      <c r="Q1509" s="37"/>
      <c r="R1509" s="31" t="n">
        <f aca="false">COUNT($M1509:$Q1509)</f>
        <v>0</v>
      </c>
      <c r="S1509" s="32" t="str">
        <f aca="false">IF($L1509="","",IF($R1509&gt;=5,"",MAX($L1509:$Q1509)+CHOOSE($R1509+1,SETTINGS!$C$9,SETTINGS!$C$10,SETTINGS!$C$11,SETTINGS!$C$12,SETTINGS!$C$13)))</f>
        <v/>
      </c>
      <c r="T1509" s="34" t="str">
        <f aca="true">IF($H1509="","(chưa có nội dung)",IF($L1509="",IF($C1509&lt;TODAY(),"⚠ TRỄ HỌC",IF($C1509=TODAY(),"★ HỌC HÔM NAY","• Chưa tới")),IF($R1509&gt;=5,"✔ MASTER",IF($S1509&lt;TODAY(),"⚠ TRỄ ÔN",IF($S1509=TODAY(),"◆ ÔN HÔM NAY","✔ Đúng tiến độ")))))</f>
        <v>• Chưa tới</v>
      </c>
      <c r="U1509" s="38" t="n">
        <f aca="false">IF($H1509="","",$R1509/5)</f>
        <v>0</v>
      </c>
    </row>
    <row r="1510" customFormat="false" ht="15" hidden="false" customHeight="false" outlineLevel="0" collapsed="false">
      <c r="A1510" s="31" t="s">
        <v>8966</v>
      </c>
      <c r="B1510" s="31" t="n">
        <v>76</v>
      </c>
      <c r="C1510" s="32" t="n">
        <f aca="false">SETTINGS!$C$3+$B1510-1</f>
        <v>46375</v>
      </c>
      <c r="D1510" s="41" t="s">
        <v>7168</v>
      </c>
      <c r="E1510" s="34" t="s">
        <v>8924</v>
      </c>
      <c r="F1510" s="34" t="s">
        <v>280</v>
      </c>
      <c r="G1510" s="34" t="s">
        <v>8821</v>
      </c>
      <c r="H1510" s="35" t="s">
        <v>8967</v>
      </c>
      <c r="I1510" s="36" t="s">
        <v>8968</v>
      </c>
      <c r="J1510" s="34" t="s">
        <v>8969</v>
      </c>
      <c r="K1510" s="34" t="s">
        <v>8970</v>
      </c>
      <c r="L1510" s="37"/>
      <c r="M1510" s="37"/>
      <c r="N1510" s="37"/>
      <c r="O1510" s="37"/>
      <c r="P1510" s="37"/>
      <c r="Q1510" s="37"/>
      <c r="R1510" s="31" t="n">
        <f aca="false">COUNT($M1510:$Q1510)</f>
        <v>0</v>
      </c>
      <c r="S1510" s="32" t="str">
        <f aca="false">IF($L1510="","",IF($R1510&gt;=5,"",MAX($L1510:$Q1510)+CHOOSE($R1510+1,SETTINGS!$C$9,SETTINGS!$C$10,SETTINGS!$C$11,SETTINGS!$C$12,SETTINGS!$C$13)))</f>
        <v/>
      </c>
      <c r="T1510" s="34" t="str">
        <f aca="true">IF($H1510="","(chưa có nội dung)",IF($L1510="",IF($C1510&lt;TODAY(),"⚠ TRỄ HỌC",IF($C1510=TODAY(),"★ HỌC HÔM NAY","• Chưa tới")),IF($R1510&gt;=5,"✔ MASTER",IF($S1510&lt;TODAY(),"⚠ TRỄ ÔN",IF($S1510=TODAY(),"◆ ÔN HÔM NAY","✔ Đúng tiến độ")))))</f>
        <v>• Chưa tới</v>
      </c>
      <c r="U1510" s="38" t="n">
        <f aca="false">IF($H1510="","",$R1510/5)</f>
        <v>0</v>
      </c>
    </row>
    <row r="1511" customFormat="false" ht="15" hidden="false" customHeight="false" outlineLevel="0" collapsed="false">
      <c r="A1511" s="31" t="s">
        <v>8971</v>
      </c>
      <c r="B1511" s="31" t="n">
        <v>76</v>
      </c>
      <c r="C1511" s="32" t="n">
        <f aca="false">SETTINGS!$C$3+$B1511-1</f>
        <v>46375</v>
      </c>
      <c r="D1511" s="41" t="s">
        <v>7168</v>
      </c>
      <c r="E1511" s="34" t="s">
        <v>8924</v>
      </c>
      <c r="F1511" s="34" t="s">
        <v>280</v>
      </c>
      <c r="G1511" s="34" t="s">
        <v>8972</v>
      </c>
      <c r="H1511" s="35" t="s">
        <v>8973</v>
      </c>
      <c r="I1511" s="36" t="s">
        <v>8974</v>
      </c>
      <c r="J1511" s="34" t="s">
        <v>8975</v>
      </c>
      <c r="K1511" s="34" t="s">
        <v>8976</v>
      </c>
      <c r="L1511" s="37"/>
      <c r="M1511" s="37"/>
      <c r="N1511" s="37"/>
      <c r="O1511" s="37"/>
      <c r="P1511" s="37"/>
      <c r="Q1511" s="37"/>
      <c r="R1511" s="31" t="n">
        <f aca="false">COUNT($M1511:$Q1511)</f>
        <v>0</v>
      </c>
      <c r="S1511" s="32" t="str">
        <f aca="false">IF($L1511="","",IF($R1511&gt;=5,"",MAX($L1511:$Q1511)+CHOOSE($R1511+1,SETTINGS!$C$9,SETTINGS!$C$10,SETTINGS!$C$11,SETTINGS!$C$12,SETTINGS!$C$13)))</f>
        <v/>
      </c>
      <c r="T1511" s="34" t="str">
        <f aca="true">IF($H1511="","(chưa có nội dung)",IF($L1511="",IF($C1511&lt;TODAY(),"⚠ TRỄ HỌC",IF($C1511=TODAY(),"★ HỌC HÔM NAY","• Chưa tới")),IF($R1511&gt;=5,"✔ MASTER",IF($S1511&lt;TODAY(),"⚠ TRỄ ÔN",IF($S1511=TODAY(),"◆ ÔN HÔM NAY","✔ Đúng tiến độ")))))</f>
        <v>• Chưa tới</v>
      </c>
      <c r="U1511" s="38" t="n">
        <f aca="false">IF($H1511="","",$R1511/5)</f>
        <v>0</v>
      </c>
    </row>
    <row r="1512" customFormat="false" ht="15" hidden="false" customHeight="false" outlineLevel="0" collapsed="false">
      <c r="A1512" s="31" t="s">
        <v>8977</v>
      </c>
      <c r="B1512" s="31" t="n">
        <v>76</v>
      </c>
      <c r="C1512" s="32" t="n">
        <f aca="false">SETTINGS!$C$3+$B1512-1</f>
        <v>46375</v>
      </c>
      <c r="D1512" s="41" t="s">
        <v>7168</v>
      </c>
      <c r="E1512" s="34" t="s">
        <v>8924</v>
      </c>
      <c r="F1512" s="34" t="s">
        <v>280</v>
      </c>
      <c r="G1512" s="34" t="s">
        <v>8978</v>
      </c>
      <c r="H1512" s="35" t="s">
        <v>8979</v>
      </c>
      <c r="I1512" s="36" t="s">
        <v>8980</v>
      </c>
      <c r="J1512" s="34" t="s">
        <v>8981</v>
      </c>
      <c r="K1512" s="34" t="s">
        <v>8982</v>
      </c>
      <c r="L1512" s="37"/>
      <c r="M1512" s="37"/>
      <c r="N1512" s="37"/>
      <c r="O1512" s="37"/>
      <c r="P1512" s="37"/>
      <c r="Q1512" s="37"/>
      <c r="R1512" s="31" t="n">
        <f aca="false">COUNT($M1512:$Q1512)</f>
        <v>0</v>
      </c>
      <c r="S1512" s="32" t="str">
        <f aca="false">IF($L1512="","",IF($R1512&gt;=5,"",MAX($L1512:$Q1512)+CHOOSE($R1512+1,SETTINGS!$C$9,SETTINGS!$C$10,SETTINGS!$C$11,SETTINGS!$C$12,SETTINGS!$C$13)))</f>
        <v/>
      </c>
      <c r="T1512" s="34" t="str">
        <f aca="true">IF($H1512="","(chưa có nội dung)",IF($L1512="",IF($C1512&lt;TODAY(),"⚠ TRỄ HỌC",IF($C1512=TODAY(),"★ HỌC HÔM NAY","• Chưa tới")),IF($R1512&gt;=5,"✔ MASTER",IF($S1512&lt;TODAY(),"⚠ TRỄ ÔN",IF($S1512=TODAY(),"◆ ÔN HÔM NAY","✔ Đúng tiến độ")))))</f>
        <v>• Chưa tới</v>
      </c>
      <c r="U1512" s="38" t="n">
        <f aca="false">IF($H1512="","",$R1512/5)</f>
        <v>0</v>
      </c>
    </row>
    <row r="1513" customFormat="false" ht="15" hidden="false" customHeight="false" outlineLevel="0" collapsed="false">
      <c r="A1513" s="31" t="s">
        <v>8983</v>
      </c>
      <c r="B1513" s="31" t="n">
        <v>76</v>
      </c>
      <c r="C1513" s="32" t="n">
        <f aca="false">SETTINGS!$C$3+$B1513-1</f>
        <v>46375</v>
      </c>
      <c r="D1513" s="41" t="s">
        <v>7168</v>
      </c>
      <c r="E1513" s="34" t="s">
        <v>8924</v>
      </c>
      <c r="F1513" s="34" t="s">
        <v>280</v>
      </c>
      <c r="G1513" s="34" t="s">
        <v>1694</v>
      </c>
      <c r="H1513" s="35" t="s">
        <v>8984</v>
      </c>
      <c r="I1513" s="36" t="s">
        <v>8985</v>
      </c>
      <c r="J1513" s="34" t="s">
        <v>8986</v>
      </c>
      <c r="K1513" s="34" t="s">
        <v>8987</v>
      </c>
      <c r="L1513" s="37"/>
      <c r="M1513" s="37"/>
      <c r="N1513" s="37"/>
      <c r="O1513" s="37"/>
      <c r="P1513" s="37"/>
      <c r="Q1513" s="37"/>
      <c r="R1513" s="31" t="n">
        <f aca="false">COUNT($M1513:$Q1513)</f>
        <v>0</v>
      </c>
      <c r="S1513" s="32" t="str">
        <f aca="false">IF($L1513="","",IF($R1513&gt;=5,"",MAX($L1513:$Q1513)+CHOOSE($R1513+1,SETTINGS!$C$9,SETTINGS!$C$10,SETTINGS!$C$11,SETTINGS!$C$12,SETTINGS!$C$13)))</f>
        <v/>
      </c>
      <c r="T1513" s="34" t="str">
        <f aca="true">IF($H1513="","(chưa có nội dung)",IF($L1513="",IF($C1513&lt;TODAY(),"⚠ TRỄ HỌC",IF($C1513=TODAY(),"★ HỌC HÔM NAY","• Chưa tới")),IF($R1513&gt;=5,"✔ MASTER",IF($S1513&lt;TODAY(),"⚠ TRỄ ÔN",IF($S1513=TODAY(),"◆ ÔN HÔM NAY","✔ Đúng tiến độ")))))</f>
        <v>• Chưa tới</v>
      </c>
      <c r="U1513" s="38" t="n">
        <f aca="false">IF($H1513="","",$R1513/5)</f>
        <v>0</v>
      </c>
    </row>
    <row r="1514" customFormat="false" ht="23.85" hidden="false" customHeight="false" outlineLevel="0" collapsed="false">
      <c r="A1514" s="31" t="s">
        <v>8988</v>
      </c>
      <c r="B1514" s="31" t="n">
        <v>76</v>
      </c>
      <c r="C1514" s="32" t="n">
        <f aca="false">SETTINGS!$C$3+$B1514-1</f>
        <v>46375</v>
      </c>
      <c r="D1514" s="41" t="s">
        <v>7168</v>
      </c>
      <c r="E1514" s="34" t="s">
        <v>8924</v>
      </c>
      <c r="F1514" s="34" t="s">
        <v>280</v>
      </c>
      <c r="G1514" s="34" t="s">
        <v>8989</v>
      </c>
      <c r="H1514" s="35" t="s">
        <v>8990</v>
      </c>
      <c r="I1514" s="36" t="s">
        <v>8991</v>
      </c>
      <c r="J1514" s="34" t="s">
        <v>8992</v>
      </c>
      <c r="K1514" s="34" t="s">
        <v>8993</v>
      </c>
      <c r="L1514" s="37"/>
      <c r="M1514" s="37"/>
      <c r="N1514" s="37"/>
      <c r="O1514" s="37"/>
      <c r="P1514" s="37"/>
      <c r="Q1514" s="37"/>
      <c r="R1514" s="31" t="n">
        <f aca="false">COUNT($M1514:$Q1514)</f>
        <v>0</v>
      </c>
      <c r="S1514" s="32" t="str">
        <f aca="false">IF($L1514="","",IF($R1514&gt;=5,"",MAX($L1514:$Q1514)+CHOOSE($R1514+1,SETTINGS!$C$9,SETTINGS!$C$10,SETTINGS!$C$11,SETTINGS!$C$12,SETTINGS!$C$13)))</f>
        <v/>
      </c>
      <c r="T1514" s="34" t="str">
        <f aca="true">IF($H1514="","(chưa có nội dung)",IF($L1514="",IF($C1514&lt;TODAY(),"⚠ TRỄ HỌC",IF($C1514=TODAY(),"★ HỌC HÔM NAY","• Chưa tới")),IF($R1514&gt;=5,"✔ MASTER",IF($S1514&lt;TODAY(),"⚠ TRỄ ÔN",IF($S1514=TODAY(),"◆ ÔN HÔM NAY","✔ Đúng tiến độ")))))</f>
        <v>• Chưa tới</v>
      </c>
      <c r="U1514" s="38" t="n">
        <f aca="false">IF($H1514="","",$R1514/5)</f>
        <v>0</v>
      </c>
    </row>
    <row r="1515" customFormat="false" ht="26.85" hidden="false" customHeight="false" outlineLevel="0" collapsed="false">
      <c r="A1515" s="31" t="s">
        <v>8994</v>
      </c>
      <c r="B1515" s="31" t="n">
        <v>76</v>
      </c>
      <c r="C1515" s="32" t="n">
        <f aca="false">SETTINGS!$C$3+$B1515-1</f>
        <v>46375</v>
      </c>
      <c r="D1515" s="41" t="s">
        <v>7168</v>
      </c>
      <c r="E1515" s="34" t="s">
        <v>8924</v>
      </c>
      <c r="F1515" s="34" t="s">
        <v>280</v>
      </c>
      <c r="G1515" s="34" t="s">
        <v>8995</v>
      </c>
      <c r="H1515" s="35" t="s">
        <v>8996</v>
      </c>
      <c r="I1515" s="36" t="s">
        <v>8997</v>
      </c>
      <c r="J1515" s="34" t="s">
        <v>8998</v>
      </c>
      <c r="K1515" s="34" t="s">
        <v>8999</v>
      </c>
      <c r="L1515" s="37"/>
      <c r="M1515" s="37"/>
      <c r="N1515" s="37"/>
      <c r="O1515" s="37"/>
      <c r="P1515" s="37"/>
      <c r="Q1515" s="37"/>
      <c r="R1515" s="31" t="n">
        <f aca="false">COUNT($M1515:$Q1515)</f>
        <v>0</v>
      </c>
      <c r="S1515" s="32" t="str">
        <f aca="false">IF($L1515="","",IF($R1515&gt;=5,"",MAX($L1515:$Q1515)+CHOOSE($R1515+1,SETTINGS!$C$9,SETTINGS!$C$10,SETTINGS!$C$11,SETTINGS!$C$12,SETTINGS!$C$13)))</f>
        <v/>
      </c>
      <c r="T1515" s="34" t="str">
        <f aca="true">IF($H1515="","(chưa có nội dung)",IF($L1515="",IF($C1515&lt;TODAY(),"⚠ TRỄ HỌC",IF($C1515=TODAY(),"★ HỌC HÔM NAY","• Chưa tới")),IF($R1515&gt;=5,"✔ MASTER",IF($S1515&lt;TODAY(),"⚠ TRỄ ÔN",IF($S1515=TODAY(),"◆ ÔN HÔM NAY","✔ Đúng tiến độ")))))</f>
        <v>• Chưa tới</v>
      </c>
      <c r="U1515" s="38" t="n">
        <f aca="false">IF($H1515="","",$R1515/5)</f>
        <v>0</v>
      </c>
    </row>
    <row r="1516" customFormat="false" ht="15" hidden="false" customHeight="false" outlineLevel="0" collapsed="false">
      <c r="A1516" s="31" t="s">
        <v>9000</v>
      </c>
      <c r="B1516" s="31" t="n">
        <v>76</v>
      </c>
      <c r="C1516" s="32" t="n">
        <f aca="false">SETTINGS!$C$3+$B1516-1</f>
        <v>46375</v>
      </c>
      <c r="D1516" s="41" t="s">
        <v>7168</v>
      </c>
      <c r="E1516" s="34" t="s">
        <v>8924</v>
      </c>
      <c r="F1516" s="34" t="s">
        <v>280</v>
      </c>
      <c r="G1516" s="34" t="s">
        <v>9001</v>
      </c>
      <c r="H1516" s="35" t="s">
        <v>9002</v>
      </c>
      <c r="I1516" s="36" t="s">
        <v>9003</v>
      </c>
      <c r="J1516" s="34" t="s">
        <v>9004</v>
      </c>
      <c r="K1516" s="34" t="s">
        <v>9005</v>
      </c>
      <c r="L1516" s="37"/>
      <c r="M1516" s="37"/>
      <c r="N1516" s="37"/>
      <c r="O1516" s="37"/>
      <c r="P1516" s="37"/>
      <c r="Q1516" s="37"/>
      <c r="R1516" s="31" t="n">
        <f aca="false">COUNT($M1516:$Q1516)</f>
        <v>0</v>
      </c>
      <c r="S1516" s="32" t="str">
        <f aca="false">IF($L1516="","",IF($R1516&gt;=5,"",MAX($L1516:$Q1516)+CHOOSE($R1516+1,SETTINGS!$C$9,SETTINGS!$C$10,SETTINGS!$C$11,SETTINGS!$C$12,SETTINGS!$C$13)))</f>
        <v/>
      </c>
      <c r="T1516" s="34" t="str">
        <f aca="true">IF($H1516="","(chưa có nội dung)",IF($L1516="",IF($C1516&lt;TODAY(),"⚠ TRỄ HỌC",IF($C1516=TODAY(),"★ HỌC HÔM NAY","• Chưa tới")),IF($R1516&gt;=5,"✔ MASTER",IF($S1516&lt;TODAY(),"⚠ TRỄ ÔN",IF($S1516=TODAY(),"◆ ÔN HÔM NAY","✔ Đúng tiến độ")))))</f>
        <v>• Chưa tới</v>
      </c>
      <c r="U1516" s="38" t="n">
        <f aca="false">IF($H1516="","",$R1516/5)</f>
        <v>0</v>
      </c>
    </row>
    <row r="1517" customFormat="false" ht="15" hidden="false" customHeight="false" outlineLevel="0" collapsed="false">
      <c r="A1517" s="31" t="s">
        <v>9006</v>
      </c>
      <c r="B1517" s="31" t="n">
        <v>76</v>
      </c>
      <c r="C1517" s="32" t="n">
        <f aca="false">SETTINGS!$C$3+$B1517-1</f>
        <v>46375</v>
      </c>
      <c r="D1517" s="41" t="s">
        <v>7168</v>
      </c>
      <c r="E1517" s="34" t="s">
        <v>8924</v>
      </c>
      <c r="F1517" s="34" t="s">
        <v>202</v>
      </c>
      <c r="G1517" s="34" t="s">
        <v>9007</v>
      </c>
      <c r="H1517" s="35" t="s">
        <v>9008</v>
      </c>
      <c r="I1517" s="36" t="s">
        <v>9009</v>
      </c>
      <c r="J1517" s="34" t="s">
        <v>9010</v>
      </c>
      <c r="K1517" s="34" t="s">
        <v>9011</v>
      </c>
      <c r="L1517" s="37"/>
      <c r="M1517" s="37"/>
      <c r="N1517" s="37"/>
      <c r="O1517" s="37"/>
      <c r="P1517" s="37"/>
      <c r="Q1517" s="37"/>
      <c r="R1517" s="31" t="n">
        <f aca="false">COUNT($M1517:$Q1517)</f>
        <v>0</v>
      </c>
      <c r="S1517" s="32" t="str">
        <f aca="false">IF($L1517="","",IF($R1517&gt;=5,"",MAX($L1517:$Q1517)+CHOOSE($R1517+1,SETTINGS!$C$9,SETTINGS!$C$10,SETTINGS!$C$11,SETTINGS!$C$12,SETTINGS!$C$13)))</f>
        <v/>
      </c>
      <c r="T1517" s="34" t="str">
        <f aca="true">IF($H1517="","(chưa có nội dung)",IF($L1517="",IF($C1517&lt;TODAY(),"⚠ TRỄ HỌC",IF($C1517=TODAY(),"★ HỌC HÔM NAY","• Chưa tới")),IF($R1517&gt;=5,"✔ MASTER",IF($S1517&lt;TODAY(),"⚠ TRỄ ÔN",IF($S1517=TODAY(),"◆ ÔN HÔM NAY","✔ Đúng tiến độ")))))</f>
        <v>• Chưa tới</v>
      </c>
      <c r="U1517" s="38" t="n">
        <f aca="false">IF($H1517="","",$R1517/5)</f>
        <v>0</v>
      </c>
    </row>
    <row r="1518" customFormat="false" ht="26.85" hidden="false" customHeight="false" outlineLevel="0" collapsed="false">
      <c r="A1518" s="31" t="s">
        <v>9012</v>
      </c>
      <c r="B1518" s="31" t="n">
        <v>76</v>
      </c>
      <c r="C1518" s="32" t="n">
        <f aca="false">SETTINGS!$C$3+$B1518-1</f>
        <v>46375</v>
      </c>
      <c r="D1518" s="41" t="s">
        <v>7168</v>
      </c>
      <c r="E1518" s="34" t="s">
        <v>8924</v>
      </c>
      <c r="F1518" s="34" t="s">
        <v>280</v>
      </c>
      <c r="G1518" s="34" t="s">
        <v>9013</v>
      </c>
      <c r="H1518" s="35" t="s">
        <v>9014</v>
      </c>
      <c r="I1518" s="36" t="s">
        <v>9015</v>
      </c>
      <c r="J1518" s="34" t="s">
        <v>9016</v>
      </c>
      <c r="K1518" s="34" t="s">
        <v>9017</v>
      </c>
      <c r="L1518" s="37"/>
      <c r="M1518" s="37"/>
      <c r="N1518" s="37"/>
      <c r="O1518" s="37"/>
      <c r="P1518" s="37"/>
      <c r="Q1518" s="37"/>
      <c r="R1518" s="31" t="n">
        <f aca="false">COUNT($M1518:$Q1518)</f>
        <v>0</v>
      </c>
      <c r="S1518" s="32" t="str">
        <f aca="false">IF($L1518="","",IF($R1518&gt;=5,"",MAX($L1518:$Q1518)+CHOOSE($R1518+1,SETTINGS!$C$9,SETTINGS!$C$10,SETTINGS!$C$11,SETTINGS!$C$12,SETTINGS!$C$13)))</f>
        <v/>
      </c>
      <c r="T1518" s="34" t="str">
        <f aca="true">IF($H1518="","(chưa có nội dung)",IF($L1518="",IF($C1518&lt;TODAY(),"⚠ TRỄ HỌC",IF($C1518=TODAY(),"★ HỌC HÔM NAY","• Chưa tới")),IF($R1518&gt;=5,"✔ MASTER",IF($S1518&lt;TODAY(),"⚠ TRỄ ÔN",IF($S1518=TODAY(),"◆ ÔN HÔM NAY","✔ Đúng tiến độ")))))</f>
        <v>• Chưa tới</v>
      </c>
      <c r="U1518" s="38" t="n">
        <f aca="false">IF($H1518="","",$R1518/5)</f>
        <v>0</v>
      </c>
    </row>
    <row r="1519" customFormat="false" ht="15" hidden="false" customHeight="false" outlineLevel="0" collapsed="false">
      <c r="A1519" s="31" t="s">
        <v>9018</v>
      </c>
      <c r="B1519" s="31" t="n">
        <v>76</v>
      </c>
      <c r="C1519" s="32" t="n">
        <f aca="false">SETTINGS!$C$3+$B1519-1</f>
        <v>46375</v>
      </c>
      <c r="D1519" s="41" t="s">
        <v>7168</v>
      </c>
      <c r="E1519" s="34" t="s">
        <v>8924</v>
      </c>
      <c r="F1519" s="34" t="s">
        <v>3656</v>
      </c>
      <c r="G1519" s="34" t="s">
        <v>9019</v>
      </c>
      <c r="H1519" s="35" t="s">
        <v>9020</v>
      </c>
      <c r="I1519" s="36" t="s">
        <v>9021</v>
      </c>
      <c r="J1519" s="34" t="s">
        <v>9022</v>
      </c>
      <c r="K1519" s="34" t="s">
        <v>9023</v>
      </c>
      <c r="L1519" s="37"/>
      <c r="M1519" s="37"/>
      <c r="N1519" s="37"/>
      <c r="O1519" s="37"/>
      <c r="P1519" s="37"/>
      <c r="Q1519" s="37"/>
      <c r="R1519" s="31" t="n">
        <f aca="false">COUNT($M1519:$Q1519)</f>
        <v>0</v>
      </c>
      <c r="S1519" s="32" t="str">
        <f aca="false">IF($L1519="","",IF($R1519&gt;=5,"",MAX($L1519:$Q1519)+CHOOSE($R1519+1,SETTINGS!$C$9,SETTINGS!$C$10,SETTINGS!$C$11,SETTINGS!$C$12,SETTINGS!$C$13)))</f>
        <v/>
      </c>
      <c r="T1519" s="34" t="str">
        <f aca="true">IF($H1519="","(chưa có nội dung)",IF($L1519="",IF($C1519&lt;TODAY(),"⚠ TRỄ HỌC",IF($C1519=TODAY(),"★ HỌC HÔM NAY","• Chưa tới")),IF($R1519&gt;=5,"✔ MASTER",IF($S1519&lt;TODAY(),"⚠ TRỄ ÔN",IF($S1519=TODAY(),"◆ ÔN HÔM NAY","✔ Đúng tiến độ")))))</f>
        <v>• Chưa tới</v>
      </c>
      <c r="U1519" s="38" t="n">
        <f aca="false">IF($H1519="","",$R1519/5)</f>
        <v>0</v>
      </c>
    </row>
    <row r="1520" customFormat="false" ht="15" hidden="false" customHeight="false" outlineLevel="0" collapsed="false">
      <c r="A1520" s="31" t="s">
        <v>9024</v>
      </c>
      <c r="B1520" s="31" t="n">
        <v>76</v>
      </c>
      <c r="C1520" s="32" t="n">
        <f aca="false">SETTINGS!$C$3+$B1520-1</f>
        <v>46375</v>
      </c>
      <c r="D1520" s="41" t="s">
        <v>7168</v>
      </c>
      <c r="E1520" s="34" t="s">
        <v>8924</v>
      </c>
      <c r="F1520" s="34" t="s">
        <v>183</v>
      </c>
      <c r="G1520" s="34" t="s">
        <v>9025</v>
      </c>
      <c r="H1520" s="35" t="s">
        <v>9026</v>
      </c>
      <c r="I1520" s="36" t="s">
        <v>9027</v>
      </c>
      <c r="J1520" s="34" t="s">
        <v>9028</v>
      </c>
      <c r="K1520" s="34" t="s">
        <v>9029</v>
      </c>
      <c r="L1520" s="37"/>
      <c r="M1520" s="37"/>
      <c r="N1520" s="37"/>
      <c r="O1520" s="37"/>
      <c r="P1520" s="37"/>
      <c r="Q1520" s="37"/>
      <c r="R1520" s="31" t="n">
        <f aca="false">COUNT($M1520:$Q1520)</f>
        <v>0</v>
      </c>
      <c r="S1520" s="32" t="str">
        <f aca="false">IF($L1520="","",IF($R1520&gt;=5,"",MAX($L1520:$Q1520)+CHOOSE($R1520+1,SETTINGS!$C$9,SETTINGS!$C$10,SETTINGS!$C$11,SETTINGS!$C$12,SETTINGS!$C$13)))</f>
        <v/>
      </c>
      <c r="T1520" s="34" t="str">
        <f aca="true">IF($H1520="","(chưa có nội dung)",IF($L1520="",IF($C1520&lt;TODAY(),"⚠ TRỄ HỌC",IF($C1520=TODAY(),"★ HỌC HÔM NAY","• Chưa tới")),IF($R1520&gt;=5,"✔ MASTER",IF($S1520&lt;TODAY(),"⚠ TRỄ ÔN",IF($S1520=TODAY(),"◆ ÔN HÔM NAY","✔ Đúng tiến độ")))))</f>
        <v>• Chưa tới</v>
      </c>
      <c r="U1520" s="38" t="n">
        <f aca="false">IF($H1520="","",$R1520/5)</f>
        <v>0</v>
      </c>
    </row>
    <row r="1521" customFormat="false" ht="15" hidden="false" customHeight="false" outlineLevel="0" collapsed="false">
      <c r="A1521" s="31" t="s">
        <v>9030</v>
      </c>
      <c r="B1521" s="31" t="n">
        <v>76</v>
      </c>
      <c r="C1521" s="32" t="n">
        <f aca="false">SETTINGS!$C$3+$B1521-1</f>
        <v>46375</v>
      </c>
      <c r="D1521" s="41" t="s">
        <v>7168</v>
      </c>
      <c r="E1521" s="34" t="s">
        <v>8924</v>
      </c>
      <c r="F1521" s="34" t="s">
        <v>183</v>
      </c>
      <c r="G1521" s="34" t="s">
        <v>4729</v>
      </c>
      <c r="H1521" s="35" t="s">
        <v>9031</v>
      </c>
      <c r="I1521" s="36" t="s">
        <v>9032</v>
      </c>
      <c r="J1521" s="34" t="s">
        <v>9033</v>
      </c>
      <c r="K1521" s="34" t="s">
        <v>9034</v>
      </c>
      <c r="L1521" s="37"/>
      <c r="M1521" s="37"/>
      <c r="N1521" s="37"/>
      <c r="O1521" s="37"/>
      <c r="P1521" s="37"/>
      <c r="Q1521" s="37"/>
      <c r="R1521" s="31" t="n">
        <f aca="false">COUNT($M1521:$Q1521)</f>
        <v>0</v>
      </c>
      <c r="S1521" s="32" t="str">
        <f aca="false">IF($L1521="","",IF($R1521&gt;=5,"",MAX($L1521:$Q1521)+CHOOSE($R1521+1,SETTINGS!$C$9,SETTINGS!$C$10,SETTINGS!$C$11,SETTINGS!$C$12,SETTINGS!$C$13)))</f>
        <v/>
      </c>
      <c r="T1521" s="34" t="str">
        <f aca="true">IF($H1521="","(chưa có nội dung)",IF($L1521="",IF($C1521&lt;TODAY(),"⚠ TRỄ HỌC",IF($C1521=TODAY(),"★ HỌC HÔM NAY","• Chưa tới")),IF($R1521&gt;=5,"✔ MASTER",IF($S1521&lt;TODAY(),"⚠ TRỄ ÔN",IF($S1521=TODAY(),"◆ ÔN HÔM NAY","✔ Đúng tiến độ")))))</f>
        <v>• Chưa tới</v>
      </c>
      <c r="U1521" s="38" t="n">
        <f aca="false">IF($H1521="","",$R1521/5)</f>
        <v>0</v>
      </c>
    </row>
    <row r="1522" customFormat="false" ht="15" hidden="false" customHeight="false" outlineLevel="0" collapsed="false">
      <c r="A1522" s="31" t="s">
        <v>9035</v>
      </c>
      <c r="B1522" s="31" t="n">
        <v>76</v>
      </c>
      <c r="C1522" s="32" t="n">
        <f aca="false">SETTINGS!$C$3+$B1522-1</f>
        <v>46375</v>
      </c>
      <c r="D1522" s="41" t="s">
        <v>7168</v>
      </c>
      <c r="E1522" s="34" t="s">
        <v>8924</v>
      </c>
      <c r="F1522" s="34" t="s">
        <v>280</v>
      </c>
      <c r="G1522" s="34" t="s">
        <v>9036</v>
      </c>
      <c r="H1522" s="35" t="s">
        <v>9037</v>
      </c>
      <c r="I1522" s="36" t="s">
        <v>9038</v>
      </c>
      <c r="J1522" s="34" t="s">
        <v>9039</v>
      </c>
      <c r="K1522" s="34" t="s">
        <v>9040</v>
      </c>
      <c r="L1522" s="37"/>
      <c r="M1522" s="37"/>
      <c r="N1522" s="37"/>
      <c r="O1522" s="37"/>
      <c r="P1522" s="37"/>
      <c r="Q1522" s="37"/>
      <c r="R1522" s="31" t="n">
        <f aca="false">COUNT($M1522:$Q1522)</f>
        <v>0</v>
      </c>
      <c r="S1522" s="32" t="str">
        <f aca="false">IF($L1522="","",IF($R1522&gt;=5,"",MAX($L1522:$Q1522)+CHOOSE($R1522+1,SETTINGS!$C$9,SETTINGS!$C$10,SETTINGS!$C$11,SETTINGS!$C$12,SETTINGS!$C$13)))</f>
        <v/>
      </c>
      <c r="T1522" s="34" t="str">
        <f aca="true">IF($H1522="","(chưa có nội dung)",IF($L1522="",IF($C1522&lt;TODAY(),"⚠ TRỄ HỌC",IF($C1522=TODAY(),"★ HỌC HÔM NAY","• Chưa tới")),IF($R1522&gt;=5,"✔ MASTER",IF($S1522&lt;TODAY(),"⚠ TRỄ ÔN",IF($S1522=TODAY(),"◆ ÔN HÔM NAY","✔ Đúng tiến độ")))))</f>
        <v>• Chưa tới</v>
      </c>
      <c r="U1522" s="38" t="n">
        <f aca="false">IF($H1522="","",$R1522/5)</f>
        <v>0</v>
      </c>
    </row>
    <row r="1523" customFormat="false" ht="15" hidden="false" customHeight="false" outlineLevel="0" collapsed="false">
      <c r="A1523" s="31" t="s">
        <v>9041</v>
      </c>
      <c r="B1523" s="31" t="n">
        <v>77</v>
      </c>
      <c r="C1523" s="32" t="n">
        <f aca="false">SETTINGS!$C$3+$B1523-1</f>
        <v>46376</v>
      </c>
      <c r="D1523" s="41" t="s">
        <v>7168</v>
      </c>
      <c r="E1523" s="34" t="s">
        <v>9042</v>
      </c>
      <c r="F1523" s="34" t="s">
        <v>280</v>
      </c>
      <c r="G1523" s="34" t="s">
        <v>9043</v>
      </c>
      <c r="H1523" s="35" t="s">
        <v>9044</v>
      </c>
      <c r="I1523" s="36" t="s">
        <v>9045</v>
      </c>
      <c r="J1523" s="34" t="s">
        <v>9046</v>
      </c>
      <c r="K1523" s="34" t="s">
        <v>9047</v>
      </c>
      <c r="L1523" s="37"/>
      <c r="M1523" s="37"/>
      <c r="N1523" s="37"/>
      <c r="O1523" s="37"/>
      <c r="P1523" s="37"/>
      <c r="Q1523" s="37"/>
      <c r="R1523" s="31" t="n">
        <f aca="false">COUNT($M1523:$Q1523)</f>
        <v>0</v>
      </c>
      <c r="S1523" s="32" t="str">
        <f aca="false">IF($L1523="","",IF($R1523&gt;=5,"",MAX($L1523:$Q1523)+CHOOSE($R1523+1,SETTINGS!$C$9,SETTINGS!$C$10,SETTINGS!$C$11,SETTINGS!$C$12,SETTINGS!$C$13)))</f>
        <v/>
      </c>
      <c r="T1523" s="34" t="str">
        <f aca="true">IF($H1523="","(chưa có nội dung)",IF($L1523="",IF($C1523&lt;TODAY(),"⚠ TRỄ HỌC",IF($C1523=TODAY(),"★ HỌC HÔM NAY","• Chưa tới")),IF($R1523&gt;=5,"✔ MASTER",IF($S1523&lt;TODAY(),"⚠ TRỄ ÔN",IF($S1523=TODAY(),"◆ ÔN HÔM NAY","✔ Đúng tiến độ")))))</f>
        <v>• Chưa tới</v>
      </c>
      <c r="U1523" s="38" t="n">
        <f aca="false">IF($H1523="","",$R1523/5)</f>
        <v>0</v>
      </c>
    </row>
    <row r="1524" customFormat="false" ht="26.85" hidden="false" customHeight="false" outlineLevel="0" collapsed="false">
      <c r="A1524" s="31" t="s">
        <v>9048</v>
      </c>
      <c r="B1524" s="31" t="n">
        <v>77</v>
      </c>
      <c r="C1524" s="32" t="n">
        <f aca="false">SETTINGS!$C$3+$B1524-1</f>
        <v>46376</v>
      </c>
      <c r="D1524" s="41" t="s">
        <v>7168</v>
      </c>
      <c r="E1524" s="34" t="s">
        <v>9042</v>
      </c>
      <c r="F1524" s="34" t="s">
        <v>280</v>
      </c>
      <c r="G1524" s="34" t="s">
        <v>9049</v>
      </c>
      <c r="H1524" s="35" t="s">
        <v>9050</v>
      </c>
      <c r="I1524" s="36" t="s">
        <v>9051</v>
      </c>
      <c r="J1524" s="34" t="s">
        <v>9052</v>
      </c>
      <c r="K1524" s="34" t="s">
        <v>9053</v>
      </c>
      <c r="L1524" s="37"/>
      <c r="M1524" s="37"/>
      <c r="N1524" s="37"/>
      <c r="O1524" s="37"/>
      <c r="P1524" s="37"/>
      <c r="Q1524" s="37"/>
      <c r="R1524" s="31" t="n">
        <f aca="false">COUNT($M1524:$Q1524)</f>
        <v>0</v>
      </c>
      <c r="S1524" s="32" t="str">
        <f aca="false">IF($L1524="","",IF($R1524&gt;=5,"",MAX($L1524:$Q1524)+CHOOSE($R1524+1,SETTINGS!$C$9,SETTINGS!$C$10,SETTINGS!$C$11,SETTINGS!$C$12,SETTINGS!$C$13)))</f>
        <v/>
      </c>
      <c r="T1524" s="34" t="str">
        <f aca="true">IF($H1524="","(chưa có nội dung)",IF($L1524="",IF($C1524&lt;TODAY(),"⚠ TRỄ HỌC",IF($C1524=TODAY(),"★ HỌC HÔM NAY","• Chưa tới")),IF($R1524&gt;=5,"✔ MASTER",IF($S1524&lt;TODAY(),"⚠ TRỄ ÔN",IF($S1524=TODAY(),"◆ ÔN HÔM NAY","✔ Đúng tiến độ")))))</f>
        <v>• Chưa tới</v>
      </c>
      <c r="U1524" s="38" t="n">
        <f aca="false">IF($H1524="","",$R1524/5)</f>
        <v>0</v>
      </c>
    </row>
    <row r="1525" customFormat="false" ht="15" hidden="false" customHeight="false" outlineLevel="0" collapsed="false">
      <c r="A1525" s="31" t="s">
        <v>9054</v>
      </c>
      <c r="B1525" s="31" t="n">
        <v>77</v>
      </c>
      <c r="C1525" s="32" t="n">
        <f aca="false">SETTINGS!$C$3+$B1525-1</f>
        <v>46376</v>
      </c>
      <c r="D1525" s="41" t="s">
        <v>7168</v>
      </c>
      <c r="E1525" s="34" t="s">
        <v>9042</v>
      </c>
      <c r="F1525" s="34" t="s">
        <v>280</v>
      </c>
      <c r="G1525" s="34" t="s">
        <v>9055</v>
      </c>
      <c r="H1525" s="35" t="s">
        <v>9056</v>
      </c>
      <c r="I1525" s="36" t="s">
        <v>9057</v>
      </c>
      <c r="J1525" s="34" t="s">
        <v>9058</v>
      </c>
      <c r="K1525" s="34" t="s">
        <v>9059</v>
      </c>
      <c r="L1525" s="37"/>
      <c r="M1525" s="37"/>
      <c r="N1525" s="37"/>
      <c r="O1525" s="37"/>
      <c r="P1525" s="37"/>
      <c r="Q1525" s="37"/>
      <c r="R1525" s="31" t="n">
        <f aca="false">COUNT($M1525:$Q1525)</f>
        <v>0</v>
      </c>
      <c r="S1525" s="32" t="str">
        <f aca="false">IF($L1525="","",IF($R1525&gt;=5,"",MAX($L1525:$Q1525)+CHOOSE($R1525+1,SETTINGS!$C$9,SETTINGS!$C$10,SETTINGS!$C$11,SETTINGS!$C$12,SETTINGS!$C$13)))</f>
        <v/>
      </c>
      <c r="T1525" s="34" t="str">
        <f aca="true">IF($H1525="","(chưa có nội dung)",IF($L1525="",IF($C1525&lt;TODAY(),"⚠ TRỄ HỌC",IF($C1525=TODAY(),"★ HỌC HÔM NAY","• Chưa tới")),IF($R1525&gt;=5,"✔ MASTER",IF($S1525&lt;TODAY(),"⚠ TRỄ ÔN",IF($S1525=TODAY(),"◆ ÔN HÔM NAY","✔ Đúng tiến độ")))))</f>
        <v>• Chưa tới</v>
      </c>
      <c r="U1525" s="38" t="n">
        <f aca="false">IF($H1525="","",$R1525/5)</f>
        <v>0</v>
      </c>
    </row>
    <row r="1526" customFormat="false" ht="15" hidden="false" customHeight="false" outlineLevel="0" collapsed="false">
      <c r="A1526" s="31" t="s">
        <v>9060</v>
      </c>
      <c r="B1526" s="31" t="n">
        <v>77</v>
      </c>
      <c r="C1526" s="32" t="n">
        <f aca="false">SETTINGS!$C$3+$B1526-1</f>
        <v>46376</v>
      </c>
      <c r="D1526" s="41" t="s">
        <v>7168</v>
      </c>
      <c r="E1526" s="34" t="s">
        <v>9042</v>
      </c>
      <c r="F1526" s="34" t="s">
        <v>280</v>
      </c>
      <c r="G1526" s="34" t="s">
        <v>9061</v>
      </c>
      <c r="H1526" s="35" t="s">
        <v>9062</v>
      </c>
      <c r="I1526" s="36" t="s">
        <v>9063</v>
      </c>
      <c r="J1526" s="34" t="s">
        <v>9064</v>
      </c>
      <c r="K1526" s="34" t="s">
        <v>9065</v>
      </c>
      <c r="L1526" s="37"/>
      <c r="M1526" s="37"/>
      <c r="N1526" s="37"/>
      <c r="O1526" s="37"/>
      <c r="P1526" s="37"/>
      <c r="Q1526" s="37"/>
      <c r="R1526" s="31" t="n">
        <f aca="false">COUNT($M1526:$Q1526)</f>
        <v>0</v>
      </c>
      <c r="S1526" s="32" t="str">
        <f aca="false">IF($L1526="","",IF($R1526&gt;=5,"",MAX($L1526:$Q1526)+CHOOSE($R1526+1,SETTINGS!$C$9,SETTINGS!$C$10,SETTINGS!$C$11,SETTINGS!$C$12,SETTINGS!$C$13)))</f>
        <v/>
      </c>
      <c r="T1526" s="34" t="str">
        <f aca="true">IF($H1526="","(chưa có nội dung)",IF($L1526="",IF($C1526&lt;TODAY(),"⚠ TRỄ HỌC",IF($C1526=TODAY(),"★ HỌC HÔM NAY","• Chưa tới")),IF($R1526&gt;=5,"✔ MASTER",IF($S1526&lt;TODAY(),"⚠ TRỄ ÔN",IF($S1526=TODAY(),"◆ ÔN HÔM NAY","✔ Đúng tiến độ")))))</f>
        <v>• Chưa tới</v>
      </c>
      <c r="U1526" s="38" t="n">
        <f aca="false">IF($H1526="","",$R1526/5)</f>
        <v>0</v>
      </c>
    </row>
    <row r="1527" customFormat="false" ht="15" hidden="false" customHeight="false" outlineLevel="0" collapsed="false">
      <c r="A1527" s="31" t="s">
        <v>9066</v>
      </c>
      <c r="B1527" s="31" t="n">
        <v>77</v>
      </c>
      <c r="C1527" s="32" t="n">
        <f aca="false">SETTINGS!$C$3+$B1527-1</f>
        <v>46376</v>
      </c>
      <c r="D1527" s="41" t="s">
        <v>7168</v>
      </c>
      <c r="E1527" s="34" t="s">
        <v>9042</v>
      </c>
      <c r="F1527" s="34" t="s">
        <v>280</v>
      </c>
      <c r="G1527" s="34" t="s">
        <v>9067</v>
      </c>
      <c r="H1527" s="35" t="s">
        <v>9068</v>
      </c>
      <c r="I1527" s="36" t="s">
        <v>9069</v>
      </c>
      <c r="J1527" s="34" t="s">
        <v>9070</v>
      </c>
      <c r="K1527" s="34" t="s">
        <v>9071</v>
      </c>
      <c r="L1527" s="37"/>
      <c r="M1527" s="37"/>
      <c r="N1527" s="37"/>
      <c r="O1527" s="37"/>
      <c r="P1527" s="37"/>
      <c r="Q1527" s="37"/>
      <c r="R1527" s="31" t="n">
        <f aca="false">COUNT($M1527:$Q1527)</f>
        <v>0</v>
      </c>
      <c r="S1527" s="32" t="str">
        <f aca="false">IF($L1527="","",IF($R1527&gt;=5,"",MAX($L1527:$Q1527)+CHOOSE($R1527+1,SETTINGS!$C$9,SETTINGS!$C$10,SETTINGS!$C$11,SETTINGS!$C$12,SETTINGS!$C$13)))</f>
        <v/>
      </c>
      <c r="T1527" s="34" t="str">
        <f aca="true">IF($H1527="","(chưa có nội dung)",IF($L1527="",IF($C1527&lt;TODAY(),"⚠ TRỄ HỌC",IF($C1527=TODAY(),"★ HỌC HÔM NAY","• Chưa tới")),IF($R1527&gt;=5,"✔ MASTER",IF($S1527&lt;TODAY(),"⚠ TRỄ ÔN",IF($S1527=TODAY(),"◆ ÔN HÔM NAY","✔ Đúng tiến độ")))))</f>
        <v>• Chưa tới</v>
      </c>
      <c r="U1527" s="38" t="n">
        <f aca="false">IF($H1527="","",$R1527/5)</f>
        <v>0</v>
      </c>
    </row>
    <row r="1528" customFormat="false" ht="15" hidden="false" customHeight="false" outlineLevel="0" collapsed="false">
      <c r="A1528" s="31" t="s">
        <v>9072</v>
      </c>
      <c r="B1528" s="31" t="n">
        <v>77</v>
      </c>
      <c r="C1528" s="32" t="n">
        <f aca="false">SETTINGS!$C$3+$B1528-1</f>
        <v>46376</v>
      </c>
      <c r="D1528" s="41" t="s">
        <v>7168</v>
      </c>
      <c r="E1528" s="34" t="s">
        <v>9042</v>
      </c>
      <c r="F1528" s="34" t="s">
        <v>280</v>
      </c>
      <c r="G1528" s="34" t="s">
        <v>9073</v>
      </c>
      <c r="H1528" s="35" t="s">
        <v>9074</v>
      </c>
      <c r="I1528" s="36" t="s">
        <v>9075</v>
      </c>
      <c r="J1528" s="34" t="s">
        <v>9076</v>
      </c>
      <c r="K1528" s="34" t="s">
        <v>9077</v>
      </c>
      <c r="L1528" s="37"/>
      <c r="M1528" s="37"/>
      <c r="N1528" s="37"/>
      <c r="O1528" s="37"/>
      <c r="P1528" s="37"/>
      <c r="Q1528" s="37"/>
      <c r="R1528" s="31" t="n">
        <f aca="false">COUNT($M1528:$Q1528)</f>
        <v>0</v>
      </c>
      <c r="S1528" s="32" t="str">
        <f aca="false">IF($L1528="","",IF($R1528&gt;=5,"",MAX($L1528:$Q1528)+CHOOSE($R1528+1,SETTINGS!$C$9,SETTINGS!$C$10,SETTINGS!$C$11,SETTINGS!$C$12,SETTINGS!$C$13)))</f>
        <v/>
      </c>
      <c r="T1528" s="34" t="str">
        <f aca="true">IF($H1528="","(chưa có nội dung)",IF($L1528="",IF($C1528&lt;TODAY(),"⚠ TRỄ HỌC",IF($C1528=TODAY(),"★ HỌC HÔM NAY","• Chưa tới")),IF($R1528&gt;=5,"✔ MASTER",IF($S1528&lt;TODAY(),"⚠ TRỄ ÔN",IF($S1528=TODAY(),"◆ ÔN HÔM NAY","✔ Đúng tiến độ")))))</f>
        <v>• Chưa tới</v>
      </c>
      <c r="U1528" s="38" t="n">
        <f aca="false">IF($H1528="","",$R1528/5)</f>
        <v>0</v>
      </c>
    </row>
    <row r="1529" customFormat="false" ht="15" hidden="false" customHeight="false" outlineLevel="0" collapsed="false">
      <c r="A1529" s="31" t="s">
        <v>9078</v>
      </c>
      <c r="B1529" s="31" t="n">
        <v>77</v>
      </c>
      <c r="C1529" s="32" t="n">
        <f aca="false">SETTINGS!$C$3+$B1529-1</f>
        <v>46376</v>
      </c>
      <c r="D1529" s="41" t="s">
        <v>7168</v>
      </c>
      <c r="E1529" s="34" t="s">
        <v>9042</v>
      </c>
      <c r="F1529" s="34" t="s">
        <v>280</v>
      </c>
      <c r="G1529" s="34" t="s">
        <v>9079</v>
      </c>
      <c r="H1529" s="35" t="s">
        <v>9080</v>
      </c>
      <c r="I1529" s="36" t="s">
        <v>9081</v>
      </c>
      <c r="J1529" s="34" t="s">
        <v>9082</v>
      </c>
      <c r="K1529" s="34" t="s">
        <v>9083</v>
      </c>
      <c r="L1529" s="37"/>
      <c r="M1529" s="37"/>
      <c r="N1529" s="37"/>
      <c r="O1529" s="37"/>
      <c r="P1529" s="37"/>
      <c r="Q1529" s="37"/>
      <c r="R1529" s="31" t="n">
        <f aca="false">COUNT($M1529:$Q1529)</f>
        <v>0</v>
      </c>
      <c r="S1529" s="32" t="str">
        <f aca="false">IF($L1529="","",IF($R1529&gt;=5,"",MAX($L1529:$Q1529)+CHOOSE($R1529+1,SETTINGS!$C$9,SETTINGS!$C$10,SETTINGS!$C$11,SETTINGS!$C$12,SETTINGS!$C$13)))</f>
        <v/>
      </c>
      <c r="T1529" s="34" t="str">
        <f aca="true">IF($H1529="","(chưa có nội dung)",IF($L1529="",IF($C1529&lt;TODAY(),"⚠ TRỄ HỌC",IF($C1529=TODAY(),"★ HỌC HÔM NAY","• Chưa tới")),IF($R1529&gt;=5,"✔ MASTER",IF($S1529&lt;TODAY(),"⚠ TRỄ ÔN",IF($S1529=TODAY(),"◆ ÔN HÔM NAY","✔ Đúng tiến độ")))))</f>
        <v>• Chưa tới</v>
      </c>
      <c r="U1529" s="38" t="n">
        <f aca="false">IF($H1529="","",$R1529/5)</f>
        <v>0</v>
      </c>
    </row>
    <row r="1530" customFormat="false" ht="26.85" hidden="false" customHeight="false" outlineLevel="0" collapsed="false">
      <c r="A1530" s="31" t="s">
        <v>9084</v>
      </c>
      <c r="B1530" s="31" t="n">
        <v>77</v>
      </c>
      <c r="C1530" s="32" t="n">
        <f aca="false">SETTINGS!$C$3+$B1530-1</f>
        <v>46376</v>
      </c>
      <c r="D1530" s="41" t="s">
        <v>7168</v>
      </c>
      <c r="E1530" s="34" t="s">
        <v>9042</v>
      </c>
      <c r="F1530" s="34" t="s">
        <v>280</v>
      </c>
      <c r="G1530" s="34" t="s">
        <v>9085</v>
      </c>
      <c r="H1530" s="35" t="s">
        <v>9086</v>
      </c>
      <c r="I1530" s="36" t="s">
        <v>9087</v>
      </c>
      <c r="J1530" s="34" t="s">
        <v>9088</v>
      </c>
      <c r="K1530" s="34" t="s">
        <v>9089</v>
      </c>
      <c r="L1530" s="37"/>
      <c r="M1530" s="37"/>
      <c r="N1530" s="37"/>
      <c r="O1530" s="37"/>
      <c r="P1530" s="37"/>
      <c r="Q1530" s="37"/>
      <c r="R1530" s="31" t="n">
        <f aca="false">COUNT($M1530:$Q1530)</f>
        <v>0</v>
      </c>
      <c r="S1530" s="32" t="str">
        <f aca="false">IF($L1530="","",IF($R1530&gt;=5,"",MAX($L1530:$Q1530)+CHOOSE($R1530+1,SETTINGS!$C$9,SETTINGS!$C$10,SETTINGS!$C$11,SETTINGS!$C$12,SETTINGS!$C$13)))</f>
        <v/>
      </c>
      <c r="T1530" s="34" t="str">
        <f aca="true">IF($H1530="","(chưa có nội dung)",IF($L1530="",IF($C1530&lt;TODAY(),"⚠ TRỄ HỌC",IF($C1530=TODAY(),"★ HỌC HÔM NAY","• Chưa tới")),IF($R1530&gt;=5,"✔ MASTER",IF($S1530&lt;TODAY(),"⚠ TRỄ ÔN",IF($S1530=TODAY(),"◆ ÔN HÔM NAY","✔ Đúng tiến độ")))))</f>
        <v>• Chưa tới</v>
      </c>
      <c r="U1530" s="38" t="n">
        <f aca="false">IF($H1530="","",$R1530/5)</f>
        <v>0</v>
      </c>
    </row>
    <row r="1531" customFormat="false" ht="15" hidden="false" customHeight="false" outlineLevel="0" collapsed="false">
      <c r="A1531" s="31" t="s">
        <v>9090</v>
      </c>
      <c r="B1531" s="31" t="n">
        <v>77</v>
      </c>
      <c r="C1531" s="32" t="n">
        <f aca="false">SETTINGS!$C$3+$B1531-1</f>
        <v>46376</v>
      </c>
      <c r="D1531" s="41" t="s">
        <v>7168</v>
      </c>
      <c r="E1531" s="34" t="s">
        <v>9042</v>
      </c>
      <c r="F1531" s="34" t="s">
        <v>280</v>
      </c>
      <c r="G1531" s="34" t="s">
        <v>9091</v>
      </c>
      <c r="H1531" s="35" t="s">
        <v>9092</v>
      </c>
      <c r="I1531" s="36" t="s">
        <v>9093</v>
      </c>
      <c r="J1531" s="34" t="s">
        <v>9094</v>
      </c>
      <c r="K1531" s="34" t="s">
        <v>9095</v>
      </c>
      <c r="L1531" s="37"/>
      <c r="M1531" s="37"/>
      <c r="N1531" s="37"/>
      <c r="O1531" s="37"/>
      <c r="P1531" s="37"/>
      <c r="Q1531" s="37"/>
      <c r="R1531" s="31" t="n">
        <f aca="false">COUNT($M1531:$Q1531)</f>
        <v>0</v>
      </c>
      <c r="S1531" s="32" t="str">
        <f aca="false">IF($L1531="","",IF($R1531&gt;=5,"",MAX($L1531:$Q1531)+CHOOSE($R1531+1,SETTINGS!$C$9,SETTINGS!$C$10,SETTINGS!$C$11,SETTINGS!$C$12,SETTINGS!$C$13)))</f>
        <v/>
      </c>
      <c r="T1531" s="34" t="str">
        <f aca="true">IF($H1531="","(chưa có nội dung)",IF($L1531="",IF($C1531&lt;TODAY(),"⚠ TRỄ HỌC",IF($C1531=TODAY(),"★ HỌC HÔM NAY","• Chưa tới")),IF($R1531&gt;=5,"✔ MASTER",IF($S1531&lt;TODAY(),"⚠ TRỄ ÔN",IF($S1531=TODAY(),"◆ ÔN HÔM NAY","✔ Đúng tiến độ")))))</f>
        <v>• Chưa tới</v>
      </c>
      <c r="U1531" s="38" t="n">
        <f aca="false">IF($H1531="","",$R1531/5)</f>
        <v>0</v>
      </c>
    </row>
    <row r="1532" customFormat="false" ht="26.85" hidden="false" customHeight="false" outlineLevel="0" collapsed="false">
      <c r="A1532" s="31" t="s">
        <v>9096</v>
      </c>
      <c r="B1532" s="31" t="n">
        <v>77</v>
      </c>
      <c r="C1532" s="32" t="n">
        <f aca="false">SETTINGS!$C$3+$B1532-1</f>
        <v>46376</v>
      </c>
      <c r="D1532" s="41" t="s">
        <v>7168</v>
      </c>
      <c r="E1532" s="34" t="s">
        <v>9042</v>
      </c>
      <c r="F1532" s="34" t="s">
        <v>5676</v>
      </c>
      <c r="G1532" s="34" t="s">
        <v>9097</v>
      </c>
      <c r="H1532" s="35" t="s">
        <v>9098</v>
      </c>
      <c r="I1532" s="36" t="s">
        <v>9099</v>
      </c>
      <c r="J1532" s="34" t="s">
        <v>9100</v>
      </c>
      <c r="K1532" s="34" t="s">
        <v>9101</v>
      </c>
      <c r="L1532" s="37"/>
      <c r="M1532" s="37"/>
      <c r="N1532" s="37"/>
      <c r="O1532" s="37"/>
      <c r="P1532" s="37"/>
      <c r="Q1532" s="37"/>
      <c r="R1532" s="31" t="n">
        <f aca="false">COUNT($M1532:$Q1532)</f>
        <v>0</v>
      </c>
      <c r="S1532" s="32" t="str">
        <f aca="false">IF($L1532="","",IF($R1532&gt;=5,"",MAX($L1532:$Q1532)+CHOOSE($R1532+1,SETTINGS!$C$9,SETTINGS!$C$10,SETTINGS!$C$11,SETTINGS!$C$12,SETTINGS!$C$13)))</f>
        <v/>
      </c>
      <c r="T1532" s="34" t="str">
        <f aca="true">IF($H1532="","(chưa có nội dung)",IF($L1532="",IF($C1532&lt;TODAY(),"⚠ TRỄ HỌC",IF($C1532=TODAY(),"★ HỌC HÔM NAY","• Chưa tới")),IF($R1532&gt;=5,"✔ MASTER",IF($S1532&lt;TODAY(),"⚠ TRỄ ÔN",IF($S1532=TODAY(),"◆ ÔN HÔM NAY","✔ Đúng tiến độ")))))</f>
        <v>• Chưa tới</v>
      </c>
      <c r="U1532" s="38" t="n">
        <f aca="false">IF($H1532="","",$R1532/5)</f>
        <v>0</v>
      </c>
    </row>
    <row r="1533" customFormat="false" ht="26.85" hidden="false" customHeight="false" outlineLevel="0" collapsed="false">
      <c r="A1533" s="31" t="s">
        <v>9102</v>
      </c>
      <c r="B1533" s="31" t="n">
        <v>77</v>
      </c>
      <c r="C1533" s="32" t="n">
        <f aca="false">SETTINGS!$C$3+$B1533-1</f>
        <v>46376</v>
      </c>
      <c r="D1533" s="41" t="s">
        <v>7168</v>
      </c>
      <c r="E1533" s="34" t="s">
        <v>9042</v>
      </c>
      <c r="F1533" s="34" t="s">
        <v>4047</v>
      </c>
      <c r="G1533" s="34" t="s">
        <v>9103</v>
      </c>
      <c r="H1533" s="35" t="s">
        <v>9104</v>
      </c>
      <c r="I1533" s="36" t="s">
        <v>9105</v>
      </c>
      <c r="J1533" s="34" t="s">
        <v>9106</v>
      </c>
      <c r="K1533" s="34" t="s">
        <v>9107</v>
      </c>
      <c r="L1533" s="37"/>
      <c r="M1533" s="37"/>
      <c r="N1533" s="37"/>
      <c r="O1533" s="37"/>
      <c r="P1533" s="37"/>
      <c r="Q1533" s="37"/>
      <c r="R1533" s="31" t="n">
        <f aca="false">COUNT($M1533:$Q1533)</f>
        <v>0</v>
      </c>
      <c r="S1533" s="32" t="str">
        <f aca="false">IF($L1533="","",IF($R1533&gt;=5,"",MAX($L1533:$Q1533)+CHOOSE($R1533+1,SETTINGS!$C$9,SETTINGS!$C$10,SETTINGS!$C$11,SETTINGS!$C$12,SETTINGS!$C$13)))</f>
        <v/>
      </c>
      <c r="T1533" s="34" t="str">
        <f aca="true">IF($H1533="","(chưa có nội dung)",IF($L1533="",IF($C1533&lt;TODAY(),"⚠ TRỄ HỌC",IF($C1533=TODAY(),"★ HỌC HÔM NAY","• Chưa tới")),IF($R1533&gt;=5,"✔ MASTER",IF($S1533&lt;TODAY(),"⚠ TRỄ ÔN",IF($S1533=TODAY(),"◆ ÔN HÔM NAY","✔ Đúng tiến độ")))))</f>
        <v>• Chưa tới</v>
      </c>
      <c r="U1533" s="38" t="n">
        <f aca="false">IF($H1533="","",$R1533/5)</f>
        <v>0</v>
      </c>
    </row>
    <row r="1534" customFormat="false" ht="15" hidden="false" customHeight="false" outlineLevel="0" collapsed="false">
      <c r="A1534" s="31" t="s">
        <v>9108</v>
      </c>
      <c r="B1534" s="31" t="n">
        <v>77</v>
      </c>
      <c r="C1534" s="32" t="n">
        <f aca="false">SETTINGS!$C$3+$B1534-1</f>
        <v>46376</v>
      </c>
      <c r="D1534" s="41" t="s">
        <v>7168</v>
      </c>
      <c r="E1534" s="34" t="s">
        <v>9042</v>
      </c>
      <c r="F1534" s="34" t="s">
        <v>3656</v>
      </c>
      <c r="G1534" s="34" t="s">
        <v>9109</v>
      </c>
      <c r="H1534" s="35" t="s">
        <v>9110</v>
      </c>
      <c r="I1534" s="36" t="s">
        <v>9111</v>
      </c>
      <c r="J1534" s="34" t="s">
        <v>9112</v>
      </c>
      <c r="K1534" s="34" t="s">
        <v>9113</v>
      </c>
      <c r="L1534" s="37"/>
      <c r="M1534" s="37"/>
      <c r="N1534" s="37"/>
      <c r="O1534" s="37"/>
      <c r="P1534" s="37"/>
      <c r="Q1534" s="37"/>
      <c r="R1534" s="31" t="n">
        <f aca="false">COUNT($M1534:$Q1534)</f>
        <v>0</v>
      </c>
      <c r="S1534" s="32" t="str">
        <f aca="false">IF($L1534="","",IF($R1534&gt;=5,"",MAX($L1534:$Q1534)+CHOOSE($R1534+1,SETTINGS!$C$9,SETTINGS!$C$10,SETTINGS!$C$11,SETTINGS!$C$12,SETTINGS!$C$13)))</f>
        <v/>
      </c>
      <c r="T1534" s="34" t="str">
        <f aca="true">IF($H1534="","(chưa có nội dung)",IF($L1534="",IF($C1534&lt;TODAY(),"⚠ TRỄ HỌC",IF($C1534=TODAY(),"★ HỌC HÔM NAY","• Chưa tới")),IF($R1534&gt;=5,"✔ MASTER",IF($S1534&lt;TODAY(),"⚠ TRỄ ÔN",IF($S1534=TODAY(),"◆ ÔN HÔM NAY","✔ Đúng tiến độ")))))</f>
        <v>• Chưa tới</v>
      </c>
      <c r="U1534" s="38" t="n">
        <f aca="false">IF($H1534="","",$R1534/5)</f>
        <v>0</v>
      </c>
    </row>
    <row r="1535" customFormat="false" ht="26.85" hidden="false" customHeight="false" outlineLevel="0" collapsed="false">
      <c r="A1535" s="31" t="s">
        <v>9114</v>
      </c>
      <c r="B1535" s="31" t="n">
        <v>77</v>
      </c>
      <c r="C1535" s="32" t="n">
        <f aca="false">SETTINGS!$C$3+$B1535-1</f>
        <v>46376</v>
      </c>
      <c r="D1535" s="41" t="s">
        <v>7168</v>
      </c>
      <c r="E1535" s="34" t="s">
        <v>9042</v>
      </c>
      <c r="F1535" s="34" t="s">
        <v>3656</v>
      </c>
      <c r="G1535" s="34" t="s">
        <v>9115</v>
      </c>
      <c r="H1535" s="35" t="s">
        <v>9116</v>
      </c>
      <c r="I1535" s="36" t="s">
        <v>9117</v>
      </c>
      <c r="J1535" s="34" t="s">
        <v>9118</v>
      </c>
      <c r="K1535" s="34" t="s">
        <v>9119</v>
      </c>
      <c r="L1535" s="37"/>
      <c r="M1535" s="37"/>
      <c r="N1535" s="37"/>
      <c r="O1535" s="37"/>
      <c r="P1535" s="37"/>
      <c r="Q1535" s="37"/>
      <c r="R1535" s="31" t="n">
        <f aca="false">COUNT($M1535:$Q1535)</f>
        <v>0</v>
      </c>
      <c r="S1535" s="32" t="str">
        <f aca="false">IF($L1535="","",IF($R1535&gt;=5,"",MAX($L1535:$Q1535)+CHOOSE($R1535+1,SETTINGS!$C$9,SETTINGS!$C$10,SETTINGS!$C$11,SETTINGS!$C$12,SETTINGS!$C$13)))</f>
        <v/>
      </c>
      <c r="T1535" s="34" t="str">
        <f aca="true">IF($H1535="","(chưa có nội dung)",IF($L1535="",IF($C1535&lt;TODAY(),"⚠ TRỄ HỌC",IF($C1535=TODAY(),"★ HỌC HÔM NAY","• Chưa tới")),IF($R1535&gt;=5,"✔ MASTER",IF($S1535&lt;TODAY(),"⚠ TRỄ ÔN",IF($S1535=TODAY(),"◆ ÔN HÔM NAY","✔ Đúng tiến độ")))))</f>
        <v>• Chưa tới</v>
      </c>
      <c r="U1535" s="38" t="n">
        <f aca="false">IF($H1535="","",$R1535/5)</f>
        <v>0</v>
      </c>
    </row>
    <row r="1536" customFormat="false" ht="15" hidden="false" customHeight="false" outlineLevel="0" collapsed="false">
      <c r="A1536" s="31" t="s">
        <v>9120</v>
      </c>
      <c r="B1536" s="31" t="n">
        <v>77</v>
      </c>
      <c r="C1536" s="32" t="n">
        <f aca="false">SETTINGS!$C$3+$B1536-1</f>
        <v>46376</v>
      </c>
      <c r="D1536" s="41" t="s">
        <v>7168</v>
      </c>
      <c r="E1536" s="34" t="s">
        <v>9042</v>
      </c>
      <c r="F1536" s="34" t="s">
        <v>280</v>
      </c>
      <c r="G1536" s="34" t="s">
        <v>9121</v>
      </c>
      <c r="H1536" s="35" t="s">
        <v>9122</v>
      </c>
      <c r="I1536" s="36" t="s">
        <v>9123</v>
      </c>
      <c r="J1536" s="34" t="s">
        <v>9124</v>
      </c>
      <c r="K1536" s="34" t="s">
        <v>9125</v>
      </c>
      <c r="L1536" s="37"/>
      <c r="M1536" s="37"/>
      <c r="N1536" s="37"/>
      <c r="O1536" s="37"/>
      <c r="P1536" s="37"/>
      <c r="Q1536" s="37"/>
      <c r="R1536" s="31" t="n">
        <f aca="false">COUNT($M1536:$Q1536)</f>
        <v>0</v>
      </c>
      <c r="S1536" s="32" t="str">
        <f aca="false">IF($L1536="","",IF($R1536&gt;=5,"",MAX($L1536:$Q1536)+CHOOSE($R1536+1,SETTINGS!$C$9,SETTINGS!$C$10,SETTINGS!$C$11,SETTINGS!$C$12,SETTINGS!$C$13)))</f>
        <v/>
      </c>
      <c r="T1536" s="34" t="str">
        <f aca="true">IF($H1536="","(chưa có nội dung)",IF($L1536="",IF($C1536&lt;TODAY(),"⚠ TRỄ HỌC",IF($C1536=TODAY(),"★ HỌC HÔM NAY","• Chưa tới")),IF($R1536&gt;=5,"✔ MASTER",IF($S1536&lt;TODAY(),"⚠ TRỄ ÔN",IF($S1536=TODAY(),"◆ ÔN HÔM NAY","✔ Đúng tiến độ")))))</f>
        <v>• Chưa tới</v>
      </c>
      <c r="U1536" s="38" t="n">
        <f aca="false">IF($H1536="","",$R1536/5)</f>
        <v>0</v>
      </c>
    </row>
    <row r="1537" customFormat="false" ht="15" hidden="false" customHeight="false" outlineLevel="0" collapsed="false">
      <c r="A1537" s="31" t="s">
        <v>9126</v>
      </c>
      <c r="B1537" s="31" t="n">
        <v>77</v>
      </c>
      <c r="C1537" s="32" t="n">
        <f aca="false">SETTINGS!$C$3+$B1537-1</f>
        <v>46376</v>
      </c>
      <c r="D1537" s="41" t="s">
        <v>7168</v>
      </c>
      <c r="E1537" s="34" t="s">
        <v>9042</v>
      </c>
      <c r="F1537" s="34" t="s">
        <v>280</v>
      </c>
      <c r="G1537" s="34" t="s">
        <v>9127</v>
      </c>
      <c r="H1537" s="35" t="s">
        <v>9128</v>
      </c>
      <c r="I1537" s="36" t="s">
        <v>9129</v>
      </c>
      <c r="J1537" s="34" t="s">
        <v>9130</v>
      </c>
      <c r="K1537" s="34" t="s">
        <v>9131</v>
      </c>
      <c r="L1537" s="37"/>
      <c r="M1537" s="37"/>
      <c r="N1537" s="37"/>
      <c r="O1537" s="37"/>
      <c r="P1537" s="37"/>
      <c r="Q1537" s="37"/>
      <c r="R1537" s="31" t="n">
        <f aca="false">COUNT($M1537:$Q1537)</f>
        <v>0</v>
      </c>
      <c r="S1537" s="32" t="str">
        <f aca="false">IF($L1537="","",IF($R1537&gt;=5,"",MAX($L1537:$Q1537)+CHOOSE($R1537+1,SETTINGS!$C$9,SETTINGS!$C$10,SETTINGS!$C$11,SETTINGS!$C$12,SETTINGS!$C$13)))</f>
        <v/>
      </c>
      <c r="T1537" s="34" t="str">
        <f aca="true">IF($H1537="","(chưa có nội dung)",IF($L1537="",IF($C1537&lt;TODAY(),"⚠ TRỄ HỌC",IF($C1537=TODAY(),"★ HỌC HÔM NAY","• Chưa tới")),IF($R1537&gt;=5,"✔ MASTER",IF($S1537&lt;TODAY(),"⚠ TRỄ ÔN",IF($S1537=TODAY(),"◆ ÔN HÔM NAY","✔ Đúng tiến độ")))))</f>
        <v>• Chưa tới</v>
      </c>
      <c r="U1537" s="38" t="n">
        <f aca="false">IF($H1537="","",$R1537/5)</f>
        <v>0</v>
      </c>
    </row>
    <row r="1538" customFormat="false" ht="15" hidden="false" customHeight="false" outlineLevel="0" collapsed="false">
      <c r="A1538" s="31" t="s">
        <v>9132</v>
      </c>
      <c r="B1538" s="31" t="n">
        <v>77</v>
      </c>
      <c r="C1538" s="32" t="n">
        <f aca="false">SETTINGS!$C$3+$B1538-1</f>
        <v>46376</v>
      </c>
      <c r="D1538" s="41" t="s">
        <v>7168</v>
      </c>
      <c r="E1538" s="34" t="s">
        <v>9042</v>
      </c>
      <c r="F1538" s="34" t="s">
        <v>183</v>
      </c>
      <c r="G1538" s="34" t="s">
        <v>9133</v>
      </c>
      <c r="H1538" s="35" t="s">
        <v>9134</v>
      </c>
      <c r="I1538" s="36" t="s">
        <v>9135</v>
      </c>
      <c r="J1538" s="34" t="s">
        <v>9136</v>
      </c>
      <c r="K1538" s="34" t="s">
        <v>9137</v>
      </c>
      <c r="L1538" s="37"/>
      <c r="M1538" s="37"/>
      <c r="N1538" s="37"/>
      <c r="O1538" s="37"/>
      <c r="P1538" s="37"/>
      <c r="Q1538" s="37"/>
      <c r="R1538" s="31" t="n">
        <f aca="false">COUNT($M1538:$Q1538)</f>
        <v>0</v>
      </c>
      <c r="S1538" s="32" t="str">
        <f aca="false">IF($L1538="","",IF($R1538&gt;=5,"",MAX($L1538:$Q1538)+CHOOSE($R1538+1,SETTINGS!$C$9,SETTINGS!$C$10,SETTINGS!$C$11,SETTINGS!$C$12,SETTINGS!$C$13)))</f>
        <v/>
      </c>
      <c r="T1538" s="34" t="str">
        <f aca="true">IF($H1538="","(chưa có nội dung)",IF($L1538="",IF($C1538&lt;TODAY(),"⚠ TRỄ HỌC",IF($C1538=TODAY(),"★ HỌC HÔM NAY","• Chưa tới")),IF($R1538&gt;=5,"✔ MASTER",IF($S1538&lt;TODAY(),"⚠ TRỄ ÔN",IF($S1538=TODAY(),"◆ ÔN HÔM NAY","✔ Đúng tiến độ")))))</f>
        <v>• Chưa tới</v>
      </c>
      <c r="U1538" s="38" t="n">
        <f aca="false">IF($H1538="","",$R1538/5)</f>
        <v>0</v>
      </c>
    </row>
    <row r="1539" customFormat="false" ht="26.85" hidden="false" customHeight="false" outlineLevel="0" collapsed="false">
      <c r="A1539" s="31" t="s">
        <v>9138</v>
      </c>
      <c r="B1539" s="31" t="n">
        <v>77</v>
      </c>
      <c r="C1539" s="32" t="n">
        <f aca="false">SETTINGS!$C$3+$B1539-1</f>
        <v>46376</v>
      </c>
      <c r="D1539" s="41" t="s">
        <v>7168</v>
      </c>
      <c r="E1539" s="34" t="s">
        <v>9042</v>
      </c>
      <c r="F1539" s="34" t="s">
        <v>3656</v>
      </c>
      <c r="G1539" s="34" t="s">
        <v>9139</v>
      </c>
      <c r="H1539" s="35" t="s">
        <v>9140</v>
      </c>
      <c r="I1539" s="36" t="s">
        <v>9141</v>
      </c>
      <c r="J1539" s="34" t="s">
        <v>9142</v>
      </c>
      <c r="K1539" s="34" t="s">
        <v>9143</v>
      </c>
      <c r="L1539" s="37"/>
      <c r="M1539" s="37"/>
      <c r="N1539" s="37"/>
      <c r="O1539" s="37"/>
      <c r="P1539" s="37"/>
      <c r="Q1539" s="37"/>
      <c r="R1539" s="31" t="n">
        <f aca="false">COUNT($M1539:$Q1539)</f>
        <v>0</v>
      </c>
      <c r="S1539" s="32" t="str">
        <f aca="false">IF($L1539="","",IF($R1539&gt;=5,"",MAX($L1539:$Q1539)+CHOOSE($R1539+1,SETTINGS!$C$9,SETTINGS!$C$10,SETTINGS!$C$11,SETTINGS!$C$12,SETTINGS!$C$13)))</f>
        <v/>
      </c>
      <c r="T1539" s="34" t="str">
        <f aca="true">IF($H1539="","(chưa có nội dung)",IF($L1539="",IF($C1539&lt;TODAY(),"⚠ TRỄ HỌC",IF($C1539=TODAY(),"★ HỌC HÔM NAY","• Chưa tới")),IF($R1539&gt;=5,"✔ MASTER",IF($S1539&lt;TODAY(),"⚠ TRỄ ÔN",IF($S1539=TODAY(),"◆ ÔN HÔM NAY","✔ Đúng tiến độ")))))</f>
        <v>• Chưa tới</v>
      </c>
      <c r="U1539" s="38" t="n">
        <f aca="false">IF($H1539="","",$R1539/5)</f>
        <v>0</v>
      </c>
    </row>
    <row r="1540" customFormat="false" ht="26.85" hidden="false" customHeight="false" outlineLevel="0" collapsed="false">
      <c r="A1540" s="31" t="s">
        <v>9144</v>
      </c>
      <c r="B1540" s="31" t="n">
        <v>77</v>
      </c>
      <c r="C1540" s="32" t="n">
        <f aca="false">SETTINGS!$C$3+$B1540-1</f>
        <v>46376</v>
      </c>
      <c r="D1540" s="41" t="s">
        <v>7168</v>
      </c>
      <c r="E1540" s="34" t="s">
        <v>9042</v>
      </c>
      <c r="F1540" s="34" t="s">
        <v>280</v>
      </c>
      <c r="G1540" s="34" t="s">
        <v>9145</v>
      </c>
      <c r="H1540" s="35" t="s">
        <v>9146</v>
      </c>
      <c r="I1540" s="36" t="s">
        <v>9147</v>
      </c>
      <c r="J1540" s="34" t="s">
        <v>9148</v>
      </c>
      <c r="K1540" s="34" t="s">
        <v>9145</v>
      </c>
      <c r="L1540" s="37"/>
      <c r="M1540" s="37"/>
      <c r="N1540" s="37"/>
      <c r="O1540" s="37"/>
      <c r="P1540" s="37"/>
      <c r="Q1540" s="37"/>
      <c r="R1540" s="31" t="n">
        <f aca="false">COUNT($M1540:$Q1540)</f>
        <v>0</v>
      </c>
      <c r="S1540" s="32" t="str">
        <f aca="false">IF($L1540="","",IF($R1540&gt;=5,"",MAX($L1540:$Q1540)+CHOOSE($R1540+1,SETTINGS!$C$9,SETTINGS!$C$10,SETTINGS!$C$11,SETTINGS!$C$12,SETTINGS!$C$13)))</f>
        <v/>
      </c>
      <c r="T1540" s="34" t="str">
        <f aca="true">IF($H1540="","(chưa có nội dung)",IF($L1540="",IF($C1540&lt;TODAY(),"⚠ TRỄ HỌC",IF($C1540=TODAY(),"★ HỌC HÔM NAY","• Chưa tới")),IF($R1540&gt;=5,"✔ MASTER",IF($S1540&lt;TODAY(),"⚠ TRỄ ÔN",IF($S1540=TODAY(),"◆ ÔN HÔM NAY","✔ Đúng tiến độ")))))</f>
        <v>• Chưa tới</v>
      </c>
      <c r="U1540" s="38" t="n">
        <f aca="false">IF($H1540="","",$R1540/5)</f>
        <v>0</v>
      </c>
    </row>
    <row r="1541" customFormat="false" ht="26.85" hidden="false" customHeight="false" outlineLevel="0" collapsed="false">
      <c r="A1541" s="31" t="s">
        <v>9149</v>
      </c>
      <c r="B1541" s="31" t="n">
        <v>77</v>
      </c>
      <c r="C1541" s="32" t="n">
        <f aca="false">SETTINGS!$C$3+$B1541-1</f>
        <v>46376</v>
      </c>
      <c r="D1541" s="41" t="s">
        <v>7168</v>
      </c>
      <c r="E1541" s="34" t="s">
        <v>9042</v>
      </c>
      <c r="F1541" s="34" t="s">
        <v>183</v>
      </c>
      <c r="G1541" s="34" t="s">
        <v>9150</v>
      </c>
      <c r="H1541" s="35" t="s">
        <v>9151</v>
      </c>
      <c r="I1541" s="36" t="s">
        <v>9152</v>
      </c>
      <c r="J1541" s="34" t="s">
        <v>9153</v>
      </c>
      <c r="K1541" s="34" t="s">
        <v>9154</v>
      </c>
      <c r="L1541" s="37"/>
      <c r="M1541" s="37"/>
      <c r="N1541" s="37"/>
      <c r="O1541" s="37"/>
      <c r="P1541" s="37"/>
      <c r="Q1541" s="37"/>
      <c r="R1541" s="31" t="n">
        <f aca="false">COUNT($M1541:$Q1541)</f>
        <v>0</v>
      </c>
      <c r="S1541" s="32" t="str">
        <f aca="false">IF($L1541="","",IF($R1541&gt;=5,"",MAX($L1541:$Q1541)+CHOOSE($R1541+1,SETTINGS!$C$9,SETTINGS!$C$10,SETTINGS!$C$11,SETTINGS!$C$12,SETTINGS!$C$13)))</f>
        <v/>
      </c>
      <c r="T1541" s="34" t="str">
        <f aca="true">IF($H1541="","(chưa có nội dung)",IF($L1541="",IF($C1541&lt;TODAY(),"⚠ TRỄ HỌC",IF($C1541=TODAY(),"★ HỌC HÔM NAY","• Chưa tới")),IF($R1541&gt;=5,"✔ MASTER",IF($S1541&lt;TODAY(),"⚠ TRỄ ÔN",IF($S1541=TODAY(),"◆ ÔN HÔM NAY","✔ Đúng tiến độ")))))</f>
        <v>• Chưa tới</v>
      </c>
      <c r="U1541" s="38" t="n">
        <f aca="false">IF($H1541="","",$R1541/5)</f>
        <v>0</v>
      </c>
    </row>
    <row r="1542" customFormat="false" ht="26.85" hidden="false" customHeight="false" outlineLevel="0" collapsed="false">
      <c r="A1542" s="31" t="s">
        <v>9155</v>
      </c>
      <c r="B1542" s="31" t="n">
        <v>77</v>
      </c>
      <c r="C1542" s="32" t="n">
        <f aca="false">SETTINGS!$C$3+$B1542-1</f>
        <v>46376</v>
      </c>
      <c r="D1542" s="41" t="s">
        <v>7168</v>
      </c>
      <c r="E1542" s="34" t="s">
        <v>9042</v>
      </c>
      <c r="F1542" s="34" t="s">
        <v>3656</v>
      </c>
      <c r="G1542" s="34" t="s">
        <v>9156</v>
      </c>
      <c r="H1542" s="35" t="s">
        <v>9157</v>
      </c>
      <c r="I1542" s="36" t="s">
        <v>9158</v>
      </c>
      <c r="J1542" s="34" t="s">
        <v>9159</v>
      </c>
      <c r="K1542" s="34" t="s">
        <v>9160</v>
      </c>
      <c r="L1542" s="37"/>
      <c r="M1542" s="37"/>
      <c r="N1542" s="37"/>
      <c r="O1542" s="37"/>
      <c r="P1542" s="37"/>
      <c r="Q1542" s="37"/>
      <c r="R1542" s="31" t="n">
        <f aca="false">COUNT($M1542:$Q1542)</f>
        <v>0</v>
      </c>
      <c r="S1542" s="32" t="str">
        <f aca="false">IF($L1542="","",IF($R1542&gt;=5,"",MAX($L1542:$Q1542)+CHOOSE($R1542+1,SETTINGS!$C$9,SETTINGS!$C$10,SETTINGS!$C$11,SETTINGS!$C$12,SETTINGS!$C$13)))</f>
        <v/>
      </c>
      <c r="T1542" s="34" t="str">
        <f aca="true">IF($H1542="","(chưa có nội dung)",IF($L1542="",IF($C1542&lt;TODAY(),"⚠ TRỄ HỌC",IF($C1542=TODAY(),"★ HỌC HÔM NAY","• Chưa tới")),IF($R1542&gt;=5,"✔ MASTER",IF($S1542&lt;TODAY(),"⚠ TRỄ ÔN",IF($S1542=TODAY(),"◆ ÔN HÔM NAY","✔ Đúng tiến độ")))))</f>
        <v>• Chưa tới</v>
      </c>
      <c r="U1542" s="38" t="n">
        <f aca="false">IF($H1542="","",$R1542/5)</f>
        <v>0</v>
      </c>
    </row>
    <row r="1543" customFormat="false" ht="15" hidden="false" customHeight="false" outlineLevel="0" collapsed="false">
      <c r="A1543" s="31" t="s">
        <v>9161</v>
      </c>
      <c r="B1543" s="31" t="n">
        <v>78</v>
      </c>
      <c r="C1543" s="32" t="n">
        <f aca="false">SETTINGS!$C$3+$B1543-1</f>
        <v>46377</v>
      </c>
      <c r="D1543" s="41" t="s">
        <v>7168</v>
      </c>
      <c r="E1543" s="34" t="s">
        <v>9162</v>
      </c>
      <c r="F1543" s="34" t="s">
        <v>3656</v>
      </c>
      <c r="G1543" s="34" t="s">
        <v>4638</v>
      </c>
      <c r="H1543" s="35" t="s">
        <v>9163</v>
      </c>
      <c r="I1543" s="36" t="s">
        <v>9164</v>
      </c>
      <c r="J1543" s="34" t="s">
        <v>9165</v>
      </c>
      <c r="K1543" s="34" t="s">
        <v>9166</v>
      </c>
      <c r="L1543" s="37"/>
      <c r="M1543" s="37"/>
      <c r="N1543" s="37"/>
      <c r="O1543" s="37"/>
      <c r="P1543" s="37"/>
      <c r="Q1543" s="37"/>
      <c r="R1543" s="31" t="n">
        <f aca="false">COUNT($M1543:$Q1543)</f>
        <v>0</v>
      </c>
      <c r="S1543" s="32" t="str">
        <f aca="false">IF($L1543="","",IF($R1543&gt;=5,"",MAX($L1543:$Q1543)+CHOOSE($R1543+1,SETTINGS!$C$9,SETTINGS!$C$10,SETTINGS!$C$11,SETTINGS!$C$12,SETTINGS!$C$13)))</f>
        <v/>
      </c>
      <c r="T1543" s="34" t="str">
        <f aca="true">IF($H1543="","(chưa có nội dung)",IF($L1543="",IF($C1543&lt;TODAY(),"⚠ TRỄ HỌC",IF($C1543=TODAY(),"★ HỌC HÔM NAY","• Chưa tới")),IF($R1543&gt;=5,"✔ MASTER",IF($S1543&lt;TODAY(),"⚠ TRỄ ÔN",IF($S1543=TODAY(),"◆ ÔN HÔM NAY","✔ Đúng tiến độ")))))</f>
        <v>• Chưa tới</v>
      </c>
      <c r="U1543" s="38" t="n">
        <f aca="false">IF($H1543="","",$R1543/5)</f>
        <v>0</v>
      </c>
    </row>
    <row r="1544" customFormat="false" ht="15" hidden="false" customHeight="false" outlineLevel="0" collapsed="false">
      <c r="A1544" s="31" t="s">
        <v>9167</v>
      </c>
      <c r="B1544" s="31" t="n">
        <v>78</v>
      </c>
      <c r="C1544" s="32" t="n">
        <f aca="false">SETTINGS!$C$3+$B1544-1</f>
        <v>46377</v>
      </c>
      <c r="D1544" s="41" t="s">
        <v>7168</v>
      </c>
      <c r="E1544" s="34" t="s">
        <v>9162</v>
      </c>
      <c r="F1544" s="34" t="s">
        <v>280</v>
      </c>
      <c r="G1544" s="34" t="s">
        <v>6087</v>
      </c>
      <c r="H1544" s="35" t="s">
        <v>9168</v>
      </c>
      <c r="I1544" s="36" t="s">
        <v>9169</v>
      </c>
      <c r="J1544" s="34" t="s">
        <v>9170</v>
      </c>
      <c r="K1544" s="34" t="s">
        <v>9171</v>
      </c>
      <c r="L1544" s="37"/>
      <c r="M1544" s="37"/>
      <c r="N1544" s="37"/>
      <c r="O1544" s="37"/>
      <c r="P1544" s="37"/>
      <c r="Q1544" s="37"/>
      <c r="R1544" s="31" t="n">
        <f aca="false">COUNT($M1544:$Q1544)</f>
        <v>0</v>
      </c>
      <c r="S1544" s="32" t="str">
        <f aca="false">IF($L1544="","",IF($R1544&gt;=5,"",MAX($L1544:$Q1544)+CHOOSE($R1544+1,SETTINGS!$C$9,SETTINGS!$C$10,SETTINGS!$C$11,SETTINGS!$C$12,SETTINGS!$C$13)))</f>
        <v/>
      </c>
      <c r="T1544" s="34" t="str">
        <f aca="true">IF($H1544="","(chưa có nội dung)",IF($L1544="",IF($C1544&lt;TODAY(),"⚠ TRỄ HỌC",IF($C1544=TODAY(),"★ HỌC HÔM NAY","• Chưa tới")),IF($R1544&gt;=5,"✔ MASTER",IF($S1544&lt;TODAY(),"⚠ TRỄ ÔN",IF($S1544=TODAY(),"◆ ÔN HÔM NAY","✔ Đúng tiến độ")))))</f>
        <v>• Chưa tới</v>
      </c>
      <c r="U1544" s="38" t="n">
        <f aca="false">IF($H1544="","",$R1544/5)</f>
        <v>0</v>
      </c>
    </row>
    <row r="1545" customFormat="false" ht="15" hidden="false" customHeight="false" outlineLevel="0" collapsed="false">
      <c r="A1545" s="31" t="s">
        <v>9172</v>
      </c>
      <c r="B1545" s="31" t="n">
        <v>78</v>
      </c>
      <c r="C1545" s="32" t="n">
        <f aca="false">SETTINGS!$C$3+$B1545-1</f>
        <v>46377</v>
      </c>
      <c r="D1545" s="41" t="s">
        <v>7168</v>
      </c>
      <c r="E1545" s="34" t="s">
        <v>9162</v>
      </c>
      <c r="F1545" s="34" t="s">
        <v>280</v>
      </c>
      <c r="G1545" s="34" t="s">
        <v>9173</v>
      </c>
      <c r="H1545" s="35" t="s">
        <v>9174</v>
      </c>
      <c r="I1545" s="36" t="s">
        <v>9175</v>
      </c>
      <c r="J1545" s="34" t="s">
        <v>9176</v>
      </c>
      <c r="K1545" s="34" t="s">
        <v>9177</v>
      </c>
      <c r="L1545" s="37"/>
      <c r="M1545" s="37"/>
      <c r="N1545" s="37"/>
      <c r="O1545" s="37"/>
      <c r="P1545" s="37"/>
      <c r="Q1545" s="37"/>
      <c r="R1545" s="31" t="n">
        <f aca="false">COUNT($M1545:$Q1545)</f>
        <v>0</v>
      </c>
      <c r="S1545" s="32" t="str">
        <f aca="false">IF($L1545="","",IF($R1545&gt;=5,"",MAX($L1545:$Q1545)+CHOOSE($R1545+1,SETTINGS!$C$9,SETTINGS!$C$10,SETTINGS!$C$11,SETTINGS!$C$12,SETTINGS!$C$13)))</f>
        <v/>
      </c>
      <c r="T1545" s="34" t="str">
        <f aca="true">IF($H1545="","(chưa có nội dung)",IF($L1545="",IF($C1545&lt;TODAY(),"⚠ TRỄ HỌC",IF($C1545=TODAY(),"★ HỌC HÔM NAY","• Chưa tới")),IF($R1545&gt;=5,"✔ MASTER",IF($S1545&lt;TODAY(),"⚠ TRỄ ÔN",IF($S1545=TODAY(),"◆ ÔN HÔM NAY","✔ Đúng tiến độ")))))</f>
        <v>• Chưa tới</v>
      </c>
      <c r="U1545" s="38" t="n">
        <f aca="false">IF($H1545="","",$R1545/5)</f>
        <v>0</v>
      </c>
    </row>
    <row r="1546" customFormat="false" ht="15" hidden="false" customHeight="false" outlineLevel="0" collapsed="false">
      <c r="A1546" s="31" t="s">
        <v>9178</v>
      </c>
      <c r="B1546" s="31" t="n">
        <v>78</v>
      </c>
      <c r="C1546" s="32" t="n">
        <f aca="false">SETTINGS!$C$3+$B1546-1</f>
        <v>46377</v>
      </c>
      <c r="D1546" s="41" t="s">
        <v>7168</v>
      </c>
      <c r="E1546" s="34" t="s">
        <v>9162</v>
      </c>
      <c r="F1546" s="34" t="s">
        <v>280</v>
      </c>
      <c r="G1546" s="34" t="s">
        <v>9179</v>
      </c>
      <c r="H1546" s="35" t="s">
        <v>9180</v>
      </c>
      <c r="I1546" s="36" t="s">
        <v>9181</v>
      </c>
      <c r="J1546" s="34" t="s">
        <v>9182</v>
      </c>
      <c r="K1546" s="34" t="s">
        <v>9183</v>
      </c>
      <c r="L1546" s="37"/>
      <c r="M1546" s="37"/>
      <c r="N1546" s="37"/>
      <c r="O1546" s="37"/>
      <c r="P1546" s="37"/>
      <c r="Q1546" s="37"/>
      <c r="R1546" s="31" t="n">
        <f aca="false">COUNT($M1546:$Q1546)</f>
        <v>0</v>
      </c>
      <c r="S1546" s="32" t="str">
        <f aca="false">IF($L1546="","",IF($R1546&gt;=5,"",MAX($L1546:$Q1546)+CHOOSE($R1546+1,SETTINGS!$C$9,SETTINGS!$C$10,SETTINGS!$C$11,SETTINGS!$C$12,SETTINGS!$C$13)))</f>
        <v/>
      </c>
      <c r="T1546" s="34" t="str">
        <f aca="true">IF($H1546="","(chưa có nội dung)",IF($L1546="",IF($C1546&lt;TODAY(),"⚠ TRỄ HỌC",IF($C1546=TODAY(),"★ HỌC HÔM NAY","• Chưa tới")),IF($R1546&gt;=5,"✔ MASTER",IF($S1546&lt;TODAY(),"⚠ TRỄ ÔN",IF($S1546=TODAY(),"◆ ÔN HÔM NAY","✔ Đúng tiến độ")))))</f>
        <v>• Chưa tới</v>
      </c>
      <c r="U1546" s="38" t="n">
        <f aca="false">IF($H1546="","",$R1546/5)</f>
        <v>0</v>
      </c>
    </row>
    <row r="1547" customFormat="false" ht="23.85" hidden="false" customHeight="false" outlineLevel="0" collapsed="false">
      <c r="A1547" s="31" t="s">
        <v>9184</v>
      </c>
      <c r="B1547" s="31" t="n">
        <v>78</v>
      </c>
      <c r="C1547" s="32" t="n">
        <f aca="false">SETTINGS!$C$3+$B1547-1</f>
        <v>46377</v>
      </c>
      <c r="D1547" s="41" t="s">
        <v>7168</v>
      </c>
      <c r="E1547" s="34" t="s">
        <v>9162</v>
      </c>
      <c r="F1547" s="34" t="s">
        <v>280</v>
      </c>
      <c r="G1547" s="34" t="s">
        <v>9185</v>
      </c>
      <c r="H1547" s="35" t="s">
        <v>9186</v>
      </c>
      <c r="I1547" s="36" t="s">
        <v>9187</v>
      </c>
      <c r="J1547" s="34" t="s">
        <v>9188</v>
      </c>
      <c r="K1547" s="34" t="s">
        <v>9189</v>
      </c>
      <c r="L1547" s="37"/>
      <c r="M1547" s="37"/>
      <c r="N1547" s="37"/>
      <c r="O1547" s="37"/>
      <c r="P1547" s="37"/>
      <c r="Q1547" s="37"/>
      <c r="R1547" s="31" t="n">
        <f aca="false">COUNT($M1547:$Q1547)</f>
        <v>0</v>
      </c>
      <c r="S1547" s="32" t="str">
        <f aca="false">IF($L1547="","",IF($R1547&gt;=5,"",MAX($L1547:$Q1547)+CHOOSE($R1547+1,SETTINGS!$C$9,SETTINGS!$C$10,SETTINGS!$C$11,SETTINGS!$C$12,SETTINGS!$C$13)))</f>
        <v/>
      </c>
      <c r="T1547" s="34" t="str">
        <f aca="true">IF($H1547="","(chưa có nội dung)",IF($L1547="",IF($C1547&lt;TODAY(),"⚠ TRỄ HỌC",IF($C1547=TODAY(),"★ HỌC HÔM NAY","• Chưa tới")),IF($R1547&gt;=5,"✔ MASTER",IF($S1547&lt;TODAY(),"⚠ TRỄ ÔN",IF($S1547=TODAY(),"◆ ÔN HÔM NAY","✔ Đúng tiến độ")))))</f>
        <v>• Chưa tới</v>
      </c>
      <c r="U1547" s="38" t="n">
        <f aca="false">IF($H1547="","",$R1547/5)</f>
        <v>0</v>
      </c>
    </row>
    <row r="1548" customFormat="false" ht="26.85" hidden="false" customHeight="false" outlineLevel="0" collapsed="false">
      <c r="A1548" s="31" t="s">
        <v>9190</v>
      </c>
      <c r="B1548" s="31" t="n">
        <v>78</v>
      </c>
      <c r="C1548" s="32" t="n">
        <f aca="false">SETTINGS!$C$3+$B1548-1</f>
        <v>46377</v>
      </c>
      <c r="D1548" s="41" t="s">
        <v>7168</v>
      </c>
      <c r="E1548" s="34" t="s">
        <v>9162</v>
      </c>
      <c r="F1548" s="34" t="s">
        <v>280</v>
      </c>
      <c r="G1548" s="34" t="s">
        <v>9191</v>
      </c>
      <c r="H1548" s="35" t="s">
        <v>9192</v>
      </c>
      <c r="I1548" s="36" t="s">
        <v>9193</v>
      </c>
      <c r="J1548" s="34" t="s">
        <v>9194</v>
      </c>
      <c r="K1548" s="34" t="s">
        <v>9195</v>
      </c>
      <c r="L1548" s="37"/>
      <c r="M1548" s="37"/>
      <c r="N1548" s="37"/>
      <c r="O1548" s="37"/>
      <c r="P1548" s="37"/>
      <c r="Q1548" s="37"/>
      <c r="R1548" s="31" t="n">
        <f aca="false">COUNT($M1548:$Q1548)</f>
        <v>0</v>
      </c>
      <c r="S1548" s="32" t="str">
        <f aca="false">IF($L1548="","",IF($R1548&gt;=5,"",MAX($L1548:$Q1548)+CHOOSE($R1548+1,SETTINGS!$C$9,SETTINGS!$C$10,SETTINGS!$C$11,SETTINGS!$C$12,SETTINGS!$C$13)))</f>
        <v/>
      </c>
      <c r="T1548" s="34" t="str">
        <f aca="true">IF($H1548="","(chưa có nội dung)",IF($L1548="",IF($C1548&lt;TODAY(),"⚠ TRỄ HỌC",IF($C1548=TODAY(),"★ HỌC HÔM NAY","• Chưa tới")),IF($R1548&gt;=5,"✔ MASTER",IF($S1548&lt;TODAY(),"⚠ TRỄ ÔN",IF($S1548=TODAY(),"◆ ÔN HÔM NAY","✔ Đúng tiến độ")))))</f>
        <v>• Chưa tới</v>
      </c>
      <c r="U1548" s="38" t="n">
        <f aca="false">IF($H1548="","",$R1548/5)</f>
        <v>0</v>
      </c>
    </row>
    <row r="1549" customFormat="false" ht="15" hidden="false" customHeight="false" outlineLevel="0" collapsed="false">
      <c r="A1549" s="31" t="s">
        <v>9196</v>
      </c>
      <c r="B1549" s="31" t="n">
        <v>78</v>
      </c>
      <c r="C1549" s="32" t="n">
        <f aca="false">SETTINGS!$C$3+$B1549-1</f>
        <v>46377</v>
      </c>
      <c r="D1549" s="41" t="s">
        <v>7168</v>
      </c>
      <c r="E1549" s="34" t="s">
        <v>9162</v>
      </c>
      <c r="F1549" s="34" t="s">
        <v>280</v>
      </c>
      <c r="G1549" s="34" t="s">
        <v>8439</v>
      </c>
      <c r="H1549" s="35" t="s">
        <v>9197</v>
      </c>
      <c r="I1549" s="36" t="s">
        <v>9198</v>
      </c>
      <c r="J1549" s="34" t="s">
        <v>9199</v>
      </c>
      <c r="K1549" s="34" t="s">
        <v>9200</v>
      </c>
      <c r="L1549" s="37"/>
      <c r="M1549" s="37"/>
      <c r="N1549" s="37"/>
      <c r="O1549" s="37"/>
      <c r="P1549" s="37"/>
      <c r="Q1549" s="37"/>
      <c r="R1549" s="31" t="n">
        <f aca="false">COUNT($M1549:$Q1549)</f>
        <v>0</v>
      </c>
      <c r="S1549" s="32" t="str">
        <f aca="false">IF($L1549="","",IF($R1549&gt;=5,"",MAX($L1549:$Q1549)+CHOOSE($R1549+1,SETTINGS!$C$9,SETTINGS!$C$10,SETTINGS!$C$11,SETTINGS!$C$12,SETTINGS!$C$13)))</f>
        <v/>
      </c>
      <c r="T1549" s="34" t="str">
        <f aca="true">IF($H1549="","(chưa có nội dung)",IF($L1549="",IF($C1549&lt;TODAY(),"⚠ TRỄ HỌC",IF($C1549=TODAY(),"★ HỌC HÔM NAY","• Chưa tới")),IF($R1549&gt;=5,"✔ MASTER",IF($S1549&lt;TODAY(),"⚠ TRỄ ÔN",IF($S1549=TODAY(),"◆ ÔN HÔM NAY","✔ Đúng tiến độ")))))</f>
        <v>• Chưa tới</v>
      </c>
      <c r="U1549" s="38" t="n">
        <f aca="false">IF($H1549="","",$R1549/5)</f>
        <v>0</v>
      </c>
    </row>
    <row r="1550" customFormat="false" ht="26.85" hidden="false" customHeight="false" outlineLevel="0" collapsed="false">
      <c r="A1550" s="31" t="s">
        <v>9201</v>
      </c>
      <c r="B1550" s="31" t="n">
        <v>78</v>
      </c>
      <c r="C1550" s="32" t="n">
        <f aca="false">SETTINGS!$C$3+$B1550-1</f>
        <v>46377</v>
      </c>
      <c r="D1550" s="41" t="s">
        <v>7168</v>
      </c>
      <c r="E1550" s="34" t="s">
        <v>9162</v>
      </c>
      <c r="F1550" s="34" t="s">
        <v>280</v>
      </c>
      <c r="G1550" s="34" t="s">
        <v>9202</v>
      </c>
      <c r="H1550" s="35" t="s">
        <v>9203</v>
      </c>
      <c r="I1550" s="36" t="s">
        <v>9204</v>
      </c>
      <c r="J1550" s="34" t="s">
        <v>9205</v>
      </c>
      <c r="K1550" s="34" t="s">
        <v>9206</v>
      </c>
      <c r="L1550" s="37"/>
      <c r="M1550" s="37"/>
      <c r="N1550" s="37"/>
      <c r="O1550" s="37"/>
      <c r="P1550" s="37"/>
      <c r="Q1550" s="37"/>
      <c r="R1550" s="31" t="n">
        <f aca="false">COUNT($M1550:$Q1550)</f>
        <v>0</v>
      </c>
      <c r="S1550" s="32" t="str">
        <f aca="false">IF($L1550="","",IF($R1550&gt;=5,"",MAX($L1550:$Q1550)+CHOOSE($R1550+1,SETTINGS!$C$9,SETTINGS!$C$10,SETTINGS!$C$11,SETTINGS!$C$12,SETTINGS!$C$13)))</f>
        <v/>
      </c>
      <c r="T1550" s="34" t="str">
        <f aca="true">IF($H1550="","(chưa có nội dung)",IF($L1550="",IF($C1550&lt;TODAY(),"⚠ TRỄ HỌC",IF($C1550=TODAY(),"★ HỌC HÔM NAY","• Chưa tới")),IF($R1550&gt;=5,"✔ MASTER",IF($S1550&lt;TODAY(),"⚠ TRỄ ÔN",IF($S1550=TODAY(),"◆ ÔN HÔM NAY","✔ Đúng tiến độ")))))</f>
        <v>• Chưa tới</v>
      </c>
      <c r="U1550" s="38" t="n">
        <f aca="false">IF($H1550="","",$R1550/5)</f>
        <v>0</v>
      </c>
    </row>
    <row r="1551" customFormat="false" ht="15" hidden="false" customHeight="false" outlineLevel="0" collapsed="false">
      <c r="A1551" s="31" t="s">
        <v>9207</v>
      </c>
      <c r="B1551" s="31" t="n">
        <v>78</v>
      </c>
      <c r="C1551" s="32" t="n">
        <f aca="false">SETTINGS!$C$3+$B1551-1</f>
        <v>46377</v>
      </c>
      <c r="D1551" s="41" t="s">
        <v>7168</v>
      </c>
      <c r="E1551" s="34" t="s">
        <v>9162</v>
      </c>
      <c r="F1551" s="34" t="s">
        <v>3656</v>
      </c>
      <c r="G1551" s="34" t="s">
        <v>9208</v>
      </c>
      <c r="H1551" s="35" t="s">
        <v>9209</v>
      </c>
      <c r="I1551" s="36" t="s">
        <v>9210</v>
      </c>
      <c r="J1551" s="34" t="s">
        <v>9211</v>
      </c>
      <c r="K1551" s="34" t="s">
        <v>9212</v>
      </c>
      <c r="L1551" s="37"/>
      <c r="M1551" s="37"/>
      <c r="N1551" s="37"/>
      <c r="O1551" s="37"/>
      <c r="P1551" s="37"/>
      <c r="Q1551" s="37"/>
      <c r="R1551" s="31" t="n">
        <f aca="false">COUNT($M1551:$Q1551)</f>
        <v>0</v>
      </c>
      <c r="S1551" s="32" t="str">
        <f aca="false">IF($L1551="","",IF($R1551&gt;=5,"",MAX($L1551:$Q1551)+CHOOSE($R1551+1,SETTINGS!$C$9,SETTINGS!$C$10,SETTINGS!$C$11,SETTINGS!$C$12,SETTINGS!$C$13)))</f>
        <v/>
      </c>
      <c r="T1551" s="34" t="str">
        <f aca="true">IF($H1551="","(chưa có nội dung)",IF($L1551="",IF($C1551&lt;TODAY(),"⚠ TRỄ HỌC",IF($C1551=TODAY(),"★ HỌC HÔM NAY","• Chưa tới")),IF($R1551&gt;=5,"✔ MASTER",IF($S1551&lt;TODAY(),"⚠ TRỄ ÔN",IF($S1551=TODAY(),"◆ ÔN HÔM NAY","✔ Đúng tiến độ")))))</f>
        <v>• Chưa tới</v>
      </c>
      <c r="U1551" s="38" t="n">
        <f aca="false">IF($H1551="","",$R1551/5)</f>
        <v>0</v>
      </c>
    </row>
    <row r="1552" customFormat="false" ht="15" hidden="false" customHeight="false" outlineLevel="0" collapsed="false">
      <c r="A1552" s="31" t="s">
        <v>9213</v>
      </c>
      <c r="B1552" s="31" t="n">
        <v>78</v>
      </c>
      <c r="C1552" s="32" t="n">
        <f aca="false">SETTINGS!$C$3+$B1552-1</f>
        <v>46377</v>
      </c>
      <c r="D1552" s="41" t="s">
        <v>7168</v>
      </c>
      <c r="E1552" s="34" t="s">
        <v>9162</v>
      </c>
      <c r="F1552" s="34" t="s">
        <v>183</v>
      </c>
      <c r="G1552" s="34" t="s">
        <v>9214</v>
      </c>
      <c r="H1552" s="35" t="s">
        <v>9215</v>
      </c>
      <c r="I1552" s="36" t="s">
        <v>9216</v>
      </c>
      <c r="J1552" s="34" t="s">
        <v>9217</v>
      </c>
      <c r="K1552" s="34" t="s">
        <v>9218</v>
      </c>
      <c r="L1552" s="37"/>
      <c r="M1552" s="37"/>
      <c r="N1552" s="37"/>
      <c r="O1552" s="37"/>
      <c r="P1552" s="37"/>
      <c r="Q1552" s="37"/>
      <c r="R1552" s="31" t="n">
        <f aca="false">COUNT($M1552:$Q1552)</f>
        <v>0</v>
      </c>
      <c r="S1552" s="32" t="str">
        <f aca="false">IF($L1552="","",IF($R1552&gt;=5,"",MAX($L1552:$Q1552)+CHOOSE($R1552+1,SETTINGS!$C$9,SETTINGS!$C$10,SETTINGS!$C$11,SETTINGS!$C$12,SETTINGS!$C$13)))</f>
        <v/>
      </c>
      <c r="T1552" s="34" t="str">
        <f aca="true">IF($H1552="","(chưa có nội dung)",IF($L1552="",IF($C1552&lt;TODAY(),"⚠ TRỄ HỌC",IF($C1552=TODAY(),"★ HỌC HÔM NAY","• Chưa tới")),IF($R1552&gt;=5,"✔ MASTER",IF($S1552&lt;TODAY(),"⚠ TRỄ ÔN",IF($S1552=TODAY(),"◆ ÔN HÔM NAY","✔ Đúng tiến độ")))))</f>
        <v>• Chưa tới</v>
      </c>
      <c r="U1552" s="38" t="n">
        <f aca="false">IF($H1552="","",$R1552/5)</f>
        <v>0</v>
      </c>
    </row>
    <row r="1553" customFormat="false" ht="15" hidden="false" customHeight="false" outlineLevel="0" collapsed="false">
      <c r="A1553" s="31" t="s">
        <v>9219</v>
      </c>
      <c r="B1553" s="31" t="n">
        <v>78</v>
      </c>
      <c r="C1553" s="32" t="n">
        <f aca="false">SETTINGS!$C$3+$B1553-1</f>
        <v>46377</v>
      </c>
      <c r="D1553" s="41" t="s">
        <v>7168</v>
      </c>
      <c r="E1553" s="34" t="s">
        <v>9162</v>
      </c>
      <c r="F1553" s="34" t="s">
        <v>3656</v>
      </c>
      <c r="G1553" s="34" t="s">
        <v>9220</v>
      </c>
      <c r="H1553" s="35" t="s">
        <v>9221</v>
      </c>
      <c r="I1553" s="36" t="s">
        <v>9222</v>
      </c>
      <c r="J1553" s="34" t="s">
        <v>9223</v>
      </c>
      <c r="K1553" s="34" t="s">
        <v>9224</v>
      </c>
      <c r="L1553" s="37"/>
      <c r="M1553" s="37"/>
      <c r="N1553" s="37"/>
      <c r="O1553" s="37"/>
      <c r="P1553" s="37"/>
      <c r="Q1553" s="37"/>
      <c r="R1553" s="31" t="n">
        <f aca="false">COUNT($M1553:$Q1553)</f>
        <v>0</v>
      </c>
      <c r="S1553" s="32" t="str">
        <f aca="false">IF($L1553="","",IF($R1553&gt;=5,"",MAX($L1553:$Q1553)+CHOOSE($R1553+1,SETTINGS!$C$9,SETTINGS!$C$10,SETTINGS!$C$11,SETTINGS!$C$12,SETTINGS!$C$13)))</f>
        <v/>
      </c>
      <c r="T1553" s="34" t="str">
        <f aca="true">IF($H1553="","(chưa có nội dung)",IF($L1553="",IF($C1553&lt;TODAY(),"⚠ TRỄ HỌC",IF($C1553=TODAY(),"★ HỌC HÔM NAY","• Chưa tới")),IF($R1553&gt;=5,"✔ MASTER",IF($S1553&lt;TODAY(),"⚠ TRỄ ÔN",IF($S1553=TODAY(),"◆ ÔN HÔM NAY","✔ Đúng tiến độ")))))</f>
        <v>• Chưa tới</v>
      </c>
      <c r="U1553" s="38" t="n">
        <f aca="false">IF($H1553="","",$R1553/5)</f>
        <v>0</v>
      </c>
    </row>
    <row r="1554" customFormat="false" ht="15" hidden="false" customHeight="false" outlineLevel="0" collapsed="false">
      <c r="A1554" s="31" t="s">
        <v>9225</v>
      </c>
      <c r="B1554" s="31" t="n">
        <v>78</v>
      </c>
      <c r="C1554" s="32" t="n">
        <f aca="false">SETTINGS!$C$3+$B1554-1</f>
        <v>46377</v>
      </c>
      <c r="D1554" s="41" t="s">
        <v>7168</v>
      </c>
      <c r="E1554" s="34" t="s">
        <v>9162</v>
      </c>
      <c r="F1554" s="34" t="s">
        <v>280</v>
      </c>
      <c r="G1554" s="34" t="s">
        <v>9226</v>
      </c>
      <c r="H1554" s="35" t="s">
        <v>9227</v>
      </c>
      <c r="I1554" s="36" t="s">
        <v>9228</v>
      </c>
      <c r="J1554" s="34" t="s">
        <v>9229</v>
      </c>
      <c r="K1554" s="34" t="s">
        <v>9230</v>
      </c>
      <c r="L1554" s="37"/>
      <c r="M1554" s="37"/>
      <c r="N1554" s="37"/>
      <c r="O1554" s="37"/>
      <c r="P1554" s="37"/>
      <c r="Q1554" s="37"/>
      <c r="R1554" s="31" t="n">
        <f aca="false">COUNT($M1554:$Q1554)</f>
        <v>0</v>
      </c>
      <c r="S1554" s="32" t="str">
        <f aca="false">IF($L1554="","",IF($R1554&gt;=5,"",MAX($L1554:$Q1554)+CHOOSE($R1554+1,SETTINGS!$C$9,SETTINGS!$C$10,SETTINGS!$C$11,SETTINGS!$C$12,SETTINGS!$C$13)))</f>
        <v/>
      </c>
      <c r="T1554" s="34" t="str">
        <f aca="true">IF($H1554="","(chưa có nội dung)",IF($L1554="",IF($C1554&lt;TODAY(),"⚠ TRỄ HỌC",IF($C1554=TODAY(),"★ HỌC HÔM NAY","• Chưa tới")),IF($R1554&gt;=5,"✔ MASTER",IF($S1554&lt;TODAY(),"⚠ TRỄ ÔN",IF($S1554=TODAY(),"◆ ÔN HÔM NAY","✔ Đúng tiến độ")))))</f>
        <v>• Chưa tới</v>
      </c>
      <c r="U1554" s="38" t="n">
        <f aca="false">IF($H1554="","",$R1554/5)</f>
        <v>0</v>
      </c>
    </row>
    <row r="1555" customFormat="false" ht="23.85" hidden="false" customHeight="false" outlineLevel="0" collapsed="false">
      <c r="A1555" s="31" t="s">
        <v>9231</v>
      </c>
      <c r="B1555" s="31" t="n">
        <v>78</v>
      </c>
      <c r="C1555" s="32" t="n">
        <f aca="false">SETTINGS!$C$3+$B1555-1</f>
        <v>46377</v>
      </c>
      <c r="D1555" s="41" t="s">
        <v>7168</v>
      </c>
      <c r="E1555" s="34" t="s">
        <v>9162</v>
      </c>
      <c r="F1555" s="34" t="s">
        <v>280</v>
      </c>
      <c r="G1555" s="34" t="s">
        <v>9232</v>
      </c>
      <c r="H1555" s="35" t="s">
        <v>9233</v>
      </c>
      <c r="I1555" s="36" t="s">
        <v>9234</v>
      </c>
      <c r="J1555" s="34" t="s">
        <v>9235</v>
      </c>
      <c r="K1555" s="34" t="s">
        <v>9236</v>
      </c>
      <c r="L1555" s="37"/>
      <c r="M1555" s="37"/>
      <c r="N1555" s="37"/>
      <c r="O1555" s="37"/>
      <c r="P1555" s="37"/>
      <c r="Q1555" s="37"/>
      <c r="R1555" s="31" t="n">
        <f aca="false">COUNT($M1555:$Q1555)</f>
        <v>0</v>
      </c>
      <c r="S1555" s="32" t="str">
        <f aca="false">IF($L1555="","",IF($R1555&gt;=5,"",MAX($L1555:$Q1555)+CHOOSE($R1555+1,SETTINGS!$C$9,SETTINGS!$C$10,SETTINGS!$C$11,SETTINGS!$C$12,SETTINGS!$C$13)))</f>
        <v/>
      </c>
      <c r="T1555" s="34" t="str">
        <f aca="true">IF($H1555="","(chưa có nội dung)",IF($L1555="",IF($C1555&lt;TODAY(),"⚠ TRỄ HỌC",IF($C1555=TODAY(),"★ HỌC HÔM NAY","• Chưa tới")),IF($R1555&gt;=5,"✔ MASTER",IF($S1555&lt;TODAY(),"⚠ TRỄ ÔN",IF($S1555=TODAY(),"◆ ÔN HÔM NAY","✔ Đúng tiến độ")))))</f>
        <v>• Chưa tới</v>
      </c>
      <c r="U1555" s="38" t="n">
        <f aca="false">IF($H1555="","",$R1555/5)</f>
        <v>0</v>
      </c>
    </row>
    <row r="1556" customFormat="false" ht="15" hidden="false" customHeight="false" outlineLevel="0" collapsed="false">
      <c r="A1556" s="31" t="s">
        <v>9237</v>
      </c>
      <c r="B1556" s="31" t="n">
        <v>78</v>
      </c>
      <c r="C1556" s="32" t="n">
        <f aca="false">SETTINGS!$C$3+$B1556-1</f>
        <v>46377</v>
      </c>
      <c r="D1556" s="41" t="s">
        <v>7168</v>
      </c>
      <c r="E1556" s="34" t="s">
        <v>9162</v>
      </c>
      <c r="F1556" s="34" t="s">
        <v>280</v>
      </c>
      <c r="G1556" s="34" t="s">
        <v>9238</v>
      </c>
      <c r="H1556" s="35" t="s">
        <v>9239</v>
      </c>
      <c r="I1556" s="36" t="s">
        <v>9240</v>
      </c>
      <c r="J1556" s="34" t="s">
        <v>9241</v>
      </c>
      <c r="K1556" s="34" t="s">
        <v>9242</v>
      </c>
      <c r="L1556" s="37"/>
      <c r="M1556" s="37"/>
      <c r="N1556" s="37"/>
      <c r="O1556" s="37"/>
      <c r="P1556" s="37"/>
      <c r="Q1556" s="37"/>
      <c r="R1556" s="31" t="n">
        <f aca="false">COUNT($M1556:$Q1556)</f>
        <v>0</v>
      </c>
      <c r="S1556" s="32" t="str">
        <f aca="false">IF($L1556="","",IF($R1556&gt;=5,"",MAX($L1556:$Q1556)+CHOOSE($R1556+1,SETTINGS!$C$9,SETTINGS!$C$10,SETTINGS!$C$11,SETTINGS!$C$12,SETTINGS!$C$13)))</f>
        <v/>
      </c>
      <c r="T1556" s="34" t="str">
        <f aca="true">IF($H1556="","(chưa có nội dung)",IF($L1556="",IF($C1556&lt;TODAY(),"⚠ TRỄ HỌC",IF($C1556=TODAY(),"★ HỌC HÔM NAY","• Chưa tới")),IF($R1556&gt;=5,"✔ MASTER",IF($S1556&lt;TODAY(),"⚠ TRỄ ÔN",IF($S1556=TODAY(),"◆ ÔN HÔM NAY","✔ Đúng tiến độ")))))</f>
        <v>• Chưa tới</v>
      </c>
      <c r="U1556" s="38" t="n">
        <f aca="false">IF($H1556="","",$R1556/5)</f>
        <v>0</v>
      </c>
    </row>
    <row r="1557" customFormat="false" ht="15" hidden="false" customHeight="false" outlineLevel="0" collapsed="false">
      <c r="A1557" s="31" t="s">
        <v>9243</v>
      </c>
      <c r="B1557" s="31" t="n">
        <v>78</v>
      </c>
      <c r="C1557" s="32" t="n">
        <f aca="false">SETTINGS!$C$3+$B1557-1</f>
        <v>46377</v>
      </c>
      <c r="D1557" s="41" t="s">
        <v>7168</v>
      </c>
      <c r="E1557" s="34" t="s">
        <v>9162</v>
      </c>
      <c r="F1557" s="34" t="s">
        <v>280</v>
      </c>
      <c r="G1557" s="34" t="s">
        <v>9244</v>
      </c>
      <c r="H1557" s="35" t="s">
        <v>9245</v>
      </c>
      <c r="I1557" s="36" t="s">
        <v>9246</v>
      </c>
      <c r="J1557" s="34" t="s">
        <v>9247</v>
      </c>
      <c r="K1557" s="34" t="s">
        <v>7366</v>
      </c>
      <c r="L1557" s="37"/>
      <c r="M1557" s="37"/>
      <c r="N1557" s="37"/>
      <c r="O1557" s="37"/>
      <c r="P1557" s="37"/>
      <c r="Q1557" s="37"/>
      <c r="R1557" s="31" t="n">
        <f aca="false">COUNT($M1557:$Q1557)</f>
        <v>0</v>
      </c>
      <c r="S1557" s="32" t="str">
        <f aca="false">IF($L1557="","",IF($R1557&gt;=5,"",MAX($L1557:$Q1557)+CHOOSE($R1557+1,SETTINGS!$C$9,SETTINGS!$C$10,SETTINGS!$C$11,SETTINGS!$C$12,SETTINGS!$C$13)))</f>
        <v/>
      </c>
      <c r="T1557" s="34" t="str">
        <f aca="true">IF($H1557="","(chưa có nội dung)",IF($L1557="",IF($C1557&lt;TODAY(),"⚠ TRỄ HỌC",IF($C1557=TODAY(),"★ HỌC HÔM NAY","• Chưa tới")),IF($R1557&gt;=5,"✔ MASTER",IF($S1557&lt;TODAY(),"⚠ TRỄ ÔN",IF($S1557=TODAY(),"◆ ÔN HÔM NAY","✔ Đúng tiến độ")))))</f>
        <v>• Chưa tới</v>
      </c>
      <c r="U1557" s="38" t="n">
        <f aca="false">IF($H1557="","",$R1557/5)</f>
        <v>0</v>
      </c>
    </row>
    <row r="1558" customFormat="false" ht="15" hidden="false" customHeight="false" outlineLevel="0" collapsed="false">
      <c r="A1558" s="31" t="s">
        <v>9248</v>
      </c>
      <c r="B1558" s="31" t="n">
        <v>78</v>
      </c>
      <c r="C1558" s="32" t="n">
        <f aca="false">SETTINGS!$C$3+$B1558-1</f>
        <v>46377</v>
      </c>
      <c r="D1558" s="41" t="s">
        <v>7168</v>
      </c>
      <c r="E1558" s="34" t="s">
        <v>9162</v>
      </c>
      <c r="F1558" s="34" t="s">
        <v>280</v>
      </c>
      <c r="G1558" s="34" t="s">
        <v>7913</v>
      </c>
      <c r="H1558" s="35" t="s">
        <v>9249</v>
      </c>
      <c r="I1558" s="36" t="s">
        <v>9250</v>
      </c>
      <c r="J1558" s="34" t="s">
        <v>9251</v>
      </c>
      <c r="K1558" s="34" t="s">
        <v>9252</v>
      </c>
      <c r="L1558" s="37"/>
      <c r="M1558" s="37"/>
      <c r="N1558" s="37"/>
      <c r="O1558" s="37"/>
      <c r="P1558" s="37"/>
      <c r="Q1558" s="37"/>
      <c r="R1558" s="31" t="n">
        <f aca="false">COUNT($M1558:$Q1558)</f>
        <v>0</v>
      </c>
      <c r="S1558" s="32" t="str">
        <f aca="false">IF($L1558="","",IF($R1558&gt;=5,"",MAX($L1558:$Q1558)+CHOOSE($R1558+1,SETTINGS!$C$9,SETTINGS!$C$10,SETTINGS!$C$11,SETTINGS!$C$12,SETTINGS!$C$13)))</f>
        <v/>
      </c>
      <c r="T1558" s="34" t="str">
        <f aca="true">IF($H1558="","(chưa có nội dung)",IF($L1558="",IF($C1558&lt;TODAY(),"⚠ TRỄ HỌC",IF($C1558=TODAY(),"★ HỌC HÔM NAY","• Chưa tới")),IF($R1558&gt;=5,"✔ MASTER",IF($S1558&lt;TODAY(),"⚠ TRỄ ÔN",IF($S1558=TODAY(),"◆ ÔN HÔM NAY","✔ Đúng tiến độ")))))</f>
        <v>• Chưa tới</v>
      </c>
      <c r="U1558" s="38" t="n">
        <f aca="false">IF($H1558="","",$R1558/5)</f>
        <v>0</v>
      </c>
    </row>
    <row r="1559" customFormat="false" ht="15" hidden="false" customHeight="false" outlineLevel="0" collapsed="false">
      <c r="A1559" s="31" t="s">
        <v>9253</v>
      </c>
      <c r="B1559" s="31" t="n">
        <v>78</v>
      </c>
      <c r="C1559" s="32" t="n">
        <f aca="false">SETTINGS!$C$3+$B1559-1</f>
        <v>46377</v>
      </c>
      <c r="D1559" s="41" t="s">
        <v>7168</v>
      </c>
      <c r="E1559" s="34" t="s">
        <v>9162</v>
      </c>
      <c r="F1559" s="34" t="s">
        <v>280</v>
      </c>
      <c r="G1559" s="34" t="s">
        <v>9254</v>
      </c>
      <c r="H1559" s="35" t="s">
        <v>9255</v>
      </c>
      <c r="I1559" s="36" t="s">
        <v>9256</v>
      </c>
      <c r="J1559" s="34" t="s">
        <v>9257</v>
      </c>
      <c r="K1559" s="34" t="s">
        <v>9258</v>
      </c>
      <c r="L1559" s="37"/>
      <c r="M1559" s="37"/>
      <c r="N1559" s="37"/>
      <c r="O1559" s="37"/>
      <c r="P1559" s="37"/>
      <c r="Q1559" s="37"/>
      <c r="R1559" s="31" t="n">
        <f aca="false">COUNT($M1559:$Q1559)</f>
        <v>0</v>
      </c>
      <c r="S1559" s="32" t="str">
        <f aca="false">IF($L1559="","",IF($R1559&gt;=5,"",MAX($L1559:$Q1559)+CHOOSE($R1559+1,SETTINGS!$C$9,SETTINGS!$C$10,SETTINGS!$C$11,SETTINGS!$C$12,SETTINGS!$C$13)))</f>
        <v/>
      </c>
      <c r="T1559" s="34" t="str">
        <f aca="true">IF($H1559="","(chưa có nội dung)",IF($L1559="",IF($C1559&lt;TODAY(),"⚠ TRỄ HỌC",IF($C1559=TODAY(),"★ HỌC HÔM NAY","• Chưa tới")),IF($R1559&gt;=5,"✔ MASTER",IF($S1559&lt;TODAY(),"⚠ TRỄ ÔN",IF($S1559=TODAY(),"◆ ÔN HÔM NAY","✔ Đúng tiến độ")))))</f>
        <v>• Chưa tới</v>
      </c>
      <c r="U1559" s="38" t="n">
        <f aca="false">IF($H1559="","",$R1559/5)</f>
        <v>0</v>
      </c>
    </row>
    <row r="1560" customFormat="false" ht="15" hidden="false" customHeight="false" outlineLevel="0" collapsed="false">
      <c r="A1560" s="31" t="s">
        <v>9259</v>
      </c>
      <c r="B1560" s="31" t="n">
        <v>78</v>
      </c>
      <c r="C1560" s="32" t="n">
        <f aca="false">SETTINGS!$C$3+$B1560-1</f>
        <v>46377</v>
      </c>
      <c r="D1560" s="41" t="s">
        <v>7168</v>
      </c>
      <c r="E1560" s="34" t="s">
        <v>9162</v>
      </c>
      <c r="F1560" s="34" t="s">
        <v>3656</v>
      </c>
      <c r="G1560" s="34" t="s">
        <v>9260</v>
      </c>
      <c r="H1560" s="35" t="s">
        <v>9261</v>
      </c>
      <c r="I1560" s="36" t="s">
        <v>9262</v>
      </c>
      <c r="J1560" s="34" t="s">
        <v>9263</v>
      </c>
      <c r="K1560" s="34" t="s">
        <v>9264</v>
      </c>
      <c r="L1560" s="37"/>
      <c r="M1560" s="37"/>
      <c r="N1560" s="37"/>
      <c r="O1560" s="37"/>
      <c r="P1560" s="37"/>
      <c r="Q1560" s="37"/>
      <c r="R1560" s="31" t="n">
        <f aca="false">COUNT($M1560:$Q1560)</f>
        <v>0</v>
      </c>
      <c r="S1560" s="32" t="str">
        <f aca="false">IF($L1560="","",IF($R1560&gt;=5,"",MAX($L1560:$Q1560)+CHOOSE($R1560+1,SETTINGS!$C$9,SETTINGS!$C$10,SETTINGS!$C$11,SETTINGS!$C$12,SETTINGS!$C$13)))</f>
        <v/>
      </c>
      <c r="T1560" s="34" t="str">
        <f aca="true">IF($H1560="","(chưa có nội dung)",IF($L1560="",IF($C1560&lt;TODAY(),"⚠ TRỄ HỌC",IF($C1560=TODAY(),"★ HỌC HÔM NAY","• Chưa tới")),IF($R1560&gt;=5,"✔ MASTER",IF($S1560&lt;TODAY(),"⚠ TRỄ ÔN",IF($S1560=TODAY(),"◆ ÔN HÔM NAY","✔ Đúng tiến độ")))))</f>
        <v>• Chưa tới</v>
      </c>
      <c r="U1560" s="38" t="n">
        <f aca="false">IF($H1560="","",$R1560/5)</f>
        <v>0</v>
      </c>
    </row>
    <row r="1561" customFormat="false" ht="15" hidden="false" customHeight="false" outlineLevel="0" collapsed="false">
      <c r="A1561" s="31" t="s">
        <v>9265</v>
      </c>
      <c r="B1561" s="31" t="n">
        <v>78</v>
      </c>
      <c r="C1561" s="32" t="n">
        <f aca="false">SETTINGS!$C$3+$B1561-1</f>
        <v>46377</v>
      </c>
      <c r="D1561" s="41" t="s">
        <v>7168</v>
      </c>
      <c r="E1561" s="34" t="s">
        <v>9162</v>
      </c>
      <c r="F1561" s="34" t="s">
        <v>280</v>
      </c>
      <c r="G1561" s="34" t="s">
        <v>9266</v>
      </c>
      <c r="H1561" s="35" t="s">
        <v>9267</v>
      </c>
      <c r="I1561" s="36" t="s">
        <v>9268</v>
      </c>
      <c r="J1561" s="34" t="s">
        <v>9269</v>
      </c>
      <c r="K1561" s="34" t="s">
        <v>9270</v>
      </c>
      <c r="L1561" s="37"/>
      <c r="M1561" s="37"/>
      <c r="N1561" s="37"/>
      <c r="O1561" s="37"/>
      <c r="P1561" s="37"/>
      <c r="Q1561" s="37"/>
      <c r="R1561" s="31" t="n">
        <f aca="false">COUNT($M1561:$Q1561)</f>
        <v>0</v>
      </c>
      <c r="S1561" s="32" t="str">
        <f aca="false">IF($L1561="","",IF($R1561&gt;=5,"",MAX($L1561:$Q1561)+CHOOSE($R1561+1,SETTINGS!$C$9,SETTINGS!$C$10,SETTINGS!$C$11,SETTINGS!$C$12,SETTINGS!$C$13)))</f>
        <v/>
      </c>
      <c r="T1561" s="34" t="str">
        <f aca="true">IF($H1561="","(chưa có nội dung)",IF($L1561="",IF($C1561&lt;TODAY(),"⚠ TRỄ HỌC",IF($C1561=TODAY(),"★ HỌC HÔM NAY","• Chưa tới")),IF($R1561&gt;=5,"✔ MASTER",IF($S1561&lt;TODAY(),"⚠ TRỄ ÔN",IF($S1561=TODAY(),"◆ ÔN HÔM NAY","✔ Đúng tiến độ")))))</f>
        <v>• Chưa tới</v>
      </c>
      <c r="U1561" s="38" t="n">
        <f aca="false">IF($H1561="","",$R1561/5)</f>
        <v>0</v>
      </c>
    </row>
    <row r="1562" customFormat="false" ht="15" hidden="false" customHeight="false" outlineLevel="0" collapsed="false">
      <c r="A1562" s="31" t="s">
        <v>9271</v>
      </c>
      <c r="B1562" s="31" t="n">
        <v>78</v>
      </c>
      <c r="C1562" s="32" t="n">
        <f aca="false">SETTINGS!$C$3+$B1562-1</f>
        <v>46377</v>
      </c>
      <c r="D1562" s="41" t="s">
        <v>7168</v>
      </c>
      <c r="E1562" s="34" t="s">
        <v>9162</v>
      </c>
      <c r="F1562" s="34" t="s">
        <v>280</v>
      </c>
      <c r="G1562" s="34" t="s">
        <v>7517</v>
      </c>
      <c r="H1562" s="35" t="s">
        <v>9272</v>
      </c>
      <c r="I1562" s="36" t="s">
        <v>9273</v>
      </c>
      <c r="J1562" s="34" t="s">
        <v>9274</v>
      </c>
      <c r="K1562" s="34" t="s">
        <v>9275</v>
      </c>
      <c r="L1562" s="37"/>
      <c r="M1562" s="37"/>
      <c r="N1562" s="37"/>
      <c r="O1562" s="37"/>
      <c r="P1562" s="37"/>
      <c r="Q1562" s="37"/>
      <c r="R1562" s="31" t="n">
        <f aca="false">COUNT($M1562:$Q1562)</f>
        <v>0</v>
      </c>
      <c r="S1562" s="32" t="str">
        <f aca="false">IF($L1562="","",IF($R1562&gt;=5,"",MAX($L1562:$Q1562)+CHOOSE($R1562+1,SETTINGS!$C$9,SETTINGS!$C$10,SETTINGS!$C$11,SETTINGS!$C$12,SETTINGS!$C$13)))</f>
        <v/>
      </c>
      <c r="T1562" s="34" t="str">
        <f aca="true">IF($H1562="","(chưa có nội dung)",IF($L1562="",IF($C1562&lt;TODAY(),"⚠ TRỄ HỌC",IF($C1562=TODAY(),"★ HỌC HÔM NAY","• Chưa tới")),IF($R1562&gt;=5,"✔ MASTER",IF($S1562&lt;TODAY(),"⚠ TRỄ ÔN",IF($S1562=TODAY(),"◆ ÔN HÔM NAY","✔ Đúng tiến độ")))))</f>
        <v>• Chưa tới</v>
      </c>
      <c r="U1562" s="38" t="n">
        <f aca="false">IF($H1562="","",$R1562/5)</f>
        <v>0</v>
      </c>
    </row>
    <row r="1563" customFormat="false" ht="15" hidden="false" customHeight="false" outlineLevel="0" collapsed="false">
      <c r="A1563" s="31" t="s">
        <v>9276</v>
      </c>
      <c r="B1563" s="31" t="n">
        <v>79</v>
      </c>
      <c r="C1563" s="32" t="n">
        <f aca="false">SETTINGS!$C$3+$B1563-1</f>
        <v>46378</v>
      </c>
      <c r="D1563" s="41" t="s">
        <v>7168</v>
      </c>
      <c r="E1563" s="34" t="s">
        <v>9277</v>
      </c>
      <c r="F1563" s="34" t="s">
        <v>280</v>
      </c>
      <c r="G1563" s="34" t="s">
        <v>9278</v>
      </c>
      <c r="H1563" s="35" t="s">
        <v>9279</v>
      </c>
      <c r="I1563" s="36" t="s">
        <v>9280</v>
      </c>
      <c r="J1563" s="34" t="s">
        <v>9281</v>
      </c>
      <c r="K1563" s="34" t="s">
        <v>9282</v>
      </c>
      <c r="L1563" s="37"/>
      <c r="M1563" s="37"/>
      <c r="N1563" s="37"/>
      <c r="O1563" s="37"/>
      <c r="P1563" s="37"/>
      <c r="Q1563" s="37"/>
      <c r="R1563" s="31" t="n">
        <f aca="false">COUNT($M1563:$Q1563)</f>
        <v>0</v>
      </c>
      <c r="S1563" s="32" t="str">
        <f aca="false">IF($L1563="","",IF($R1563&gt;=5,"",MAX($L1563:$Q1563)+CHOOSE($R1563+1,SETTINGS!$C$9,SETTINGS!$C$10,SETTINGS!$C$11,SETTINGS!$C$12,SETTINGS!$C$13)))</f>
        <v/>
      </c>
      <c r="T1563" s="34" t="str">
        <f aca="true">IF($H1563="","(chưa có nội dung)",IF($L1563="",IF($C1563&lt;TODAY(),"⚠ TRỄ HỌC",IF($C1563=TODAY(),"★ HỌC HÔM NAY","• Chưa tới")),IF($R1563&gt;=5,"✔ MASTER",IF($S1563&lt;TODAY(),"⚠ TRỄ ÔN",IF($S1563=TODAY(),"◆ ÔN HÔM NAY","✔ Đúng tiến độ")))))</f>
        <v>• Chưa tới</v>
      </c>
      <c r="U1563" s="38" t="n">
        <f aca="false">IF($H1563="","",$R1563/5)</f>
        <v>0</v>
      </c>
    </row>
    <row r="1564" customFormat="false" ht="15" hidden="false" customHeight="false" outlineLevel="0" collapsed="false">
      <c r="A1564" s="31" t="s">
        <v>9283</v>
      </c>
      <c r="B1564" s="31" t="n">
        <v>79</v>
      </c>
      <c r="C1564" s="32" t="n">
        <f aca="false">SETTINGS!$C$3+$B1564-1</f>
        <v>46378</v>
      </c>
      <c r="D1564" s="41" t="s">
        <v>7168</v>
      </c>
      <c r="E1564" s="34" t="s">
        <v>9277</v>
      </c>
      <c r="F1564" s="34" t="s">
        <v>280</v>
      </c>
      <c r="G1564" s="34" t="s">
        <v>9284</v>
      </c>
      <c r="H1564" s="35" t="s">
        <v>9285</v>
      </c>
      <c r="I1564" s="36" t="s">
        <v>9286</v>
      </c>
      <c r="J1564" s="34" t="s">
        <v>9287</v>
      </c>
      <c r="K1564" s="34" t="s">
        <v>9288</v>
      </c>
      <c r="L1564" s="37"/>
      <c r="M1564" s="37"/>
      <c r="N1564" s="37"/>
      <c r="O1564" s="37"/>
      <c r="P1564" s="37"/>
      <c r="Q1564" s="37"/>
      <c r="R1564" s="31" t="n">
        <f aca="false">COUNT($M1564:$Q1564)</f>
        <v>0</v>
      </c>
      <c r="S1564" s="32" t="str">
        <f aca="false">IF($L1564="","",IF($R1564&gt;=5,"",MAX($L1564:$Q1564)+CHOOSE($R1564+1,SETTINGS!$C$9,SETTINGS!$C$10,SETTINGS!$C$11,SETTINGS!$C$12,SETTINGS!$C$13)))</f>
        <v/>
      </c>
      <c r="T1564" s="34" t="str">
        <f aca="true">IF($H1564="","(chưa có nội dung)",IF($L1564="",IF($C1564&lt;TODAY(),"⚠ TRỄ HỌC",IF($C1564=TODAY(),"★ HỌC HÔM NAY","• Chưa tới")),IF($R1564&gt;=5,"✔ MASTER",IF($S1564&lt;TODAY(),"⚠ TRỄ ÔN",IF($S1564=TODAY(),"◆ ÔN HÔM NAY","✔ Đúng tiến độ")))))</f>
        <v>• Chưa tới</v>
      </c>
      <c r="U1564" s="38" t="n">
        <f aca="false">IF($H1564="","",$R1564/5)</f>
        <v>0</v>
      </c>
    </row>
    <row r="1565" customFormat="false" ht="15" hidden="false" customHeight="false" outlineLevel="0" collapsed="false">
      <c r="A1565" s="31" t="s">
        <v>9289</v>
      </c>
      <c r="B1565" s="31" t="n">
        <v>79</v>
      </c>
      <c r="C1565" s="32" t="n">
        <f aca="false">SETTINGS!$C$3+$B1565-1</f>
        <v>46378</v>
      </c>
      <c r="D1565" s="41" t="s">
        <v>7168</v>
      </c>
      <c r="E1565" s="34" t="s">
        <v>9277</v>
      </c>
      <c r="F1565" s="34" t="s">
        <v>280</v>
      </c>
      <c r="G1565" s="34" t="s">
        <v>9290</v>
      </c>
      <c r="H1565" s="35" t="s">
        <v>9291</v>
      </c>
      <c r="I1565" s="36" t="s">
        <v>9292</v>
      </c>
      <c r="J1565" s="34" t="s">
        <v>9293</v>
      </c>
      <c r="K1565" s="34" t="s">
        <v>9294</v>
      </c>
      <c r="L1565" s="37"/>
      <c r="M1565" s="37"/>
      <c r="N1565" s="37"/>
      <c r="O1565" s="37"/>
      <c r="P1565" s="37"/>
      <c r="Q1565" s="37"/>
      <c r="R1565" s="31" t="n">
        <f aca="false">COUNT($M1565:$Q1565)</f>
        <v>0</v>
      </c>
      <c r="S1565" s="32" t="str">
        <f aca="false">IF($L1565="","",IF($R1565&gt;=5,"",MAX($L1565:$Q1565)+CHOOSE($R1565+1,SETTINGS!$C$9,SETTINGS!$C$10,SETTINGS!$C$11,SETTINGS!$C$12,SETTINGS!$C$13)))</f>
        <v/>
      </c>
      <c r="T1565" s="34" t="str">
        <f aca="true">IF($H1565="","(chưa có nội dung)",IF($L1565="",IF($C1565&lt;TODAY(),"⚠ TRỄ HỌC",IF($C1565=TODAY(),"★ HỌC HÔM NAY","• Chưa tới")),IF($R1565&gt;=5,"✔ MASTER",IF($S1565&lt;TODAY(),"⚠ TRỄ ÔN",IF($S1565=TODAY(),"◆ ÔN HÔM NAY","✔ Đúng tiến độ")))))</f>
        <v>• Chưa tới</v>
      </c>
      <c r="U1565" s="38" t="n">
        <f aca="false">IF($H1565="","",$R1565/5)</f>
        <v>0</v>
      </c>
    </row>
    <row r="1566" customFormat="false" ht="26.85" hidden="false" customHeight="false" outlineLevel="0" collapsed="false">
      <c r="A1566" s="31" t="s">
        <v>9295</v>
      </c>
      <c r="B1566" s="31" t="n">
        <v>79</v>
      </c>
      <c r="C1566" s="32" t="n">
        <f aca="false">SETTINGS!$C$3+$B1566-1</f>
        <v>46378</v>
      </c>
      <c r="D1566" s="41" t="s">
        <v>7168</v>
      </c>
      <c r="E1566" s="34" t="s">
        <v>9277</v>
      </c>
      <c r="F1566" s="34" t="s">
        <v>280</v>
      </c>
      <c r="G1566" s="34" t="s">
        <v>9296</v>
      </c>
      <c r="H1566" s="35" t="s">
        <v>9297</v>
      </c>
      <c r="I1566" s="36" t="s">
        <v>9298</v>
      </c>
      <c r="J1566" s="34" t="s">
        <v>9299</v>
      </c>
      <c r="K1566" s="34" t="s">
        <v>9300</v>
      </c>
      <c r="L1566" s="37"/>
      <c r="M1566" s="37"/>
      <c r="N1566" s="37"/>
      <c r="O1566" s="37"/>
      <c r="P1566" s="37"/>
      <c r="Q1566" s="37"/>
      <c r="R1566" s="31" t="n">
        <f aca="false">COUNT($M1566:$Q1566)</f>
        <v>0</v>
      </c>
      <c r="S1566" s="32" t="str">
        <f aca="false">IF($L1566="","",IF($R1566&gt;=5,"",MAX($L1566:$Q1566)+CHOOSE($R1566+1,SETTINGS!$C$9,SETTINGS!$C$10,SETTINGS!$C$11,SETTINGS!$C$12,SETTINGS!$C$13)))</f>
        <v/>
      </c>
      <c r="T1566" s="34" t="str">
        <f aca="true">IF($H1566="","(chưa có nội dung)",IF($L1566="",IF($C1566&lt;TODAY(),"⚠ TRỄ HỌC",IF($C1566=TODAY(),"★ HỌC HÔM NAY","• Chưa tới")),IF($R1566&gt;=5,"✔ MASTER",IF($S1566&lt;TODAY(),"⚠ TRỄ ÔN",IF($S1566=TODAY(),"◆ ÔN HÔM NAY","✔ Đúng tiến độ")))))</f>
        <v>• Chưa tới</v>
      </c>
      <c r="U1566" s="38" t="n">
        <f aca="false">IF($H1566="","",$R1566/5)</f>
        <v>0</v>
      </c>
    </row>
    <row r="1567" customFormat="false" ht="15" hidden="false" customHeight="false" outlineLevel="0" collapsed="false">
      <c r="A1567" s="31" t="s">
        <v>9301</v>
      </c>
      <c r="B1567" s="31" t="n">
        <v>79</v>
      </c>
      <c r="C1567" s="32" t="n">
        <f aca="false">SETTINGS!$C$3+$B1567-1</f>
        <v>46378</v>
      </c>
      <c r="D1567" s="41" t="s">
        <v>7168</v>
      </c>
      <c r="E1567" s="34" t="s">
        <v>9277</v>
      </c>
      <c r="F1567" s="34" t="s">
        <v>183</v>
      </c>
      <c r="G1567" s="34" t="s">
        <v>4620</v>
      </c>
      <c r="H1567" s="35" t="s">
        <v>9302</v>
      </c>
      <c r="I1567" s="36" t="s">
        <v>9303</v>
      </c>
      <c r="J1567" s="34" t="s">
        <v>9304</v>
      </c>
      <c r="K1567" s="34" t="s">
        <v>9305</v>
      </c>
      <c r="L1567" s="37"/>
      <c r="M1567" s="37"/>
      <c r="N1567" s="37"/>
      <c r="O1567" s="37"/>
      <c r="P1567" s="37"/>
      <c r="Q1567" s="37"/>
      <c r="R1567" s="31" t="n">
        <f aca="false">COUNT($M1567:$Q1567)</f>
        <v>0</v>
      </c>
      <c r="S1567" s="32" t="str">
        <f aca="false">IF($L1567="","",IF($R1567&gt;=5,"",MAX($L1567:$Q1567)+CHOOSE($R1567+1,SETTINGS!$C$9,SETTINGS!$C$10,SETTINGS!$C$11,SETTINGS!$C$12,SETTINGS!$C$13)))</f>
        <v/>
      </c>
      <c r="T1567" s="34" t="str">
        <f aca="true">IF($H1567="","(chưa có nội dung)",IF($L1567="",IF($C1567&lt;TODAY(),"⚠ TRỄ HỌC",IF($C1567=TODAY(),"★ HỌC HÔM NAY","• Chưa tới")),IF($R1567&gt;=5,"✔ MASTER",IF($S1567&lt;TODAY(),"⚠ TRỄ ÔN",IF($S1567=TODAY(),"◆ ÔN HÔM NAY","✔ Đúng tiến độ")))))</f>
        <v>• Chưa tới</v>
      </c>
      <c r="U1567" s="38" t="n">
        <f aca="false">IF($H1567="","",$R1567/5)</f>
        <v>0</v>
      </c>
    </row>
    <row r="1568" customFormat="false" ht="15" hidden="false" customHeight="false" outlineLevel="0" collapsed="false">
      <c r="A1568" s="31" t="s">
        <v>9306</v>
      </c>
      <c r="B1568" s="31" t="n">
        <v>79</v>
      </c>
      <c r="C1568" s="32" t="n">
        <f aca="false">SETTINGS!$C$3+$B1568-1</f>
        <v>46378</v>
      </c>
      <c r="D1568" s="41" t="s">
        <v>7168</v>
      </c>
      <c r="E1568" s="34" t="s">
        <v>9277</v>
      </c>
      <c r="F1568" s="34" t="s">
        <v>3656</v>
      </c>
      <c r="G1568" s="34" t="s">
        <v>9307</v>
      </c>
      <c r="H1568" s="35" t="s">
        <v>9308</v>
      </c>
      <c r="I1568" s="36" t="s">
        <v>9309</v>
      </c>
      <c r="J1568" s="34" t="s">
        <v>9310</v>
      </c>
      <c r="K1568" s="34" t="s">
        <v>9311</v>
      </c>
      <c r="L1568" s="37"/>
      <c r="M1568" s="37"/>
      <c r="N1568" s="37"/>
      <c r="O1568" s="37"/>
      <c r="P1568" s="37"/>
      <c r="Q1568" s="37"/>
      <c r="R1568" s="31" t="n">
        <f aca="false">COUNT($M1568:$Q1568)</f>
        <v>0</v>
      </c>
      <c r="S1568" s="32" t="str">
        <f aca="false">IF($L1568="","",IF($R1568&gt;=5,"",MAX($L1568:$Q1568)+CHOOSE($R1568+1,SETTINGS!$C$9,SETTINGS!$C$10,SETTINGS!$C$11,SETTINGS!$C$12,SETTINGS!$C$13)))</f>
        <v/>
      </c>
      <c r="T1568" s="34" t="str">
        <f aca="true">IF($H1568="","(chưa có nội dung)",IF($L1568="",IF($C1568&lt;TODAY(),"⚠ TRỄ HỌC",IF($C1568=TODAY(),"★ HỌC HÔM NAY","• Chưa tới")),IF($R1568&gt;=5,"✔ MASTER",IF($S1568&lt;TODAY(),"⚠ TRỄ ÔN",IF($S1568=TODAY(),"◆ ÔN HÔM NAY","✔ Đúng tiến độ")))))</f>
        <v>• Chưa tới</v>
      </c>
      <c r="U1568" s="38" t="n">
        <f aca="false">IF($H1568="","",$R1568/5)</f>
        <v>0</v>
      </c>
    </row>
    <row r="1569" customFormat="false" ht="15" hidden="false" customHeight="false" outlineLevel="0" collapsed="false">
      <c r="A1569" s="31" t="s">
        <v>9312</v>
      </c>
      <c r="B1569" s="31" t="n">
        <v>79</v>
      </c>
      <c r="C1569" s="32" t="n">
        <f aca="false">SETTINGS!$C$3+$B1569-1</f>
        <v>46378</v>
      </c>
      <c r="D1569" s="41" t="s">
        <v>7168</v>
      </c>
      <c r="E1569" s="34" t="s">
        <v>9277</v>
      </c>
      <c r="F1569" s="34" t="s">
        <v>280</v>
      </c>
      <c r="G1569" s="34" t="s">
        <v>9313</v>
      </c>
      <c r="H1569" s="35" t="s">
        <v>9314</v>
      </c>
      <c r="I1569" s="36" t="s">
        <v>9315</v>
      </c>
      <c r="J1569" s="34" t="s">
        <v>9316</v>
      </c>
      <c r="K1569" s="34" t="s">
        <v>9317</v>
      </c>
      <c r="L1569" s="37"/>
      <c r="M1569" s="37"/>
      <c r="N1569" s="37"/>
      <c r="O1569" s="37"/>
      <c r="P1569" s="37"/>
      <c r="Q1569" s="37"/>
      <c r="R1569" s="31" t="n">
        <f aca="false">COUNT($M1569:$Q1569)</f>
        <v>0</v>
      </c>
      <c r="S1569" s="32" t="str">
        <f aca="false">IF($L1569="","",IF($R1569&gt;=5,"",MAX($L1569:$Q1569)+CHOOSE($R1569+1,SETTINGS!$C$9,SETTINGS!$C$10,SETTINGS!$C$11,SETTINGS!$C$12,SETTINGS!$C$13)))</f>
        <v/>
      </c>
      <c r="T1569" s="34" t="str">
        <f aca="true">IF($H1569="","(chưa có nội dung)",IF($L1569="",IF($C1569&lt;TODAY(),"⚠ TRỄ HỌC",IF($C1569=TODAY(),"★ HỌC HÔM NAY","• Chưa tới")),IF($R1569&gt;=5,"✔ MASTER",IF($S1569&lt;TODAY(),"⚠ TRỄ ÔN",IF($S1569=TODAY(),"◆ ÔN HÔM NAY","✔ Đúng tiến độ")))))</f>
        <v>• Chưa tới</v>
      </c>
      <c r="U1569" s="38" t="n">
        <f aca="false">IF($H1569="","",$R1569/5)</f>
        <v>0</v>
      </c>
    </row>
    <row r="1570" customFormat="false" ht="15" hidden="false" customHeight="false" outlineLevel="0" collapsed="false">
      <c r="A1570" s="31" t="s">
        <v>9318</v>
      </c>
      <c r="B1570" s="31" t="n">
        <v>79</v>
      </c>
      <c r="C1570" s="32" t="n">
        <f aca="false">SETTINGS!$C$3+$B1570-1</f>
        <v>46378</v>
      </c>
      <c r="D1570" s="41" t="s">
        <v>7168</v>
      </c>
      <c r="E1570" s="34" t="s">
        <v>9277</v>
      </c>
      <c r="F1570" s="34" t="s">
        <v>3656</v>
      </c>
      <c r="G1570" s="34" t="s">
        <v>9319</v>
      </c>
      <c r="H1570" s="35" t="s">
        <v>9320</v>
      </c>
      <c r="I1570" s="36" t="s">
        <v>9321</v>
      </c>
      <c r="J1570" s="34" t="s">
        <v>9322</v>
      </c>
      <c r="K1570" s="34" t="s">
        <v>9323</v>
      </c>
      <c r="L1570" s="37"/>
      <c r="M1570" s="37"/>
      <c r="N1570" s="37"/>
      <c r="O1570" s="37"/>
      <c r="P1570" s="37"/>
      <c r="Q1570" s="37"/>
      <c r="R1570" s="31" t="n">
        <f aca="false">COUNT($M1570:$Q1570)</f>
        <v>0</v>
      </c>
      <c r="S1570" s="32" t="str">
        <f aca="false">IF($L1570="","",IF($R1570&gt;=5,"",MAX($L1570:$Q1570)+CHOOSE($R1570+1,SETTINGS!$C$9,SETTINGS!$C$10,SETTINGS!$C$11,SETTINGS!$C$12,SETTINGS!$C$13)))</f>
        <v/>
      </c>
      <c r="T1570" s="34" t="str">
        <f aca="true">IF($H1570="","(chưa có nội dung)",IF($L1570="",IF($C1570&lt;TODAY(),"⚠ TRỄ HỌC",IF($C1570=TODAY(),"★ HỌC HÔM NAY","• Chưa tới")),IF($R1570&gt;=5,"✔ MASTER",IF($S1570&lt;TODAY(),"⚠ TRỄ ÔN",IF($S1570=TODAY(),"◆ ÔN HÔM NAY","✔ Đúng tiến độ")))))</f>
        <v>• Chưa tới</v>
      </c>
      <c r="U1570" s="38" t="n">
        <f aca="false">IF($H1570="","",$R1570/5)</f>
        <v>0</v>
      </c>
    </row>
    <row r="1571" customFormat="false" ht="15" hidden="false" customHeight="false" outlineLevel="0" collapsed="false">
      <c r="A1571" s="31" t="s">
        <v>9324</v>
      </c>
      <c r="B1571" s="31" t="n">
        <v>79</v>
      </c>
      <c r="C1571" s="32" t="n">
        <f aca="false">SETTINGS!$C$3+$B1571-1</f>
        <v>46378</v>
      </c>
      <c r="D1571" s="41" t="s">
        <v>7168</v>
      </c>
      <c r="E1571" s="34" t="s">
        <v>9277</v>
      </c>
      <c r="F1571" s="34" t="s">
        <v>280</v>
      </c>
      <c r="G1571" s="34" t="s">
        <v>9325</v>
      </c>
      <c r="H1571" s="35" t="s">
        <v>9326</v>
      </c>
      <c r="I1571" s="36" t="s">
        <v>9327</v>
      </c>
      <c r="J1571" s="34" t="s">
        <v>9328</v>
      </c>
      <c r="K1571" s="34" t="s">
        <v>9329</v>
      </c>
      <c r="L1571" s="37"/>
      <c r="M1571" s="37"/>
      <c r="N1571" s="37"/>
      <c r="O1571" s="37"/>
      <c r="P1571" s="37"/>
      <c r="Q1571" s="37"/>
      <c r="R1571" s="31" t="n">
        <f aca="false">COUNT($M1571:$Q1571)</f>
        <v>0</v>
      </c>
      <c r="S1571" s="32" t="str">
        <f aca="false">IF($L1571="","",IF($R1571&gt;=5,"",MAX($L1571:$Q1571)+CHOOSE($R1571+1,SETTINGS!$C$9,SETTINGS!$C$10,SETTINGS!$C$11,SETTINGS!$C$12,SETTINGS!$C$13)))</f>
        <v/>
      </c>
      <c r="T1571" s="34" t="str">
        <f aca="true">IF($H1571="","(chưa có nội dung)",IF($L1571="",IF($C1571&lt;TODAY(),"⚠ TRỄ HỌC",IF($C1571=TODAY(),"★ HỌC HÔM NAY","• Chưa tới")),IF($R1571&gt;=5,"✔ MASTER",IF($S1571&lt;TODAY(),"⚠ TRỄ ÔN",IF($S1571=TODAY(),"◆ ÔN HÔM NAY","✔ Đúng tiến độ")))))</f>
        <v>• Chưa tới</v>
      </c>
      <c r="U1571" s="38" t="n">
        <f aca="false">IF($H1571="","",$R1571/5)</f>
        <v>0</v>
      </c>
    </row>
    <row r="1572" customFormat="false" ht="15" hidden="false" customHeight="false" outlineLevel="0" collapsed="false">
      <c r="A1572" s="31" t="s">
        <v>9330</v>
      </c>
      <c r="B1572" s="31" t="n">
        <v>79</v>
      </c>
      <c r="C1572" s="32" t="n">
        <f aca="false">SETTINGS!$C$3+$B1572-1</f>
        <v>46378</v>
      </c>
      <c r="D1572" s="41" t="s">
        <v>7168</v>
      </c>
      <c r="E1572" s="34" t="s">
        <v>9277</v>
      </c>
      <c r="F1572" s="34" t="s">
        <v>280</v>
      </c>
      <c r="G1572" s="34" t="s">
        <v>9331</v>
      </c>
      <c r="H1572" s="35" t="s">
        <v>9332</v>
      </c>
      <c r="I1572" s="36" t="s">
        <v>9333</v>
      </c>
      <c r="J1572" s="34" t="s">
        <v>9334</v>
      </c>
      <c r="K1572" s="34" t="s">
        <v>9335</v>
      </c>
      <c r="L1572" s="37"/>
      <c r="M1572" s="37"/>
      <c r="N1572" s="37"/>
      <c r="O1572" s="37"/>
      <c r="P1572" s="37"/>
      <c r="Q1572" s="37"/>
      <c r="R1572" s="31" t="n">
        <f aca="false">COUNT($M1572:$Q1572)</f>
        <v>0</v>
      </c>
      <c r="S1572" s="32" t="str">
        <f aca="false">IF($L1572="","",IF($R1572&gt;=5,"",MAX($L1572:$Q1572)+CHOOSE($R1572+1,SETTINGS!$C$9,SETTINGS!$C$10,SETTINGS!$C$11,SETTINGS!$C$12,SETTINGS!$C$13)))</f>
        <v/>
      </c>
      <c r="T1572" s="34" t="str">
        <f aca="true">IF($H1572="","(chưa có nội dung)",IF($L1572="",IF($C1572&lt;TODAY(),"⚠ TRỄ HỌC",IF($C1572=TODAY(),"★ HỌC HÔM NAY","• Chưa tới")),IF($R1572&gt;=5,"✔ MASTER",IF($S1572&lt;TODAY(),"⚠ TRỄ ÔN",IF($S1572=TODAY(),"◆ ÔN HÔM NAY","✔ Đúng tiến độ")))))</f>
        <v>• Chưa tới</v>
      </c>
      <c r="U1572" s="38" t="n">
        <f aca="false">IF($H1572="","",$R1572/5)</f>
        <v>0</v>
      </c>
    </row>
    <row r="1573" customFormat="false" ht="15" hidden="false" customHeight="false" outlineLevel="0" collapsed="false">
      <c r="A1573" s="31" t="s">
        <v>9336</v>
      </c>
      <c r="B1573" s="31" t="n">
        <v>79</v>
      </c>
      <c r="C1573" s="32" t="n">
        <f aca="false">SETTINGS!$C$3+$B1573-1</f>
        <v>46378</v>
      </c>
      <c r="D1573" s="41" t="s">
        <v>7168</v>
      </c>
      <c r="E1573" s="34" t="s">
        <v>9277</v>
      </c>
      <c r="F1573" s="34" t="s">
        <v>280</v>
      </c>
      <c r="G1573" s="34" t="s">
        <v>9337</v>
      </c>
      <c r="H1573" s="35" t="s">
        <v>9338</v>
      </c>
      <c r="I1573" s="36" t="s">
        <v>9339</v>
      </c>
      <c r="J1573" s="34" t="s">
        <v>9340</v>
      </c>
      <c r="K1573" s="34" t="s">
        <v>9341</v>
      </c>
      <c r="L1573" s="37"/>
      <c r="M1573" s="37"/>
      <c r="N1573" s="37"/>
      <c r="O1573" s="37"/>
      <c r="P1573" s="37"/>
      <c r="Q1573" s="37"/>
      <c r="R1573" s="31" t="n">
        <f aca="false">COUNT($M1573:$Q1573)</f>
        <v>0</v>
      </c>
      <c r="S1573" s="32" t="str">
        <f aca="false">IF($L1573="","",IF($R1573&gt;=5,"",MAX($L1573:$Q1573)+CHOOSE($R1573+1,SETTINGS!$C$9,SETTINGS!$C$10,SETTINGS!$C$11,SETTINGS!$C$12,SETTINGS!$C$13)))</f>
        <v/>
      </c>
      <c r="T1573" s="34" t="str">
        <f aca="true">IF($H1573="","(chưa có nội dung)",IF($L1573="",IF($C1573&lt;TODAY(),"⚠ TRỄ HỌC",IF($C1573=TODAY(),"★ HỌC HÔM NAY","• Chưa tới")),IF($R1573&gt;=5,"✔ MASTER",IF($S1573&lt;TODAY(),"⚠ TRỄ ÔN",IF($S1573=TODAY(),"◆ ÔN HÔM NAY","✔ Đúng tiến độ")))))</f>
        <v>• Chưa tới</v>
      </c>
      <c r="U1573" s="38" t="n">
        <f aca="false">IF($H1573="","",$R1573/5)</f>
        <v>0</v>
      </c>
    </row>
    <row r="1574" customFormat="false" ht="15" hidden="false" customHeight="false" outlineLevel="0" collapsed="false">
      <c r="A1574" s="31" t="s">
        <v>9342</v>
      </c>
      <c r="B1574" s="31" t="n">
        <v>79</v>
      </c>
      <c r="C1574" s="32" t="n">
        <f aca="false">SETTINGS!$C$3+$B1574-1</f>
        <v>46378</v>
      </c>
      <c r="D1574" s="41" t="s">
        <v>7168</v>
      </c>
      <c r="E1574" s="34" t="s">
        <v>9277</v>
      </c>
      <c r="F1574" s="34" t="s">
        <v>280</v>
      </c>
      <c r="G1574" s="34" t="s">
        <v>9343</v>
      </c>
      <c r="H1574" s="35" t="s">
        <v>9344</v>
      </c>
      <c r="I1574" s="36" t="s">
        <v>9345</v>
      </c>
      <c r="J1574" s="34" t="s">
        <v>9346</v>
      </c>
      <c r="K1574" s="34" t="s">
        <v>9347</v>
      </c>
      <c r="L1574" s="37"/>
      <c r="M1574" s="37"/>
      <c r="N1574" s="37"/>
      <c r="O1574" s="37"/>
      <c r="P1574" s="37"/>
      <c r="Q1574" s="37"/>
      <c r="R1574" s="31" t="n">
        <f aca="false">COUNT($M1574:$Q1574)</f>
        <v>0</v>
      </c>
      <c r="S1574" s="32" t="str">
        <f aca="false">IF($L1574="","",IF($R1574&gt;=5,"",MAX($L1574:$Q1574)+CHOOSE($R1574+1,SETTINGS!$C$9,SETTINGS!$C$10,SETTINGS!$C$11,SETTINGS!$C$12,SETTINGS!$C$13)))</f>
        <v/>
      </c>
      <c r="T1574" s="34" t="str">
        <f aca="true">IF($H1574="","(chưa có nội dung)",IF($L1574="",IF($C1574&lt;TODAY(),"⚠ TRỄ HỌC",IF($C1574=TODAY(),"★ HỌC HÔM NAY","• Chưa tới")),IF($R1574&gt;=5,"✔ MASTER",IF($S1574&lt;TODAY(),"⚠ TRỄ ÔN",IF($S1574=TODAY(),"◆ ÔN HÔM NAY","✔ Đúng tiến độ")))))</f>
        <v>• Chưa tới</v>
      </c>
      <c r="U1574" s="38" t="n">
        <f aca="false">IF($H1574="","",$R1574/5)</f>
        <v>0</v>
      </c>
    </row>
    <row r="1575" customFormat="false" ht="15" hidden="false" customHeight="false" outlineLevel="0" collapsed="false">
      <c r="A1575" s="31" t="s">
        <v>9348</v>
      </c>
      <c r="B1575" s="31" t="n">
        <v>79</v>
      </c>
      <c r="C1575" s="32" t="n">
        <f aca="false">SETTINGS!$C$3+$B1575-1</f>
        <v>46378</v>
      </c>
      <c r="D1575" s="41" t="s">
        <v>7168</v>
      </c>
      <c r="E1575" s="34" t="s">
        <v>9277</v>
      </c>
      <c r="F1575" s="34" t="s">
        <v>280</v>
      </c>
      <c r="G1575" s="34" t="s">
        <v>9349</v>
      </c>
      <c r="H1575" s="35" t="s">
        <v>9350</v>
      </c>
      <c r="I1575" s="36" t="s">
        <v>9351</v>
      </c>
      <c r="J1575" s="34" t="s">
        <v>9352</v>
      </c>
      <c r="K1575" s="34" t="s">
        <v>9353</v>
      </c>
      <c r="L1575" s="37"/>
      <c r="M1575" s="37"/>
      <c r="N1575" s="37"/>
      <c r="O1575" s="37"/>
      <c r="P1575" s="37"/>
      <c r="Q1575" s="37"/>
      <c r="R1575" s="31" t="n">
        <f aca="false">COUNT($M1575:$Q1575)</f>
        <v>0</v>
      </c>
      <c r="S1575" s="32" t="str">
        <f aca="false">IF($L1575="","",IF($R1575&gt;=5,"",MAX($L1575:$Q1575)+CHOOSE($R1575+1,SETTINGS!$C$9,SETTINGS!$C$10,SETTINGS!$C$11,SETTINGS!$C$12,SETTINGS!$C$13)))</f>
        <v/>
      </c>
      <c r="T1575" s="34" t="str">
        <f aca="true">IF($H1575="","(chưa có nội dung)",IF($L1575="",IF($C1575&lt;TODAY(),"⚠ TRỄ HỌC",IF($C1575=TODAY(),"★ HỌC HÔM NAY","• Chưa tới")),IF($R1575&gt;=5,"✔ MASTER",IF($S1575&lt;TODAY(),"⚠ TRỄ ÔN",IF($S1575=TODAY(),"◆ ÔN HÔM NAY","✔ Đúng tiến độ")))))</f>
        <v>• Chưa tới</v>
      </c>
      <c r="U1575" s="38" t="n">
        <f aca="false">IF($H1575="","",$R1575/5)</f>
        <v>0</v>
      </c>
    </row>
    <row r="1576" customFormat="false" ht="15" hidden="false" customHeight="false" outlineLevel="0" collapsed="false">
      <c r="A1576" s="31" t="s">
        <v>9354</v>
      </c>
      <c r="B1576" s="31" t="n">
        <v>79</v>
      </c>
      <c r="C1576" s="32" t="n">
        <f aca="false">SETTINGS!$C$3+$B1576-1</f>
        <v>46378</v>
      </c>
      <c r="D1576" s="41" t="s">
        <v>7168</v>
      </c>
      <c r="E1576" s="34" t="s">
        <v>9277</v>
      </c>
      <c r="F1576" s="34" t="s">
        <v>280</v>
      </c>
      <c r="G1576" s="34" t="s">
        <v>9355</v>
      </c>
      <c r="H1576" s="35" t="s">
        <v>9356</v>
      </c>
      <c r="I1576" s="36" t="s">
        <v>9357</v>
      </c>
      <c r="J1576" s="34" t="s">
        <v>9358</v>
      </c>
      <c r="K1576" s="34" t="s">
        <v>9359</v>
      </c>
      <c r="L1576" s="37"/>
      <c r="M1576" s="37"/>
      <c r="N1576" s="37"/>
      <c r="O1576" s="37"/>
      <c r="P1576" s="37"/>
      <c r="Q1576" s="37"/>
      <c r="R1576" s="31" t="n">
        <f aca="false">COUNT($M1576:$Q1576)</f>
        <v>0</v>
      </c>
      <c r="S1576" s="32" t="str">
        <f aca="false">IF($L1576="","",IF($R1576&gt;=5,"",MAX($L1576:$Q1576)+CHOOSE($R1576+1,SETTINGS!$C$9,SETTINGS!$C$10,SETTINGS!$C$11,SETTINGS!$C$12,SETTINGS!$C$13)))</f>
        <v/>
      </c>
      <c r="T1576" s="34" t="str">
        <f aca="true">IF($H1576="","(chưa có nội dung)",IF($L1576="",IF($C1576&lt;TODAY(),"⚠ TRỄ HỌC",IF($C1576=TODAY(),"★ HỌC HÔM NAY","• Chưa tới")),IF($R1576&gt;=5,"✔ MASTER",IF($S1576&lt;TODAY(),"⚠ TRỄ ÔN",IF($S1576=TODAY(),"◆ ÔN HÔM NAY","✔ Đúng tiến độ")))))</f>
        <v>• Chưa tới</v>
      </c>
      <c r="U1576" s="38" t="n">
        <f aca="false">IF($H1576="","",$R1576/5)</f>
        <v>0</v>
      </c>
    </row>
    <row r="1577" customFormat="false" ht="15" hidden="false" customHeight="false" outlineLevel="0" collapsed="false">
      <c r="A1577" s="31" t="s">
        <v>9360</v>
      </c>
      <c r="B1577" s="31" t="n">
        <v>79</v>
      </c>
      <c r="C1577" s="32" t="n">
        <f aca="false">SETTINGS!$C$3+$B1577-1</f>
        <v>46378</v>
      </c>
      <c r="D1577" s="41" t="s">
        <v>7168</v>
      </c>
      <c r="E1577" s="34" t="s">
        <v>9277</v>
      </c>
      <c r="F1577" s="34" t="s">
        <v>280</v>
      </c>
      <c r="G1577" s="34" t="s">
        <v>9361</v>
      </c>
      <c r="H1577" s="35" t="s">
        <v>9362</v>
      </c>
      <c r="I1577" s="36" t="s">
        <v>9363</v>
      </c>
      <c r="J1577" s="34" t="s">
        <v>9364</v>
      </c>
      <c r="K1577" s="34" t="s">
        <v>9365</v>
      </c>
      <c r="L1577" s="37"/>
      <c r="M1577" s="37"/>
      <c r="N1577" s="37"/>
      <c r="O1577" s="37"/>
      <c r="P1577" s="37"/>
      <c r="Q1577" s="37"/>
      <c r="R1577" s="31" t="n">
        <f aca="false">COUNT($M1577:$Q1577)</f>
        <v>0</v>
      </c>
      <c r="S1577" s="32" t="str">
        <f aca="false">IF($L1577="","",IF($R1577&gt;=5,"",MAX($L1577:$Q1577)+CHOOSE($R1577+1,SETTINGS!$C$9,SETTINGS!$C$10,SETTINGS!$C$11,SETTINGS!$C$12,SETTINGS!$C$13)))</f>
        <v/>
      </c>
      <c r="T1577" s="34" t="str">
        <f aca="true">IF($H1577="","(chưa có nội dung)",IF($L1577="",IF($C1577&lt;TODAY(),"⚠ TRỄ HỌC",IF($C1577=TODAY(),"★ HỌC HÔM NAY","• Chưa tới")),IF($R1577&gt;=5,"✔ MASTER",IF($S1577&lt;TODAY(),"⚠ TRỄ ÔN",IF($S1577=TODAY(),"◆ ÔN HÔM NAY","✔ Đúng tiến độ")))))</f>
        <v>• Chưa tới</v>
      </c>
      <c r="U1577" s="38" t="n">
        <f aca="false">IF($H1577="","",$R1577/5)</f>
        <v>0</v>
      </c>
    </row>
    <row r="1578" customFormat="false" ht="15" hidden="false" customHeight="false" outlineLevel="0" collapsed="false">
      <c r="A1578" s="31" t="s">
        <v>9366</v>
      </c>
      <c r="B1578" s="31" t="n">
        <v>79</v>
      </c>
      <c r="C1578" s="32" t="n">
        <f aca="false">SETTINGS!$C$3+$B1578-1</f>
        <v>46378</v>
      </c>
      <c r="D1578" s="41" t="s">
        <v>7168</v>
      </c>
      <c r="E1578" s="34" t="s">
        <v>9277</v>
      </c>
      <c r="F1578" s="34" t="s">
        <v>280</v>
      </c>
      <c r="G1578" s="34" t="s">
        <v>9367</v>
      </c>
      <c r="H1578" s="35" t="s">
        <v>9368</v>
      </c>
      <c r="I1578" s="36" t="s">
        <v>9369</v>
      </c>
      <c r="J1578" s="34" t="s">
        <v>9370</v>
      </c>
      <c r="K1578" s="34" t="s">
        <v>9371</v>
      </c>
      <c r="L1578" s="37"/>
      <c r="M1578" s="37"/>
      <c r="N1578" s="37"/>
      <c r="O1578" s="37"/>
      <c r="P1578" s="37"/>
      <c r="Q1578" s="37"/>
      <c r="R1578" s="31" t="n">
        <f aca="false">COUNT($M1578:$Q1578)</f>
        <v>0</v>
      </c>
      <c r="S1578" s="32" t="str">
        <f aca="false">IF($L1578="","",IF($R1578&gt;=5,"",MAX($L1578:$Q1578)+CHOOSE($R1578+1,SETTINGS!$C$9,SETTINGS!$C$10,SETTINGS!$C$11,SETTINGS!$C$12,SETTINGS!$C$13)))</f>
        <v/>
      </c>
      <c r="T1578" s="34" t="str">
        <f aca="true">IF($H1578="","(chưa có nội dung)",IF($L1578="",IF($C1578&lt;TODAY(),"⚠ TRỄ HỌC",IF($C1578=TODAY(),"★ HỌC HÔM NAY","• Chưa tới")),IF($R1578&gt;=5,"✔ MASTER",IF($S1578&lt;TODAY(),"⚠ TRỄ ÔN",IF($S1578=TODAY(),"◆ ÔN HÔM NAY","✔ Đúng tiến độ")))))</f>
        <v>• Chưa tới</v>
      </c>
      <c r="U1578" s="38" t="n">
        <f aca="false">IF($H1578="","",$R1578/5)</f>
        <v>0</v>
      </c>
    </row>
    <row r="1579" customFormat="false" ht="15" hidden="false" customHeight="false" outlineLevel="0" collapsed="false">
      <c r="A1579" s="31" t="s">
        <v>9372</v>
      </c>
      <c r="B1579" s="31" t="n">
        <v>79</v>
      </c>
      <c r="C1579" s="32" t="n">
        <f aca="false">SETTINGS!$C$3+$B1579-1</f>
        <v>46378</v>
      </c>
      <c r="D1579" s="41" t="s">
        <v>7168</v>
      </c>
      <c r="E1579" s="34" t="s">
        <v>9277</v>
      </c>
      <c r="F1579" s="34" t="s">
        <v>280</v>
      </c>
      <c r="G1579" s="34" t="s">
        <v>9373</v>
      </c>
      <c r="H1579" s="35" t="s">
        <v>9374</v>
      </c>
      <c r="I1579" s="36" t="s">
        <v>9375</v>
      </c>
      <c r="J1579" s="34" t="s">
        <v>9376</v>
      </c>
      <c r="K1579" s="34" t="s">
        <v>9377</v>
      </c>
      <c r="L1579" s="37"/>
      <c r="M1579" s="37"/>
      <c r="N1579" s="37"/>
      <c r="O1579" s="37"/>
      <c r="P1579" s="37"/>
      <c r="Q1579" s="37"/>
      <c r="R1579" s="31" t="n">
        <f aca="false">COUNT($M1579:$Q1579)</f>
        <v>0</v>
      </c>
      <c r="S1579" s="32" t="str">
        <f aca="false">IF($L1579="","",IF($R1579&gt;=5,"",MAX($L1579:$Q1579)+CHOOSE($R1579+1,SETTINGS!$C$9,SETTINGS!$C$10,SETTINGS!$C$11,SETTINGS!$C$12,SETTINGS!$C$13)))</f>
        <v/>
      </c>
      <c r="T1579" s="34" t="str">
        <f aca="true">IF($H1579="","(chưa có nội dung)",IF($L1579="",IF($C1579&lt;TODAY(),"⚠ TRỄ HỌC",IF($C1579=TODAY(),"★ HỌC HÔM NAY","• Chưa tới")),IF($R1579&gt;=5,"✔ MASTER",IF($S1579&lt;TODAY(),"⚠ TRỄ ÔN",IF($S1579=TODAY(),"◆ ÔN HÔM NAY","✔ Đúng tiến độ")))))</f>
        <v>• Chưa tới</v>
      </c>
      <c r="U1579" s="38" t="n">
        <f aca="false">IF($H1579="","",$R1579/5)</f>
        <v>0</v>
      </c>
    </row>
    <row r="1580" customFormat="false" ht="15" hidden="false" customHeight="false" outlineLevel="0" collapsed="false">
      <c r="A1580" s="31" t="s">
        <v>9378</v>
      </c>
      <c r="B1580" s="31" t="n">
        <v>79</v>
      </c>
      <c r="C1580" s="32" t="n">
        <f aca="false">SETTINGS!$C$3+$B1580-1</f>
        <v>46378</v>
      </c>
      <c r="D1580" s="41" t="s">
        <v>7168</v>
      </c>
      <c r="E1580" s="34" t="s">
        <v>9277</v>
      </c>
      <c r="F1580" s="34" t="s">
        <v>4047</v>
      </c>
      <c r="G1580" s="34" t="s">
        <v>9379</v>
      </c>
      <c r="H1580" s="35" t="s">
        <v>9380</v>
      </c>
      <c r="I1580" s="36" t="s">
        <v>9381</v>
      </c>
      <c r="J1580" s="34" t="s">
        <v>9382</v>
      </c>
      <c r="K1580" s="34" t="s">
        <v>9383</v>
      </c>
      <c r="L1580" s="37"/>
      <c r="M1580" s="37"/>
      <c r="N1580" s="37"/>
      <c r="O1580" s="37"/>
      <c r="P1580" s="37"/>
      <c r="Q1580" s="37"/>
      <c r="R1580" s="31" t="n">
        <f aca="false">COUNT($M1580:$Q1580)</f>
        <v>0</v>
      </c>
      <c r="S1580" s="32" t="str">
        <f aca="false">IF($L1580="","",IF($R1580&gt;=5,"",MAX($L1580:$Q1580)+CHOOSE($R1580+1,SETTINGS!$C$9,SETTINGS!$C$10,SETTINGS!$C$11,SETTINGS!$C$12,SETTINGS!$C$13)))</f>
        <v/>
      </c>
      <c r="T1580" s="34" t="str">
        <f aca="true">IF($H1580="","(chưa có nội dung)",IF($L1580="",IF($C1580&lt;TODAY(),"⚠ TRỄ HỌC",IF($C1580=TODAY(),"★ HỌC HÔM NAY","• Chưa tới")),IF($R1580&gt;=5,"✔ MASTER",IF($S1580&lt;TODAY(),"⚠ TRỄ ÔN",IF($S1580=TODAY(),"◆ ÔN HÔM NAY","✔ Đúng tiến độ")))))</f>
        <v>• Chưa tới</v>
      </c>
      <c r="U1580" s="38" t="n">
        <f aca="false">IF($H1580="","",$R1580/5)</f>
        <v>0</v>
      </c>
    </row>
    <row r="1581" customFormat="false" ht="15" hidden="false" customHeight="false" outlineLevel="0" collapsed="false">
      <c r="A1581" s="31" t="s">
        <v>9384</v>
      </c>
      <c r="B1581" s="31" t="n">
        <v>79</v>
      </c>
      <c r="C1581" s="32" t="n">
        <f aca="false">SETTINGS!$C$3+$B1581-1</f>
        <v>46378</v>
      </c>
      <c r="D1581" s="41" t="s">
        <v>7168</v>
      </c>
      <c r="E1581" s="34" t="s">
        <v>9277</v>
      </c>
      <c r="F1581" s="34" t="s">
        <v>280</v>
      </c>
      <c r="G1581" s="34" t="s">
        <v>9385</v>
      </c>
      <c r="H1581" s="35" t="s">
        <v>9386</v>
      </c>
      <c r="I1581" s="36" t="s">
        <v>9387</v>
      </c>
      <c r="J1581" s="34" t="s">
        <v>9388</v>
      </c>
      <c r="K1581" s="34" t="s">
        <v>9389</v>
      </c>
      <c r="L1581" s="37"/>
      <c r="M1581" s="37"/>
      <c r="N1581" s="37"/>
      <c r="O1581" s="37"/>
      <c r="P1581" s="37"/>
      <c r="Q1581" s="37"/>
      <c r="R1581" s="31" t="n">
        <f aca="false">COUNT($M1581:$Q1581)</f>
        <v>0</v>
      </c>
      <c r="S1581" s="32" t="str">
        <f aca="false">IF($L1581="","",IF($R1581&gt;=5,"",MAX($L1581:$Q1581)+CHOOSE($R1581+1,SETTINGS!$C$9,SETTINGS!$C$10,SETTINGS!$C$11,SETTINGS!$C$12,SETTINGS!$C$13)))</f>
        <v/>
      </c>
      <c r="T1581" s="34" t="str">
        <f aca="true">IF($H1581="","(chưa có nội dung)",IF($L1581="",IF($C1581&lt;TODAY(),"⚠ TRỄ HỌC",IF($C1581=TODAY(),"★ HỌC HÔM NAY","• Chưa tới")),IF($R1581&gt;=5,"✔ MASTER",IF($S1581&lt;TODAY(),"⚠ TRỄ ÔN",IF($S1581=TODAY(),"◆ ÔN HÔM NAY","✔ Đúng tiến độ")))))</f>
        <v>• Chưa tới</v>
      </c>
      <c r="U1581" s="38" t="n">
        <f aca="false">IF($H1581="","",$R1581/5)</f>
        <v>0</v>
      </c>
    </row>
    <row r="1582" customFormat="false" ht="15" hidden="false" customHeight="false" outlineLevel="0" collapsed="false">
      <c r="A1582" s="31" t="s">
        <v>9390</v>
      </c>
      <c r="B1582" s="31" t="n">
        <v>79</v>
      </c>
      <c r="C1582" s="32" t="n">
        <f aca="false">SETTINGS!$C$3+$B1582-1</f>
        <v>46378</v>
      </c>
      <c r="D1582" s="41" t="s">
        <v>7168</v>
      </c>
      <c r="E1582" s="34" t="s">
        <v>9277</v>
      </c>
      <c r="F1582" s="34" t="s">
        <v>280</v>
      </c>
      <c r="G1582" s="34" t="s">
        <v>9391</v>
      </c>
      <c r="H1582" s="35" t="s">
        <v>9392</v>
      </c>
      <c r="I1582" s="36" t="s">
        <v>9393</v>
      </c>
      <c r="J1582" s="34" t="s">
        <v>9394</v>
      </c>
      <c r="K1582" s="34" t="s">
        <v>9395</v>
      </c>
      <c r="L1582" s="37"/>
      <c r="M1582" s="37"/>
      <c r="N1582" s="37"/>
      <c r="O1582" s="37"/>
      <c r="P1582" s="37"/>
      <c r="Q1582" s="37"/>
      <c r="R1582" s="31" t="n">
        <f aca="false">COUNT($M1582:$Q1582)</f>
        <v>0</v>
      </c>
      <c r="S1582" s="32" t="str">
        <f aca="false">IF($L1582="","",IF($R1582&gt;=5,"",MAX($L1582:$Q1582)+CHOOSE($R1582+1,SETTINGS!$C$9,SETTINGS!$C$10,SETTINGS!$C$11,SETTINGS!$C$12,SETTINGS!$C$13)))</f>
        <v/>
      </c>
      <c r="T1582" s="34" t="str">
        <f aca="true">IF($H1582="","(chưa có nội dung)",IF($L1582="",IF($C1582&lt;TODAY(),"⚠ TRỄ HỌC",IF($C1582=TODAY(),"★ HỌC HÔM NAY","• Chưa tới")),IF($R1582&gt;=5,"✔ MASTER",IF($S1582&lt;TODAY(),"⚠ TRỄ ÔN",IF($S1582=TODAY(),"◆ ÔN HÔM NAY","✔ Đúng tiến độ")))))</f>
        <v>• Chưa tới</v>
      </c>
      <c r="U1582" s="38" t="n">
        <f aca="false">IF($H1582="","",$R1582/5)</f>
        <v>0</v>
      </c>
    </row>
    <row r="1583" customFormat="false" ht="26.85" hidden="false" customHeight="false" outlineLevel="0" collapsed="false">
      <c r="A1583" s="31" t="s">
        <v>9396</v>
      </c>
      <c r="B1583" s="31" t="n">
        <v>80</v>
      </c>
      <c r="C1583" s="32" t="n">
        <f aca="false">SETTINGS!$C$3+$B1583-1</f>
        <v>46379</v>
      </c>
      <c r="D1583" s="41" t="s">
        <v>7168</v>
      </c>
      <c r="E1583" s="34" t="s">
        <v>9397</v>
      </c>
      <c r="F1583" s="34" t="s">
        <v>3656</v>
      </c>
      <c r="G1583" s="34" t="s">
        <v>9398</v>
      </c>
      <c r="H1583" s="35" t="s">
        <v>9399</v>
      </c>
      <c r="I1583" s="36" t="s">
        <v>9400</v>
      </c>
      <c r="J1583" s="34" t="s">
        <v>9401</v>
      </c>
      <c r="K1583" s="34" t="s">
        <v>9402</v>
      </c>
      <c r="L1583" s="37"/>
      <c r="M1583" s="37"/>
      <c r="N1583" s="37"/>
      <c r="O1583" s="37"/>
      <c r="P1583" s="37"/>
      <c r="Q1583" s="37"/>
      <c r="R1583" s="31" t="n">
        <f aca="false">COUNT($M1583:$Q1583)</f>
        <v>0</v>
      </c>
      <c r="S1583" s="32" t="str">
        <f aca="false">IF($L1583="","",IF($R1583&gt;=5,"",MAX($L1583:$Q1583)+CHOOSE($R1583+1,SETTINGS!$C$9,SETTINGS!$C$10,SETTINGS!$C$11,SETTINGS!$C$12,SETTINGS!$C$13)))</f>
        <v/>
      </c>
      <c r="T1583" s="34" t="str">
        <f aca="true">IF($H1583="","(chưa có nội dung)",IF($L1583="",IF($C1583&lt;TODAY(),"⚠ TRỄ HỌC",IF($C1583=TODAY(),"★ HỌC HÔM NAY","• Chưa tới")),IF($R1583&gt;=5,"✔ MASTER",IF($S1583&lt;TODAY(),"⚠ TRỄ ÔN",IF($S1583=TODAY(),"◆ ÔN HÔM NAY","✔ Đúng tiến độ")))))</f>
        <v>• Chưa tới</v>
      </c>
      <c r="U1583" s="38" t="n">
        <f aca="false">IF($H1583="","",$R1583/5)</f>
        <v>0</v>
      </c>
    </row>
    <row r="1584" customFormat="false" ht="15" hidden="false" customHeight="false" outlineLevel="0" collapsed="false">
      <c r="A1584" s="31" t="s">
        <v>9403</v>
      </c>
      <c r="B1584" s="31" t="n">
        <v>80</v>
      </c>
      <c r="C1584" s="32" t="n">
        <f aca="false">SETTINGS!$C$3+$B1584-1</f>
        <v>46379</v>
      </c>
      <c r="D1584" s="41" t="s">
        <v>7168</v>
      </c>
      <c r="E1584" s="34" t="s">
        <v>9397</v>
      </c>
      <c r="F1584" s="34" t="s">
        <v>280</v>
      </c>
      <c r="G1584" s="34" t="s">
        <v>9404</v>
      </c>
      <c r="H1584" s="35" t="s">
        <v>9405</v>
      </c>
      <c r="I1584" s="36" t="s">
        <v>9406</v>
      </c>
      <c r="J1584" s="34" t="s">
        <v>9407</v>
      </c>
      <c r="K1584" s="34" t="s">
        <v>9408</v>
      </c>
      <c r="L1584" s="37"/>
      <c r="M1584" s="37"/>
      <c r="N1584" s="37"/>
      <c r="O1584" s="37"/>
      <c r="P1584" s="37"/>
      <c r="Q1584" s="37"/>
      <c r="R1584" s="31" t="n">
        <f aca="false">COUNT($M1584:$Q1584)</f>
        <v>0</v>
      </c>
      <c r="S1584" s="32" t="str">
        <f aca="false">IF($L1584="","",IF($R1584&gt;=5,"",MAX($L1584:$Q1584)+CHOOSE($R1584+1,SETTINGS!$C$9,SETTINGS!$C$10,SETTINGS!$C$11,SETTINGS!$C$12,SETTINGS!$C$13)))</f>
        <v/>
      </c>
      <c r="T1584" s="34" t="str">
        <f aca="true">IF($H1584="","(chưa có nội dung)",IF($L1584="",IF($C1584&lt;TODAY(),"⚠ TRỄ HỌC",IF($C1584=TODAY(),"★ HỌC HÔM NAY","• Chưa tới")),IF($R1584&gt;=5,"✔ MASTER",IF($S1584&lt;TODAY(),"⚠ TRỄ ÔN",IF($S1584=TODAY(),"◆ ÔN HÔM NAY","✔ Đúng tiến độ")))))</f>
        <v>• Chưa tới</v>
      </c>
      <c r="U1584" s="38" t="n">
        <f aca="false">IF($H1584="","",$R1584/5)</f>
        <v>0</v>
      </c>
    </row>
    <row r="1585" customFormat="false" ht="15" hidden="false" customHeight="false" outlineLevel="0" collapsed="false">
      <c r="A1585" s="31" t="s">
        <v>9409</v>
      </c>
      <c r="B1585" s="31" t="n">
        <v>80</v>
      </c>
      <c r="C1585" s="32" t="n">
        <f aca="false">SETTINGS!$C$3+$B1585-1</f>
        <v>46379</v>
      </c>
      <c r="D1585" s="41" t="s">
        <v>7168</v>
      </c>
      <c r="E1585" s="34" t="s">
        <v>9397</v>
      </c>
      <c r="F1585" s="34" t="s">
        <v>3656</v>
      </c>
      <c r="G1585" s="34" t="s">
        <v>6895</v>
      </c>
      <c r="H1585" s="35" t="s">
        <v>9410</v>
      </c>
      <c r="I1585" s="36" t="s">
        <v>9411</v>
      </c>
      <c r="J1585" s="34" t="s">
        <v>9412</v>
      </c>
      <c r="K1585" s="34" t="s">
        <v>9413</v>
      </c>
      <c r="L1585" s="37"/>
      <c r="M1585" s="37"/>
      <c r="N1585" s="37"/>
      <c r="O1585" s="37"/>
      <c r="P1585" s="37"/>
      <c r="Q1585" s="37"/>
      <c r="R1585" s="31" t="n">
        <f aca="false">COUNT($M1585:$Q1585)</f>
        <v>0</v>
      </c>
      <c r="S1585" s="32" t="str">
        <f aca="false">IF($L1585="","",IF($R1585&gt;=5,"",MAX($L1585:$Q1585)+CHOOSE($R1585+1,SETTINGS!$C$9,SETTINGS!$C$10,SETTINGS!$C$11,SETTINGS!$C$12,SETTINGS!$C$13)))</f>
        <v/>
      </c>
      <c r="T1585" s="34" t="str">
        <f aca="true">IF($H1585="","(chưa có nội dung)",IF($L1585="",IF($C1585&lt;TODAY(),"⚠ TRỄ HỌC",IF($C1585=TODAY(),"★ HỌC HÔM NAY","• Chưa tới")),IF($R1585&gt;=5,"✔ MASTER",IF($S1585&lt;TODAY(),"⚠ TRỄ ÔN",IF($S1585=TODAY(),"◆ ÔN HÔM NAY","✔ Đúng tiến độ")))))</f>
        <v>• Chưa tới</v>
      </c>
      <c r="U1585" s="38" t="n">
        <f aca="false">IF($H1585="","",$R1585/5)</f>
        <v>0</v>
      </c>
    </row>
    <row r="1586" customFormat="false" ht="26.85" hidden="false" customHeight="false" outlineLevel="0" collapsed="false">
      <c r="A1586" s="31" t="s">
        <v>9414</v>
      </c>
      <c r="B1586" s="31" t="n">
        <v>80</v>
      </c>
      <c r="C1586" s="32" t="n">
        <f aca="false">SETTINGS!$C$3+$B1586-1</f>
        <v>46379</v>
      </c>
      <c r="D1586" s="41" t="s">
        <v>7168</v>
      </c>
      <c r="E1586" s="34" t="s">
        <v>9397</v>
      </c>
      <c r="F1586" s="34" t="s">
        <v>280</v>
      </c>
      <c r="G1586" s="34" t="s">
        <v>9415</v>
      </c>
      <c r="H1586" s="35" t="s">
        <v>9416</v>
      </c>
      <c r="I1586" s="36" t="s">
        <v>9417</v>
      </c>
      <c r="J1586" s="34" t="s">
        <v>9418</v>
      </c>
      <c r="K1586" s="34" t="s">
        <v>9419</v>
      </c>
      <c r="L1586" s="37"/>
      <c r="M1586" s="37"/>
      <c r="N1586" s="37"/>
      <c r="O1586" s="37"/>
      <c r="P1586" s="37"/>
      <c r="Q1586" s="37"/>
      <c r="R1586" s="31" t="n">
        <f aca="false">COUNT($M1586:$Q1586)</f>
        <v>0</v>
      </c>
      <c r="S1586" s="32" t="str">
        <f aca="false">IF($L1586="","",IF($R1586&gt;=5,"",MAX($L1586:$Q1586)+CHOOSE($R1586+1,SETTINGS!$C$9,SETTINGS!$C$10,SETTINGS!$C$11,SETTINGS!$C$12,SETTINGS!$C$13)))</f>
        <v/>
      </c>
      <c r="T1586" s="34" t="str">
        <f aca="true">IF($H1586="","(chưa có nội dung)",IF($L1586="",IF($C1586&lt;TODAY(),"⚠ TRỄ HỌC",IF($C1586=TODAY(),"★ HỌC HÔM NAY","• Chưa tới")),IF($R1586&gt;=5,"✔ MASTER",IF($S1586&lt;TODAY(),"⚠ TRỄ ÔN",IF($S1586=TODAY(),"◆ ÔN HÔM NAY","✔ Đúng tiến độ")))))</f>
        <v>• Chưa tới</v>
      </c>
      <c r="U1586" s="38" t="n">
        <f aca="false">IF($H1586="","",$R1586/5)</f>
        <v>0</v>
      </c>
    </row>
    <row r="1587" customFormat="false" ht="23.85" hidden="false" customHeight="false" outlineLevel="0" collapsed="false">
      <c r="A1587" s="31" t="s">
        <v>9420</v>
      </c>
      <c r="B1587" s="31" t="n">
        <v>80</v>
      </c>
      <c r="C1587" s="32" t="n">
        <f aca="false">SETTINGS!$C$3+$B1587-1</f>
        <v>46379</v>
      </c>
      <c r="D1587" s="41" t="s">
        <v>7168</v>
      </c>
      <c r="E1587" s="34" t="s">
        <v>9397</v>
      </c>
      <c r="F1587" s="34" t="s">
        <v>183</v>
      </c>
      <c r="G1587" s="34" t="s">
        <v>9421</v>
      </c>
      <c r="H1587" s="35" t="s">
        <v>9422</v>
      </c>
      <c r="I1587" s="36" t="s">
        <v>9423</v>
      </c>
      <c r="J1587" s="34" t="s">
        <v>9424</v>
      </c>
      <c r="K1587" s="34" t="s">
        <v>9425</v>
      </c>
      <c r="L1587" s="37"/>
      <c r="M1587" s="37"/>
      <c r="N1587" s="37"/>
      <c r="O1587" s="37"/>
      <c r="P1587" s="37"/>
      <c r="Q1587" s="37"/>
      <c r="R1587" s="31" t="n">
        <f aca="false">COUNT($M1587:$Q1587)</f>
        <v>0</v>
      </c>
      <c r="S1587" s="32" t="str">
        <f aca="false">IF($L1587="","",IF($R1587&gt;=5,"",MAX($L1587:$Q1587)+CHOOSE($R1587+1,SETTINGS!$C$9,SETTINGS!$C$10,SETTINGS!$C$11,SETTINGS!$C$12,SETTINGS!$C$13)))</f>
        <v/>
      </c>
      <c r="T1587" s="34" t="str">
        <f aca="true">IF($H1587="","(chưa có nội dung)",IF($L1587="",IF($C1587&lt;TODAY(),"⚠ TRỄ HỌC",IF($C1587=TODAY(),"★ HỌC HÔM NAY","• Chưa tới")),IF($R1587&gt;=5,"✔ MASTER",IF($S1587&lt;TODAY(),"⚠ TRỄ ÔN",IF($S1587=TODAY(),"◆ ÔN HÔM NAY","✔ Đúng tiến độ")))))</f>
        <v>• Chưa tới</v>
      </c>
      <c r="U1587" s="38" t="n">
        <f aca="false">IF($H1587="","",$R1587/5)</f>
        <v>0</v>
      </c>
    </row>
    <row r="1588" customFormat="false" ht="15" hidden="false" customHeight="false" outlineLevel="0" collapsed="false">
      <c r="A1588" s="31" t="s">
        <v>9426</v>
      </c>
      <c r="B1588" s="31" t="n">
        <v>80</v>
      </c>
      <c r="C1588" s="32" t="n">
        <f aca="false">SETTINGS!$C$3+$B1588-1</f>
        <v>46379</v>
      </c>
      <c r="D1588" s="41" t="s">
        <v>7168</v>
      </c>
      <c r="E1588" s="34" t="s">
        <v>9397</v>
      </c>
      <c r="F1588" s="34" t="s">
        <v>183</v>
      </c>
      <c r="G1588" s="34" t="s">
        <v>7849</v>
      </c>
      <c r="H1588" s="35" t="s">
        <v>9427</v>
      </c>
      <c r="I1588" s="36" t="s">
        <v>9428</v>
      </c>
      <c r="J1588" s="34" t="s">
        <v>9429</v>
      </c>
      <c r="K1588" s="34" t="s">
        <v>9430</v>
      </c>
      <c r="L1588" s="37"/>
      <c r="M1588" s="37"/>
      <c r="N1588" s="37"/>
      <c r="O1588" s="37"/>
      <c r="P1588" s="37"/>
      <c r="Q1588" s="37"/>
      <c r="R1588" s="31" t="n">
        <f aca="false">COUNT($M1588:$Q1588)</f>
        <v>0</v>
      </c>
      <c r="S1588" s="32" t="str">
        <f aca="false">IF($L1588="","",IF($R1588&gt;=5,"",MAX($L1588:$Q1588)+CHOOSE($R1588+1,SETTINGS!$C$9,SETTINGS!$C$10,SETTINGS!$C$11,SETTINGS!$C$12,SETTINGS!$C$13)))</f>
        <v/>
      </c>
      <c r="T1588" s="34" t="str">
        <f aca="true">IF($H1588="","(chưa có nội dung)",IF($L1588="",IF($C1588&lt;TODAY(),"⚠ TRỄ HỌC",IF($C1588=TODAY(),"★ HỌC HÔM NAY","• Chưa tới")),IF($R1588&gt;=5,"✔ MASTER",IF($S1588&lt;TODAY(),"⚠ TRỄ ÔN",IF($S1588=TODAY(),"◆ ÔN HÔM NAY","✔ Đúng tiến độ")))))</f>
        <v>• Chưa tới</v>
      </c>
      <c r="U1588" s="38" t="n">
        <f aca="false">IF($H1588="","",$R1588/5)</f>
        <v>0</v>
      </c>
    </row>
    <row r="1589" customFormat="false" ht="15" hidden="false" customHeight="false" outlineLevel="0" collapsed="false">
      <c r="A1589" s="31" t="s">
        <v>9431</v>
      </c>
      <c r="B1589" s="31" t="n">
        <v>80</v>
      </c>
      <c r="C1589" s="32" t="n">
        <f aca="false">SETTINGS!$C$3+$B1589-1</f>
        <v>46379</v>
      </c>
      <c r="D1589" s="41" t="s">
        <v>7168</v>
      </c>
      <c r="E1589" s="34" t="s">
        <v>9397</v>
      </c>
      <c r="F1589" s="34" t="s">
        <v>3656</v>
      </c>
      <c r="G1589" s="34" t="s">
        <v>9432</v>
      </c>
      <c r="H1589" s="35" t="s">
        <v>9433</v>
      </c>
      <c r="I1589" s="36" t="s">
        <v>9434</v>
      </c>
      <c r="J1589" s="34" t="s">
        <v>9435</v>
      </c>
      <c r="K1589" s="34" t="s">
        <v>9436</v>
      </c>
      <c r="L1589" s="37"/>
      <c r="M1589" s="37"/>
      <c r="N1589" s="37"/>
      <c r="O1589" s="37"/>
      <c r="P1589" s="37"/>
      <c r="Q1589" s="37"/>
      <c r="R1589" s="31" t="n">
        <f aca="false">COUNT($M1589:$Q1589)</f>
        <v>0</v>
      </c>
      <c r="S1589" s="32" t="str">
        <f aca="false">IF($L1589="","",IF($R1589&gt;=5,"",MAX($L1589:$Q1589)+CHOOSE($R1589+1,SETTINGS!$C$9,SETTINGS!$C$10,SETTINGS!$C$11,SETTINGS!$C$12,SETTINGS!$C$13)))</f>
        <v/>
      </c>
      <c r="T1589" s="34" t="str">
        <f aca="true">IF($H1589="","(chưa có nội dung)",IF($L1589="",IF($C1589&lt;TODAY(),"⚠ TRỄ HỌC",IF($C1589=TODAY(),"★ HỌC HÔM NAY","• Chưa tới")),IF($R1589&gt;=5,"✔ MASTER",IF($S1589&lt;TODAY(),"⚠ TRỄ ÔN",IF($S1589=TODAY(),"◆ ÔN HÔM NAY","✔ Đúng tiến độ")))))</f>
        <v>• Chưa tới</v>
      </c>
      <c r="U1589" s="38" t="n">
        <f aca="false">IF($H1589="","",$R1589/5)</f>
        <v>0</v>
      </c>
    </row>
    <row r="1590" customFormat="false" ht="15" hidden="false" customHeight="false" outlineLevel="0" collapsed="false">
      <c r="A1590" s="31" t="s">
        <v>9437</v>
      </c>
      <c r="B1590" s="31" t="n">
        <v>80</v>
      </c>
      <c r="C1590" s="32" t="n">
        <f aca="false">SETTINGS!$C$3+$B1590-1</f>
        <v>46379</v>
      </c>
      <c r="D1590" s="41" t="s">
        <v>7168</v>
      </c>
      <c r="E1590" s="34" t="s">
        <v>9397</v>
      </c>
      <c r="F1590" s="34" t="s">
        <v>280</v>
      </c>
      <c r="G1590" s="34" t="s">
        <v>9254</v>
      </c>
      <c r="H1590" s="35" t="s">
        <v>9438</v>
      </c>
      <c r="I1590" s="36" t="s">
        <v>9439</v>
      </c>
      <c r="J1590" s="34" t="s">
        <v>9440</v>
      </c>
      <c r="K1590" s="34" t="s">
        <v>9441</v>
      </c>
      <c r="L1590" s="37"/>
      <c r="M1590" s="37"/>
      <c r="N1590" s="37"/>
      <c r="O1590" s="37"/>
      <c r="P1590" s="37"/>
      <c r="Q1590" s="37"/>
      <c r="R1590" s="31" t="n">
        <f aca="false">COUNT($M1590:$Q1590)</f>
        <v>0</v>
      </c>
      <c r="S1590" s="32" t="str">
        <f aca="false">IF($L1590="","",IF($R1590&gt;=5,"",MAX($L1590:$Q1590)+CHOOSE($R1590+1,SETTINGS!$C$9,SETTINGS!$C$10,SETTINGS!$C$11,SETTINGS!$C$12,SETTINGS!$C$13)))</f>
        <v/>
      </c>
      <c r="T1590" s="34" t="str">
        <f aca="true">IF($H1590="","(chưa có nội dung)",IF($L1590="",IF($C1590&lt;TODAY(),"⚠ TRỄ HỌC",IF($C1590=TODAY(),"★ HỌC HÔM NAY","• Chưa tới")),IF($R1590&gt;=5,"✔ MASTER",IF($S1590&lt;TODAY(),"⚠ TRỄ ÔN",IF($S1590=TODAY(),"◆ ÔN HÔM NAY","✔ Đúng tiến độ")))))</f>
        <v>• Chưa tới</v>
      </c>
      <c r="U1590" s="38" t="n">
        <f aca="false">IF($H1590="","",$R1590/5)</f>
        <v>0</v>
      </c>
    </row>
    <row r="1591" customFormat="false" ht="15" hidden="false" customHeight="false" outlineLevel="0" collapsed="false">
      <c r="A1591" s="31" t="s">
        <v>9442</v>
      </c>
      <c r="B1591" s="31" t="n">
        <v>80</v>
      </c>
      <c r="C1591" s="32" t="n">
        <f aca="false">SETTINGS!$C$3+$B1591-1</f>
        <v>46379</v>
      </c>
      <c r="D1591" s="41" t="s">
        <v>7168</v>
      </c>
      <c r="E1591" s="34" t="s">
        <v>9397</v>
      </c>
      <c r="F1591" s="34" t="s">
        <v>3656</v>
      </c>
      <c r="G1591" s="34" t="s">
        <v>9443</v>
      </c>
      <c r="H1591" s="35" t="s">
        <v>9444</v>
      </c>
      <c r="I1591" s="36" t="s">
        <v>9445</v>
      </c>
      <c r="J1591" s="34" t="s">
        <v>9446</v>
      </c>
      <c r="K1591" s="34" t="s">
        <v>9447</v>
      </c>
      <c r="L1591" s="37"/>
      <c r="M1591" s="37"/>
      <c r="N1591" s="37"/>
      <c r="O1591" s="37"/>
      <c r="P1591" s="37"/>
      <c r="Q1591" s="37"/>
      <c r="R1591" s="31" t="n">
        <f aca="false">COUNT($M1591:$Q1591)</f>
        <v>0</v>
      </c>
      <c r="S1591" s="32" t="str">
        <f aca="false">IF($L1591="","",IF($R1591&gt;=5,"",MAX($L1591:$Q1591)+CHOOSE($R1591+1,SETTINGS!$C$9,SETTINGS!$C$10,SETTINGS!$C$11,SETTINGS!$C$12,SETTINGS!$C$13)))</f>
        <v/>
      </c>
      <c r="T1591" s="34" t="str">
        <f aca="true">IF($H1591="","(chưa có nội dung)",IF($L1591="",IF($C1591&lt;TODAY(),"⚠ TRỄ HỌC",IF($C1591=TODAY(),"★ HỌC HÔM NAY","• Chưa tới")),IF($R1591&gt;=5,"✔ MASTER",IF($S1591&lt;TODAY(),"⚠ TRỄ ÔN",IF($S1591=TODAY(),"◆ ÔN HÔM NAY","✔ Đúng tiến độ")))))</f>
        <v>• Chưa tới</v>
      </c>
      <c r="U1591" s="38" t="n">
        <f aca="false">IF($H1591="","",$R1591/5)</f>
        <v>0</v>
      </c>
    </row>
    <row r="1592" customFormat="false" ht="15" hidden="false" customHeight="false" outlineLevel="0" collapsed="false">
      <c r="A1592" s="31" t="s">
        <v>9448</v>
      </c>
      <c r="B1592" s="31" t="n">
        <v>80</v>
      </c>
      <c r="C1592" s="32" t="n">
        <f aca="false">SETTINGS!$C$3+$B1592-1</f>
        <v>46379</v>
      </c>
      <c r="D1592" s="41" t="s">
        <v>7168</v>
      </c>
      <c r="E1592" s="34" t="s">
        <v>9397</v>
      </c>
      <c r="F1592" s="34" t="s">
        <v>280</v>
      </c>
      <c r="G1592" s="34" t="s">
        <v>9449</v>
      </c>
      <c r="H1592" s="35" t="s">
        <v>9450</v>
      </c>
      <c r="I1592" s="36" t="s">
        <v>9451</v>
      </c>
      <c r="J1592" s="34" t="s">
        <v>9452</v>
      </c>
      <c r="K1592" s="34" t="s">
        <v>9453</v>
      </c>
      <c r="L1592" s="37"/>
      <c r="M1592" s="37"/>
      <c r="N1592" s="37"/>
      <c r="O1592" s="37"/>
      <c r="P1592" s="37"/>
      <c r="Q1592" s="37"/>
      <c r="R1592" s="31" t="n">
        <f aca="false">COUNT($M1592:$Q1592)</f>
        <v>0</v>
      </c>
      <c r="S1592" s="32" t="str">
        <f aca="false">IF($L1592="","",IF($R1592&gt;=5,"",MAX($L1592:$Q1592)+CHOOSE($R1592+1,SETTINGS!$C$9,SETTINGS!$C$10,SETTINGS!$C$11,SETTINGS!$C$12,SETTINGS!$C$13)))</f>
        <v/>
      </c>
      <c r="T1592" s="34" t="str">
        <f aca="true">IF($H1592="","(chưa có nội dung)",IF($L1592="",IF($C1592&lt;TODAY(),"⚠ TRỄ HỌC",IF($C1592=TODAY(),"★ HỌC HÔM NAY","• Chưa tới")),IF($R1592&gt;=5,"✔ MASTER",IF($S1592&lt;TODAY(),"⚠ TRỄ ÔN",IF($S1592=TODAY(),"◆ ÔN HÔM NAY","✔ Đúng tiến độ")))))</f>
        <v>• Chưa tới</v>
      </c>
      <c r="U1592" s="38" t="n">
        <f aca="false">IF($H1592="","",$R1592/5)</f>
        <v>0</v>
      </c>
    </row>
    <row r="1593" customFormat="false" ht="26.85" hidden="false" customHeight="false" outlineLevel="0" collapsed="false">
      <c r="A1593" s="31" t="s">
        <v>9454</v>
      </c>
      <c r="B1593" s="31" t="n">
        <v>80</v>
      </c>
      <c r="C1593" s="32" t="n">
        <f aca="false">SETTINGS!$C$3+$B1593-1</f>
        <v>46379</v>
      </c>
      <c r="D1593" s="41" t="s">
        <v>7168</v>
      </c>
      <c r="E1593" s="34" t="s">
        <v>9397</v>
      </c>
      <c r="F1593" s="34" t="s">
        <v>280</v>
      </c>
      <c r="G1593" s="34" t="s">
        <v>9455</v>
      </c>
      <c r="H1593" s="35" t="s">
        <v>9456</v>
      </c>
      <c r="I1593" s="36" t="s">
        <v>9457</v>
      </c>
      <c r="J1593" s="34" t="s">
        <v>9458</v>
      </c>
      <c r="K1593" s="34" t="s">
        <v>9459</v>
      </c>
      <c r="L1593" s="37"/>
      <c r="M1593" s="37"/>
      <c r="N1593" s="37"/>
      <c r="O1593" s="37"/>
      <c r="P1593" s="37"/>
      <c r="Q1593" s="37"/>
      <c r="R1593" s="31" t="n">
        <f aca="false">COUNT($M1593:$Q1593)</f>
        <v>0</v>
      </c>
      <c r="S1593" s="32" t="str">
        <f aca="false">IF($L1593="","",IF($R1593&gt;=5,"",MAX($L1593:$Q1593)+CHOOSE($R1593+1,SETTINGS!$C$9,SETTINGS!$C$10,SETTINGS!$C$11,SETTINGS!$C$12,SETTINGS!$C$13)))</f>
        <v/>
      </c>
      <c r="T1593" s="34" t="str">
        <f aca="true">IF($H1593="","(chưa có nội dung)",IF($L1593="",IF($C1593&lt;TODAY(),"⚠ TRỄ HỌC",IF($C1593=TODAY(),"★ HỌC HÔM NAY","• Chưa tới")),IF($R1593&gt;=5,"✔ MASTER",IF($S1593&lt;TODAY(),"⚠ TRỄ ÔN",IF($S1593=TODAY(),"◆ ÔN HÔM NAY","✔ Đúng tiến độ")))))</f>
        <v>• Chưa tới</v>
      </c>
      <c r="U1593" s="38" t="n">
        <f aca="false">IF($H1593="","",$R1593/5)</f>
        <v>0</v>
      </c>
    </row>
    <row r="1594" customFormat="false" ht="26.85" hidden="false" customHeight="false" outlineLevel="0" collapsed="false">
      <c r="A1594" s="31" t="s">
        <v>9460</v>
      </c>
      <c r="B1594" s="31" t="n">
        <v>80</v>
      </c>
      <c r="C1594" s="32" t="n">
        <f aca="false">SETTINGS!$C$3+$B1594-1</f>
        <v>46379</v>
      </c>
      <c r="D1594" s="41" t="s">
        <v>7168</v>
      </c>
      <c r="E1594" s="34" t="s">
        <v>9397</v>
      </c>
      <c r="F1594" s="34" t="s">
        <v>3656</v>
      </c>
      <c r="G1594" s="34" t="s">
        <v>9461</v>
      </c>
      <c r="H1594" s="35" t="s">
        <v>9462</v>
      </c>
      <c r="I1594" s="36" t="s">
        <v>9463</v>
      </c>
      <c r="J1594" s="34" t="s">
        <v>9464</v>
      </c>
      <c r="K1594" s="34" t="s">
        <v>9465</v>
      </c>
      <c r="L1594" s="37"/>
      <c r="M1594" s="37"/>
      <c r="N1594" s="37"/>
      <c r="O1594" s="37"/>
      <c r="P1594" s="37"/>
      <c r="Q1594" s="37"/>
      <c r="R1594" s="31" t="n">
        <f aca="false">COUNT($M1594:$Q1594)</f>
        <v>0</v>
      </c>
      <c r="S1594" s="32" t="str">
        <f aca="false">IF($L1594="","",IF($R1594&gt;=5,"",MAX($L1594:$Q1594)+CHOOSE($R1594+1,SETTINGS!$C$9,SETTINGS!$C$10,SETTINGS!$C$11,SETTINGS!$C$12,SETTINGS!$C$13)))</f>
        <v/>
      </c>
      <c r="T1594" s="34" t="str">
        <f aca="true">IF($H1594="","(chưa có nội dung)",IF($L1594="",IF($C1594&lt;TODAY(),"⚠ TRỄ HỌC",IF($C1594=TODAY(),"★ HỌC HÔM NAY","• Chưa tới")),IF($R1594&gt;=5,"✔ MASTER",IF($S1594&lt;TODAY(),"⚠ TRỄ ÔN",IF($S1594=TODAY(),"◆ ÔN HÔM NAY","✔ Đúng tiến độ")))))</f>
        <v>• Chưa tới</v>
      </c>
      <c r="U1594" s="38" t="n">
        <f aca="false">IF($H1594="","",$R1594/5)</f>
        <v>0</v>
      </c>
    </row>
    <row r="1595" customFormat="false" ht="26.85" hidden="false" customHeight="false" outlineLevel="0" collapsed="false">
      <c r="A1595" s="31" t="s">
        <v>9466</v>
      </c>
      <c r="B1595" s="31" t="n">
        <v>80</v>
      </c>
      <c r="C1595" s="32" t="n">
        <f aca="false">SETTINGS!$C$3+$B1595-1</f>
        <v>46379</v>
      </c>
      <c r="D1595" s="41" t="s">
        <v>7168</v>
      </c>
      <c r="E1595" s="34" t="s">
        <v>9397</v>
      </c>
      <c r="F1595" s="34" t="s">
        <v>280</v>
      </c>
      <c r="G1595" s="34" t="s">
        <v>8351</v>
      </c>
      <c r="H1595" s="35" t="s">
        <v>9467</v>
      </c>
      <c r="I1595" s="36" t="s">
        <v>9468</v>
      </c>
      <c r="J1595" s="34" t="s">
        <v>9469</v>
      </c>
      <c r="K1595" s="34" t="s">
        <v>9470</v>
      </c>
      <c r="L1595" s="37"/>
      <c r="M1595" s="37"/>
      <c r="N1595" s="37"/>
      <c r="O1595" s="37"/>
      <c r="P1595" s="37"/>
      <c r="Q1595" s="37"/>
      <c r="R1595" s="31" t="n">
        <f aca="false">COUNT($M1595:$Q1595)</f>
        <v>0</v>
      </c>
      <c r="S1595" s="32" t="str">
        <f aca="false">IF($L1595="","",IF($R1595&gt;=5,"",MAX($L1595:$Q1595)+CHOOSE($R1595+1,SETTINGS!$C$9,SETTINGS!$C$10,SETTINGS!$C$11,SETTINGS!$C$12,SETTINGS!$C$13)))</f>
        <v/>
      </c>
      <c r="T1595" s="34" t="str">
        <f aca="true">IF($H1595="","(chưa có nội dung)",IF($L1595="",IF($C1595&lt;TODAY(),"⚠ TRỄ HỌC",IF($C1595=TODAY(),"★ HỌC HÔM NAY","• Chưa tới")),IF($R1595&gt;=5,"✔ MASTER",IF($S1595&lt;TODAY(),"⚠ TRỄ ÔN",IF($S1595=TODAY(),"◆ ÔN HÔM NAY","✔ Đúng tiến độ")))))</f>
        <v>• Chưa tới</v>
      </c>
      <c r="U1595" s="38" t="n">
        <f aca="false">IF($H1595="","",$R1595/5)</f>
        <v>0</v>
      </c>
    </row>
    <row r="1596" customFormat="false" ht="26.85" hidden="false" customHeight="false" outlineLevel="0" collapsed="false">
      <c r="A1596" s="31" t="s">
        <v>9471</v>
      </c>
      <c r="B1596" s="31" t="n">
        <v>80</v>
      </c>
      <c r="C1596" s="32" t="n">
        <f aca="false">SETTINGS!$C$3+$B1596-1</f>
        <v>46379</v>
      </c>
      <c r="D1596" s="41" t="s">
        <v>7168</v>
      </c>
      <c r="E1596" s="34" t="s">
        <v>9397</v>
      </c>
      <c r="F1596" s="34" t="s">
        <v>280</v>
      </c>
      <c r="G1596" s="34" t="s">
        <v>9472</v>
      </c>
      <c r="H1596" s="35" t="s">
        <v>9473</v>
      </c>
      <c r="I1596" s="36" t="s">
        <v>9474</v>
      </c>
      <c r="J1596" s="34" t="s">
        <v>9475</v>
      </c>
      <c r="K1596" s="34" t="s">
        <v>9476</v>
      </c>
      <c r="L1596" s="37"/>
      <c r="M1596" s="37"/>
      <c r="N1596" s="37"/>
      <c r="O1596" s="37"/>
      <c r="P1596" s="37"/>
      <c r="Q1596" s="37"/>
      <c r="R1596" s="31" t="n">
        <f aca="false">COUNT($M1596:$Q1596)</f>
        <v>0</v>
      </c>
      <c r="S1596" s="32" t="str">
        <f aca="false">IF($L1596="","",IF($R1596&gt;=5,"",MAX($L1596:$Q1596)+CHOOSE($R1596+1,SETTINGS!$C$9,SETTINGS!$C$10,SETTINGS!$C$11,SETTINGS!$C$12,SETTINGS!$C$13)))</f>
        <v/>
      </c>
      <c r="T1596" s="34" t="str">
        <f aca="true">IF($H1596="","(chưa có nội dung)",IF($L1596="",IF($C1596&lt;TODAY(),"⚠ TRỄ HỌC",IF($C1596=TODAY(),"★ HỌC HÔM NAY","• Chưa tới")),IF($R1596&gt;=5,"✔ MASTER",IF($S1596&lt;TODAY(),"⚠ TRỄ ÔN",IF($S1596=TODAY(),"◆ ÔN HÔM NAY","✔ Đúng tiến độ")))))</f>
        <v>• Chưa tới</v>
      </c>
      <c r="U1596" s="38" t="n">
        <f aca="false">IF($H1596="","",$R1596/5)</f>
        <v>0</v>
      </c>
    </row>
    <row r="1597" customFormat="false" ht="23.85" hidden="false" customHeight="false" outlineLevel="0" collapsed="false">
      <c r="A1597" s="31" t="s">
        <v>9477</v>
      </c>
      <c r="B1597" s="31" t="n">
        <v>80</v>
      </c>
      <c r="C1597" s="32" t="n">
        <f aca="false">SETTINGS!$C$3+$B1597-1</f>
        <v>46379</v>
      </c>
      <c r="D1597" s="41" t="s">
        <v>7168</v>
      </c>
      <c r="E1597" s="34" t="s">
        <v>9397</v>
      </c>
      <c r="F1597" s="34" t="s">
        <v>280</v>
      </c>
      <c r="G1597" s="34" t="s">
        <v>9478</v>
      </c>
      <c r="H1597" s="35" t="s">
        <v>9479</v>
      </c>
      <c r="I1597" s="36" t="s">
        <v>9480</v>
      </c>
      <c r="J1597" s="34" t="s">
        <v>9481</v>
      </c>
      <c r="K1597" s="34" t="s">
        <v>9482</v>
      </c>
      <c r="L1597" s="37"/>
      <c r="M1597" s="37"/>
      <c r="N1597" s="37"/>
      <c r="O1597" s="37"/>
      <c r="P1597" s="37"/>
      <c r="Q1597" s="37"/>
      <c r="R1597" s="31" t="n">
        <f aca="false">COUNT($M1597:$Q1597)</f>
        <v>0</v>
      </c>
      <c r="S1597" s="32" t="str">
        <f aca="false">IF($L1597="","",IF($R1597&gt;=5,"",MAX($L1597:$Q1597)+CHOOSE($R1597+1,SETTINGS!$C$9,SETTINGS!$C$10,SETTINGS!$C$11,SETTINGS!$C$12,SETTINGS!$C$13)))</f>
        <v/>
      </c>
      <c r="T1597" s="34" t="str">
        <f aca="true">IF($H1597="","(chưa có nội dung)",IF($L1597="",IF($C1597&lt;TODAY(),"⚠ TRỄ HỌC",IF($C1597=TODAY(),"★ HỌC HÔM NAY","• Chưa tới")),IF($R1597&gt;=5,"✔ MASTER",IF($S1597&lt;TODAY(),"⚠ TRỄ ÔN",IF($S1597=TODAY(),"◆ ÔN HÔM NAY","✔ Đúng tiến độ")))))</f>
        <v>• Chưa tới</v>
      </c>
      <c r="U1597" s="38" t="n">
        <f aca="false">IF($H1597="","",$R1597/5)</f>
        <v>0</v>
      </c>
    </row>
    <row r="1598" customFormat="false" ht="15" hidden="false" customHeight="false" outlineLevel="0" collapsed="false">
      <c r="A1598" s="31" t="s">
        <v>9483</v>
      </c>
      <c r="B1598" s="31" t="n">
        <v>80</v>
      </c>
      <c r="C1598" s="32" t="n">
        <f aca="false">SETTINGS!$C$3+$B1598-1</f>
        <v>46379</v>
      </c>
      <c r="D1598" s="41" t="s">
        <v>7168</v>
      </c>
      <c r="E1598" s="34" t="s">
        <v>9397</v>
      </c>
      <c r="F1598" s="34" t="s">
        <v>280</v>
      </c>
      <c r="G1598" s="34" t="s">
        <v>9484</v>
      </c>
      <c r="H1598" s="35" t="s">
        <v>9485</v>
      </c>
      <c r="I1598" s="36" t="s">
        <v>9486</v>
      </c>
      <c r="J1598" s="34" t="s">
        <v>9487</v>
      </c>
      <c r="K1598" s="34" t="s">
        <v>9488</v>
      </c>
      <c r="L1598" s="37"/>
      <c r="M1598" s="37"/>
      <c r="N1598" s="37"/>
      <c r="O1598" s="37"/>
      <c r="P1598" s="37"/>
      <c r="Q1598" s="37"/>
      <c r="R1598" s="31" t="n">
        <f aca="false">COUNT($M1598:$Q1598)</f>
        <v>0</v>
      </c>
      <c r="S1598" s="32" t="str">
        <f aca="false">IF($L1598="","",IF($R1598&gt;=5,"",MAX($L1598:$Q1598)+CHOOSE($R1598+1,SETTINGS!$C$9,SETTINGS!$C$10,SETTINGS!$C$11,SETTINGS!$C$12,SETTINGS!$C$13)))</f>
        <v/>
      </c>
      <c r="T1598" s="34" t="str">
        <f aca="true">IF($H1598="","(chưa có nội dung)",IF($L1598="",IF($C1598&lt;TODAY(),"⚠ TRỄ HỌC",IF($C1598=TODAY(),"★ HỌC HÔM NAY","• Chưa tới")),IF($R1598&gt;=5,"✔ MASTER",IF($S1598&lt;TODAY(),"⚠ TRỄ ÔN",IF($S1598=TODAY(),"◆ ÔN HÔM NAY","✔ Đúng tiến độ")))))</f>
        <v>• Chưa tới</v>
      </c>
      <c r="U1598" s="38" t="n">
        <f aca="false">IF($H1598="","",$R1598/5)</f>
        <v>0</v>
      </c>
    </row>
    <row r="1599" customFormat="false" ht="15" hidden="false" customHeight="false" outlineLevel="0" collapsed="false">
      <c r="A1599" s="31" t="s">
        <v>9489</v>
      </c>
      <c r="B1599" s="31" t="n">
        <v>80</v>
      </c>
      <c r="C1599" s="32" t="n">
        <f aca="false">SETTINGS!$C$3+$B1599-1</f>
        <v>46379</v>
      </c>
      <c r="D1599" s="41" t="s">
        <v>7168</v>
      </c>
      <c r="E1599" s="34" t="s">
        <v>9397</v>
      </c>
      <c r="F1599" s="34" t="s">
        <v>280</v>
      </c>
      <c r="G1599" s="34" t="s">
        <v>9490</v>
      </c>
      <c r="H1599" s="35" t="s">
        <v>9491</v>
      </c>
      <c r="I1599" s="36" t="s">
        <v>9492</v>
      </c>
      <c r="J1599" s="34" t="s">
        <v>9493</v>
      </c>
      <c r="K1599" s="34" t="s">
        <v>9494</v>
      </c>
      <c r="L1599" s="37"/>
      <c r="M1599" s="37"/>
      <c r="N1599" s="37"/>
      <c r="O1599" s="37"/>
      <c r="P1599" s="37"/>
      <c r="Q1599" s="37"/>
      <c r="R1599" s="31" t="n">
        <f aca="false">COUNT($M1599:$Q1599)</f>
        <v>0</v>
      </c>
      <c r="S1599" s="32" t="str">
        <f aca="false">IF($L1599="","",IF($R1599&gt;=5,"",MAX($L1599:$Q1599)+CHOOSE($R1599+1,SETTINGS!$C$9,SETTINGS!$C$10,SETTINGS!$C$11,SETTINGS!$C$12,SETTINGS!$C$13)))</f>
        <v/>
      </c>
      <c r="T1599" s="34" t="str">
        <f aca="true">IF($H1599="","(chưa có nội dung)",IF($L1599="",IF($C1599&lt;TODAY(),"⚠ TRỄ HỌC",IF($C1599=TODAY(),"★ HỌC HÔM NAY","• Chưa tới")),IF($R1599&gt;=5,"✔ MASTER",IF($S1599&lt;TODAY(),"⚠ TRỄ ÔN",IF($S1599=TODAY(),"◆ ÔN HÔM NAY","✔ Đúng tiến độ")))))</f>
        <v>• Chưa tới</v>
      </c>
      <c r="U1599" s="38" t="n">
        <f aca="false">IF($H1599="","",$R1599/5)</f>
        <v>0</v>
      </c>
    </row>
    <row r="1600" customFormat="false" ht="15" hidden="false" customHeight="false" outlineLevel="0" collapsed="false">
      <c r="A1600" s="31" t="s">
        <v>9495</v>
      </c>
      <c r="B1600" s="31" t="n">
        <v>80</v>
      </c>
      <c r="C1600" s="32" t="n">
        <f aca="false">SETTINGS!$C$3+$B1600-1</f>
        <v>46379</v>
      </c>
      <c r="D1600" s="41" t="s">
        <v>7168</v>
      </c>
      <c r="E1600" s="34" t="s">
        <v>9397</v>
      </c>
      <c r="F1600" s="34" t="s">
        <v>280</v>
      </c>
      <c r="G1600" s="34" t="s">
        <v>9496</v>
      </c>
      <c r="H1600" s="35" t="s">
        <v>9497</v>
      </c>
      <c r="I1600" s="36" t="s">
        <v>9498</v>
      </c>
      <c r="J1600" s="34" t="s">
        <v>9499</v>
      </c>
      <c r="K1600" s="34" t="s">
        <v>9500</v>
      </c>
      <c r="L1600" s="37"/>
      <c r="M1600" s="37"/>
      <c r="N1600" s="37"/>
      <c r="O1600" s="37"/>
      <c r="P1600" s="37"/>
      <c r="Q1600" s="37"/>
      <c r="R1600" s="31" t="n">
        <f aca="false">COUNT($M1600:$Q1600)</f>
        <v>0</v>
      </c>
      <c r="S1600" s="32" t="str">
        <f aca="false">IF($L1600="","",IF($R1600&gt;=5,"",MAX($L1600:$Q1600)+CHOOSE($R1600+1,SETTINGS!$C$9,SETTINGS!$C$10,SETTINGS!$C$11,SETTINGS!$C$12,SETTINGS!$C$13)))</f>
        <v/>
      </c>
      <c r="T1600" s="34" t="str">
        <f aca="true">IF($H1600="","(chưa có nội dung)",IF($L1600="",IF($C1600&lt;TODAY(),"⚠ TRỄ HỌC",IF($C1600=TODAY(),"★ HỌC HÔM NAY","• Chưa tới")),IF($R1600&gt;=5,"✔ MASTER",IF($S1600&lt;TODAY(),"⚠ TRỄ ÔN",IF($S1600=TODAY(),"◆ ÔN HÔM NAY","✔ Đúng tiến độ")))))</f>
        <v>• Chưa tới</v>
      </c>
      <c r="U1600" s="38" t="n">
        <f aca="false">IF($H1600="","",$R1600/5)</f>
        <v>0</v>
      </c>
    </row>
    <row r="1601" customFormat="false" ht="15" hidden="false" customHeight="false" outlineLevel="0" collapsed="false">
      <c r="A1601" s="31" t="s">
        <v>9501</v>
      </c>
      <c r="B1601" s="31" t="n">
        <v>80</v>
      </c>
      <c r="C1601" s="32" t="n">
        <f aca="false">SETTINGS!$C$3+$B1601-1</f>
        <v>46379</v>
      </c>
      <c r="D1601" s="41" t="s">
        <v>7168</v>
      </c>
      <c r="E1601" s="34" t="s">
        <v>9397</v>
      </c>
      <c r="F1601" s="34" t="s">
        <v>280</v>
      </c>
      <c r="G1601" s="34" t="s">
        <v>9502</v>
      </c>
      <c r="H1601" s="35" t="s">
        <v>9503</v>
      </c>
      <c r="I1601" s="36" t="s">
        <v>9504</v>
      </c>
      <c r="J1601" s="34" t="s">
        <v>9505</v>
      </c>
      <c r="K1601" s="34" t="s">
        <v>9506</v>
      </c>
      <c r="L1601" s="37"/>
      <c r="M1601" s="37"/>
      <c r="N1601" s="37"/>
      <c r="O1601" s="37"/>
      <c r="P1601" s="37"/>
      <c r="Q1601" s="37"/>
      <c r="R1601" s="31" t="n">
        <f aca="false">COUNT($M1601:$Q1601)</f>
        <v>0</v>
      </c>
      <c r="S1601" s="32" t="str">
        <f aca="false">IF($L1601="","",IF($R1601&gt;=5,"",MAX($L1601:$Q1601)+CHOOSE($R1601+1,SETTINGS!$C$9,SETTINGS!$C$10,SETTINGS!$C$11,SETTINGS!$C$12,SETTINGS!$C$13)))</f>
        <v/>
      </c>
      <c r="T1601" s="34" t="str">
        <f aca="true">IF($H1601="","(chưa có nội dung)",IF($L1601="",IF($C1601&lt;TODAY(),"⚠ TRỄ HỌC",IF($C1601=TODAY(),"★ HỌC HÔM NAY","• Chưa tới")),IF($R1601&gt;=5,"✔ MASTER",IF($S1601&lt;TODAY(),"⚠ TRỄ ÔN",IF($S1601=TODAY(),"◆ ÔN HÔM NAY","✔ Đúng tiến độ")))))</f>
        <v>• Chưa tới</v>
      </c>
      <c r="U1601" s="38" t="n">
        <f aca="false">IF($H1601="","",$R1601/5)</f>
        <v>0</v>
      </c>
    </row>
    <row r="1602" customFormat="false" ht="15" hidden="false" customHeight="false" outlineLevel="0" collapsed="false">
      <c r="A1602" s="31" t="s">
        <v>9507</v>
      </c>
      <c r="B1602" s="31" t="n">
        <v>80</v>
      </c>
      <c r="C1602" s="32" t="n">
        <f aca="false">SETTINGS!$C$3+$B1602-1</f>
        <v>46379</v>
      </c>
      <c r="D1602" s="41" t="s">
        <v>7168</v>
      </c>
      <c r="E1602" s="34" t="s">
        <v>9397</v>
      </c>
      <c r="F1602" s="34" t="s">
        <v>183</v>
      </c>
      <c r="G1602" s="34" t="s">
        <v>1694</v>
      </c>
      <c r="H1602" s="35" t="s">
        <v>9508</v>
      </c>
      <c r="I1602" s="36" t="s">
        <v>9509</v>
      </c>
      <c r="J1602" s="34" t="s">
        <v>9510</v>
      </c>
      <c r="K1602" s="34" t="s">
        <v>9511</v>
      </c>
      <c r="L1602" s="37"/>
      <c r="M1602" s="37"/>
      <c r="N1602" s="37"/>
      <c r="O1602" s="37"/>
      <c r="P1602" s="37"/>
      <c r="Q1602" s="37"/>
      <c r="R1602" s="31" t="n">
        <f aca="false">COUNT($M1602:$Q1602)</f>
        <v>0</v>
      </c>
      <c r="S1602" s="32" t="str">
        <f aca="false">IF($L1602="","",IF($R1602&gt;=5,"",MAX($L1602:$Q1602)+CHOOSE($R1602+1,SETTINGS!$C$9,SETTINGS!$C$10,SETTINGS!$C$11,SETTINGS!$C$12,SETTINGS!$C$13)))</f>
        <v/>
      </c>
      <c r="T1602" s="34" t="str">
        <f aca="true">IF($H1602="","(chưa có nội dung)",IF($L1602="",IF($C1602&lt;TODAY(),"⚠ TRỄ HỌC",IF($C1602=TODAY(),"★ HỌC HÔM NAY","• Chưa tới")),IF($R1602&gt;=5,"✔ MASTER",IF($S1602&lt;TODAY(),"⚠ TRỄ ÔN",IF($S1602=TODAY(),"◆ ÔN HÔM NAY","✔ Đúng tiến độ")))))</f>
        <v>• Chưa tới</v>
      </c>
      <c r="U1602" s="38" t="n">
        <f aca="false">IF($H1602="","",$R1602/5)</f>
        <v>0</v>
      </c>
    </row>
    <row r="1603" customFormat="false" ht="15" hidden="false" customHeight="false" outlineLevel="0" collapsed="false">
      <c r="A1603" s="31" t="s">
        <v>9512</v>
      </c>
      <c r="B1603" s="31" t="n">
        <v>81</v>
      </c>
      <c r="C1603" s="32" t="n">
        <f aca="false">SETTINGS!$C$3+$B1603-1</f>
        <v>46380</v>
      </c>
      <c r="D1603" s="41" t="s">
        <v>7168</v>
      </c>
      <c r="E1603" s="34" t="s">
        <v>9513</v>
      </c>
      <c r="F1603" s="34" t="s">
        <v>280</v>
      </c>
      <c r="G1603" s="34" t="s">
        <v>9514</v>
      </c>
      <c r="H1603" s="35" t="s">
        <v>9515</v>
      </c>
      <c r="I1603" s="36" t="s">
        <v>9516</v>
      </c>
      <c r="J1603" s="34" t="s">
        <v>9517</v>
      </c>
      <c r="K1603" s="34" t="s">
        <v>9518</v>
      </c>
      <c r="L1603" s="37"/>
      <c r="M1603" s="37"/>
      <c r="N1603" s="37"/>
      <c r="O1603" s="37"/>
      <c r="P1603" s="37"/>
      <c r="Q1603" s="37"/>
      <c r="R1603" s="31" t="n">
        <f aca="false">COUNT($M1603:$Q1603)</f>
        <v>0</v>
      </c>
      <c r="S1603" s="32" t="str">
        <f aca="false">IF($L1603="","",IF($R1603&gt;=5,"",MAX($L1603:$Q1603)+CHOOSE($R1603+1,SETTINGS!$C$9,SETTINGS!$C$10,SETTINGS!$C$11,SETTINGS!$C$12,SETTINGS!$C$13)))</f>
        <v/>
      </c>
      <c r="T1603" s="34" t="str">
        <f aca="true">IF($H1603="","(chưa có nội dung)",IF($L1603="",IF($C1603&lt;TODAY(),"⚠ TRỄ HỌC",IF($C1603=TODAY(),"★ HỌC HÔM NAY","• Chưa tới")),IF($R1603&gt;=5,"✔ MASTER",IF($S1603&lt;TODAY(),"⚠ TRỄ ÔN",IF($S1603=TODAY(),"◆ ÔN HÔM NAY","✔ Đúng tiến độ")))))</f>
        <v>• Chưa tới</v>
      </c>
      <c r="U1603" s="38" t="n">
        <f aca="false">IF($H1603="","",$R1603/5)</f>
        <v>0</v>
      </c>
    </row>
    <row r="1604" customFormat="false" ht="15" hidden="false" customHeight="false" outlineLevel="0" collapsed="false">
      <c r="A1604" s="31" t="s">
        <v>9519</v>
      </c>
      <c r="B1604" s="31" t="n">
        <v>81</v>
      </c>
      <c r="C1604" s="32" t="n">
        <f aca="false">SETTINGS!$C$3+$B1604-1</f>
        <v>46380</v>
      </c>
      <c r="D1604" s="41" t="s">
        <v>7168</v>
      </c>
      <c r="E1604" s="34" t="s">
        <v>9513</v>
      </c>
      <c r="F1604" s="34" t="s">
        <v>280</v>
      </c>
      <c r="G1604" s="34" t="s">
        <v>9520</v>
      </c>
      <c r="H1604" s="35" t="s">
        <v>9521</v>
      </c>
      <c r="I1604" s="36" t="s">
        <v>9522</v>
      </c>
      <c r="J1604" s="34" t="s">
        <v>9523</v>
      </c>
      <c r="K1604" s="34" t="s">
        <v>9524</v>
      </c>
      <c r="L1604" s="37"/>
      <c r="M1604" s="37"/>
      <c r="N1604" s="37"/>
      <c r="O1604" s="37"/>
      <c r="P1604" s="37"/>
      <c r="Q1604" s="37"/>
      <c r="R1604" s="31" t="n">
        <f aca="false">COUNT($M1604:$Q1604)</f>
        <v>0</v>
      </c>
      <c r="S1604" s="32" t="str">
        <f aca="false">IF($L1604="","",IF($R1604&gt;=5,"",MAX($L1604:$Q1604)+CHOOSE($R1604+1,SETTINGS!$C$9,SETTINGS!$C$10,SETTINGS!$C$11,SETTINGS!$C$12,SETTINGS!$C$13)))</f>
        <v/>
      </c>
      <c r="T1604" s="34" t="str">
        <f aca="true">IF($H1604="","(chưa có nội dung)",IF($L1604="",IF($C1604&lt;TODAY(),"⚠ TRỄ HỌC",IF($C1604=TODAY(),"★ HỌC HÔM NAY","• Chưa tới")),IF($R1604&gt;=5,"✔ MASTER",IF($S1604&lt;TODAY(),"⚠ TRỄ ÔN",IF($S1604=TODAY(),"◆ ÔN HÔM NAY","✔ Đúng tiến độ")))))</f>
        <v>• Chưa tới</v>
      </c>
      <c r="U1604" s="38" t="n">
        <f aca="false">IF($H1604="","",$R1604/5)</f>
        <v>0</v>
      </c>
    </row>
    <row r="1605" customFormat="false" ht="15" hidden="false" customHeight="false" outlineLevel="0" collapsed="false">
      <c r="A1605" s="31" t="s">
        <v>9525</v>
      </c>
      <c r="B1605" s="31" t="n">
        <v>81</v>
      </c>
      <c r="C1605" s="32" t="n">
        <f aca="false">SETTINGS!$C$3+$B1605-1</f>
        <v>46380</v>
      </c>
      <c r="D1605" s="41" t="s">
        <v>7168</v>
      </c>
      <c r="E1605" s="34" t="s">
        <v>9513</v>
      </c>
      <c r="F1605" s="34" t="s">
        <v>280</v>
      </c>
      <c r="G1605" s="34" t="s">
        <v>9526</v>
      </c>
      <c r="H1605" s="35" t="s">
        <v>9527</v>
      </c>
      <c r="I1605" s="36" t="s">
        <v>9528</v>
      </c>
      <c r="J1605" s="34" t="s">
        <v>9529</v>
      </c>
      <c r="K1605" s="34" t="s">
        <v>9530</v>
      </c>
      <c r="L1605" s="37"/>
      <c r="M1605" s="37"/>
      <c r="N1605" s="37"/>
      <c r="O1605" s="37"/>
      <c r="P1605" s="37"/>
      <c r="Q1605" s="37"/>
      <c r="R1605" s="31" t="n">
        <f aca="false">COUNT($M1605:$Q1605)</f>
        <v>0</v>
      </c>
      <c r="S1605" s="32" t="str">
        <f aca="false">IF($L1605="","",IF($R1605&gt;=5,"",MAX($L1605:$Q1605)+CHOOSE($R1605+1,SETTINGS!$C$9,SETTINGS!$C$10,SETTINGS!$C$11,SETTINGS!$C$12,SETTINGS!$C$13)))</f>
        <v/>
      </c>
      <c r="T1605" s="34" t="str">
        <f aca="true">IF($H1605="","(chưa có nội dung)",IF($L1605="",IF($C1605&lt;TODAY(),"⚠ TRỄ HỌC",IF($C1605=TODAY(),"★ HỌC HÔM NAY","• Chưa tới")),IF($R1605&gt;=5,"✔ MASTER",IF($S1605&lt;TODAY(),"⚠ TRỄ ÔN",IF($S1605=TODAY(),"◆ ÔN HÔM NAY","✔ Đúng tiến độ")))))</f>
        <v>• Chưa tới</v>
      </c>
      <c r="U1605" s="38" t="n">
        <f aca="false">IF($H1605="","",$R1605/5)</f>
        <v>0</v>
      </c>
    </row>
    <row r="1606" customFormat="false" ht="15" hidden="false" customHeight="false" outlineLevel="0" collapsed="false">
      <c r="A1606" s="31" t="s">
        <v>9531</v>
      </c>
      <c r="B1606" s="31" t="n">
        <v>81</v>
      </c>
      <c r="C1606" s="32" t="n">
        <f aca="false">SETTINGS!$C$3+$B1606-1</f>
        <v>46380</v>
      </c>
      <c r="D1606" s="41" t="s">
        <v>7168</v>
      </c>
      <c r="E1606" s="34" t="s">
        <v>9513</v>
      </c>
      <c r="F1606" s="34" t="s">
        <v>183</v>
      </c>
      <c r="G1606" s="34" t="s">
        <v>9532</v>
      </c>
      <c r="H1606" s="35" t="s">
        <v>9533</v>
      </c>
      <c r="I1606" s="36" t="s">
        <v>9534</v>
      </c>
      <c r="J1606" s="34" t="s">
        <v>9535</v>
      </c>
      <c r="K1606" s="34" t="s">
        <v>2461</v>
      </c>
      <c r="L1606" s="37"/>
      <c r="M1606" s="37"/>
      <c r="N1606" s="37"/>
      <c r="O1606" s="37"/>
      <c r="P1606" s="37"/>
      <c r="Q1606" s="37"/>
      <c r="R1606" s="31" t="n">
        <f aca="false">COUNT($M1606:$Q1606)</f>
        <v>0</v>
      </c>
      <c r="S1606" s="32" t="str">
        <f aca="false">IF($L1606="","",IF($R1606&gt;=5,"",MAX($L1606:$Q1606)+CHOOSE($R1606+1,SETTINGS!$C$9,SETTINGS!$C$10,SETTINGS!$C$11,SETTINGS!$C$12,SETTINGS!$C$13)))</f>
        <v/>
      </c>
      <c r="T1606" s="34" t="str">
        <f aca="true">IF($H1606="","(chưa có nội dung)",IF($L1606="",IF($C1606&lt;TODAY(),"⚠ TRỄ HỌC",IF($C1606=TODAY(),"★ HỌC HÔM NAY","• Chưa tới")),IF($R1606&gt;=5,"✔ MASTER",IF($S1606&lt;TODAY(),"⚠ TRỄ ÔN",IF($S1606=TODAY(),"◆ ÔN HÔM NAY","✔ Đúng tiến độ")))))</f>
        <v>• Chưa tới</v>
      </c>
      <c r="U1606" s="38" t="n">
        <f aca="false">IF($H1606="","",$R1606/5)</f>
        <v>0</v>
      </c>
    </row>
    <row r="1607" customFormat="false" ht="15" hidden="false" customHeight="false" outlineLevel="0" collapsed="false">
      <c r="A1607" s="31" t="s">
        <v>9536</v>
      </c>
      <c r="B1607" s="31" t="n">
        <v>81</v>
      </c>
      <c r="C1607" s="32" t="n">
        <f aca="false">SETTINGS!$C$3+$B1607-1</f>
        <v>46380</v>
      </c>
      <c r="D1607" s="41" t="s">
        <v>7168</v>
      </c>
      <c r="E1607" s="34" t="s">
        <v>9513</v>
      </c>
      <c r="F1607" s="34" t="s">
        <v>3656</v>
      </c>
      <c r="G1607" s="34" t="s">
        <v>4661</v>
      </c>
      <c r="H1607" s="35" t="s">
        <v>9537</v>
      </c>
      <c r="I1607" s="36" t="s">
        <v>9538</v>
      </c>
      <c r="J1607" s="34" t="s">
        <v>9539</v>
      </c>
      <c r="K1607" s="34" t="s">
        <v>9540</v>
      </c>
      <c r="L1607" s="37"/>
      <c r="M1607" s="37"/>
      <c r="N1607" s="37"/>
      <c r="O1607" s="37"/>
      <c r="P1607" s="37"/>
      <c r="Q1607" s="37"/>
      <c r="R1607" s="31" t="n">
        <f aca="false">COUNT($M1607:$Q1607)</f>
        <v>0</v>
      </c>
      <c r="S1607" s="32" t="str">
        <f aca="false">IF($L1607="","",IF($R1607&gt;=5,"",MAX($L1607:$Q1607)+CHOOSE($R1607+1,SETTINGS!$C$9,SETTINGS!$C$10,SETTINGS!$C$11,SETTINGS!$C$12,SETTINGS!$C$13)))</f>
        <v/>
      </c>
      <c r="T1607" s="34" t="str">
        <f aca="true">IF($H1607="","(chưa có nội dung)",IF($L1607="",IF($C1607&lt;TODAY(),"⚠ TRỄ HỌC",IF($C1607=TODAY(),"★ HỌC HÔM NAY","• Chưa tới")),IF($R1607&gt;=5,"✔ MASTER",IF($S1607&lt;TODAY(),"⚠ TRỄ ÔN",IF($S1607=TODAY(),"◆ ÔN HÔM NAY","✔ Đúng tiến độ")))))</f>
        <v>• Chưa tới</v>
      </c>
      <c r="U1607" s="38" t="n">
        <f aca="false">IF($H1607="","",$R1607/5)</f>
        <v>0</v>
      </c>
    </row>
    <row r="1608" customFormat="false" ht="15" hidden="false" customHeight="false" outlineLevel="0" collapsed="false">
      <c r="A1608" s="31" t="s">
        <v>9541</v>
      </c>
      <c r="B1608" s="31" t="n">
        <v>81</v>
      </c>
      <c r="C1608" s="32" t="n">
        <f aca="false">SETTINGS!$C$3+$B1608-1</f>
        <v>46380</v>
      </c>
      <c r="D1608" s="41" t="s">
        <v>7168</v>
      </c>
      <c r="E1608" s="34" t="s">
        <v>9513</v>
      </c>
      <c r="F1608" s="34" t="s">
        <v>280</v>
      </c>
      <c r="G1608" s="34" t="s">
        <v>9542</v>
      </c>
      <c r="H1608" s="35" t="s">
        <v>9543</v>
      </c>
      <c r="I1608" s="36" t="s">
        <v>9544</v>
      </c>
      <c r="J1608" s="34" t="s">
        <v>9545</v>
      </c>
      <c r="K1608" s="34" t="s">
        <v>9546</v>
      </c>
      <c r="L1608" s="37"/>
      <c r="M1608" s="37"/>
      <c r="N1608" s="37"/>
      <c r="O1608" s="37"/>
      <c r="P1608" s="37"/>
      <c r="Q1608" s="37"/>
      <c r="R1608" s="31" t="n">
        <f aca="false">COUNT($M1608:$Q1608)</f>
        <v>0</v>
      </c>
      <c r="S1608" s="32" t="str">
        <f aca="false">IF($L1608="","",IF($R1608&gt;=5,"",MAX($L1608:$Q1608)+CHOOSE($R1608+1,SETTINGS!$C$9,SETTINGS!$C$10,SETTINGS!$C$11,SETTINGS!$C$12,SETTINGS!$C$13)))</f>
        <v/>
      </c>
      <c r="T1608" s="34" t="str">
        <f aca="true">IF($H1608="","(chưa có nội dung)",IF($L1608="",IF($C1608&lt;TODAY(),"⚠ TRỄ HỌC",IF($C1608=TODAY(),"★ HỌC HÔM NAY","• Chưa tới")),IF($R1608&gt;=5,"✔ MASTER",IF($S1608&lt;TODAY(),"⚠ TRỄ ÔN",IF($S1608=TODAY(),"◆ ÔN HÔM NAY","✔ Đúng tiến độ")))))</f>
        <v>• Chưa tới</v>
      </c>
      <c r="U1608" s="38" t="n">
        <f aca="false">IF($H1608="","",$R1608/5)</f>
        <v>0</v>
      </c>
    </row>
    <row r="1609" customFormat="false" ht="15" hidden="false" customHeight="false" outlineLevel="0" collapsed="false">
      <c r="A1609" s="31" t="s">
        <v>9547</v>
      </c>
      <c r="B1609" s="31" t="n">
        <v>81</v>
      </c>
      <c r="C1609" s="32" t="n">
        <f aca="false">SETTINGS!$C$3+$B1609-1</f>
        <v>46380</v>
      </c>
      <c r="D1609" s="41" t="s">
        <v>7168</v>
      </c>
      <c r="E1609" s="34" t="s">
        <v>9513</v>
      </c>
      <c r="F1609" s="34" t="s">
        <v>280</v>
      </c>
      <c r="G1609" s="34" t="s">
        <v>9548</v>
      </c>
      <c r="H1609" s="35" t="s">
        <v>9549</v>
      </c>
      <c r="I1609" s="36" t="s">
        <v>9550</v>
      </c>
      <c r="J1609" s="34" t="s">
        <v>9551</v>
      </c>
      <c r="K1609" s="34" t="s">
        <v>9552</v>
      </c>
      <c r="L1609" s="37"/>
      <c r="M1609" s="37"/>
      <c r="N1609" s="37"/>
      <c r="O1609" s="37"/>
      <c r="P1609" s="37"/>
      <c r="Q1609" s="37"/>
      <c r="R1609" s="31" t="n">
        <f aca="false">COUNT($M1609:$Q1609)</f>
        <v>0</v>
      </c>
      <c r="S1609" s="32" t="str">
        <f aca="false">IF($L1609="","",IF($R1609&gt;=5,"",MAX($L1609:$Q1609)+CHOOSE($R1609+1,SETTINGS!$C$9,SETTINGS!$C$10,SETTINGS!$C$11,SETTINGS!$C$12,SETTINGS!$C$13)))</f>
        <v/>
      </c>
      <c r="T1609" s="34" t="str">
        <f aca="true">IF($H1609="","(chưa có nội dung)",IF($L1609="",IF($C1609&lt;TODAY(),"⚠ TRỄ HỌC",IF($C1609=TODAY(),"★ HỌC HÔM NAY","• Chưa tới")),IF($R1609&gt;=5,"✔ MASTER",IF($S1609&lt;TODAY(),"⚠ TRỄ ÔN",IF($S1609=TODAY(),"◆ ÔN HÔM NAY","✔ Đúng tiến độ")))))</f>
        <v>• Chưa tới</v>
      </c>
      <c r="U1609" s="38" t="n">
        <f aca="false">IF($H1609="","",$R1609/5)</f>
        <v>0</v>
      </c>
    </row>
    <row r="1610" customFormat="false" ht="15" hidden="false" customHeight="false" outlineLevel="0" collapsed="false">
      <c r="A1610" s="31" t="s">
        <v>9553</v>
      </c>
      <c r="B1610" s="31" t="n">
        <v>81</v>
      </c>
      <c r="C1610" s="32" t="n">
        <f aca="false">SETTINGS!$C$3+$B1610-1</f>
        <v>46380</v>
      </c>
      <c r="D1610" s="41" t="s">
        <v>7168</v>
      </c>
      <c r="E1610" s="34" t="s">
        <v>9513</v>
      </c>
      <c r="F1610" s="34" t="s">
        <v>280</v>
      </c>
      <c r="G1610" s="34" t="s">
        <v>9554</v>
      </c>
      <c r="H1610" s="35" t="s">
        <v>9555</v>
      </c>
      <c r="I1610" s="36" t="s">
        <v>9556</v>
      </c>
      <c r="J1610" s="34" t="s">
        <v>9557</v>
      </c>
      <c r="K1610" s="34" t="s">
        <v>9558</v>
      </c>
      <c r="L1610" s="37"/>
      <c r="M1610" s="37"/>
      <c r="N1610" s="37"/>
      <c r="O1610" s="37"/>
      <c r="P1610" s="37"/>
      <c r="Q1610" s="37"/>
      <c r="R1610" s="31" t="n">
        <f aca="false">COUNT($M1610:$Q1610)</f>
        <v>0</v>
      </c>
      <c r="S1610" s="32" t="str">
        <f aca="false">IF($L1610="","",IF($R1610&gt;=5,"",MAX($L1610:$Q1610)+CHOOSE($R1610+1,SETTINGS!$C$9,SETTINGS!$C$10,SETTINGS!$C$11,SETTINGS!$C$12,SETTINGS!$C$13)))</f>
        <v/>
      </c>
      <c r="T1610" s="34" t="str">
        <f aca="true">IF($H1610="","(chưa có nội dung)",IF($L1610="",IF($C1610&lt;TODAY(),"⚠ TRỄ HỌC",IF($C1610=TODAY(),"★ HỌC HÔM NAY","• Chưa tới")),IF($R1610&gt;=5,"✔ MASTER",IF($S1610&lt;TODAY(),"⚠ TRỄ ÔN",IF($S1610=TODAY(),"◆ ÔN HÔM NAY","✔ Đúng tiến độ")))))</f>
        <v>• Chưa tới</v>
      </c>
      <c r="U1610" s="38" t="n">
        <f aca="false">IF($H1610="","",$R1610/5)</f>
        <v>0</v>
      </c>
    </row>
    <row r="1611" customFormat="false" ht="26.85" hidden="false" customHeight="false" outlineLevel="0" collapsed="false">
      <c r="A1611" s="31" t="s">
        <v>9559</v>
      </c>
      <c r="B1611" s="31" t="n">
        <v>81</v>
      </c>
      <c r="C1611" s="32" t="n">
        <f aca="false">SETTINGS!$C$3+$B1611-1</f>
        <v>46380</v>
      </c>
      <c r="D1611" s="41" t="s">
        <v>7168</v>
      </c>
      <c r="E1611" s="34" t="s">
        <v>9513</v>
      </c>
      <c r="F1611" s="34" t="s">
        <v>183</v>
      </c>
      <c r="G1611" s="34" t="s">
        <v>9560</v>
      </c>
      <c r="H1611" s="35" t="s">
        <v>9561</v>
      </c>
      <c r="I1611" s="36" t="s">
        <v>9562</v>
      </c>
      <c r="J1611" s="34" t="s">
        <v>9563</v>
      </c>
      <c r="K1611" s="34" t="s">
        <v>9564</v>
      </c>
      <c r="L1611" s="37"/>
      <c r="M1611" s="37"/>
      <c r="N1611" s="37"/>
      <c r="O1611" s="37"/>
      <c r="P1611" s="37"/>
      <c r="Q1611" s="37"/>
      <c r="R1611" s="31" t="n">
        <f aca="false">COUNT($M1611:$Q1611)</f>
        <v>0</v>
      </c>
      <c r="S1611" s="32" t="str">
        <f aca="false">IF($L1611="","",IF($R1611&gt;=5,"",MAX($L1611:$Q1611)+CHOOSE($R1611+1,SETTINGS!$C$9,SETTINGS!$C$10,SETTINGS!$C$11,SETTINGS!$C$12,SETTINGS!$C$13)))</f>
        <v/>
      </c>
      <c r="T1611" s="34" t="str">
        <f aca="true">IF($H1611="","(chưa có nội dung)",IF($L1611="",IF($C1611&lt;TODAY(),"⚠ TRỄ HỌC",IF($C1611=TODAY(),"★ HỌC HÔM NAY","• Chưa tới")),IF($R1611&gt;=5,"✔ MASTER",IF($S1611&lt;TODAY(),"⚠ TRỄ ÔN",IF($S1611=TODAY(),"◆ ÔN HÔM NAY","✔ Đúng tiến độ")))))</f>
        <v>• Chưa tới</v>
      </c>
      <c r="U1611" s="38" t="n">
        <f aca="false">IF($H1611="","",$R1611/5)</f>
        <v>0</v>
      </c>
    </row>
    <row r="1612" customFormat="false" ht="26.85" hidden="false" customHeight="false" outlineLevel="0" collapsed="false">
      <c r="A1612" s="31" t="s">
        <v>9565</v>
      </c>
      <c r="B1612" s="31" t="n">
        <v>81</v>
      </c>
      <c r="C1612" s="32" t="n">
        <f aca="false">SETTINGS!$C$3+$B1612-1</f>
        <v>46380</v>
      </c>
      <c r="D1612" s="41" t="s">
        <v>7168</v>
      </c>
      <c r="E1612" s="34" t="s">
        <v>9513</v>
      </c>
      <c r="F1612" s="34" t="s">
        <v>280</v>
      </c>
      <c r="G1612" s="34" t="s">
        <v>9566</v>
      </c>
      <c r="H1612" s="35" t="s">
        <v>9567</v>
      </c>
      <c r="I1612" s="36" t="s">
        <v>9568</v>
      </c>
      <c r="J1612" s="34" t="s">
        <v>9569</v>
      </c>
      <c r="K1612" s="34" t="s">
        <v>9570</v>
      </c>
      <c r="L1612" s="37"/>
      <c r="M1612" s="37"/>
      <c r="N1612" s="37"/>
      <c r="O1612" s="37"/>
      <c r="P1612" s="37"/>
      <c r="Q1612" s="37"/>
      <c r="R1612" s="31" t="n">
        <f aca="false">COUNT($M1612:$Q1612)</f>
        <v>0</v>
      </c>
      <c r="S1612" s="32" t="str">
        <f aca="false">IF($L1612="","",IF($R1612&gt;=5,"",MAX($L1612:$Q1612)+CHOOSE($R1612+1,SETTINGS!$C$9,SETTINGS!$C$10,SETTINGS!$C$11,SETTINGS!$C$12,SETTINGS!$C$13)))</f>
        <v/>
      </c>
      <c r="T1612" s="34" t="str">
        <f aca="true">IF($H1612="","(chưa có nội dung)",IF($L1612="",IF($C1612&lt;TODAY(),"⚠ TRỄ HỌC",IF($C1612=TODAY(),"★ HỌC HÔM NAY","• Chưa tới")),IF($R1612&gt;=5,"✔ MASTER",IF($S1612&lt;TODAY(),"⚠ TRỄ ÔN",IF($S1612=TODAY(),"◆ ÔN HÔM NAY","✔ Đúng tiến độ")))))</f>
        <v>• Chưa tới</v>
      </c>
      <c r="U1612" s="38" t="n">
        <f aca="false">IF($H1612="","",$R1612/5)</f>
        <v>0</v>
      </c>
    </row>
    <row r="1613" customFormat="false" ht="15" hidden="false" customHeight="false" outlineLevel="0" collapsed="false">
      <c r="A1613" s="31" t="s">
        <v>9571</v>
      </c>
      <c r="B1613" s="31" t="n">
        <v>81</v>
      </c>
      <c r="C1613" s="32" t="n">
        <f aca="false">SETTINGS!$C$3+$B1613-1</f>
        <v>46380</v>
      </c>
      <c r="D1613" s="41" t="s">
        <v>7168</v>
      </c>
      <c r="E1613" s="34" t="s">
        <v>9513</v>
      </c>
      <c r="F1613" s="34" t="s">
        <v>280</v>
      </c>
      <c r="G1613" s="34" t="s">
        <v>9572</v>
      </c>
      <c r="H1613" s="35" t="s">
        <v>9573</v>
      </c>
      <c r="I1613" s="36" t="s">
        <v>9574</v>
      </c>
      <c r="J1613" s="34" t="s">
        <v>9575</v>
      </c>
      <c r="K1613" s="34" t="s">
        <v>9576</v>
      </c>
      <c r="L1613" s="37"/>
      <c r="M1613" s="37"/>
      <c r="N1613" s="37"/>
      <c r="O1613" s="37"/>
      <c r="P1613" s="37"/>
      <c r="Q1613" s="37"/>
      <c r="R1613" s="31" t="n">
        <f aca="false">COUNT($M1613:$Q1613)</f>
        <v>0</v>
      </c>
      <c r="S1613" s="32" t="str">
        <f aca="false">IF($L1613="","",IF($R1613&gt;=5,"",MAX($L1613:$Q1613)+CHOOSE($R1613+1,SETTINGS!$C$9,SETTINGS!$C$10,SETTINGS!$C$11,SETTINGS!$C$12,SETTINGS!$C$13)))</f>
        <v/>
      </c>
      <c r="T1613" s="34" t="str">
        <f aca="true">IF($H1613="","(chưa có nội dung)",IF($L1613="",IF($C1613&lt;TODAY(),"⚠ TRỄ HỌC",IF($C1613=TODAY(),"★ HỌC HÔM NAY","• Chưa tới")),IF($R1613&gt;=5,"✔ MASTER",IF($S1613&lt;TODAY(),"⚠ TRỄ ÔN",IF($S1613=TODAY(),"◆ ÔN HÔM NAY","✔ Đúng tiến độ")))))</f>
        <v>• Chưa tới</v>
      </c>
      <c r="U1613" s="38" t="n">
        <f aca="false">IF($H1613="","",$R1613/5)</f>
        <v>0</v>
      </c>
    </row>
    <row r="1614" customFormat="false" ht="23.85" hidden="false" customHeight="false" outlineLevel="0" collapsed="false">
      <c r="A1614" s="31" t="s">
        <v>9577</v>
      </c>
      <c r="B1614" s="31" t="n">
        <v>81</v>
      </c>
      <c r="C1614" s="32" t="n">
        <f aca="false">SETTINGS!$C$3+$B1614-1</f>
        <v>46380</v>
      </c>
      <c r="D1614" s="41" t="s">
        <v>7168</v>
      </c>
      <c r="E1614" s="34" t="s">
        <v>9513</v>
      </c>
      <c r="F1614" s="34" t="s">
        <v>280</v>
      </c>
      <c r="G1614" s="34" t="s">
        <v>9578</v>
      </c>
      <c r="H1614" s="35" t="s">
        <v>9579</v>
      </c>
      <c r="I1614" s="36" t="s">
        <v>9580</v>
      </c>
      <c r="J1614" s="34" t="s">
        <v>9581</v>
      </c>
      <c r="K1614" s="34" t="s">
        <v>9582</v>
      </c>
      <c r="L1614" s="37"/>
      <c r="M1614" s="37"/>
      <c r="N1614" s="37"/>
      <c r="O1614" s="37"/>
      <c r="P1614" s="37"/>
      <c r="Q1614" s="37"/>
      <c r="R1614" s="31" t="n">
        <f aca="false">COUNT($M1614:$Q1614)</f>
        <v>0</v>
      </c>
      <c r="S1614" s="32" t="str">
        <f aca="false">IF($L1614="","",IF($R1614&gt;=5,"",MAX($L1614:$Q1614)+CHOOSE($R1614+1,SETTINGS!$C$9,SETTINGS!$C$10,SETTINGS!$C$11,SETTINGS!$C$12,SETTINGS!$C$13)))</f>
        <v/>
      </c>
      <c r="T1614" s="34" t="str">
        <f aca="true">IF($H1614="","(chưa có nội dung)",IF($L1614="",IF($C1614&lt;TODAY(),"⚠ TRỄ HỌC",IF($C1614=TODAY(),"★ HỌC HÔM NAY","• Chưa tới")),IF($R1614&gt;=5,"✔ MASTER",IF($S1614&lt;TODAY(),"⚠ TRỄ ÔN",IF($S1614=TODAY(),"◆ ÔN HÔM NAY","✔ Đúng tiến độ")))))</f>
        <v>• Chưa tới</v>
      </c>
      <c r="U1614" s="38" t="n">
        <f aca="false">IF($H1614="","",$R1614/5)</f>
        <v>0</v>
      </c>
    </row>
    <row r="1615" customFormat="false" ht="15" hidden="false" customHeight="false" outlineLevel="0" collapsed="false">
      <c r="A1615" s="31" t="s">
        <v>9583</v>
      </c>
      <c r="B1615" s="31" t="n">
        <v>81</v>
      </c>
      <c r="C1615" s="32" t="n">
        <f aca="false">SETTINGS!$C$3+$B1615-1</f>
        <v>46380</v>
      </c>
      <c r="D1615" s="41" t="s">
        <v>7168</v>
      </c>
      <c r="E1615" s="34" t="s">
        <v>9513</v>
      </c>
      <c r="F1615" s="34" t="s">
        <v>280</v>
      </c>
      <c r="G1615" s="34" t="s">
        <v>9584</v>
      </c>
      <c r="H1615" s="35" t="s">
        <v>9585</v>
      </c>
      <c r="I1615" s="36" t="s">
        <v>9586</v>
      </c>
      <c r="J1615" s="34" t="s">
        <v>9587</v>
      </c>
      <c r="K1615" s="34" t="s">
        <v>9588</v>
      </c>
      <c r="L1615" s="37"/>
      <c r="M1615" s="37"/>
      <c r="N1615" s="37"/>
      <c r="O1615" s="37"/>
      <c r="P1615" s="37"/>
      <c r="Q1615" s="37"/>
      <c r="R1615" s="31" t="n">
        <f aca="false">COUNT($M1615:$Q1615)</f>
        <v>0</v>
      </c>
      <c r="S1615" s="32" t="str">
        <f aca="false">IF($L1615="","",IF($R1615&gt;=5,"",MAX($L1615:$Q1615)+CHOOSE($R1615+1,SETTINGS!$C$9,SETTINGS!$C$10,SETTINGS!$C$11,SETTINGS!$C$12,SETTINGS!$C$13)))</f>
        <v/>
      </c>
      <c r="T1615" s="34" t="str">
        <f aca="true">IF($H1615="","(chưa có nội dung)",IF($L1615="",IF($C1615&lt;TODAY(),"⚠ TRỄ HỌC",IF($C1615=TODAY(),"★ HỌC HÔM NAY","• Chưa tới")),IF($R1615&gt;=5,"✔ MASTER",IF($S1615&lt;TODAY(),"⚠ TRỄ ÔN",IF($S1615=TODAY(),"◆ ÔN HÔM NAY","✔ Đúng tiến độ")))))</f>
        <v>• Chưa tới</v>
      </c>
      <c r="U1615" s="38" t="n">
        <f aca="false">IF($H1615="","",$R1615/5)</f>
        <v>0</v>
      </c>
    </row>
    <row r="1616" customFormat="false" ht="15" hidden="false" customHeight="false" outlineLevel="0" collapsed="false">
      <c r="A1616" s="31" t="s">
        <v>9589</v>
      </c>
      <c r="B1616" s="31" t="n">
        <v>81</v>
      </c>
      <c r="C1616" s="32" t="n">
        <f aca="false">SETTINGS!$C$3+$B1616-1</f>
        <v>46380</v>
      </c>
      <c r="D1616" s="41" t="s">
        <v>7168</v>
      </c>
      <c r="E1616" s="34" t="s">
        <v>9513</v>
      </c>
      <c r="F1616" s="34" t="s">
        <v>280</v>
      </c>
      <c r="G1616" s="34" t="s">
        <v>9590</v>
      </c>
      <c r="H1616" s="35" t="s">
        <v>9591</v>
      </c>
      <c r="I1616" s="36" t="s">
        <v>9592</v>
      </c>
      <c r="J1616" s="34" t="s">
        <v>9593</v>
      </c>
      <c r="K1616" s="34" t="s">
        <v>9594</v>
      </c>
      <c r="L1616" s="37"/>
      <c r="M1616" s="37"/>
      <c r="N1616" s="37"/>
      <c r="O1616" s="37"/>
      <c r="P1616" s="37"/>
      <c r="Q1616" s="37"/>
      <c r="R1616" s="31" t="n">
        <f aca="false">COUNT($M1616:$Q1616)</f>
        <v>0</v>
      </c>
      <c r="S1616" s="32" t="str">
        <f aca="false">IF($L1616="","",IF($R1616&gt;=5,"",MAX($L1616:$Q1616)+CHOOSE($R1616+1,SETTINGS!$C$9,SETTINGS!$C$10,SETTINGS!$C$11,SETTINGS!$C$12,SETTINGS!$C$13)))</f>
        <v/>
      </c>
      <c r="T1616" s="34" t="str">
        <f aca="true">IF($H1616="","(chưa có nội dung)",IF($L1616="",IF($C1616&lt;TODAY(),"⚠ TRỄ HỌC",IF($C1616=TODAY(),"★ HỌC HÔM NAY","• Chưa tới")),IF($R1616&gt;=5,"✔ MASTER",IF($S1616&lt;TODAY(),"⚠ TRỄ ÔN",IF($S1616=TODAY(),"◆ ÔN HÔM NAY","✔ Đúng tiến độ")))))</f>
        <v>• Chưa tới</v>
      </c>
      <c r="U1616" s="38" t="n">
        <f aca="false">IF($H1616="","",$R1616/5)</f>
        <v>0</v>
      </c>
    </row>
    <row r="1617" customFormat="false" ht="15" hidden="false" customHeight="false" outlineLevel="0" collapsed="false">
      <c r="A1617" s="31" t="s">
        <v>9595</v>
      </c>
      <c r="B1617" s="31" t="n">
        <v>81</v>
      </c>
      <c r="C1617" s="32" t="n">
        <f aca="false">SETTINGS!$C$3+$B1617-1</f>
        <v>46380</v>
      </c>
      <c r="D1617" s="41" t="s">
        <v>7168</v>
      </c>
      <c r="E1617" s="34" t="s">
        <v>9513</v>
      </c>
      <c r="F1617" s="34" t="s">
        <v>280</v>
      </c>
      <c r="G1617" s="34" t="s">
        <v>9596</v>
      </c>
      <c r="H1617" s="35" t="s">
        <v>9597</v>
      </c>
      <c r="I1617" s="36" t="s">
        <v>9598</v>
      </c>
      <c r="J1617" s="34" t="s">
        <v>9599</v>
      </c>
      <c r="K1617" s="34" t="s">
        <v>9600</v>
      </c>
      <c r="L1617" s="37"/>
      <c r="M1617" s="37"/>
      <c r="N1617" s="37"/>
      <c r="O1617" s="37"/>
      <c r="P1617" s="37"/>
      <c r="Q1617" s="37"/>
      <c r="R1617" s="31" t="n">
        <f aca="false">COUNT($M1617:$Q1617)</f>
        <v>0</v>
      </c>
      <c r="S1617" s="32" t="str">
        <f aca="false">IF($L1617="","",IF($R1617&gt;=5,"",MAX($L1617:$Q1617)+CHOOSE($R1617+1,SETTINGS!$C$9,SETTINGS!$C$10,SETTINGS!$C$11,SETTINGS!$C$12,SETTINGS!$C$13)))</f>
        <v/>
      </c>
      <c r="T1617" s="34" t="str">
        <f aca="true">IF($H1617="","(chưa có nội dung)",IF($L1617="",IF($C1617&lt;TODAY(),"⚠ TRỄ HỌC",IF($C1617=TODAY(),"★ HỌC HÔM NAY","• Chưa tới")),IF($R1617&gt;=5,"✔ MASTER",IF($S1617&lt;TODAY(),"⚠ TRỄ ÔN",IF($S1617=TODAY(),"◆ ÔN HÔM NAY","✔ Đúng tiến độ")))))</f>
        <v>• Chưa tới</v>
      </c>
      <c r="U1617" s="38" t="n">
        <f aca="false">IF($H1617="","",$R1617/5)</f>
        <v>0</v>
      </c>
    </row>
    <row r="1618" customFormat="false" ht="15" hidden="false" customHeight="false" outlineLevel="0" collapsed="false">
      <c r="A1618" s="31" t="s">
        <v>9601</v>
      </c>
      <c r="B1618" s="31" t="n">
        <v>81</v>
      </c>
      <c r="C1618" s="32" t="n">
        <f aca="false">SETTINGS!$C$3+$B1618-1</f>
        <v>46380</v>
      </c>
      <c r="D1618" s="41" t="s">
        <v>7168</v>
      </c>
      <c r="E1618" s="34" t="s">
        <v>9513</v>
      </c>
      <c r="F1618" s="34" t="s">
        <v>280</v>
      </c>
      <c r="G1618" s="34" t="s">
        <v>9602</v>
      </c>
      <c r="H1618" s="35" t="s">
        <v>9603</v>
      </c>
      <c r="I1618" s="36" t="s">
        <v>9604</v>
      </c>
      <c r="J1618" s="34" t="s">
        <v>9605</v>
      </c>
      <c r="K1618" s="34" t="s">
        <v>9606</v>
      </c>
      <c r="L1618" s="37"/>
      <c r="M1618" s="37"/>
      <c r="N1618" s="37"/>
      <c r="O1618" s="37"/>
      <c r="P1618" s="37"/>
      <c r="Q1618" s="37"/>
      <c r="R1618" s="31" t="n">
        <f aca="false">COUNT($M1618:$Q1618)</f>
        <v>0</v>
      </c>
      <c r="S1618" s="32" t="str">
        <f aca="false">IF($L1618="","",IF($R1618&gt;=5,"",MAX($L1618:$Q1618)+CHOOSE($R1618+1,SETTINGS!$C$9,SETTINGS!$C$10,SETTINGS!$C$11,SETTINGS!$C$12,SETTINGS!$C$13)))</f>
        <v/>
      </c>
      <c r="T1618" s="34" t="str">
        <f aca="true">IF($H1618="","(chưa có nội dung)",IF($L1618="",IF($C1618&lt;TODAY(),"⚠ TRỄ HỌC",IF($C1618=TODAY(),"★ HỌC HÔM NAY","• Chưa tới")),IF($R1618&gt;=5,"✔ MASTER",IF($S1618&lt;TODAY(),"⚠ TRỄ ÔN",IF($S1618=TODAY(),"◆ ÔN HÔM NAY","✔ Đúng tiến độ")))))</f>
        <v>• Chưa tới</v>
      </c>
      <c r="U1618" s="38" t="n">
        <f aca="false">IF($H1618="","",$R1618/5)</f>
        <v>0</v>
      </c>
    </row>
    <row r="1619" customFormat="false" ht="15" hidden="false" customHeight="false" outlineLevel="0" collapsed="false">
      <c r="A1619" s="31" t="s">
        <v>9607</v>
      </c>
      <c r="B1619" s="31" t="n">
        <v>81</v>
      </c>
      <c r="C1619" s="32" t="n">
        <f aca="false">SETTINGS!$C$3+$B1619-1</f>
        <v>46380</v>
      </c>
      <c r="D1619" s="41" t="s">
        <v>7168</v>
      </c>
      <c r="E1619" s="34" t="s">
        <v>9513</v>
      </c>
      <c r="F1619" s="34" t="s">
        <v>280</v>
      </c>
      <c r="G1619" s="34" t="s">
        <v>9608</v>
      </c>
      <c r="H1619" s="35" t="s">
        <v>9609</v>
      </c>
      <c r="I1619" s="36" t="s">
        <v>9610</v>
      </c>
      <c r="J1619" s="34" t="s">
        <v>9611</v>
      </c>
      <c r="K1619" s="34" t="s">
        <v>9612</v>
      </c>
      <c r="L1619" s="37"/>
      <c r="M1619" s="37"/>
      <c r="N1619" s="37"/>
      <c r="O1619" s="37"/>
      <c r="P1619" s="37"/>
      <c r="Q1619" s="37"/>
      <c r="R1619" s="31" t="n">
        <f aca="false">COUNT($M1619:$Q1619)</f>
        <v>0</v>
      </c>
      <c r="S1619" s="32" t="str">
        <f aca="false">IF($L1619="","",IF($R1619&gt;=5,"",MAX($L1619:$Q1619)+CHOOSE($R1619+1,SETTINGS!$C$9,SETTINGS!$C$10,SETTINGS!$C$11,SETTINGS!$C$12,SETTINGS!$C$13)))</f>
        <v/>
      </c>
      <c r="T1619" s="34" t="str">
        <f aca="true">IF($H1619="","(chưa có nội dung)",IF($L1619="",IF($C1619&lt;TODAY(),"⚠ TRỄ HỌC",IF($C1619=TODAY(),"★ HỌC HÔM NAY","• Chưa tới")),IF($R1619&gt;=5,"✔ MASTER",IF($S1619&lt;TODAY(),"⚠ TRỄ ÔN",IF($S1619=TODAY(),"◆ ÔN HÔM NAY","✔ Đúng tiến độ")))))</f>
        <v>• Chưa tới</v>
      </c>
      <c r="U1619" s="38" t="n">
        <f aca="false">IF($H1619="","",$R1619/5)</f>
        <v>0</v>
      </c>
    </row>
    <row r="1620" customFormat="false" ht="15" hidden="false" customHeight="false" outlineLevel="0" collapsed="false">
      <c r="A1620" s="31" t="s">
        <v>9613</v>
      </c>
      <c r="B1620" s="31" t="n">
        <v>81</v>
      </c>
      <c r="C1620" s="32" t="n">
        <f aca="false">SETTINGS!$C$3+$B1620-1</f>
        <v>46380</v>
      </c>
      <c r="D1620" s="41" t="s">
        <v>7168</v>
      </c>
      <c r="E1620" s="34" t="s">
        <v>9513</v>
      </c>
      <c r="F1620" s="34" t="s">
        <v>472</v>
      </c>
      <c r="G1620" s="34" t="s">
        <v>9614</v>
      </c>
      <c r="H1620" s="35" t="s">
        <v>9615</v>
      </c>
      <c r="I1620" s="36" t="s">
        <v>9616</v>
      </c>
      <c r="J1620" s="34" t="s">
        <v>9617</v>
      </c>
      <c r="K1620" s="34" t="s">
        <v>9618</v>
      </c>
      <c r="L1620" s="37"/>
      <c r="M1620" s="37"/>
      <c r="N1620" s="37"/>
      <c r="O1620" s="37"/>
      <c r="P1620" s="37"/>
      <c r="Q1620" s="37"/>
      <c r="R1620" s="31" t="n">
        <f aca="false">COUNT($M1620:$Q1620)</f>
        <v>0</v>
      </c>
      <c r="S1620" s="32" t="str">
        <f aca="false">IF($L1620="","",IF($R1620&gt;=5,"",MAX($L1620:$Q1620)+CHOOSE($R1620+1,SETTINGS!$C$9,SETTINGS!$C$10,SETTINGS!$C$11,SETTINGS!$C$12,SETTINGS!$C$13)))</f>
        <v/>
      </c>
      <c r="T1620" s="34" t="str">
        <f aca="true">IF($H1620="","(chưa có nội dung)",IF($L1620="",IF($C1620&lt;TODAY(),"⚠ TRỄ HỌC",IF($C1620=TODAY(),"★ HỌC HÔM NAY","• Chưa tới")),IF($R1620&gt;=5,"✔ MASTER",IF($S1620&lt;TODAY(),"⚠ TRỄ ÔN",IF($S1620=TODAY(),"◆ ÔN HÔM NAY","✔ Đúng tiến độ")))))</f>
        <v>• Chưa tới</v>
      </c>
      <c r="U1620" s="38" t="n">
        <f aca="false">IF($H1620="","",$R1620/5)</f>
        <v>0</v>
      </c>
    </row>
    <row r="1621" customFormat="false" ht="15" hidden="false" customHeight="false" outlineLevel="0" collapsed="false">
      <c r="A1621" s="31" t="s">
        <v>9619</v>
      </c>
      <c r="B1621" s="31" t="n">
        <v>81</v>
      </c>
      <c r="C1621" s="32" t="n">
        <f aca="false">SETTINGS!$C$3+$B1621-1</f>
        <v>46380</v>
      </c>
      <c r="D1621" s="41" t="s">
        <v>7168</v>
      </c>
      <c r="E1621" s="34" t="s">
        <v>9513</v>
      </c>
      <c r="F1621" s="34" t="s">
        <v>280</v>
      </c>
      <c r="G1621" s="34" t="s">
        <v>9620</v>
      </c>
      <c r="H1621" s="35" t="s">
        <v>9621</v>
      </c>
      <c r="I1621" s="36" t="s">
        <v>9622</v>
      </c>
      <c r="J1621" s="34" t="s">
        <v>9623</v>
      </c>
      <c r="K1621" s="34" t="s">
        <v>9624</v>
      </c>
      <c r="L1621" s="37"/>
      <c r="M1621" s="37"/>
      <c r="N1621" s="37"/>
      <c r="O1621" s="37"/>
      <c r="P1621" s="37"/>
      <c r="Q1621" s="37"/>
      <c r="R1621" s="31" t="n">
        <f aca="false">COUNT($M1621:$Q1621)</f>
        <v>0</v>
      </c>
      <c r="S1621" s="32" t="str">
        <f aca="false">IF($L1621="","",IF($R1621&gt;=5,"",MAX($L1621:$Q1621)+CHOOSE($R1621+1,SETTINGS!$C$9,SETTINGS!$C$10,SETTINGS!$C$11,SETTINGS!$C$12,SETTINGS!$C$13)))</f>
        <v/>
      </c>
      <c r="T1621" s="34" t="str">
        <f aca="true">IF($H1621="","(chưa có nội dung)",IF($L1621="",IF($C1621&lt;TODAY(),"⚠ TRỄ HỌC",IF($C1621=TODAY(),"★ HỌC HÔM NAY","• Chưa tới")),IF($R1621&gt;=5,"✔ MASTER",IF($S1621&lt;TODAY(),"⚠ TRỄ ÔN",IF($S1621=TODAY(),"◆ ÔN HÔM NAY","✔ Đúng tiến độ")))))</f>
        <v>• Chưa tới</v>
      </c>
      <c r="U1621" s="38" t="n">
        <f aca="false">IF($H1621="","",$R1621/5)</f>
        <v>0</v>
      </c>
    </row>
    <row r="1622" customFormat="false" ht="15" hidden="false" customHeight="false" outlineLevel="0" collapsed="false">
      <c r="A1622" s="31" t="s">
        <v>9625</v>
      </c>
      <c r="B1622" s="31" t="n">
        <v>81</v>
      </c>
      <c r="C1622" s="32" t="n">
        <f aca="false">SETTINGS!$C$3+$B1622-1</f>
        <v>46380</v>
      </c>
      <c r="D1622" s="41" t="s">
        <v>7168</v>
      </c>
      <c r="E1622" s="34" t="s">
        <v>9513</v>
      </c>
      <c r="F1622" s="34" t="s">
        <v>280</v>
      </c>
      <c r="G1622" s="34" t="s">
        <v>8750</v>
      </c>
      <c r="H1622" s="35" t="s">
        <v>9626</v>
      </c>
      <c r="I1622" s="36" t="s">
        <v>9627</v>
      </c>
      <c r="J1622" s="34" t="s">
        <v>9628</v>
      </c>
      <c r="K1622" s="34" t="s">
        <v>9629</v>
      </c>
      <c r="L1622" s="37"/>
      <c r="M1622" s="37"/>
      <c r="N1622" s="37"/>
      <c r="O1622" s="37"/>
      <c r="P1622" s="37"/>
      <c r="Q1622" s="37"/>
      <c r="R1622" s="31" t="n">
        <f aca="false">COUNT($M1622:$Q1622)</f>
        <v>0</v>
      </c>
      <c r="S1622" s="32" t="str">
        <f aca="false">IF($L1622="","",IF($R1622&gt;=5,"",MAX($L1622:$Q1622)+CHOOSE($R1622+1,SETTINGS!$C$9,SETTINGS!$C$10,SETTINGS!$C$11,SETTINGS!$C$12,SETTINGS!$C$13)))</f>
        <v/>
      </c>
      <c r="T1622" s="34" t="str">
        <f aca="true">IF($H1622="","(chưa có nội dung)",IF($L1622="",IF($C1622&lt;TODAY(),"⚠ TRỄ HỌC",IF($C1622=TODAY(),"★ HỌC HÔM NAY","• Chưa tới")),IF($R1622&gt;=5,"✔ MASTER",IF($S1622&lt;TODAY(),"⚠ TRỄ ÔN",IF($S1622=TODAY(),"◆ ÔN HÔM NAY","✔ Đúng tiến độ")))))</f>
        <v>• Chưa tới</v>
      </c>
      <c r="U1622" s="38" t="n">
        <f aca="false">IF($H1622="","",$R1622/5)</f>
        <v>0</v>
      </c>
    </row>
    <row r="1623" customFormat="false" ht="15" hidden="false" customHeight="false" outlineLevel="0" collapsed="false">
      <c r="A1623" s="31" t="s">
        <v>9630</v>
      </c>
      <c r="B1623" s="31" t="n">
        <v>82</v>
      </c>
      <c r="C1623" s="32" t="n">
        <f aca="false">SETTINGS!$C$3+$B1623-1</f>
        <v>46381</v>
      </c>
      <c r="D1623" s="41" t="s">
        <v>7168</v>
      </c>
      <c r="E1623" s="34" t="s">
        <v>9631</v>
      </c>
      <c r="F1623" s="34" t="s">
        <v>280</v>
      </c>
      <c r="G1623" s="34" t="s">
        <v>9214</v>
      </c>
      <c r="H1623" s="35" t="s">
        <v>9632</v>
      </c>
      <c r="I1623" s="36" t="s">
        <v>9633</v>
      </c>
      <c r="J1623" s="34" t="s">
        <v>9634</v>
      </c>
      <c r="K1623" s="34" t="s">
        <v>9635</v>
      </c>
      <c r="L1623" s="37"/>
      <c r="M1623" s="37"/>
      <c r="N1623" s="37"/>
      <c r="O1623" s="37"/>
      <c r="P1623" s="37"/>
      <c r="Q1623" s="37"/>
      <c r="R1623" s="31" t="n">
        <f aca="false">COUNT($M1623:$Q1623)</f>
        <v>0</v>
      </c>
      <c r="S1623" s="32" t="str">
        <f aca="false">IF($L1623="","",IF($R1623&gt;=5,"",MAX($L1623:$Q1623)+CHOOSE($R1623+1,SETTINGS!$C$9,SETTINGS!$C$10,SETTINGS!$C$11,SETTINGS!$C$12,SETTINGS!$C$13)))</f>
        <v/>
      </c>
      <c r="T1623" s="34" t="str">
        <f aca="true">IF($H1623="","(chưa có nội dung)",IF($L1623="",IF($C1623&lt;TODAY(),"⚠ TRỄ HỌC",IF($C1623=TODAY(),"★ HỌC HÔM NAY","• Chưa tới")),IF($R1623&gt;=5,"✔ MASTER",IF($S1623&lt;TODAY(),"⚠ TRỄ ÔN",IF($S1623=TODAY(),"◆ ÔN HÔM NAY","✔ Đúng tiến độ")))))</f>
        <v>• Chưa tới</v>
      </c>
      <c r="U1623" s="38" t="n">
        <f aca="false">IF($H1623="","",$R1623/5)</f>
        <v>0</v>
      </c>
    </row>
    <row r="1624" customFormat="false" ht="15" hidden="false" customHeight="false" outlineLevel="0" collapsed="false">
      <c r="A1624" s="31" t="s">
        <v>9636</v>
      </c>
      <c r="B1624" s="31" t="n">
        <v>82</v>
      </c>
      <c r="C1624" s="32" t="n">
        <f aca="false">SETTINGS!$C$3+$B1624-1</f>
        <v>46381</v>
      </c>
      <c r="D1624" s="41" t="s">
        <v>7168</v>
      </c>
      <c r="E1624" s="34" t="s">
        <v>9631</v>
      </c>
      <c r="F1624" s="34" t="s">
        <v>280</v>
      </c>
      <c r="G1624" s="34" t="s">
        <v>9637</v>
      </c>
      <c r="H1624" s="35" t="s">
        <v>9638</v>
      </c>
      <c r="I1624" s="36" t="s">
        <v>9639</v>
      </c>
      <c r="J1624" s="34" t="s">
        <v>9640</v>
      </c>
      <c r="K1624" s="34" t="s">
        <v>9641</v>
      </c>
      <c r="L1624" s="37"/>
      <c r="M1624" s="37"/>
      <c r="N1624" s="37"/>
      <c r="O1624" s="37"/>
      <c r="P1624" s="37"/>
      <c r="Q1624" s="37"/>
      <c r="R1624" s="31" t="n">
        <f aca="false">COUNT($M1624:$Q1624)</f>
        <v>0</v>
      </c>
      <c r="S1624" s="32" t="str">
        <f aca="false">IF($L1624="","",IF($R1624&gt;=5,"",MAX($L1624:$Q1624)+CHOOSE($R1624+1,SETTINGS!$C$9,SETTINGS!$C$10,SETTINGS!$C$11,SETTINGS!$C$12,SETTINGS!$C$13)))</f>
        <v/>
      </c>
      <c r="T1624" s="34" t="str">
        <f aca="true">IF($H1624="","(chưa có nội dung)",IF($L1624="",IF($C1624&lt;TODAY(),"⚠ TRỄ HỌC",IF($C1624=TODAY(),"★ HỌC HÔM NAY","• Chưa tới")),IF($R1624&gt;=5,"✔ MASTER",IF($S1624&lt;TODAY(),"⚠ TRỄ ÔN",IF($S1624=TODAY(),"◆ ÔN HÔM NAY","✔ Đúng tiến độ")))))</f>
        <v>• Chưa tới</v>
      </c>
      <c r="U1624" s="38" t="n">
        <f aca="false">IF($H1624="","",$R1624/5)</f>
        <v>0</v>
      </c>
    </row>
    <row r="1625" customFormat="false" ht="15" hidden="false" customHeight="false" outlineLevel="0" collapsed="false">
      <c r="A1625" s="31" t="s">
        <v>9642</v>
      </c>
      <c r="B1625" s="31" t="n">
        <v>82</v>
      </c>
      <c r="C1625" s="32" t="n">
        <f aca="false">SETTINGS!$C$3+$B1625-1</f>
        <v>46381</v>
      </c>
      <c r="D1625" s="41" t="s">
        <v>7168</v>
      </c>
      <c r="E1625" s="34" t="s">
        <v>9631</v>
      </c>
      <c r="F1625" s="34" t="s">
        <v>280</v>
      </c>
      <c r="G1625" s="34" t="s">
        <v>9643</v>
      </c>
      <c r="H1625" s="35" t="s">
        <v>9644</v>
      </c>
      <c r="I1625" s="36" t="s">
        <v>9645</v>
      </c>
      <c r="J1625" s="34" t="s">
        <v>9646</v>
      </c>
      <c r="K1625" s="34" t="s">
        <v>9647</v>
      </c>
      <c r="L1625" s="37"/>
      <c r="M1625" s="37"/>
      <c r="N1625" s="37"/>
      <c r="O1625" s="37"/>
      <c r="P1625" s="37"/>
      <c r="Q1625" s="37"/>
      <c r="R1625" s="31" t="n">
        <f aca="false">COUNT($M1625:$Q1625)</f>
        <v>0</v>
      </c>
      <c r="S1625" s="32" t="str">
        <f aca="false">IF($L1625="","",IF($R1625&gt;=5,"",MAX($L1625:$Q1625)+CHOOSE($R1625+1,SETTINGS!$C$9,SETTINGS!$C$10,SETTINGS!$C$11,SETTINGS!$C$12,SETTINGS!$C$13)))</f>
        <v/>
      </c>
      <c r="T1625" s="34" t="str">
        <f aca="true">IF($H1625="","(chưa có nội dung)",IF($L1625="",IF($C1625&lt;TODAY(),"⚠ TRỄ HỌC",IF($C1625=TODAY(),"★ HỌC HÔM NAY","• Chưa tới")),IF($R1625&gt;=5,"✔ MASTER",IF($S1625&lt;TODAY(),"⚠ TRỄ ÔN",IF($S1625=TODAY(),"◆ ÔN HÔM NAY","✔ Đúng tiến độ")))))</f>
        <v>• Chưa tới</v>
      </c>
      <c r="U1625" s="38" t="n">
        <f aca="false">IF($H1625="","",$R1625/5)</f>
        <v>0</v>
      </c>
    </row>
    <row r="1626" customFormat="false" ht="23.85" hidden="false" customHeight="false" outlineLevel="0" collapsed="false">
      <c r="A1626" s="31" t="s">
        <v>9648</v>
      </c>
      <c r="B1626" s="31" t="n">
        <v>82</v>
      </c>
      <c r="C1626" s="32" t="n">
        <f aca="false">SETTINGS!$C$3+$B1626-1</f>
        <v>46381</v>
      </c>
      <c r="D1626" s="41" t="s">
        <v>7168</v>
      </c>
      <c r="E1626" s="34" t="s">
        <v>9631</v>
      </c>
      <c r="F1626" s="34" t="s">
        <v>5676</v>
      </c>
      <c r="G1626" s="34" t="s">
        <v>9649</v>
      </c>
      <c r="H1626" s="35" t="s">
        <v>9650</v>
      </c>
      <c r="I1626" s="36" t="s">
        <v>9651</v>
      </c>
      <c r="J1626" s="34" t="s">
        <v>9652</v>
      </c>
      <c r="K1626" s="34" t="s">
        <v>9653</v>
      </c>
      <c r="L1626" s="37"/>
      <c r="M1626" s="37"/>
      <c r="N1626" s="37"/>
      <c r="O1626" s="37"/>
      <c r="P1626" s="37"/>
      <c r="Q1626" s="37"/>
      <c r="R1626" s="31" t="n">
        <f aca="false">COUNT($M1626:$Q1626)</f>
        <v>0</v>
      </c>
      <c r="S1626" s="32" t="str">
        <f aca="false">IF($L1626="","",IF($R1626&gt;=5,"",MAX($L1626:$Q1626)+CHOOSE($R1626+1,SETTINGS!$C$9,SETTINGS!$C$10,SETTINGS!$C$11,SETTINGS!$C$12,SETTINGS!$C$13)))</f>
        <v/>
      </c>
      <c r="T1626" s="34" t="str">
        <f aca="true">IF($H1626="","(chưa có nội dung)",IF($L1626="",IF($C1626&lt;TODAY(),"⚠ TRỄ HỌC",IF($C1626=TODAY(),"★ HỌC HÔM NAY","• Chưa tới")),IF($R1626&gt;=5,"✔ MASTER",IF($S1626&lt;TODAY(),"⚠ TRỄ ÔN",IF($S1626=TODAY(),"◆ ÔN HÔM NAY","✔ Đúng tiến độ")))))</f>
        <v>• Chưa tới</v>
      </c>
      <c r="U1626" s="38" t="n">
        <f aca="false">IF($H1626="","",$R1626/5)</f>
        <v>0</v>
      </c>
    </row>
    <row r="1627" customFormat="false" ht="23.85" hidden="false" customHeight="false" outlineLevel="0" collapsed="false">
      <c r="A1627" s="31" t="s">
        <v>9654</v>
      </c>
      <c r="B1627" s="31" t="n">
        <v>82</v>
      </c>
      <c r="C1627" s="32" t="n">
        <f aca="false">SETTINGS!$C$3+$B1627-1</f>
        <v>46381</v>
      </c>
      <c r="D1627" s="41" t="s">
        <v>7168</v>
      </c>
      <c r="E1627" s="34" t="s">
        <v>9631</v>
      </c>
      <c r="F1627" s="34" t="s">
        <v>5676</v>
      </c>
      <c r="G1627" s="34" t="s">
        <v>9655</v>
      </c>
      <c r="H1627" s="35" t="s">
        <v>9656</v>
      </c>
      <c r="I1627" s="36" t="s">
        <v>9657</v>
      </c>
      <c r="J1627" s="34" t="s">
        <v>9658</v>
      </c>
      <c r="K1627" s="34" t="s">
        <v>9659</v>
      </c>
      <c r="L1627" s="37"/>
      <c r="M1627" s="37"/>
      <c r="N1627" s="37"/>
      <c r="O1627" s="37"/>
      <c r="P1627" s="37"/>
      <c r="Q1627" s="37"/>
      <c r="R1627" s="31" t="n">
        <f aca="false">COUNT($M1627:$Q1627)</f>
        <v>0</v>
      </c>
      <c r="S1627" s="32" t="str">
        <f aca="false">IF($L1627="","",IF($R1627&gt;=5,"",MAX($L1627:$Q1627)+CHOOSE($R1627+1,SETTINGS!$C$9,SETTINGS!$C$10,SETTINGS!$C$11,SETTINGS!$C$12,SETTINGS!$C$13)))</f>
        <v/>
      </c>
      <c r="T1627" s="34" t="str">
        <f aca="true">IF($H1627="","(chưa có nội dung)",IF($L1627="",IF($C1627&lt;TODAY(),"⚠ TRỄ HỌC",IF($C1627=TODAY(),"★ HỌC HÔM NAY","• Chưa tới")),IF($R1627&gt;=5,"✔ MASTER",IF($S1627&lt;TODAY(),"⚠ TRỄ ÔN",IF($S1627=TODAY(),"◆ ÔN HÔM NAY","✔ Đúng tiến độ")))))</f>
        <v>• Chưa tới</v>
      </c>
      <c r="U1627" s="38" t="n">
        <f aca="false">IF($H1627="","",$R1627/5)</f>
        <v>0</v>
      </c>
    </row>
    <row r="1628" customFormat="false" ht="15" hidden="false" customHeight="false" outlineLevel="0" collapsed="false">
      <c r="A1628" s="31" t="s">
        <v>9660</v>
      </c>
      <c r="B1628" s="31" t="n">
        <v>82</v>
      </c>
      <c r="C1628" s="32" t="n">
        <f aca="false">SETTINGS!$C$3+$B1628-1</f>
        <v>46381</v>
      </c>
      <c r="D1628" s="41" t="s">
        <v>7168</v>
      </c>
      <c r="E1628" s="34" t="s">
        <v>9631</v>
      </c>
      <c r="F1628" s="34" t="s">
        <v>280</v>
      </c>
      <c r="G1628" s="34" t="s">
        <v>9661</v>
      </c>
      <c r="H1628" s="35" t="s">
        <v>9662</v>
      </c>
      <c r="I1628" s="36" t="s">
        <v>9663</v>
      </c>
      <c r="J1628" s="34" t="s">
        <v>9664</v>
      </c>
      <c r="K1628" s="34" t="s">
        <v>9665</v>
      </c>
      <c r="L1628" s="37"/>
      <c r="M1628" s="37"/>
      <c r="N1628" s="37"/>
      <c r="O1628" s="37"/>
      <c r="P1628" s="37"/>
      <c r="Q1628" s="37"/>
      <c r="R1628" s="31" t="n">
        <f aca="false">COUNT($M1628:$Q1628)</f>
        <v>0</v>
      </c>
      <c r="S1628" s="32" t="str">
        <f aca="false">IF($L1628="","",IF($R1628&gt;=5,"",MAX($L1628:$Q1628)+CHOOSE($R1628+1,SETTINGS!$C$9,SETTINGS!$C$10,SETTINGS!$C$11,SETTINGS!$C$12,SETTINGS!$C$13)))</f>
        <v/>
      </c>
      <c r="T1628" s="34" t="str">
        <f aca="true">IF($H1628="","(chưa có nội dung)",IF($L1628="",IF($C1628&lt;TODAY(),"⚠ TRỄ HỌC",IF($C1628=TODAY(),"★ HỌC HÔM NAY","• Chưa tới")),IF($R1628&gt;=5,"✔ MASTER",IF($S1628&lt;TODAY(),"⚠ TRỄ ÔN",IF($S1628=TODAY(),"◆ ÔN HÔM NAY","✔ Đúng tiến độ")))))</f>
        <v>• Chưa tới</v>
      </c>
      <c r="U1628" s="38" t="n">
        <f aca="false">IF($H1628="","",$R1628/5)</f>
        <v>0</v>
      </c>
    </row>
    <row r="1629" customFormat="false" ht="15" hidden="false" customHeight="false" outlineLevel="0" collapsed="false">
      <c r="A1629" s="31" t="s">
        <v>9666</v>
      </c>
      <c r="B1629" s="31" t="n">
        <v>82</v>
      </c>
      <c r="C1629" s="32" t="n">
        <f aca="false">SETTINGS!$C$3+$B1629-1</f>
        <v>46381</v>
      </c>
      <c r="D1629" s="41" t="s">
        <v>7168</v>
      </c>
      <c r="E1629" s="34" t="s">
        <v>9631</v>
      </c>
      <c r="F1629" s="34" t="s">
        <v>280</v>
      </c>
      <c r="G1629" s="34" t="s">
        <v>9667</v>
      </c>
      <c r="H1629" s="35" t="s">
        <v>9668</v>
      </c>
      <c r="I1629" s="36" t="s">
        <v>9669</v>
      </c>
      <c r="J1629" s="34" t="s">
        <v>9670</v>
      </c>
      <c r="K1629" s="34" t="s">
        <v>9671</v>
      </c>
      <c r="L1629" s="37"/>
      <c r="M1629" s="37"/>
      <c r="N1629" s="37"/>
      <c r="O1629" s="37"/>
      <c r="P1629" s="37"/>
      <c r="Q1629" s="37"/>
      <c r="R1629" s="31" t="n">
        <f aca="false">COUNT($M1629:$Q1629)</f>
        <v>0</v>
      </c>
      <c r="S1629" s="32" t="str">
        <f aca="false">IF($L1629="","",IF($R1629&gt;=5,"",MAX($L1629:$Q1629)+CHOOSE($R1629+1,SETTINGS!$C$9,SETTINGS!$C$10,SETTINGS!$C$11,SETTINGS!$C$12,SETTINGS!$C$13)))</f>
        <v/>
      </c>
      <c r="T1629" s="34" t="str">
        <f aca="true">IF($H1629="","(chưa có nội dung)",IF($L1629="",IF($C1629&lt;TODAY(),"⚠ TRỄ HỌC",IF($C1629=TODAY(),"★ HỌC HÔM NAY","• Chưa tới")),IF($R1629&gt;=5,"✔ MASTER",IF($S1629&lt;TODAY(),"⚠ TRỄ ÔN",IF($S1629=TODAY(),"◆ ÔN HÔM NAY","✔ Đúng tiến độ")))))</f>
        <v>• Chưa tới</v>
      </c>
      <c r="U1629" s="38" t="n">
        <f aca="false">IF($H1629="","",$R1629/5)</f>
        <v>0</v>
      </c>
    </row>
    <row r="1630" customFormat="false" ht="15" hidden="false" customHeight="false" outlineLevel="0" collapsed="false">
      <c r="A1630" s="31" t="s">
        <v>9672</v>
      </c>
      <c r="B1630" s="31" t="n">
        <v>82</v>
      </c>
      <c r="C1630" s="32" t="n">
        <f aca="false">SETTINGS!$C$3+$B1630-1</f>
        <v>46381</v>
      </c>
      <c r="D1630" s="41" t="s">
        <v>7168</v>
      </c>
      <c r="E1630" s="34" t="s">
        <v>9631</v>
      </c>
      <c r="F1630" s="34" t="s">
        <v>280</v>
      </c>
      <c r="G1630" s="34" t="s">
        <v>9673</v>
      </c>
      <c r="H1630" s="35" t="s">
        <v>9674</v>
      </c>
      <c r="I1630" s="36" t="s">
        <v>9675</v>
      </c>
      <c r="J1630" s="34" t="s">
        <v>9676</v>
      </c>
      <c r="K1630" s="34" t="s">
        <v>9677</v>
      </c>
      <c r="L1630" s="37"/>
      <c r="M1630" s="37"/>
      <c r="N1630" s="37"/>
      <c r="O1630" s="37"/>
      <c r="P1630" s="37"/>
      <c r="Q1630" s="37"/>
      <c r="R1630" s="31" t="n">
        <f aca="false">COUNT($M1630:$Q1630)</f>
        <v>0</v>
      </c>
      <c r="S1630" s="32" t="str">
        <f aca="false">IF($L1630="","",IF($R1630&gt;=5,"",MAX($L1630:$Q1630)+CHOOSE($R1630+1,SETTINGS!$C$9,SETTINGS!$C$10,SETTINGS!$C$11,SETTINGS!$C$12,SETTINGS!$C$13)))</f>
        <v/>
      </c>
      <c r="T1630" s="34" t="str">
        <f aca="true">IF($H1630="","(chưa có nội dung)",IF($L1630="",IF($C1630&lt;TODAY(),"⚠ TRỄ HỌC",IF($C1630=TODAY(),"★ HỌC HÔM NAY","• Chưa tới")),IF($R1630&gt;=5,"✔ MASTER",IF($S1630&lt;TODAY(),"⚠ TRỄ ÔN",IF($S1630=TODAY(),"◆ ÔN HÔM NAY","✔ Đúng tiến độ")))))</f>
        <v>• Chưa tới</v>
      </c>
      <c r="U1630" s="38" t="n">
        <f aca="false">IF($H1630="","",$R1630/5)</f>
        <v>0</v>
      </c>
    </row>
    <row r="1631" customFormat="false" ht="15" hidden="false" customHeight="false" outlineLevel="0" collapsed="false">
      <c r="A1631" s="31" t="s">
        <v>9678</v>
      </c>
      <c r="B1631" s="31" t="n">
        <v>82</v>
      </c>
      <c r="C1631" s="32" t="n">
        <f aca="false">SETTINGS!$C$3+$B1631-1</f>
        <v>46381</v>
      </c>
      <c r="D1631" s="41" t="s">
        <v>7168</v>
      </c>
      <c r="E1631" s="34" t="s">
        <v>9631</v>
      </c>
      <c r="F1631" s="34" t="s">
        <v>280</v>
      </c>
      <c r="G1631" s="34" t="s">
        <v>5507</v>
      </c>
      <c r="H1631" s="35" t="s">
        <v>9679</v>
      </c>
      <c r="I1631" s="36" t="s">
        <v>9680</v>
      </c>
      <c r="J1631" s="34" t="s">
        <v>9681</v>
      </c>
      <c r="K1631" s="34" t="s">
        <v>9682</v>
      </c>
      <c r="L1631" s="37"/>
      <c r="M1631" s="37"/>
      <c r="N1631" s="37"/>
      <c r="O1631" s="37"/>
      <c r="P1631" s="37"/>
      <c r="Q1631" s="37"/>
      <c r="R1631" s="31" t="n">
        <f aca="false">COUNT($M1631:$Q1631)</f>
        <v>0</v>
      </c>
      <c r="S1631" s="32" t="str">
        <f aca="false">IF($L1631="","",IF($R1631&gt;=5,"",MAX($L1631:$Q1631)+CHOOSE($R1631+1,SETTINGS!$C$9,SETTINGS!$C$10,SETTINGS!$C$11,SETTINGS!$C$12,SETTINGS!$C$13)))</f>
        <v/>
      </c>
      <c r="T1631" s="34" t="str">
        <f aca="true">IF($H1631="","(chưa có nội dung)",IF($L1631="",IF($C1631&lt;TODAY(),"⚠ TRỄ HỌC",IF($C1631=TODAY(),"★ HỌC HÔM NAY","• Chưa tới")),IF($R1631&gt;=5,"✔ MASTER",IF($S1631&lt;TODAY(),"⚠ TRỄ ÔN",IF($S1631=TODAY(),"◆ ÔN HÔM NAY","✔ Đúng tiến độ")))))</f>
        <v>• Chưa tới</v>
      </c>
      <c r="U1631" s="38" t="n">
        <f aca="false">IF($H1631="","",$R1631/5)</f>
        <v>0</v>
      </c>
    </row>
    <row r="1632" customFormat="false" ht="23.85" hidden="false" customHeight="false" outlineLevel="0" collapsed="false">
      <c r="A1632" s="31" t="s">
        <v>9683</v>
      </c>
      <c r="B1632" s="31" t="n">
        <v>82</v>
      </c>
      <c r="C1632" s="32" t="n">
        <f aca="false">SETTINGS!$C$3+$B1632-1</f>
        <v>46381</v>
      </c>
      <c r="D1632" s="41" t="s">
        <v>7168</v>
      </c>
      <c r="E1632" s="34" t="s">
        <v>9631</v>
      </c>
      <c r="F1632" s="34" t="s">
        <v>280</v>
      </c>
      <c r="G1632" s="34" t="s">
        <v>9684</v>
      </c>
      <c r="H1632" s="35" t="s">
        <v>9685</v>
      </c>
      <c r="I1632" s="36" t="s">
        <v>9686</v>
      </c>
      <c r="J1632" s="34" t="s">
        <v>9687</v>
      </c>
      <c r="K1632" s="34" t="s">
        <v>9688</v>
      </c>
      <c r="L1632" s="37"/>
      <c r="M1632" s="37"/>
      <c r="N1632" s="37"/>
      <c r="O1632" s="37"/>
      <c r="P1632" s="37"/>
      <c r="Q1632" s="37"/>
      <c r="R1632" s="31" t="n">
        <f aca="false">COUNT($M1632:$Q1632)</f>
        <v>0</v>
      </c>
      <c r="S1632" s="32" t="str">
        <f aca="false">IF($L1632="","",IF($R1632&gt;=5,"",MAX($L1632:$Q1632)+CHOOSE($R1632+1,SETTINGS!$C$9,SETTINGS!$C$10,SETTINGS!$C$11,SETTINGS!$C$12,SETTINGS!$C$13)))</f>
        <v/>
      </c>
      <c r="T1632" s="34" t="str">
        <f aca="true">IF($H1632="","(chưa có nội dung)",IF($L1632="",IF($C1632&lt;TODAY(),"⚠ TRỄ HỌC",IF($C1632=TODAY(),"★ HỌC HÔM NAY","• Chưa tới")),IF($R1632&gt;=5,"✔ MASTER",IF($S1632&lt;TODAY(),"⚠ TRỄ ÔN",IF($S1632=TODAY(),"◆ ÔN HÔM NAY","✔ Đúng tiến độ")))))</f>
        <v>• Chưa tới</v>
      </c>
      <c r="U1632" s="38" t="n">
        <f aca="false">IF($H1632="","",$R1632/5)</f>
        <v>0</v>
      </c>
    </row>
    <row r="1633" customFormat="false" ht="15" hidden="false" customHeight="false" outlineLevel="0" collapsed="false">
      <c r="A1633" s="31" t="s">
        <v>9689</v>
      </c>
      <c r="B1633" s="31" t="n">
        <v>82</v>
      </c>
      <c r="C1633" s="32" t="n">
        <f aca="false">SETTINGS!$C$3+$B1633-1</f>
        <v>46381</v>
      </c>
      <c r="D1633" s="41" t="s">
        <v>7168</v>
      </c>
      <c r="E1633" s="34" t="s">
        <v>9631</v>
      </c>
      <c r="F1633" s="34" t="s">
        <v>472</v>
      </c>
      <c r="G1633" s="34" t="s">
        <v>9690</v>
      </c>
      <c r="H1633" s="35" t="s">
        <v>9691</v>
      </c>
      <c r="I1633" s="36" t="s">
        <v>9692</v>
      </c>
      <c r="J1633" s="34" t="s">
        <v>9693</v>
      </c>
      <c r="K1633" s="34" t="s">
        <v>9694</v>
      </c>
      <c r="L1633" s="37"/>
      <c r="M1633" s="37"/>
      <c r="N1633" s="37"/>
      <c r="O1633" s="37"/>
      <c r="P1633" s="37"/>
      <c r="Q1633" s="37"/>
      <c r="R1633" s="31" t="n">
        <f aca="false">COUNT($M1633:$Q1633)</f>
        <v>0</v>
      </c>
      <c r="S1633" s="32" t="str">
        <f aca="false">IF($L1633="","",IF($R1633&gt;=5,"",MAX($L1633:$Q1633)+CHOOSE($R1633+1,SETTINGS!$C$9,SETTINGS!$C$10,SETTINGS!$C$11,SETTINGS!$C$12,SETTINGS!$C$13)))</f>
        <v/>
      </c>
      <c r="T1633" s="34" t="str">
        <f aca="true">IF($H1633="","(chưa có nội dung)",IF($L1633="",IF($C1633&lt;TODAY(),"⚠ TRỄ HỌC",IF($C1633=TODAY(),"★ HỌC HÔM NAY","• Chưa tới")),IF($R1633&gt;=5,"✔ MASTER",IF($S1633&lt;TODAY(),"⚠ TRỄ ÔN",IF($S1633=TODAY(),"◆ ÔN HÔM NAY","✔ Đúng tiến độ")))))</f>
        <v>• Chưa tới</v>
      </c>
      <c r="U1633" s="38" t="n">
        <f aca="false">IF($H1633="","",$R1633/5)</f>
        <v>0</v>
      </c>
    </row>
    <row r="1634" customFormat="false" ht="15" hidden="false" customHeight="false" outlineLevel="0" collapsed="false">
      <c r="A1634" s="31" t="s">
        <v>9695</v>
      </c>
      <c r="B1634" s="31" t="n">
        <v>82</v>
      </c>
      <c r="C1634" s="32" t="n">
        <f aca="false">SETTINGS!$C$3+$B1634-1</f>
        <v>46381</v>
      </c>
      <c r="D1634" s="41" t="s">
        <v>7168</v>
      </c>
      <c r="E1634" s="34" t="s">
        <v>9631</v>
      </c>
      <c r="F1634" s="34" t="s">
        <v>183</v>
      </c>
      <c r="G1634" s="34" t="s">
        <v>9696</v>
      </c>
      <c r="H1634" s="35" t="s">
        <v>9697</v>
      </c>
      <c r="I1634" s="36" t="s">
        <v>9698</v>
      </c>
      <c r="J1634" s="34" t="s">
        <v>9699</v>
      </c>
      <c r="K1634" s="34" t="s">
        <v>9700</v>
      </c>
      <c r="L1634" s="37"/>
      <c r="M1634" s="37"/>
      <c r="N1634" s="37"/>
      <c r="O1634" s="37"/>
      <c r="P1634" s="37"/>
      <c r="Q1634" s="37"/>
      <c r="R1634" s="31" t="n">
        <f aca="false">COUNT($M1634:$Q1634)</f>
        <v>0</v>
      </c>
      <c r="S1634" s="32" t="str">
        <f aca="false">IF($L1634="","",IF($R1634&gt;=5,"",MAX($L1634:$Q1634)+CHOOSE($R1634+1,SETTINGS!$C$9,SETTINGS!$C$10,SETTINGS!$C$11,SETTINGS!$C$12,SETTINGS!$C$13)))</f>
        <v/>
      </c>
      <c r="T1634" s="34" t="str">
        <f aca="true">IF($H1634="","(chưa có nội dung)",IF($L1634="",IF($C1634&lt;TODAY(),"⚠ TRỄ HỌC",IF($C1634=TODAY(),"★ HỌC HÔM NAY","• Chưa tới")),IF($R1634&gt;=5,"✔ MASTER",IF($S1634&lt;TODAY(),"⚠ TRỄ ÔN",IF($S1634=TODAY(),"◆ ÔN HÔM NAY","✔ Đúng tiến độ")))))</f>
        <v>• Chưa tới</v>
      </c>
      <c r="U1634" s="38" t="n">
        <f aca="false">IF($H1634="","",$R1634/5)</f>
        <v>0</v>
      </c>
    </row>
    <row r="1635" customFormat="false" ht="23.85" hidden="false" customHeight="false" outlineLevel="0" collapsed="false">
      <c r="A1635" s="31" t="s">
        <v>9701</v>
      </c>
      <c r="B1635" s="31" t="n">
        <v>82</v>
      </c>
      <c r="C1635" s="32" t="n">
        <f aca="false">SETTINGS!$C$3+$B1635-1</f>
        <v>46381</v>
      </c>
      <c r="D1635" s="41" t="s">
        <v>7168</v>
      </c>
      <c r="E1635" s="34" t="s">
        <v>9631</v>
      </c>
      <c r="F1635" s="34" t="s">
        <v>5676</v>
      </c>
      <c r="G1635" s="34" t="s">
        <v>8498</v>
      </c>
      <c r="H1635" s="35" t="s">
        <v>9702</v>
      </c>
      <c r="I1635" s="36" t="s">
        <v>9703</v>
      </c>
      <c r="J1635" s="34" t="s">
        <v>9704</v>
      </c>
      <c r="K1635" s="34" t="s">
        <v>9705</v>
      </c>
      <c r="L1635" s="37"/>
      <c r="M1635" s="37"/>
      <c r="N1635" s="37"/>
      <c r="O1635" s="37"/>
      <c r="P1635" s="37"/>
      <c r="Q1635" s="37"/>
      <c r="R1635" s="31" t="n">
        <f aca="false">COUNT($M1635:$Q1635)</f>
        <v>0</v>
      </c>
      <c r="S1635" s="32" t="str">
        <f aca="false">IF($L1635="","",IF($R1635&gt;=5,"",MAX($L1635:$Q1635)+CHOOSE($R1635+1,SETTINGS!$C$9,SETTINGS!$C$10,SETTINGS!$C$11,SETTINGS!$C$12,SETTINGS!$C$13)))</f>
        <v/>
      </c>
      <c r="T1635" s="34" t="str">
        <f aca="true">IF($H1635="","(chưa có nội dung)",IF($L1635="",IF($C1635&lt;TODAY(),"⚠ TRỄ HỌC",IF($C1635=TODAY(),"★ HỌC HÔM NAY","• Chưa tới")),IF($R1635&gt;=5,"✔ MASTER",IF($S1635&lt;TODAY(),"⚠ TRỄ ÔN",IF($S1635=TODAY(),"◆ ÔN HÔM NAY","✔ Đúng tiến độ")))))</f>
        <v>• Chưa tới</v>
      </c>
      <c r="U1635" s="38" t="n">
        <f aca="false">IF($H1635="","",$R1635/5)</f>
        <v>0</v>
      </c>
    </row>
    <row r="1636" customFormat="false" ht="15" hidden="false" customHeight="false" outlineLevel="0" collapsed="false">
      <c r="A1636" s="31" t="s">
        <v>9706</v>
      </c>
      <c r="B1636" s="31" t="n">
        <v>82</v>
      </c>
      <c r="C1636" s="32" t="n">
        <f aca="false">SETTINGS!$C$3+$B1636-1</f>
        <v>46381</v>
      </c>
      <c r="D1636" s="41" t="s">
        <v>7168</v>
      </c>
      <c r="E1636" s="34" t="s">
        <v>9631</v>
      </c>
      <c r="F1636" s="34" t="s">
        <v>280</v>
      </c>
      <c r="G1636" s="34" t="s">
        <v>9707</v>
      </c>
      <c r="H1636" s="35" t="s">
        <v>9708</v>
      </c>
      <c r="I1636" s="36" t="s">
        <v>9709</v>
      </c>
      <c r="J1636" s="34" t="s">
        <v>9710</v>
      </c>
      <c r="K1636" s="34" t="s">
        <v>9711</v>
      </c>
      <c r="L1636" s="37"/>
      <c r="M1636" s="37"/>
      <c r="N1636" s="37"/>
      <c r="O1636" s="37"/>
      <c r="P1636" s="37"/>
      <c r="Q1636" s="37"/>
      <c r="R1636" s="31" t="n">
        <f aca="false">COUNT($M1636:$Q1636)</f>
        <v>0</v>
      </c>
      <c r="S1636" s="32" t="str">
        <f aca="false">IF($L1636="","",IF($R1636&gt;=5,"",MAX($L1636:$Q1636)+CHOOSE($R1636+1,SETTINGS!$C$9,SETTINGS!$C$10,SETTINGS!$C$11,SETTINGS!$C$12,SETTINGS!$C$13)))</f>
        <v/>
      </c>
      <c r="T1636" s="34" t="str">
        <f aca="true">IF($H1636="","(chưa có nội dung)",IF($L1636="",IF($C1636&lt;TODAY(),"⚠ TRỄ HỌC",IF($C1636=TODAY(),"★ HỌC HÔM NAY","• Chưa tới")),IF($R1636&gt;=5,"✔ MASTER",IF($S1636&lt;TODAY(),"⚠ TRỄ ÔN",IF($S1636=TODAY(),"◆ ÔN HÔM NAY","✔ Đúng tiến độ")))))</f>
        <v>• Chưa tới</v>
      </c>
      <c r="U1636" s="38" t="n">
        <f aca="false">IF($H1636="","",$R1636/5)</f>
        <v>0</v>
      </c>
    </row>
    <row r="1637" customFormat="false" ht="15" hidden="false" customHeight="false" outlineLevel="0" collapsed="false">
      <c r="A1637" s="31" t="s">
        <v>9712</v>
      </c>
      <c r="B1637" s="31" t="n">
        <v>82</v>
      </c>
      <c r="C1637" s="32" t="n">
        <f aca="false">SETTINGS!$C$3+$B1637-1</f>
        <v>46381</v>
      </c>
      <c r="D1637" s="41" t="s">
        <v>7168</v>
      </c>
      <c r="E1637" s="34" t="s">
        <v>9631</v>
      </c>
      <c r="F1637" s="34" t="s">
        <v>280</v>
      </c>
      <c r="G1637" s="34" t="s">
        <v>9713</v>
      </c>
      <c r="H1637" s="35" t="s">
        <v>9714</v>
      </c>
      <c r="I1637" s="36" t="s">
        <v>9715</v>
      </c>
      <c r="J1637" s="34" t="s">
        <v>9716</v>
      </c>
      <c r="K1637" s="34" t="s">
        <v>9717</v>
      </c>
      <c r="L1637" s="37"/>
      <c r="M1637" s="37"/>
      <c r="N1637" s="37"/>
      <c r="O1637" s="37"/>
      <c r="P1637" s="37"/>
      <c r="Q1637" s="37"/>
      <c r="R1637" s="31" t="n">
        <f aca="false">COUNT($M1637:$Q1637)</f>
        <v>0</v>
      </c>
      <c r="S1637" s="32" t="str">
        <f aca="false">IF($L1637="","",IF($R1637&gt;=5,"",MAX($L1637:$Q1637)+CHOOSE($R1637+1,SETTINGS!$C$9,SETTINGS!$C$10,SETTINGS!$C$11,SETTINGS!$C$12,SETTINGS!$C$13)))</f>
        <v/>
      </c>
      <c r="T1637" s="34" t="str">
        <f aca="true">IF($H1637="","(chưa có nội dung)",IF($L1637="",IF($C1637&lt;TODAY(),"⚠ TRỄ HỌC",IF($C1637=TODAY(),"★ HỌC HÔM NAY","• Chưa tới")),IF($R1637&gt;=5,"✔ MASTER",IF($S1637&lt;TODAY(),"⚠ TRỄ ÔN",IF($S1637=TODAY(),"◆ ÔN HÔM NAY","✔ Đúng tiến độ")))))</f>
        <v>• Chưa tới</v>
      </c>
      <c r="U1637" s="38" t="n">
        <f aca="false">IF($H1637="","",$R1637/5)</f>
        <v>0</v>
      </c>
    </row>
    <row r="1638" customFormat="false" ht="23.85" hidden="false" customHeight="false" outlineLevel="0" collapsed="false">
      <c r="A1638" s="31" t="s">
        <v>9718</v>
      </c>
      <c r="B1638" s="31" t="n">
        <v>82</v>
      </c>
      <c r="C1638" s="32" t="n">
        <f aca="false">SETTINGS!$C$3+$B1638-1</f>
        <v>46381</v>
      </c>
      <c r="D1638" s="41" t="s">
        <v>7168</v>
      </c>
      <c r="E1638" s="34" t="s">
        <v>9631</v>
      </c>
      <c r="F1638" s="34" t="s">
        <v>5676</v>
      </c>
      <c r="G1638" s="34" t="s">
        <v>8584</v>
      </c>
      <c r="H1638" s="35" t="s">
        <v>9719</v>
      </c>
      <c r="I1638" s="36" t="s">
        <v>9720</v>
      </c>
      <c r="J1638" s="34" t="s">
        <v>9721</v>
      </c>
      <c r="K1638" s="34" t="s">
        <v>9722</v>
      </c>
      <c r="L1638" s="37"/>
      <c r="M1638" s="37"/>
      <c r="N1638" s="37"/>
      <c r="O1638" s="37"/>
      <c r="P1638" s="37"/>
      <c r="Q1638" s="37"/>
      <c r="R1638" s="31" t="n">
        <f aca="false">COUNT($M1638:$Q1638)</f>
        <v>0</v>
      </c>
      <c r="S1638" s="32" t="str">
        <f aca="false">IF($L1638="","",IF($R1638&gt;=5,"",MAX($L1638:$Q1638)+CHOOSE($R1638+1,SETTINGS!$C$9,SETTINGS!$C$10,SETTINGS!$C$11,SETTINGS!$C$12,SETTINGS!$C$13)))</f>
        <v/>
      </c>
      <c r="T1638" s="34" t="str">
        <f aca="true">IF($H1638="","(chưa có nội dung)",IF($L1638="",IF($C1638&lt;TODAY(),"⚠ TRỄ HỌC",IF($C1638=TODAY(),"★ HỌC HÔM NAY","• Chưa tới")),IF($R1638&gt;=5,"✔ MASTER",IF($S1638&lt;TODAY(),"⚠ TRỄ ÔN",IF($S1638=TODAY(),"◆ ÔN HÔM NAY","✔ Đúng tiến độ")))))</f>
        <v>• Chưa tới</v>
      </c>
      <c r="U1638" s="38" t="n">
        <f aca="false">IF($H1638="","",$R1638/5)</f>
        <v>0</v>
      </c>
    </row>
    <row r="1639" customFormat="false" ht="15" hidden="false" customHeight="false" outlineLevel="0" collapsed="false">
      <c r="A1639" s="31" t="s">
        <v>9723</v>
      </c>
      <c r="B1639" s="31" t="n">
        <v>82</v>
      </c>
      <c r="C1639" s="32" t="n">
        <f aca="false">SETTINGS!$C$3+$B1639-1</f>
        <v>46381</v>
      </c>
      <c r="D1639" s="41" t="s">
        <v>7168</v>
      </c>
      <c r="E1639" s="34" t="s">
        <v>9631</v>
      </c>
      <c r="F1639" s="34" t="s">
        <v>280</v>
      </c>
      <c r="G1639" s="34" t="s">
        <v>9724</v>
      </c>
      <c r="H1639" s="35" t="s">
        <v>9725</v>
      </c>
      <c r="I1639" s="36" t="s">
        <v>9726</v>
      </c>
      <c r="J1639" s="34" t="s">
        <v>9727</v>
      </c>
      <c r="K1639" s="34" t="s">
        <v>9728</v>
      </c>
      <c r="L1639" s="37"/>
      <c r="M1639" s="37"/>
      <c r="N1639" s="37"/>
      <c r="O1639" s="37"/>
      <c r="P1639" s="37"/>
      <c r="Q1639" s="37"/>
      <c r="R1639" s="31" t="n">
        <f aca="false">COUNT($M1639:$Q1639)</f>
        <v>0</v>
      </c>
      <c r="S1639" s="32" t="str">
        <f aca="false">IF($L1639="","",IF($R1639&gt;=5,"",MAX($L1639:$Q1639)+CHOOSE($R1639+1,SETTINGS!$C$9,SETTINGS!$C$10,SETTINGS!$C$11,SETTINGS!$C$12,SETTINGS!$C$13)))</f>
        <v/>
      </c>
      <c r="T1639" s="34" t="str">
        <f aca="true">IF($H1639="","(chưa có nội dung)",IF($L1639="",IF($C1639&lt;TODAY(),"⚠ TRỄ HỌC",IF($C1639=TODAY(),"★ HỌC HÔM NAY","• Chưa tới")),IF($R1639&gt;=5,"✔ MASTER",IF($S1639&lt;TODAY(),"⚠ TRỄ ÔN",IF($S1639=TODAY(),"◆ ÔN HÔM NAY","✔ Đúng tiến độ")))))</f>
        <v>• Chưa tới</v>
      </c>
      <c r="U1639" s="38" t="n">
        <f aca="false">IF($H1639="","",$R1639/5)</f>
        <v>0</v>
      </c>
    </row>
    <row r="1640" customFormat="false" ht="15" hidden="false" customHeight="false" outlineLevel="0" collapsed="false">
      <c r="A1640" s="31" t="s">
        <v>9729</v>
      </c>
      <c r="B1640" s="31" t="n">
        <v>82</v>
      </c>
      <c r="C1640" s="32" t="n">
        <f aca="false">SETTINGS!$C$3+$B1640-1</f>
        <v>46381</v>
      </c>
      <c r="D1640" s="41" t="s">
        <v>7168</v>
      </c>
      <c r="E1640" s="34" t="s">
        <v>9631</v>
      </c>
      <c r="F1640" s="34" t="s">
        <v>280</v>
      </c>
      <c r="G1640" s="34" t="s">
        <v>9730</v>
      </c>
      <c r="H1640" s="35" t="s">
        <v>9731</v>
      </c>
      <c r="I1640" s="36" t="s">
        <v>9732</v>
      </c>
      <c r="J1640" s="34" t="s">
        <v>9733</v>
      </c>
      <c r="K1640" s="34" t="s">
        <v>9734</v>
      </c>
      <c r="L1640" s="37"/>
      <c r="M1640" s="37"/>
      <c r="N1640" s="37"/>
      <c r="O1640" s="37"/>
      <c r="P1640" s="37"/>
      <c r="Q1640" s="37"/>
      <c r="R1640" s="31" t="n">
        <f aca="false">COUNT($M1640:$Q1640)</f>
        <v>0</v>
      </c>
      <c r="S1640" s="32" t="str">
        <f aca="false">IF($L1640="","",IF($R1640&gt;=5,"",MAX($L1640:$Q1640)+CHOOSE($R1640+1,SETTINGS!$C$9,SETTINGS!$C$10,SETTINGS!$C$11,SETTINGS!$C$12,SETTINGS!$C$13)))</f>
        <v/>
      </c>
      <c r="T1640" s="34" t="str">
        <f aca="true">IF($H1640="","(chưa có nội dung)",IF($L1640="",IF($C1640&lt;TODAY(),"⚠ TRỄ HỌC",IF($C1640=TODAY(),"★ HỌC HÔM NAY","• Chưa tới")),IF($R1640&gt;=5,"✔ MASTER",IF($S1640&lt;TODAY(),"⚠ TRỄ ÔN",IF($S1640=TODAY(),"◆ ÔN HÔM NAY","✔ Đúng tiến độ")))))</f>
        <v>• Chưa tới</v>
      </c>
      <c r="U1640" s="38" t="n">
        <f aca="false">IF($H1640="","",$R1640/5)</f>
        <v>0</v>
      </c>
    </row>
    <row r="1641" customFormat="false" ht="15" hidden="false" customHeight="false" outlineLevel="0" collapsed="false">
      <c r="A1641" s="31" t="s">
        <v>9735</v>
      </c>
      <c r="B1641" s="31" t="n">
        <v>82</v>
      </c>
      <c r="C1641" s="32" t="n">
        <f aca="false">SETTINGS!$C$3+$B1641-1</f>
        <v>46381</v>
      </c>
      <c r="D1641" s="41" t="s">
        <v>7168</v>
      </c>
      <c r="E1641" s="34" t="s">
        <v>9631</v>
      </c>
      <c r="F1641" s="34" t="s">
        <v>280</v>
      </c>
      <c r="G1641" s="34" t="s">
        <v>9736</v>
      </c>
      <c r="H1641" s="35" t="s">
        <v>9737</v>
      </c>
      <c r="I1641" s="36" t="s">
        <v>9738</v>
      </c>
      <c r="J1641" s="34" t="s">
        <v>9739</v>
      </c>
      <c r="K1641" s="34" t="s">
        <v>9740</v>
      </c>
      <c r="L1641" s="37"/>
      <c r="M1641" s="37"/>
      <c r="N1641" s="37"/>
      <c r="O1641" s="37"/>
      <c r="P1641" s="37"/>
      <c r="Q1641" s="37"/>
      <c r="R1641" s="31" t="n">
        <f aca="false">COUNT($M1641:$Q1641)</f>
        <v>0</v>
      </c>
      <c r="S1641" s="32" t="str">
        <f aca="false">IF($L1641="","",IF($R1641&gt;=5,"",MAX($L1641:$Q1641)+CHOOSE($R1641+1,SETTINGS!$C$9,SETTINGS!$C$10,SETTINGS!$C$11,SETTINGS!$C$12,SETTINGS!$C$13)))</f>
        <v/>
      </c>
      <c r="T1641" s="34" t="str">
        <f aca="true">IF($H1641="","(chưa có nội dung)",IF($L1641="",IF($C1641&lt;TODAY(),"⚠ TRỄ HỌC",IF($C1641=TODAY(),"★ HỌC HÔM NAY","• Chưa tới")),IF($R1641&gt;=5,"✔ MASTER",IF($S1641&lt;TODAY(),"⚠ TRỄ ÔN",IF($S1641=TODAY(),"◆ ÔN HÔM NAY","✔ Đúng tiến độ")))))</f>
        <v>• Chưa tới</v>
      </c>
      <c r="U1641" s="38" t="n">
        <f aca="false">IF($H1641="","",$R1641/5)</f>
        <v>0</v>
      </c>
    </row>
    <row r="1642" customFormat="false" ht="15" hidden="false" customHeight="false" outlineLevel="0" collapsed="false">
      <c r="A1642" s="31" t="s">
        <v>9741</v>
      </c>
      <c r="B1642" s="31" t="n">
        <v>82</v>
      </c>
      <c r="C1642" s="32" t="n">
        <f aca="false">SETTINGS!$C$3+$B1642-1</f>
        <v>46381</v>
      </c>
      <c r="D1642" s="41" t="s">
        <v>7168</v>
      </c>
      <c r="E1642" s="34" t="s">
        <v>9631</v>
      </c>
      <c r="F1642" s="34" t="s">
        <v>280</v>
      </c>
      <c r="G1642" s="34" t="s">
        <v>7849</v>
      </c>
      <c r="H1642" s="35" t="s">
        <v>9742</v>
      </c>
      <c r="I1642" s="36" t="s">
        <v>9743</v>
      </c>
      <c r="J1642" s="34" t="s">
        <v>9744</v>
      </c>
      <c r="K1642" s="34" t="s">
        <v>9745</v>
      </c>
      <c r="L1642" s="37"/>
      <c r="M1642" s="37"/>
      <c r="N1642" s="37"/>
      <c r="O1642" s="37"/>
      <c r="P1642" s="37"/>
      <c r="Q1642" s="37"/>
      <c r="R1642" s="31" t="n">
        <f aca="false">COUNT($M1642:$Q1642)</f>
        <v>0</v>
      </c>
      <c r="S1642" s="32" t="str">
        <f aca="false">IF($L1642="","",IF($R1642&gt;=5,"",MAX($L1642:$Q1642)+CHOOSE($R1642+1,SETTINGS!$C$9,SETTINGS!$C$10,SETTINGS!$C$11,SETTINGS!$C$12,SETTINGS!$C$13)))</f>
        <v/>
      </c>
      <c r="T1642" s="34" t="str">
        <f aca="true">IF($H1642="","(chưa có nội dung)",IF($L1642="",IF($C1642&lt;TODAY(),"⚠ TRỄ HỌC",IF($C1642=TODAY(),"★ HỌC HÔM NAY","• Chưa tới")),IF($R1642&gt;=5,"✔ MASTER",IF($S1642&lt;TODAY(),"⚠ TRỄ ÔN",IF($S1642=TODAY(),"◆ ÔN HÔM NAY","✔ Đúng tiến độ")))))</f>
        <v>• Chưa tới</v>
      </c>
      <c r="U1642" s="38" t="n">
        <f aca="false">IF($H1642="","",$R1642/5)</f>
        <v>0</v>
      </c>
    </row>
    <row r="1643" customFormat="false" ht="15" hidden="false" customHeight="false" outlineLevel="0" collapsed="false">
      <c r="A1643" s="31" t="s">
        <v>9746</v>
      </c>
      <c r="B1643" s="31" t="n">
        <v>83</v>
      </c>
      <c r="C1643" s="32" t="n">
        <f aca="false">SETTINGS!$C$3+$B1643-1</f>
        <v>46382</v>
      </c>
      <c r="D1643" s="41" t="s">
        <v>7168</v>
      </c>
      <c r="E1643" s="34" t="s">
        <v>9747</v>
      </c>
      <c r="F1643" s="34" t="s">
        <v>280</v>
      </c>
      <c r="G1643" s="34" t="s">
        <v>9748</v>
      </c>
      <c r="H1643" s="35" t="s">
        <v>9749</v>
      </c>
      <c r="I1643" s="36" t="s">
        <v>9750</v>
      </c>
      <c r="J1643" s="34" t="s">
        <v>9751</v>
      </c>
      <c r="K1643" s="34" t="s">
        <v>9752</v>
      </c>
      <c r="L1643" s="37"/>
      <c r="M1643" s="37"/>
      <c r="N1643" s="37"/>
      <c r="O1643" s="37"/>
      <c r="P1643" s="37"/>
      <c r="Q1643" s="37"/>
      <c r="R1643" s="31" t="n">
        <f aca="false">COUNT($M1643:$Q1643)</f>
        <v>0</v>
      </c>
      <c r="S1643" s="32" t="str">
        <f aca="false">IF($L1643="","",IF($R1643&gt;=5,"",MAX($L1643:$Q1643)+CHOOSE($R1643+1,SETTINGS!$C$9,SETTINGS!$C$10,SETTINGS!$C$11,SETTINGS!$C$12,SETTINGS!$C$13)))</f>
        <v/>
      </c>
      <c r="T1643" s="34" t="str">
        <f aca="true">IF($H1643="","(chưa có nội dung)",IF($L1643="",IF($C1643&lt;TODAY(),"⚠ TRỄ HỌC",IF($C1643=TODAY(),"★ HỌC HÔM NAY","• Chưa tới")),IF($R1643&gt;=5,"✔ MASTER",IF($S1643&lt;TODAY(),"⚠ TRỄ ÔN",IF($S1643=TODAY(),"◆ ÔN HÔM NAY","✔ Đúng tiến độ")))))</f>
        <v>• Chưa tới</v>
      </c>
      <c r="U1643" s="38" t="n">
        <f aca="false">IF($H1643="","",$R1643/5)</f>
        <v>0</v>
      </c>
    </row>
    <row r="1644" customFormat="false" ht="23.85" hidden="false" customHeight="false" outlineLevel="0" collapsed="false">
      <c r="A1644" s="31" t="s">
        <v>9753</v>
      </c>
      <c r="B1644" s="31" t="n">
        <v>83</v>
      </c>
      <c r="C1644" s="32" t="n">
        <f aca="false">SETTINGS!$C$3+$B1644-1</f>
        <v>46382</v>
      </c>
      <c r="D1644" s="41" t="s">
        <v>7168</v>
      </c>
      <c r="E1644" s="34" t="s">
        <v>9747</v>
      </c>
      <c r="F1644" s="34" t="s">
        <v>5676</v>
      </c>
      <c r="G1644" s="34" t="s">
        <v>9754</v>
      </c>
      <c r="H1644" s="35" t="s">
        <v>9755</v>
      </c>
      <c r="I1644" s="36" t="s">
        <v>9756</v>
      </c>
      <c r="J1644" s="34" t="s">
        <v>9757</v>
      </c>
      <c r="K1644" s="34" t="s">
        <v>9758</v>
      </c>
      <c r="L1644" s="37"/>
      <c r="M1644" s="37"/>
      <c r="N1644" s="37"/>
      <c r="O1644" s="37"/>
      <c r="P1644" s="37"/>
      <c r="Q1644" s="37"/>
      <c r="R1644" s="31" t="n">
        <f aca="false">COUNT($M1644:$Q1644)</f>
        <v>0</v>
      </c>
      <c r="S1644" s="32" t="str">
        <f aca="false">IF($L1644="","",IF($R1644&gt;=5,"",MAX($L1644:$Q1644)+CHOOSE($R1644+1,SETTINGS!$C$9,SETTINGS!$C$10,SETTINGS!$C$11,SETTINGS!$C$12,SETTINGS!$C$13)))</f>
        <v/>
      </c>
      <c r="T1644" s="34" t="str">
        <f aca="true">IF($H1644="","(chưa có nội dung)",IF($L1644="",IF($C1644&lt;TODAY(),"⚠ TRỄ HỌC",IF($C1644=TODAY(),"★ HỌC HÔM NAY","• Chưa tới")),IF($R1644&gt;=5,"✔ MASTER",IF($S1644&lt;TODAY(),"⚠ TRỄ ÔN",IF($S1644=TODAY(),"◆ ÔN HÔM NAY","✔ Đúng tiến độ")))))</f>
        <v>• Chưa tới</v>
      </c>
      <c r="U1644" s="38" t="n">
        <f aca="false">IF($H1644="","",$R1644/5)</f>
        <v>0</v>
      </c>
    </row>
    <row r="1645" customFormat="false" ht="23.85" hidden="false" customHeight="false" outlineLevel="0" collapsed="false">
      <c r="A1645" s="31" t="s">
        <v>9759</v>
      </c>
      <c r="B1645" s="31" t="n">
        <v>83</v>
      </c>
      <c r="C1645" s="32" t="n">
        <f aca="false">SETTINGS!$C$3+$B1645-1</f>
        <v>46382</v>
      </c>
      <c r="D1645" s="41" t="s">
        <v>7168</v>
      </c>
      <c r="E1645" s="34" t="s">
        <v>9747</v>
      </c>
      <c r="F1645" s="34" t="s">
        <v>5676</v>
      </c>
      <c r="G1645" s="34" t="s">
        <v>9760</v>
      </c>
      <c r="H1645" s="35" t="s">
        <v>9761</v>
      </c>
      <c r="I1645" s="36" t="s">
        <v>9762</v>
      </c>
      <c r="J1645" s="34" t="s">
        <v>9763</v>
      </c>
      <c r="K1645" s="34" t="s">
        <v>9764</v>
      </c>
      <c r="L1645" s="37"/>
      <c r="M1645" s="37"/>
      <c r="N1645" s="37"/>
      <c r="O1645" s="37"/>
      <c r="P1645" s="37"/>
      <c r="Q1645" s="37"/>
      <c r="R1645" s="31" t="n">
        <f aca="false">COUNT($M1645:$Q1645)</f>
        <v>0</v>
      </c>
      <c r="S1645" s="32" t="str">
        <f aca="false">IF($L1645="","",IF($R1645&gt;=5,"",MAX($L1645:$Q1645)+CHOOSE($R1645+1,SETTINGS!$C$9,SETTINGS!$C$10,SETTINGS!$C$11,SETTINGS!$C$12,SETTINGS!$C$13)))</f>
        <v/>
      </c>
      <c r="T1645" s="34" t="str">
        <f aca="true">IF($H1645="","(chưa có nội dung)",IF($L1645="",IF($C1645&lt;TODAY(),"⚠ TRỄ HỌC",IF($C1645=TODAY(),"★ HỌC HÔM NAY","• Chưa tới")),IF($R1645&gt;=5,"✔ MASTER",IF($S1645&lt;TODAY(),"⚠ TRỄ ÔN",IF($S1645=TODAY(),"◆ ÔN HÔM NAY","✔ Đúng tiến độ")))))</f>
        <v>• Chưa tới</v>
      </c>
      <c r="U1645" s="38" t="n">
        <f aca="false">IF($H1645="","",$R1645/5)</f>
        <v>0</v>
      </c>
    </row>
    <row r="1646" customFormat="false" ht="23.85" hidden="false" customHeight="false" outlineLevel="0" collapsed="false">
      <c r="A1646" s="31" t="s">
        <v>9765</v>
      </c>
      <c r="B1646" s="31" t="n">
        <v>83</v>
      </c>
      <c r="C1646" s="32" t="n">
        <f aca="false">SETTINGS!$C$3+$B1646-1</f>
        <v>46382</v>
      </c>
      <c r="D1646" s="41" t="s">
        <v>7168</v>
      </c>
      <c r="E1646" s="34" t="s">
        <v>9747</v>
      </c>
      <c r="F1646" s="34" t="s">
        <v>280</v>
      </c>
      <c r="G1646" s="34" t="s">
        <v>9766</v>
      </c>
      <c r="H1646" s="35" t="s">
        <v>9767</v>
      </c>
      <c r="I1646" s="36" t="s">
        <v>9768</v>
      </c>
      <c r="J1646" s="34" t="s">
        <v>9769</v>
      </c>
      <c r="K1646" s="34" t="s">
        <v>9770</v>
      </c>
      <c r="L1646" s="37"/>
      <c r="M1646" s="37"/>
      <c r="N1646" s="37"/>
      <c r="O1646" s="37"/>
      <c r="P1646" s="37"/>
      <c r="Q1646" s="37"/>
      <c r="R1646" s="31" t="n">
        <f aca="false">COUNT($M1646:$Q1646)</f>
        <v>0</v>
      </c>
      <c r="S1646" s="32" t="str">
        <f aca="false">IF($L1646="","",IF($R1646&gt;=5,"",MAX($L1646:$Q1646)+CHOOSE($R1646+1,SETTINGS!$C$9,SETTINGS!$C$10,SETTINGS!$C$11,SETTINGS!$C$12,SETTINGS!$C$13)))</f>
        <v/>
      </c>
      <c r="T1646" s="34" t="str">
        <f aca="true">IF($H1646="","(chưa có nội dung)",IF($L1646="",IF($C1646&lt;TODAY(),"⚠ TRỄ HỌC",IF($C1646=TODAY(),"★ HỌC HÔM NAY","• Chưa tới")),IF($R1646&gt;=5,"✔ MASTER",IF($S1646&lt;TODAY(),"⚠ TRỄ ÔN",IF($S1646=TODAY(),"◆ ÔN HÔM NAY","✔ Đúng tiến độ")))))</f>
        <v>• Chưa tới</v>
      </c>
      <c r="U1646" s="38" t="n">
        <f aca="false">IF($H1646="","",$R1646/5)</f>
        <v>0</v>
      </c>
    </row>
    <row r="1647" customFormat="false" ht="15" hidden="false" customHeight="false" outlineLevel="0" collapsed="false">
      <c r="A1647" s="31" t="s">
        <v>9771</v>
      </c>
      <c r="B1647" s="31" t="n">
        <v>83</v>
      </c>
      <c r="C1647" s="32" t="n">
        <f aca="false">SETTINGS!$C$3+$B1647-1</f>
        <v>46382</v>
      </c>
      <c r="D1647" s="41" t="s">
        <v>7168</v>
      </c>
      <c r="E1647" s="34" t="s">
        <v>9747</v>
      </c>
      <c r="F1647" s="34" t="s">
        <v>280</v>
      </c>
      <c r="G1647" s="34" t="s">
        <v>9772</v>
      </c>
      <c r="H1647" s="35" t="s">
        <v>9773</v>
      </c>
      <c r="I1647" s="36" t="s">
        <v>9774</v>
      </c>
      <c r="J1647" s="34" t="s">
        <v>9775</v>
      </c>
      <c r="K1647" s="34" t="s">
        <v>9776</v>
      </c>
      <c r="L1647" s="37"/>
      <c r="M1647" s="37"/>
      <c r="N1647" s="37"/>
      <c r="O1647" s="37"/>
      <c r="P1647" s="37"/>
      <c r="Q1647" s="37"/>
      <c r="R1647" s="31" t="n">
        <f aca="false">COUNT($M1647:$Q1647)</f>
        <v>0</v>
      </c>
      <c r="S1647" s="32" t="str">
        <f aca="false">IF($L1647="","",IF($R1647&gt;=5,"",MAX($L1647:$Q1647)+CHOOSE($R1647+1,SETTINGS!$C$9,SETTINGS!$C$10,SETTINGS!$C$11,SETTINGS!$C$12,SETTINGS!$C$13)))</f>
        <v/>
      </c>
      <c r="T1647" s="34" t="str">
        <f aca="true">IF($H1647="","(chưa có nội dung)",IF($L1647="",IF($C1647&lt;TODAY(),"⚠ TRỄ HỌC",IF($C1647=TODAY(),"★ HỌC HÔM NAY","• Chưa tới")),IF($R1647&gt;=5,"✔ MASTER",IF($S1647&lt;TODAY(),"⚠ TRỄ ÔN",IF($S1647=TODAY(),"◆ ÔN HÔM NAY","✔ Đúng tiến độ")))))</f>
        <v>• Chưa tới</v>
      </c>
      <c r="U1647" s="38" t="n">
        <f aca="false">IF($H1647="","",$R1647/5)</f>
        <v>0</v>
      </c>
    </row>
    <row r="1648" customFormat="false" ht="15" hidden="false" customHeight="false" outlineLevel="0" collapsed="false">
      <c r="A1648" s="31" t="s">
        <v>9777</v>
      </c>
      <c r="B1648" s="31" t="n">
        <v>83</v>
      </c>
      <c r="C1648" s="32" t="n">
        <f aca="false">SETTINGS!$C$3+$B1648-1</f>
        <v>46382</v>
      </c>
      <c r="D1648" s="41" t="s">
        <v>7168</v>
      </c>
      <c r="E1648" s="34" t="s">
        <v>9747</v>
      </c>
      <c r="F1648" s="34" t="s">
        <v>280</v>
      </c>
      <c r="G1648" s="34" t="s">
        <v>9778</v>
      </c>
      <c r="H1648" s="35" t="s">
        <v>9779</v>
      </c>
      <c r="I1648" s="36" t="s">
        <v>9780</v>
      </c>
      <c r="J1648" s="34" t="s">
        <v>9781</v>
      </c>
      <c r="K1648" s="34" t="s">
        <v>4894</v>
      </c>
      <c r="L1648" s="37"/>
      <c r="M1648" s="37"/>
      <c r="N1648" s="37"/>
      <c r="O1648" s="37"/>
      <c r="P1648" s="37"/>
      <c r="Q1648" s="37"/>
      <c r="R1648" s="31" t="n">
        <f aca="false">COUNT($M1648:$Q1648)</f>
        <v>0</v>
      </c>
      <c r="S1648" s="32" t="str">
        <f aca="false">IF($L1648="","",IF($R1648&gt;=5,"",MAX($L1648:$Q1648)+CHOOSE($R1648+1,SETTINGS!$C$9,SETTINGS!$C$10,SETTINGS!$C$11,SETTINGS!$C$12,SETTINGS!$C$13)))</f>
        <v/>
      </c>
      <c r="T1648" s="34" t="str">
        <f aca="true">IF($H1648="","(chưa có nội dung)",IF($L1648="",IF($C1648&lt;TODAY(),"⚠ TRỄ HỌC",IF($C1648=TODAY(),"★ HỌC HÔM NAY","• Chưa tới")),IF($R1648&gt;=5,"✔ MASTER",IF($S1648&lt;TODAY(),"⚠ TRỄ ÔN",IF($S1648=TODAY(),"◆ ÔN HÔM NAY","✔ Đúng tiến độ")))))</f>
        <v>• Chưa tới</v>
      </c>
      <c r="U1648" s="38" t="n">
        <f aca="false">IF($H1648="","",$R1648/5)</f>
        <v>0</v>
      </c>
    </row>
    <row r="1649" customFormat="false" ht="15" hidden="false" customHeight="false" outlineLevel="0" collapsed="false">
      <c r="A1649" s="31" t="s">
        <v>9782</v>
      </c>
      <c r="B1649" s="31" t="n">
        <v>83</v>
      </c>
      <c r="C1649" s="32" t="n">
        <f aca="false">SETTINGS!$C$3+$B1649-1</f>
        <v>46382</v>
      </c>
      <c r="D1649" s="41" t="s">
        <v>7168</v>
      </c>
      <c r="E1649" s="34" t="s">
        <v>9747</v>
      </c>
      <c r="F1649" s="34" t="s">
        <v>280</v>
      </c>
      <c r="G1649" s="34" t="s">
        <v>9783</v>
      </c>
      <c r="H1649" s="35" t="s">
        <v>9784</v>
      </c>
      <c r="I1649" s="36" t="s">
        <v>9785</v>
      </c>
      <c r="J1649" s="34" t="s">
        <v>9786</v>
      </c>
      <c r="K1649" s="34" t="s">
        <v>9787</v>
      </c>
      <c r="L1649" s="37"/>
      <c r="M1649" s="37"/>
      <c r="N1649" s="37"/>
      <c r="O1649" s="37"/>
      <c r="P1649" s="37"/>
      <c r="Q1649" s="37"/>
      <c r="R1649" s="31" t="n">
        <f aca="false">COUNT($M1649:$Q1649)</f>
        <v>0</v>
      </c>
      <c r="S1649" s="32" t="str">
        <f aca="false">IF($L1649="","",IF($R1649&gt;=5,"",MAX($L1649:$Q1649)+CHOOSE($R1649+1,SETTINGS!$C$9,SETTINGS!$C$10,SETTINGS!$C$11,SETTINGS!$C$12,SETTINGS!$C$13)))</f>
        <v/>
      </c>
      <c r="T1649" s="34" t="str">
        <f aca="true">IF($H1649="","(chưa có nội dung)",IF($L1649="",IF($C1649&lt;TODAY(),"⚠ TRỄ HỌC",IF($C1649=TODAY(),"★ HỌC HÔM NAY","• Chưa tới")),IF($R1649&gt;=5,"✔ MASTER",IF($S1649&lt;TODAY(),"⚠ TRỄ ÔN",IF($S1649=TODAY(),"◆ ÔN HÔM NAY","✔ Đúng tiến độ")))))</f>
        <v>• Chưa tới</v>
      </c>
      <c r="U1649" s="38" t="n">
        <f aca="false">IF($H1649="","",$R1649/5)</f>
        <v>0</v>
      </c>
    </row>
    <row r="1650" customFormat="false" ht="15" hidden="false" customHeight="false" outlineLevel="0" collapsed="false">
      <c r="A1650" s="31" t="s">
        <v>9788</v>
      </c>
      <c r="B1650" s="31" t="n">
        <v>83</v>
      </c>
      <c r="C1650" s="32" t="n">
        <f aca="false">SETTINGS!$C$3+$B1650-1</f>
        <v>46382</v>
      </c>
      <c r="D1650" s="41" t="s">
        <v>7168</v>
      </c>
      <c r="E1650" s="34" t="s">
        <v>9747</v>
      </c>
      <c r="F1650" s="34" t="s">
        <v>183</v>
      </c>
      <c r="G1650" s="34" t="s">
        <v>9789</v>
      </c>
      <c r="H1650" s="35" t="s">
        <v>9790</v>
      </c>
      <c r="I1650" s="36" t="s">
        <v>9791</v>
      </c>
      <c r="J1650" s="34" t="s">
        <v>9792</v>
      </c>
      <c r="K1650" s="34" t="s">
        <v>9793</v>
      </c>
      <c r="L1650" s="37"/>
      <c r="M1650" s="37"/>
      <c r="N1650" s="37"/>
      <c r="O1650" s="37"/>
      <c r="P1650" s="37"/>
      <c r="Q1650" s="37"/>
      <c r="R1650" s="31" t="n">
        <f aca="false">COUNT($M1650:$Q1650)</f>
        <v>0</v>
      </c>
      <c r="S1650" s="32" t="str">
        <f aca="false">IF($L1650="","",IF($R1650&gt;=5,"",MAX($L1650:$Q1650)+CHOOSE($R1650+1,SETTINGS!$C$9,SETTINGS!$C$10,SETTINGS!$C$11,SETTINGS!$C$12,SETTINGS!$C$13)))</f>
        <v/>
      </c>
      <c r="T1650" s="34" t="str">
        <f aca="true">IF($H1650="","(chưa có nội dung)",IF($L1650="",IF($C1650&lt;TODAY(),"⚠ TRỄ HỌC",IF($C1650=TODAY(),"★ HỌC HÔM NAY","• Chưa tới")),IF($R1650&gt;=5,"✔ MASTER",IF($S1650&lt;TODAY(),"⚠ TRỄ ÔN",IF($S1650=TODAY(),"◆ ÔN HÔM NAY","✔ Đúng tiến độ")))))</f>
        <v>• Chưa tới</v>
      </c>
      <c r="U1650" s="38" t="n">
        <f aca="false">IF($H1650="","",$R1650/5)</f>
        <v>0</v>
      </c>
    </row>
    <row r="1651" customFormat="false" ht="15" hidden="false" customHeight="false" outlineLevel="0" collapsed="false">
      <c r="A1651" s="31" t="s">
        <v>9794</v>
      </c>
      <c r="B1651" s="31" t="n">
        <v>83</v>
      </c>
      <c r="C1651" s="32" t="n">
        <f aca="false">SETTINGS!$C$3+$B1651-1</f>
        <v>46382</v>
      </c>
      <c r="D1651" s="41" t="s">
        <v>7168</v>
      </c>
      <c r="E1651" s="34" t="s">
        <v>9747</v>
      </c>
      <c r="F1651" s="34" t="s">
        <v>280</v>
      </c>
      <c r="G1651" s="34" t="s">
        <v>9795</v>
      </c>
      <c r="H1651" s="35" t="s">
        <v>9796</v>
      </c>
      <c r="I1651" s="36" t="s">
        <v>9797</v>
      </c>
      <c r="J1651" s="34" t="s">
        <v>9798</v>
      </c>
      <c r="K1651" s="34" t="s">
        <v>9799</v>
      </c>
      <c r="L1651" s="37"/>
      <c r="M1651" s="37"/>
      <c r="N1651" s="37"/>
      <c r="O1651" s="37"/>
      <c r="P1651" s="37"/>
      <c r="Q1651" s="37"/>
      <c r="R1651" s="31" t="n">
        <f aca="false">COUNT($M1651:$Q1651)</f>
        <v>0</v>
      </c>
      <c r="S1651" s="32" t="str">
        <f aca="false">IF($L1651="","",IF($R1651&gt;=5,"",MAX($L1651:$Q1651)+CHOOSE($R1651+1,SETTINGS!$C$9,SETTINGS!$C$10,SETTINGS!$C$11,SETTINGS!$C$12,SETTINGS!$C$13)))</f>
        <v/>
      </c>
      <c r="T1651" s="34" t="str">
        <f aca="true">IF($H1651="","(chưa có nội dung)",IF($L1651="",IF($C1651&lt;TODAY(),"⚠ TRỄ HỌC",IF($C1651=TODAY(),"★ HỌC HÔM NAY","• Chưa tới")),IF($R1651&gt;=5,"✔ MASTER",IF($S1651&lt;TODAY(),"⚠ TRỄ ÔN",IF($S1651=TODAY(),"◆ ÔN HÔM NAY","✔ Đúng tiến độ")))))</f>
        <v>• Chưa tới</v>
      </c>
      <c r="U1651" s="38" t="n">
        <f aca="false">IF($H1651="","",$R1651/5)</f>
        <v>0</v>
      </c>
    </row>
    <row r="1652" customFormat="false" ht="15" hidden="false" customHeight="false" outlineLevel="0" collapsed="false">
      <c r="A1652" s="31" t="s">
        <v>9800</v>
      </c>
      <c r="B1652" s="31" t="n">
        <v>83</v>
      </c>
      <c r="C1652" s="32" t="n">
        <f aca="false">SETTINGS!$C$3+$B1652-1</f>
        <v>46382</v>
      </c>
      <c r="D1652" s="41" t="s">
        <v>7168</v>
      </c>
      <c r="E1652" s="34" t="s">
        <v>9747</v>
      </c>
      <c r="F1652" s="34" t="s">
        <v>280</v>
      </c>
      <c r="G1652" s="34" t="s">
        <v>9801</v>
      </c>
      <c r="H1652" s="35" t="s">
        <v>9802</v>
      </c>
      <c r="I1652" s="36" t="s">
        <v>9803</v>
      </c>
      <c r="J1652" s="34" t="s">
        <v>9804</v>
      </c>
      <c r="K1652" s="34" t="s">
        <v>9805</v>
      </c>
      <c r="L1652" s="37"/>
      <c r="M1652" s="37"/>
      <c r="N1652" s="37"/>
      <c r="O1652" s="37"/>
      <c r="P1652" s="37"/>
      <c r="Q1652" s="37"/>
      <c r="R1652" s="31" t="n">
        <f aca="false">COUNT($M1652:$Q1652)</f>
        <v>0</v>
      </c>
      <c r="S1652" s="32" t="str">
        <f aca="false">IF($L1652="","",IF($R1652&gt;=5,"",MAX($L1652:$Q1652)+CHOOSE($R1652+1,SETTINGS!$C$9,SETTINGS!$C$10,SETTINGS!$C$11,SETTINGS!$C$12,SETTINGS!$C$13)))</f>
        <v/>
      </c>
      <c r="T1652" s="34" t="str">
        <f aca="true">IF($H1652="","(chưa có nội dung)",IF($L1652="",IF($C1652&lt;TODAY(),"⚠ TRỄ HỌC",IF($C1652=TODAY(),"★ HỌC HÔM NAY","• Chưa tới")),IF($R1652&gt;=5,"✔ MASTER",IF($S1652&lt;TODAY(),"⚠ TRỄ ÔN",IF($S1652=TODAY(),"◆ ÔN HÔM NAY","✔ Đúng tiến độ")))))</f>
        <v>• Chưa tới</v>
      </c>
      <c r="U1652" s="38" t="n">
        <f aca="false">IF($H1652="","",$R1652/5)</f>
        <v>0</v>
      </c>
    </row>
    <row r="1653" customFormat="false" ht="15" hidden="false" customHeight="false" outlineLevel="0" collapsed="false">
      <c r="A1653" s="31" t="s">
        <v>9806</v>
      </c>
      <c r="B1653" s="31" t="n">
        <v>83</v>
      </c>
      <c r="C1653" s="32" t="n">
        <f aca="false">SETTINGS!$C$3+$B1653-1</f>
        <v>46382</v>
      </c>
      <c r="D1653" s="41" t="s">
        <v>7168</v>
      </c>
      <c r="E1653" s="34" t="s">
        <v>9747</v>
      </c>
      <c r="F1653" s="34" t="s">
        <v>280</v>
      </c>
      <c r="G1653" s="34" t="s">
        <v>9807</v>
      </c>
      <c r="H1653" s="35" t="s">
        <v>9808</v>
      </c>
      <c r="I1653" s="36" t="s">
        <v>9809</v>
      </c>
      <c r="J1653" s="34" t="s">
        <v>9810</v>
      </c>
      <c r="K1653" s="34" t="s">
        <v>9811</v>
      </c>
      <c r="L1653" s="37"/>
      <c r="M1653" s="37"/>
      <c r="N1653" s="37"/>
      <c r="O1653" s="37"/>
      <c r="P1653" s="37"/>
      <c r="Q1653" s="37"/>
      <c r="R1653" s="31" t="n">
        <f aca="false">COUNT($M1653:$Q1653)</f>
        <v>0</v>
      </c>
      <c r="S1653" s="32" t="str">
        <f aca="false">IF($L1653="","",IF($R1653&gt;=5,"",MAX($L1653:$Q1653)+CHOOSE($R1653+1,SETTINGS!$C$9,SETTINGS!$C$10,SETTINGS!$C$11,SETTINGS!$C$12,SETTINGS!$C$13)))</f>
        <v/>
      </c>
      <c r="T1653" s="34" t="str">
        <f aca="true">IF($H1653="","(chưa có nội dung)",IF($L1653="",IF($C1653&lt;TODAY(),"⚠ TRỄ HỌC",IF($C1653=TODAY(),"★ HỌC HÔM NAY","• Chưa tới")),IF($R1653&gt;=5,"✔ MASTER",IF($S1653&lt;TODAY(),"⚠ TRỄ ÔN",IF($S1653=TODAY(),"◆ ÔN HÔM NAY","✔ Đúng tiến độ")))))</f>
        <v>• Chưa tới</v>
      </c>
      <c r="U1653" s="38" t="n">
        <f aca="false">IF($H1653="","",$R1653/5)</f>
        <v>0</v>
      </c>
    </row>
    <row r="1654" customFormat="false" ht="15" hidden="false" customHeight="false" outlineLevel="0" collapsed="false">
      <c r="A1654" s="31" t="s">
        <v>9812</v>
      </c>
      <c r="B1654" s="31" t="n">
        <v>83</v>
      </c>
      <c r="C1654" s="32" t="n">
        <f aca="false">SETTINGS!$C$3+$B1654-1</f>
        <v>46382</v>
      </c>
      <c r="D1654" s="41" t="s">
        <v>7168</v>
      </c>
      <c r="E1654" s="34" t="s">
        <v>9747</v>
      </c>
      <c r="F1654" s="34" t="s">
        <v>280</v>
      </c>
      <c r="G1654" s="34" t="s">
        <v>9813</v>
      </c>
      <c r="H1654" s="35" t="s">
        <v>9814</v>
      </c>
      <c r="I1654" s="36" t="s">
        <v>9815</v>
      </c>
      <c r="J1654" s="34" t="s">
        <v>9816</v>
      </c>
      <c r="K1654" s="34" t="s">
        <v>4559</v>
      </c>
      <c r="L1654" s="37"/>
      <c r="M1654" s="37"/>
      <c r="N1654" s="37"/>
      <c r="O1654" s="37"/>
      <c r="P1654" s="37"/>
      <c r="Q1654" s="37"/>
      <c r="R1654" s="31" t="n">
        <f aca="false">COUNT($M1654:$Q1654)</f>
        <v>0</v>
      </c>
      <c r="S1654" s="32" t="str">
        <f aca="false">IF($L1654="","",IF($R1654&gt;=5,"",MAX($L1654:$Q1654)+CHOOSE($R1654+1,SETTINGS!$C$9,SETTINGS!$C$10,SETTINGS!$C$11,SETTINGS!$C$12,SETTINGS!$C$13)))</f>
        <v/>
      </c>
      <c r="T1654" s="34" t="str">
        <f aca="true">IF($H1654="","(chưa có nội dung)",IF($L1654="",IF($C1654&lt;TODAY(),"⚠ TRỄ HỌC",IF($C1654=TODAY(),"★ HỌC HÔM NAY","• Chưa tới")),IF($R1654&gt;=5,"✔ MASTER",IF($S1654&lt;TODAY(),"⚠ TRỄ ÔN",IF($S1654=TODAY(),"◆ ÔN HÔM NAY","✔ Đúng tiến độ")))))</f>
        <v>• Chưa tới</v>
      </c>
      <c r="U1654" s="38" t="n">
        <f aca="false">IF($H1654="","",$R1654/5)</f>
        <v>0</v>
      </c>
    </row>
    <row r="1655" customFormat="false" ht="15" hidden="false" customHeight="false" outlineLevel="0" collapsed="false">
      <c r="A1655" s="31" t="s">
        <v>9817</v>
      </c>
      <c r="B1655" s="31" t="n">
        <v>83</v>
      </c>
      <c r="C1655" s="32" t="n">
        <f aca="false">SETTINGS!$C$3+$B1655-1</f>
        <v>46382</v>
      </c>
      <c r="D1655" s="41" t="s">
        <v>7168</v>
      </c>
      <c r="E1655" s="34" t="s">
        <v>9747</v>
      </c>
      <c r="F1655" s="34" t="s">
        <v>183</v>
      </c>
      <c r="G1655" s="34" t="s">
        <v>9818</v>
      </c>
      <c r="H1655" s="35" t="s">
        <v>9819</v>
      </c>
      <c r="I1655" s="36" t="s">
        <v>9820</v>
      </c>
      <c r="J1655" s="34" t="s">
        <v>9821</v>
      </c>
      <c r="K1655" s="34" t="s">
        <v>7691</v>
      </c>
      <c r="L1655" s="37"/>
      <c r="M1655" s="37"/>
      <c r="N1655" s="37"/>
      <c r="O1655" s="37"/>
      <c r="P1655" s="37"/>
      <c r="Q1655" s="37"/>
      <c r="R1655" s="31" t="n">
        <f aca="false">COUNT($M1655:$Q1655)</f>
        <v>0</v>
      </c>
      <c r="S1655" s="32" t="str">
        <f aca="false">IF($L1655="","",IF($R1655&gt;=5,"",MAX($L1655:$Q1655)+CHOOSE($R1655+1,SETTINGS!$C$9,SETTINGS!$C$10,SETTINGS!$C$11,SETTINGS!$C$12,SETTINGS!$C$13)))</f>
        <v/>
      </c>
      <c r="T1655" s="34" t="str">
        <f aca="true">IF($H1655="","(chưa có nội dung)",IF($L1655="",IF($C1655&lt;TODAY(),"⚠ TRỄ HỌC",IF($C1655=TODAY(),"★ HỌC HÔM NAY","• Chưa tới")),IF($R1655&gt;=5,"✔ MASTER",IF($S1655&lt;TODAY(),"⚠ TRỄ ÔN",IF($S1655=TODAY(),"◆ ÔN HÔM NAY","✔ Đúng tiến độ")))))</f>
        <v>• Chưa tới</v>
      </c>
      <c r="U1655" s="38" t="n">
        <f aca="false">IF($H1655="","",$R1655/5)</f>
        <v>0</v>
      </c>
    </row>
    <row r="1656" customFormat="false" ht="26.85" hidden="false" customHeight="false" outlineLevel="0" collapsed="false">
      <c r="A1656" s="31" t="s">
        <v>9822</v>
      </c>
      <c r="B1656" s="31" t="n">
        <v>83</v>
      </c>
      <c r="C1656" s="32" t="n">
        <f aca="false">SETTINGS!$C$3+$B1656-1</f>
        <v>46382</v>
      </c>
      <c r="D1656" s="41" t="s">
        <v>7168</v>
      </c>
      <c r="E1656" s="34" t="s">
        <v>9747</v>
      </c>
      <c r="F1656" s="34" t="s">
        <v>280</v>
      </c>
      <c r="G1656" s="34" t="s">
        <v>9823</v>
      </c>
      <c r="H1656" s="35" t="s">
        <v>9824</v>
      </c>
      <c r="I1656" s="36" t="s">
        <v>9825</v>
      </c>
      <c r="J1656" s="34" t="s">
        <v>9826</v>
      </c>
      <c r="K1656" s="34" t="s">
        <v>9827</v>
      </c>
      <c r="L1656" s="37"/>
      <c r="M1656" s="37"/>
      <c r="N1656" s="37"/>
      <c r="O1656" s="37"/>
      <c r="P1656" s="37"/>
      <c r="Q1656" s="37"/>
      <c r="R1656" s="31" t="n">
        <f aca="false">COUNT($M1656:$Q1656)</f>
        <v>0</v>
      </c>
      <c r="S1656" s="32" t="str">
        <f aca="false">IF($L1656="","",IF($R1656&gt;=5,"",MAX($L1656:$Q1656)+CHOOSE($R1656+1,SETTINGS!$C$9,SETTINGS!$C$10,SETTINGS!$C$11,SETTINGS!$C$12,SETTINGS!$C$13)))</f>
        <v/>
      </c>
      <c r="T1656" s="34" t="str">
        <f aca="true">IF($H1656="","(chưa có nội dung)",IF($L1656="",IF($C1656&lt;TODAY(),"⚠ TRỄ HỌC",IF($C1656=TODAY(),"★ HỌC HÔM NAY","• Chưa tới")),IF($R1656&gt;=5,"✔ MASTER",IF($S1656&lt;TODAY(),"⚠ TRỄ ÔN",IF($S1656=TODAY(),"◆ ÔN HÔM NAY","✔ Đúng tiến độ")))))</f>
        <v>• Chưa tới</v>
      </c>
      <c r="U1656" s="38" t="n">
        <f aca="false">IF($H1656="","",$R1656/5)</f>
        <v>0</v>
      </c>
    </row>
    <row r="1657" customFormat="false" ht="15" hidden="false" customHeight="false" outlineLevel="0" collapsed="false">
      <c r="A1657" s="31" t="s">
        <v>9828</v>
      </c>
      <c r="B1657" s="31" t="n">
        <v>83</v>
      </c>
      <c r="C1657" s="32" t="n">
        <f aca="false">SETTINGS!$C$3+$B1657-1</f>
        <v>46382</v>
      </c>
      <c r="D1657" s="41" t="s">
        <v>7168</v>
      </c>
      <c r="E1657" s="34" t="s">
        <v>9747</v>
      </c>
      <c r="F1657" s="34" t="s">
        <v>280</v>
      </c>
      <c r="G1657" s="34" t="s">
        <v>9829</v>
      </c>
      <c r="H1657" s="35" t="s">
        <v>9830</v>
      </c>
      <c r="I1657" s="36" t="s">
        <v>9831</v>
      </c>
      <c r="J1657" s="34" t="s">
        <v>9832</v>
      </c>
      <c r="K1657" s="34" t="s">
        <v>9833</v>
      </c>
      <c r="L1657" s="37"/>
      <c r="M1657" s="37"/>
      <c r="N1657" s="37"/>
      <c r="O1657" s="37"/>
      <c r="P1657" s="37"/>
      <c r="Q1657" s="37"/>
      <c r="R1657" s="31" t="n">
        <f aca="false">COUNT($M1657:$Q1657)</f>
        <v>0</v>
      </c>
      <c r="S1657" s="32" t="str">
        <f aca="false">IF($L1657="","",IF($R1657&gt;=5,"",MAX($L1657:$Q1657)+CHOOSE($R1657+1,SETTINGS!$C$9,SETTINGS!$C$10,SETTINGS!$C$11,SETTINGS!$C$12,SETTINGS!$C$13)))</f>
        <v/>
      </c>
      <c r="T1657" s="34" t="str">
        <f aca="true">IF($H1657="","(chưa có nội dung)",IF($L1657="",IF($C1657&lt;TODAY(),"⚠ TRỄ HỌC",IF($C1657=TODAY(),"★ HỌC HÔM NAY","• Chưa tới")),IF($R1657&gt;=5,"✔ MASTER",IF($S1657&lt;TODAY(),"⚠ TRỄ ÔN",IF($S1657=TODAY(),"◆ ÔN HÔM NAY","✔ Đúng tiến độ")))))</f>
        <v>• Chưa tới</v>
      </c>
      <c r="U1657" s="38" t="n">
        <f aca="false">IF($H1657="","",$R1657/5)</f>
        <v>0</v>
      </c>
    </row>
    <row r="1658" customFormat="false" ht="23.85" hidden="false" customHeight="false" outlineLevel="0" collapsed="false">
      <c r="A1658" s="31" t="s">
        <v>9834</v>
      </c>
      <c r="B1658" s="31" t="n">
        <v>83</v>
      </c>
      <c r="C1658" s="32" t="n">
        <f aca="false">SETTINGS!$C$3+$B1658-1</f>
        <v>46382</v>
      </c>
      <c r="D1658" s="41" t="s">
        <v>7168</v>
      </c>
      <c r="E1658" s="34" t="s">
        <v>9747</v>
      </c>
      <c r="F1658" s="34" t="s">
        <v>280</v>
      </c>
      <c r="G1658" s="34" t="s">
        <v>9835</v>
      </c>
      <c r="H1658" s="35" t="s">
        <v>9836</v>
      </c>
      <c r="I1658" s="36" t="s">
        <v>9837</v>
      </c>
      <c r="J1658" s="34" t="s">
        <v>9838</v>
      </c>
      <c r="K1658" s="34" t="s">
        <v>9839</v>
      </c>
      <c r="L1658" s="37"/>
      <c r="M1658" s="37"/>
      <c r="N1658" s="37"/>
      <c r="O1658" s="37"/>
      <c r="P1658" s="37"/>
      <c r="Q1658" s="37"/>
      <c r="R1658" s="31" t="n">
        <f aca="false">COUNT($M1658:$Q1658)</f>
        <v>0</v>
      </c>
      <c r="S1658" s="32" t="str">
        <f aca="false">IF($L1658="","",IF($R1658&gt;=5,"",MAX($L1658:$Q1658)+CHOOSE($R1658+1,SETTINGS!$C$9,SETTINGS!$C$10,SETTINGS!$C$11,SETTINGS!$C$12,SETTINGS!$C$13)))</f>
        <v/>
      </c>
      <c r="T1658" s="34" t="str">
        <f aca="true">IF($H1658="","(chưa có nội dung)",IF($L1658="",IF($C1658&lt;TODAY(),"⚠ TRỄ HỌC",IF($C1658=TODAY(),"★ HỌC HÔM NAY","• Chưa tới")),IF($R1658&gt;=5,"✔ MASTER",IF($S1658&lt;TODAY(),"⚠ TRỄ ÔN",IF($S1658=TODAY(),"◆ ÔN HÔM NAY","✔ Đúng tiến độ")))))</f>
        <v>• Chưa tới</v>
      </c>
      <c r="U1658" s="38" t="n">
        <f aca="false">IF($H1658="","",$R1658/5)</f>
        <v>0</v>
      </c>
    </row>
    <row r="1659" customFormat="false" ht="15" hidden="false" customHeight="false" outlineLevel="0" collapsed="false">
      <c r="A1659" s="31" t="s">
        <v>9840</v>
      </c>
      <c r="B1659" s="31" t="n">
        <v>83</v>
      </c>
      <c r="C1659" s="32" t="n">
        <f aca="false">SETTINGS!$C$3+$B1659-1</f>
        <v>46382</v>
      </c>
      <c r="D1659" s="41" t="s">
        <v>7168</v>
      </c>
      <c r="E1659" s="34" t="s">
        <v>9747</v>
      </c>
      <c r="F1659" s="34" t="s">
        <v>280</v>
      </c>
      <c r="G1659" s="34" t="s">
        <v>9841</v>
      </c>
      <c r="H1659" s="35" t="s">
        <v>9842</v>
      </c>
      <c r="I1659" s="36" t="s">
        <v>9843</v>
      </c>
      <c r="J1659" s="34" t="s">
        <v>9844</v>
      </c>
      <c r="K1659" s="34" t="s">
        <v>9845</v>
      </c>
      <c r="L1659" s="37"/>
      <c r="M1659" s="37"/>
      <c r="N1659" s="37"/>
      <c r="O1659" s="37"/>
      <c r="P1659" s="37"/>
      <c r="Q1659" s="37"/>
      <c r="R1659" s="31" t="n">
        <f aca="false">COUNT($M1659:$Q1659)</f>
        <v>0</v>
      </c>
      <c r="S1659" s="32" t="str">
        <f aca="false">IF($L1659="","",IF($R1659&gt;=5,"",MAX($L1659:$Q1659)+CHOOSE($R1659+1,SETTINGS!$C$9,SETTINGS!$C$10,SETTINGS!$C$11,SETTINGS!$C$12,SETTINGS!$C$13)))</f>
        <v/>
      </c>
      <c r="T1659" s="34" t="str">
        <f aca="true">IF($H1659="","(chưa có nội dung)",IF($L1659="",IF($C1659&lt;TODAY(),"⚠ TRỄ HỌC",IF($C1659=TODAY(),"★ HỌC HÔM NAY","• Chưa tới")),IF($R1659&gt;=5,"✔ MASTER",IF($S1659&lt;TODAY(),"⚠ TRỄ ÔN",IF($S1659=TODAY(),"◆ ÔN HÔM NAY","✔ Đúng tiến độ")))))</f>
        <v>• Chưa tới</v>
      </c>
      <c r="U1659" s="38" t="n">
        <f aca="false">IF($H1659="","",$R1659/5)</f>
        <v>0</v>
      </c>
    </row>
    <row r="1660" customFormat="false" ht="15" hidden="false" customHeight="false" outlineLevel="0" collapsed="false">
      <c r="A1660" s="31" t="s">
        <v>9846</v>
      </c>
      <c r="B1660" s="31" t="n">
        <v>83</v>
      </c>
      <c r="C1660" s="32" t="n">
        <f aca="false">SETTINGS!$C$3+$B1660-1</f>
        <v>46382</v>
      </c>
      <c r="D1660" s="41" t="s">
        <v>7168</v>
      </c>
      <c r="E1660" s="34" t="s">
        <v>9747</v>
      </c>
      <c r="F1660" s="34" t="s">
        <v>280</v>
      </c>
      <c r="G1660" s="34" t="s">
        <v>9847</v>
      </c>
      <c r="H1660" s="35" t="s">
        <v>9848</v>
      </c>
      <c r="I1660" s="36" t="s">
        <v>9849</v>
      </c>
      <c r="J1660" s="34" t="s">
        <v>9850</v>
      </c>
      <c r="K1660" s="34" t="s">
        <v>9851</v>
      </c>
      <c r="L1660" s="37"/>
      <c r="M1660" s="37"/>
      <c r="N1660" s="37"/>
      <c r="O1660" s="37"/>
      <c r="P1660" s="37"/>
      <c r="Q1660" s="37"/>
      <c r="R1660" s="31" t="n">
        <f aca="false">COUNT($M1660:$Q1660)</f>
        <v>0</v>
      </c>
      <c r="S1660" s="32" t="str">
        <f aca="false">IF($L1660="","",IF($R1660&gt;=5,"",MAX($L1660:$Q1660)+CHOOSE($R1660+1,SETTINGS!$C$9,SETTINGS!$C$10,SETTINGS!$C$11,SETTINGS!$C$12,SETTINGS!$C$13)))</f>
        <v/>
      </c>
      <c r="T1660" s="34" t="str">
        <f aca="true">IF($H1660="","(chưa có nội dung)",IF($L1660="",IF($C1660&lt;TODAY(),"⚠ TRỄ HỌC",IF($C1660=TODAY(),"★ HỌC HÔM NAY","• Chưa tới")),IF($R1660&gt;=5,"✔ MASTER",IF($S1660&lt;TODAY(),"⚠ TRỄ ÔN",IF($S1660=TODAY(),"◆ ÔN HÔM NAY","✔ Đúng tiến độ")))))</f>
        <v>• Chưa tới</v>
      </c>
      <c r="U1660" s="38" t="n">
        <f aca="false">IF($H1660="","",$R1660/5)</f>
        <v>0</v>
      </c>
    </row>
    <row r="1661" customFormat="false" ht="15" hidden="false" customHeight="false" outlineLevel="0" collapsed="false">
      <c r="A1661" s="31" t="s">
        <v>9852</v>
      </c>
      <c r="B1661" s="31" t="n">
        <v>83</v>
      </c>
      <c r="C1661" s="32" t="n">
        <f aca="false">SETTINGS!$C$3+$B1661-1</f>
        <v>46382</v>
      </c>
      <c r="D1661" s="41" t="s">
        <v>7168</v>
      </c>
      <c r="E1661" s="34" t="s">
        <v>9747</v>
      </c>
      <c r="F1661" s="34" t="s">
        <v>280</v>
      </c>
      <c r="G1661" s="34" t="s">
        <v>9853</v>
      </c>
      <c r="H1661" s="35" t="s">
        <v>9854</v>
      </c>
      <c r="I1661" s="36" t="s">
        <v>9855</v>
      </c>
      <c r="J1661" s="34" t="s">
        <v>9856</v>
      </c>
      <c r="K1661" s="34" t="s">
        <v>9857</v>
      </c>
      <c r="L1661" s="37"/>
      <c r="M1661" s="37"/>
      <c r="N1661" s="37"/>
      <c r="O1661" s="37"/>
      <c r="P1661" s="37"/>
      <c r="Q1661" s="37"/>
      <c r="R1661" s="31" t="n">
        <f aca="false">COUNT($M1661:$Q1661)</f>
        <v>0</v>
      </c>
      <c r="S1661" s="32" t="str">
        <f aca="false">IF($L1661="","",IF($R1661&gt;=5,"",MAX($L1661:$Q1661)+CHOOSE($R1661+1,SETTINGS!$C$9,SETTINGS!$C$10,SETTINGS!$C$11,SETTINGS!$C$12,SETTINGS!$C$13)))</f>
        <v/>
      </c>
      <c r="T1661" s="34" t="str">
        <f aca="true">IF($H1661="","(chưa có nội dung)",IF($L1661="",IF($C1661&lt;TODAY(),"⚠ TRỄ HỌC",IF($C1661=TODAY(),"★ HỌC HÔM NAY","• Chưa tới")),IF($R1661&gt;=5,"✔ MASTER",IF($S1661&lt;TODAY(),"⚠ TRỄ ÔN",IF($S1661=TODAY(),"◆ ÔN HÔM NAY","✔ Đúng tiến độ")))))</f>
        <v>• Chưa tới</v>
      </c>
      <c r="U1661" s="38" t="n">
        <f aca="false">IF($H1661="","",$R1661/5)</f>
        <v>0</v>
      </c>
    </row>
    <row r="1662" customFormat="false" ht="15" hidden="false" customHeight="false" outlineLevel="0" collapsed="false">
      <c r="A1662" s="31" t="s">
        <v>9858</v>
      </c>
      <c r="B1662" s="31" t="n">
        <v>83</v>
      </c>
      <c r="C1662" s="32" t="n">
        <f aca="false">SETTINGS!$C$3+$B1662-1</f>
        <v>46382</v>
      </c>
      <c r="D1662" s="41" t="s">
        <v>7168</v>
      </c>
      <c r="E1662" s="34" t="s">
        <v>9747</v>
      </c>
      <c r="F1662" s="34" t="s">
        <v>202</v>
      </c>
      <c r="G1662" s="34" t="s">
        <v>9859</v>
      </c>
      <c r="H1662" s="35" t="s">
        <v>9860</v>
      </c>
      <c r="I1662" s="36" t="s">
        <v>9861</v>
      </c>
      <c r="J1662" s="34" t="s">
        <v>9862</v>
      </c>
      <c r="K1662" s="34" t="s">
        <v>9863</v>
      </c>
      <c r="L1662" s="37"/>
      <c r="M1662" s="37"/>
      <c r="N1662" s="37"/>
      <c r="O1662" s="37"/>
      <c r="P1662" s="37"/>
      <c r="Q1662" s="37"/>
      <c r="R1662" s="31" t="n">
        <f aca="false">COUNT($M1662:$Q1662)</f>
        <v>0</v>
      </c>
      <c r="S1662" s="32" t="str">
        <f aca="false">IF($L1662="","",IF($R1662&gt;=5,"",MAX($L1662:$Q1662)+CHOOSE($R1662+1,SETTINGS!$C$9,SETTINGS!$C$10,SETTINGS!$C$11,SETTINGS!$C$12,SETTINGS!$C$13)))</f>
        <v/>
      </c>
      <c r="T1662" s="34" t="str">
        <f aca="true">IF($H1662="","(chưa có nội dung)",IF($L1662="",IF($C1662&lt;TODAY(),"⚠ TRỄ HỌC",IF($C1662=TODAY(),"★ HỌC HÔM NAY","• Chưa tới")),IF($R1662&gt;=5,"✔ MASTER",IF($S1662&lt;TODAY(),"⚠ TRỄ ÔN",IF($S1662=TODAY(),"◆ ÔN HÔM NAY","✔ Đúng tiến độ")))))</f>
        <v>• Chưa tới</v>
      </c>
      <c r="U1662" s="38" t="n">
        <f aca="false">IF($H1662="","",$R1662/5)</f>
        <v>0</v>
      </c>
    </row>
    <row r="1663" customFormat="false" ht="15" hidden="false" customHeight="false" outlineLevel="0" collapsed="false">
      <c r="A1663" s="31" t="s">
        <v>9864</v>
      </c>
      <c r="B1663" s="31" t="n">
        <v>84</v>
      </c>
      <c r="C1663" s="32" t="n">
        <f aca="false">SETTINGS!$C$3+$B1663-1</f>
        <v>46383</v>
      </c>
      <c r="D1663" s="41" t="s">
        <v>7168</v>
      </c>
      <c r="E1663" s="34" t="s">
        <v>9865</v>
      </c>
      <c r="F1663" s="34" t="s">
        <v>202</v>
      </c>
      <c r="G1663" s="34" t="s">
        <v>9866</v>
      </c>
      <c r="H1663" s="35" t="s">
        <v>9867</v>
      </c>
      <c r="I1663" s="36" t="s">
        <v>9868</v>
      </c>
      <c r="J1663" s="34" t="s">
        <v>9869</v>
      </c>
      <c r="K1663" s="34" t="s">
        <v>9870</v>
      </c>
      <c r="L1663" s="37"/>
      <c r="M1663" s="37"/>
      <c r="N1663" s="37"/>
      <c r="O1663" s="37"/>
      <c r="P1663" s="37"/>
      <c r="Q1663" s="37"/>
      <c r="R1663" s="31" t="n">
        <f aca="false">COUNT($M1663:$Q1663)</f>
        <v>0</v>
      </c>
      <c r="S1663" s="32" t="str">
        <f aca="false">IF($L1663="","",IF($R1663&gt;=5,"",MAX($L1663:$Q1663)+CHOOSE($R1663+1,SETTINGS!$C$9,SETTINGS!$C$10,SETTINGS!$C$11,SETTINGS!$C$12,SETTINGS!$C$13)))</f>
        <v/>
      </c>
      <c r="T1663" s="34" t="str">
        <f aca="true">IF($H1663="","(chưa có nội dung)",IF($L1663="",IF($C1663&lt;TODAY(),"⚠ TRỄ HỌC",IF($C1663=TODAY(),"★ HỌC HÔM NAY","• Chưa tới")),IF($R1663&gt;=5,"✔ MASTER",IF($S1663&lt;TODAY(),"⚠ TRỄ ÔN",IF($S1663=TODAY(),"◆ ÔN HÔM NAY","✔ Đúng tiến độ")))))</f>
        <v>• Chưa tới</v>
      </c>
      <c r="U1663" s="38" t="n">
        <f aca="false">IF($H1663="","",$R1663/5)</f>
        <v>0</v>
      </c>
    </row>
    <row r="1664" customFormat="false" ht="15" hidden="false" customHeight="false" outlineLevel="0" collapsed="false">
      <c r="A1664" s="31" t="s">
        <v>9871</v>
      </c>
      <c r="B1664" s="31" t="n">
        <v>84</v>
      </c>
      <c r="C1664" s="32" t="n">
        <f aca="false">SETTINGS!$C$3+$B1664-1</f>
        <v>46383</v>
      </c>
      <c r="D1664" s="41" t="s">
        <v>7168</v>
      </c>
      <c r="E1664" s="34" t="s">
        <v>9865</v>
      </c>
      <c r="F1664" s="34" t="s">
        <v>280</v>
      </c>
      <c r="G1664" s="34" t="s">
        <v>2688</v>
      </c>
      <c r="H1664" s="35" t="s">
        <v>9872</v>
      </c>
      <c r="I1664" s="36" t="s">
        <v>9873</v>
      </c>
      <c r="J1664" s="34" t="s">
        <v>9874</v>
      </c>
      <c r="K1664" s="34" t="s">
        <v>9875</v>
      </c>
      <c r="L1664" s="37"/>
      <c r="M1664" s="37"/>
      <c r="N1664" s="37"/>
      <c r="O1664" s="37"/>
      <c r="P1664" s="37"/>
      <c r="Q1664" s="37"/>
      <c r="R1664" s="31" t="n">
        <f aca="false">COUNT($M1664:$Q1664)</f>
        <v>0</v>
      </c>
      <c r="S1664" s="32" t="str">
        <f aca="false">IF($L1664="","",IF($R1664&gt;=5,"",MAX($L1664:$Q1664)+CHOOSE($R1664+1,SETTINGS!$C$9,SETTINGS!$C$10,SETTINGS!$C$11,SETTINGS!$C$12,SETTINGS!$C$13)))</f>
        <v/>
      </c>
      <c r="T1664" s="34" t="str">
        <f aca="true">IF($H1664="","(chưa có nội dung)",IF($L1664="",IF($C1664&lt;TODAY(),"⚠ TRỄ HỌC",IF($C1664=TODAY(),"★ HỌC HÔM NAY","• Chưa tới")),IF($R1664&gt;=5,"✔ MASTER",IF($S1664&lt;TODAY(),"⚠ TRỄ ÔN",IF($S1664=TODAY(),"◆ ÔN HÔM NAY","✔ Đúng tiến độ")))))</f>
        <v>• Chưa tới</v>
      </c>
      <c r="U1664" s="38" t="n">
        <f aca="false">IF($H1664="","",$R1664/5)</f>
        <v>0</v>
      </c>
    </row>
    <row r="1665" customFormat="false" ht="15" hidden="false" customHeight="false" outlineLevel="0" collapsed="false">
      <c r="A1665" s="31" t="s">
        <v>9876</v>
      </c>
      <c r="B1665" s="31" t="n">
        <v>84</v>
      </c>
      <c r="C1665" s="32" t="n">
        <f aca="false">SETTINGS!$C$3+$B1665-1</f>
        <v>46383</v>
      </c>
      <c r="D1665" s="41" t="s">
        <v>7168</v>
      </c>
      <c r="E1665" s="34" t="s">
        <v>9865</v>
      </c>
      <c r="F1665" s="34" t="s">
        <v>280</v>
      </c>
      <c r="G1665" s="34" t="s">
        <v>9877</v>
      </c>
      <c r="H1665" s="35" t="s">
        <v>9878</v>
      </c>
      <c r="I1665" s="36" t="s">
        <v>9879</v>
      </c>
      <c r="J1665" s="34" t="s">
        <v>9880</v>
      </c>
      <c r="K1665" s="34" t="s">
        <v>9881</v>
      </c>
      <c r="L1665" s="37"/>
      <c r="M1665" s="37"/>
      <c r="N1665" s="37"/>
      <c r="O1665" s="37"/>
      <c r="P1665" s="37"/>
      <c r="Q1665" s="37"/>
      <c r="R1665" s="31" t="n">
        <f aca="false">COUNT($M1665:$Q1665)</f>
        <v>0</v>
      </c>
      <c r="S1665" s="32" t="str">
        <f aca="false">IF($L1665="","",IF($R1665&gt;=5,"",MAX($L1665:$Q1665)+CHOOSE($R1665+1,SETTINGS!$C$9,SETTINGS!$C$10,SETTINGS!$C$11,SETTINGS!$C$12,SETTINGS!$C$13)))</f>
        <v/>
      </c>
      <c r="T1665" s="34" t="str">
        <f aca="true">IF($H1665="","(chưa có nội dung)",IF($L1665="",IF($C1665&lt;TODAY(),"⚠ TRỄ HỌC",IF($C1665=TODAY(),"★ HỌC HÔM NAY","• Chưa tới")),IF($R1665&gt;=5,"✔ MASTER",IF($S1665&lt;TODAY(),"⚠ TRỄ ÔN",IF($S1665=TODAY(),"◆ ÔN HÔM NAY","✔ Đúng tiến độ")))))</f>
        <v>• Chưa tới</v>
      </c>
      <c r="U1665" s="38" t="n">
        <f aca="false">IF($H1665="","",$R1665/5)</f>
        <v>0</v>
      </c>
    </row>
    <row r="1666" customFormat="false" ht="15" hidden="false" customHeight="false" outlineLevel="0" collapsed="false">
      <c r="A1666" s="31" t="s">
        <v>9882</v>
      </c>
      <c r="B1666" s="31" t="n">
        <v>84</v>
      </c>
      <c r="C1666" s="32" t="n">
        <f aca="false">SETTINGS!$C$3+$B1666-1</f>
        <v>46383</v>
      </c>
      <c r="D1666" s="41" t="s">
        <v>7168</v>
      </c>
      <c r="E1666" s="34" t="s">
        <v>9865</v>
      </c>
      <c r="F1666" s="34" t="s">
        <v>163</v>
      </c>
      <c r="G1666" s="34" t="s">
        <v>9883</v>
      </c>
      <c r="H1666" s="35" t="s">
        <v>9884</v>
      </c>
      <c r="I1666" s="36" t="s">
        <v>9885</v>
      </c>
      <c r="J1666" s="34" t="s">
        <v>9886</v>
      </c>
      <c r="K1666" s="34" t="s">
        <v>9887</v>
      </c>
      <c r="L1666" s="37"/>
      <c r="M1666" s="37"/>
      <c r="N1666" s="37"/>
      <c r="O1666" s="37"/>
      <c r="P1666" s="37"/>
      <c r="Q1666" s="37"/>
      <c r="R1666" s="31" t="n">
        <f aca="false">COUNT($M1666:$Q1666)</f>
        <v>0</v>
      </c>
      <c r="S1666" s="32" t="str">
        <f aca="false">IF($L1666="","",IF($R1666&gt;=5,"",MAX($L1666:$Q1666)+CHOOSE($R1666+1,SETTINGS!$C$9,SETTINGS!$C$10,SETTINGS!$C$11,SETTINGS!$C$12,SETTINGS!$C$13)))</f>
        <v/>
      </c>
      <c r="T1666" s="34" t="str">
        <f aca="true">IF($H1666="","(chưa có nội dung)",IF($L1666="",IF($C1666&lt;TODAY(),"⚠ TRỄ HỌC",IF($C1666=TODAY(),"★ HỌC HÔM NAY","• Chưa tới")),IF($R1666&gt;=5,"✔ MASTER",IF($S1666&lt;TODAY(),"⚠ TRỄ ÔN",IF($S1666=TODAY(),"◆ ÔN HÔM NAY","✔ Đúng tiến độ")))))</f>
        <v>• Chưa tới</v>
      </c>
      <c r="U1666" s="38" t="n">
        <f aca="false">IF($H1666="","",$R1666/5)</f>
        <v>0</v>
      </c>
    </row>
    <row r="1667" customFormat="false" ht="23.85" hidden="false" customHeight="false" outlineLevel="0" collapsed="false">
      <c r="A1667" s="31" t="s">
        <v>9888</v>
      </c>
      <c r="B1667" s="31" t="n">
        <v>84</v>
      </c>
      <c r="C1667" s="32" t="n">
        <f aca="false">SETTINGS!$C$3+$B1667-1</f>
        <v>46383</v>
      </c>
      <c r="D1667" s="41" t="s">
        <v>7168</v>
      </c>
      <c r="E1667" s="34" t="s">
        <v>9865</v>
      </c>
      <c r="F1667" s="34" t="s">
        <v>5676</v>
      </c>
      <c r="G1667" s="34" t="s">
        <v>9889</v>
      </c>
      <c r="H1667" s="35" t="s">
        <v>9890</v>
      </c>
      <c r="I1667" s="36" t="s">
        <v>9891</v>
      </c>
      <c r="J1667" s="34" t="s">
        <v>9892</v>
      </c>
      <c r="K1667" s="34" t="s">
        <v>9893</v>
      </c>
      <c r="L1667" s="37"/>
      <c r="M1667" s="37"/>
      <c r="N1667" s="37"/>
      <c r="O1667" s="37"/>
      <c r="P1667" s="37"/>
      <c r="Q1667" s="37"/>
      <c r="R1667" s="31" t="n">
        <f aca="false">COUNT($M1667:$Q1667)</f>
        <v>0</v>
      </c>
      <c r="S1667" s="32" t="str">
        <f aca="false">IF($L1667="","",IF($R1667&gt;=5,"",MAX($L1667:$Q1667)+CHOOSE($R1667+1,SETTINGS!$C$9,SETTINGS!$C$10,SETTINGS!$C$11,SETTINGS!$C$12,SETTINGS!$C$13)))</f>
        <v/>
      </c>
      <c r="T1667" s="34" t="str">
        <f aca="true">IF($H1667="","(chưa có nội dung)",IF($L1667="",IF($C1667&lt;TODAY(),"⚠ TRỄ HỌC",IF($C1667=TODAY(),"★ HỌC HÔM NAY","• Chưa tới")),IF($R1667&gt;=5,"✔ MASTER",IF($S1667&lt;TODAY(),"⚠ TRỄ ÔN",IF($S1667=TODAY(),"◆ ÔN HÔM NAY","✔ Đúng tiến độ")))))</f>
        <v>• Chưa tới</v>
      </c>
      <c r="U1667" s="38" t="n">
        <f aca="false">IF($H1667="","",$R1667/5)</f>
        <v>0</v>
      </c>
    </row>
    <row r="1668" customFormat="false" ht="15" hidden="false" customHeight="false" outlineLevel="0" collapsed="false">
      <c r="A1668" s="31" t="s">
        <v>9894</v>
      </c>
      <c r="B1668" s="31" t="n">
        <v>84</v>
      </c>
      <c r="C1668" s="32" t="n">
        <f aca="false">SETTINGS!$C$3+$B1668-1</f>
        <v>46383</v>
      </c>
      <c r="D1668" s="41" t="s">
        <v>7168</v>
      </c>
      <c r="E1668" s="34" t="s">
        <v>9865</v>
      </c>
      <c r="F1668" s="34" t="s">
        <v>183</v>
      </c>
      <c r="G1668" s="34" t="s">
        <v>9895</v>
      </c>
      <c r="H1668" s="35" t="s">
        <v>9896</v>
      </c>
      <c r="I1668" s="36" t="s">
        <v>9897</v>
      </c>
      <c r="J1668" s="34" t="s">
        <v>9898</v>
      </c>
      <c r="K1668" s="34" t="s">
        <v>9899</v>
      </c>
      <c r="L1668" s="37"/>
      <c r="M1668" s="37"/>
      <c r="N1668" s="37"/>
      <c r="O1668" s="37"/>
      <c r="P1668" s="37"/>
      <c r="Q1668" s="37"/>
      <c r="R1668" s="31" t="n">
        <f aca="false">COUNT($M1668:$Q1668)</f>
        <v>0</v>
      </c>
      <c r="S1668" s="32" t="str">
        <f aca="false">IF($L1668="","",IF($R1668&gt;=5,"",MAX($L1668:$Q1668)+CHOOSE($R1668+1,SETTINGS!$C$9,SETTINGS!$C$10,SETTINGS!$C$11,SETTINGS!$C$12,SETTINGS!$C$13)))</f>
        <v/>
      </c>
      <c r="T1668" s="34" t="str">
        <f aca="true">IF($H1668="","(chưa có nội dung)",IF($L1668="",IF($C1668&lt;TODAY(),"⚠ TRỄ HỌC",IF($C1668=TODAY(),"★ HỌC HÔM NAY","• Chưa tới")),IF($R1668&gt;=5,"✔ MASTER",IF($S1668&lt;TODAY(),"⚠ TRỄ ÔN",IF($S1668=TODAY(),"◆ ÔN HÔM NAY","✔ Đúng tiến độ")))))</f>
        <v>• Chưa tới</v>
      </c>
      <c r="U1668" s="38" t="n">
        <f aca="false">IF($H1668="","",$R1668/5)</f>
        <v>0</v>
      </c>
    </row>
    <row r="1669" customFormat="false" ht="26.85" hidden="false" customHeight="false" outlineLevel="0" collapsed="false">
      <c r="A1669" s="31" t="s">
        <v>9900</v>
      </c>
      <c r="B1669" s="31" t="n">
        <v>84</v>
      </c>
      <c r="C1669" s="32" t="n">
        <f aca="false">SETTINGS!$C$3+$B1669-1</f>
        <v>46383</v>
      </c>
      <c r="D1669" s="41" t="s">
        <v>7168</v>
      </c>
      <c r="E1669" s="34" t="s">
        <v>9865</v>
      </c>
      <c r="F1669" s="34" t="s">
        <v>4047</v>
      </c>
      <c r="G1669" s="34" t="s">
        <v>9901</v>
      </c>
      <c r="H1669" s="35" t="s">
        <v>9902</v>
      </c>
      <c r="I1669" s="36" t="s">
        <v>9903</v>
      </c>
      <c r="J1669" s="34" t="s">
        <v>9904</v>
      </c>
      <c r="K1669" s="34" t="s">
        <v>9905</v>
      </c>
      <c r="L1669" s="37"/>
      <c r="M1669" s="37"/>
      <c r="N1669" s="37"/>
      <c r="O1669" s="37"/>
      <c r="P1669" s="37"/>
      <c r="Q1669" s="37"/>
      <c r="R1669" s="31" t="n">
        <f aca="false">COUNT($M1669:$Q1669)</f>
        <v>0</v>
      </c>
      <c r="S1669" s="32" t="str">
        <f aca="false">IF($L1669="","",IF($R1669&gt;=5,"",MAX($L1669:$Q1669)+CHOOSE($R1669+1,SETTINGS!$C$9,SETTINGS!$C$10,SETTINGS!$C$11,SETTINGS!$C$12,SETTINGS!$C$13)))</f>
        <v/>
      </c>
      <c r="T1669" s="34" t="str">
        <f aca="true">IF($H1669="","(chưa có nội dung)",IF($L1669="",IF($C1669&lt;TODAY(),"⚠ TRỄ HỌC",IF($C1669=TODAY(),"★ HỌC HÔM NAY","• Chưa tới")),IF($R1669&gt;=5,"✔ MASTER",IF($S1669&lt;TODAY(),"⚠ TRỄ ÔN",IF($S1669=TODAY(),"◆ ÔN HÔM NAY","✔ Đúng tiến độ")))))</f>
        <v>• Chưa tới</v>
      </c>
      <c r="U1669" s="38" t="n">
        <f aca="false">IF($H1669="","",$R1669/5)</f>
        <v>0</v>
      </c>
    </row>
    <row r="1670" customFormat="false" ht="15" hidden="false" customHeight="false" outlineLevel="0" collapsed="false">
      <c r="A1670" s="31" t="s">
        <v>9906</v>
      </c>
      <c r="B1670" s="31" t="n">
        <v>84</v>
      </c>
      <c r="C1670" s="32" t="n">
        <f aca="false">SETTINGS!$C$3+$B1670-1</f>
        <v>46383</v>
      </c>
      <c r="D1670" s="41" t="s">
        <v>7168</v>
      </c>
      <c r="E1670" s="34" t="s">
        <v>9865</v>
      </c>
      <c r="F1670" s="34" t="s">
        <v>183</v>
      </c>
      <c r="G1670" s="34" t="s">
        <v>9907</v>
      </c>
      <c r="H1670" s="35" t="s">
        <v>9908</v>
      </c>
      <c r="I1670" s="36" t="s">
        <v>9909</v>
      </c>
      <c r="J1670" s="34" t="s">
        <v>9910</v>
      </c>
      <c r="K1670" s="34" t="s">
        <v>9911</v>
      </c>
      <c r="L1670" s="37"/>
      <c r="M1670" s="37"/>
      <c r="N1670" s="37"/>
      <c r="O1670" s="37"/>
      <c r="P1670" s="37"/>
      <c r="Q1670" s="37"/>
      <c r="R1670" s="31" t="n">
        <f aca="false">COUNT($M1670:$Q1670)</f>
        <v>0</v>
      </c>
      <c r="S1670" s="32" t="str">
        <f aca="false">IF($L1670="","",IF($R1670&gt;=5,"",MAX($L1670:$Q1670)+CHOOSE($R1670+1,SETTINGS!$C$9,SETTINGS!$C$10,SETTINGS!$C$11,SETTINGS!$C$12,SETTINGS!$C$13)))</f>
        <v/>
      </c>
      <c r="T1670" s="34" t="str">
        <f aca="true">IF($H1670="","(chưa có nội dung)",IF($L1670="",IF($C1670&lt;TODAY(),"⚠ TRỄ HỌC",IF($C1670=TODAY(),"★ HỌC HÔM NAY","• Chưa tới")),IF($R1670&gt;=5,"✔ MASTER",IF($S1670&lt;TODAY(),"⚠ TRỄ ÔN",IF($S1670=TODAY(),"◆ ÔN HÔM NAY","✔ Đúng tiến độ")))))</f>
        <v>• Chưa tới</v>
      </c>
      <c r="U1670" s="38" t="n">
        <f aca="false">IF($H1670="","",$R1670/5)</f>
        <v>0</v>
      </c>
    </row>
    <row r="1671" customFormat="false" ht="15" hidden="false" customHeight="false" outlineLevel="0" collapsed="false">
      <c r="A1671" s="31" t="s">
        <v>9912</v>
      </c>
      <c r="B1671" s="31" t="n">
        <v>84</v>
      </c>
      <c r="C1671" s="32" t="n">
        <f aca="false">SETTINGS!$C$3+$B1671-1</f>
        <v>46383</v>
      </c>
      <c r="D1671" s="41" t="s">
        <v>7168</v>
      </c>
      <c r="E1671" s="34" t="s">
        <v>9865</v>
      </c>
      <c r="F1671" s="34" t="s">
        <v>3694</v>
      </c>
      <c r="G1671" s="34" t="s">
        <v>2292</v>
      </c>
      <c r="H1671" s="35" t="s">
        <v>9913</v>
      </c>
      <c r="I1671" s="36" t="s">
        <v>9914</v>
      </c>
      <c r="J1671" s="34" t="s">
        <v>9915</v>
      </c>
      <c r="K1671" s="34" t="s">
        <v>6686</v>
      </c>
      <c r="L1671" s="37"/>
      <c r="M1671" s="37"/>
      <c r="N1671" s="37"/>
      <c r="O1671" s="37"/>
      <c r="P1671" s="37"/>
      <c r="Q1671" s="37"/>
      <c r="R1671" s="31" t="n">
        <f aca="false">COUNT($M1671:$Q1671)</f>
        <v>0</v>
      </c>
      <c r="S1671" s="32" t="str">
        <f aca="false">IF($L1671="","",IF($R1671&gt;=5,"",MAX($L1671:$Q1671)+CHOOSE($R1671+1,SETTINGS!$C$9,SETTINGS!$C$10,SETTINGS!$C$11,SETTINGS!$C$12,SETTINGS!$C$13)))</f>
        <v/>
      </c>
      <c r="T1671" s="34" t="str">
        <f aca="true">IF($H1671="","(chưa có nội dung)",IF($L1671="",IF($C1671&lt;TODAY(),"⚠ TRỄ HỌC",IF($C1671=TODAY(),"★ HỌC HÔM NAY","• Chưa tới")),IF($R1671&gt;=5,"✔ MASTER",IF($S1671&lt;TODAY(),"⚠ TRỄ ÔN",IF($S1671=TODAY(),"◆ ÔN HÔM NAY","✔ Đúng tiến độ")))))</f>
        <v>• Chưa tới</v>
      </c>
      <c r="U1671" s="38" t="n">
        <f aca="false">IF($H1671="","",$R1671/5)</f>
        <v>0</v>
      </c>
    </row>
    <row r="1672" customFormat="false" ht="15" hidden="false" customHeight="false" outlineLevel="0" collapsed="false">
      <c r="A1672" s="31" t="s">
        <v>9916</v>
      </c>
      <c r="B1672" s="31" t="n">
        <v>84</v>
      </c>
      <c r="C1672" s="32" t="n">
        <f aca="false">SETTINGS!$C$3+$B1672-1</f>
        <v>46383</v>
      </c>
      <c r="D1672" s="41" t="s">
        <v>7168</v>
      </c>
      <c r="E1672" s="34" t="s">
        <v>9865</v>
      </c>
      <c r="F1672" s="34" t="s">
        <v>163</v>
      </c>
      <c r="G1672" s="34" t="s">
        <v>1629</v>
      </c>
      <c r="H1672" s="35" t="s">
        <v>9917</v>
      </c>
      <c r="I1672" s="36" t="s">
        <v>9918</v>
      </c>
      <c r="J1672" s="34" t="s">
        <v>9919</v>
      </c>
      <c r="K1672" s="34" t="s">
        <v>9920</v>
      </c>
      <c r="L1672" s="37"/>
      <c r="M1672" s="37"/>
      <c r="N1672" s="37"/>
      <c r="O1672" s="37"/>
      <c r="P1672" s="37"/>
      <c r="Q1672" s="37"/>
      <c r="R1672" s="31" t="n">
        <f aca="false">COUNT($M1672:$Q1672)</f>
        <v>0</v>
      </c>
      <c r="S1672" s="32" t="str">
        <f aca="false">IF($L1672="","",IF($R1672&gt;=5,"",MAX($L1672:$Q1672)+CHOOSE($R1672+1,SETTINGS!$C$9,SETTINGS!$C$10,SETTINGS!$C$11,SETTINGS!$C$12,SETTINGS!$C$13)))</f>
        <v/>
      </c>
      <c r="T1672" s="34" t="str">
        <f aca="true">IF($H1672="","(chưa có nội dung)",IF($L1672="",IF($C1672&lt;TODAY(),"⚠ TRỄ HỌC",IF($C1672=TODAY(),"★ HỌC HÔM NAY","• Chưa tới")),IF($R1672&gt;=5,"✔ MASTER",IF($S1672&lt;TODAY(),"⚠ TRỄ ÔN",IF($S1672=TODAY(),"◆ ÔN HÔM NAY","✔ Đúng tiến độ")))))</f>
        <v>• Chưa tới</v>
      </c>
      <c r="U1672" s="38" t="n">
        <f aca="false">IF($H1672="","",$R1672/5)</f>
        <v>0</v>
      </c>
    </row>
    <row r="1673" customFormat="false" ht="15" hidden="false" customHeight="false" outlineLevel="0" collapsed="false">
      <c r="A1673" s="31" t="s">
        <v>9921</v>
      </c>
      <c r="B1673" s="31" t="n">
        <v>84</v>
      </c>
      <c r="C1673" s="32" t="n">
        <f aca="false">SETTINGS!$C$3+$B1673-1</f>
        <v>46383</v>
      </c>
      <c r="D1673" s="41" t="s">
        <v>7168</v>
      </c>
      <c r="E1673" s="34" t="s">
        <v>9865</v>
      </c>
      <c r="F1673" s="34" t="s">
        <v>280</v>
      </c>
      <c r="G1673" s="34" t="s">
        <v>9922</v>
      </c>
      <c r="H1673" s="35" t="s">
        <v>9923</v>
      </c>
      <c r="I1673" s="36" t="s">
        <v>9924</v>
      </c>
      <c r="J1673" s="34" t="s">
        <v>9925</v>
      </c>
      <c r="K1673" s="34" t="s">
        <v>9926</v>
      </c>
      <c r="L1673" s="37"/>
      <c r="M1673" s="37"/>
      <c r="N1673" s="37"/>
      <c r="O1673" s="37"/>
      <c r="P1673" s="37"/>
      <c r="Q1673" s="37"/>
      <c r="R1673" s="31" t="n">
        <f aca="false">COUNT($M1673:$Q1673)</f>
        <v>0</v>
      </c>
      <c r="S1673" s="32" t="str">
        <f aca="false">IF($L1673="","",IF($R1673&gt;=5,"",MAX($L1673:$Q1673)+CHOOSE($R1673+1,SETTINGS!$C$9,SETTINGS!$C$10,SETTINGS!$C$11,SETTINGS!$C$12,SETTINGS!$C$13)))</f>
        <v/>
      </c>
      <c r="T1673" s="34" t="str">
        <f aca="true">IF($H1673="","(chưa có nội dung)",IF($L1673="",IF($C1673&lt;TODAY(),"⚠ TRỄ HỌC",IF($C1673=TODAY(),"★ HỌC HÔM NAY","• Chưa tới")),IF($R1673&gt;=5,"✔ MASTER",IF($S1673&lt;TODAY(),"⚠ TRỄ ÔN",IF($S1673=TODAY(),"◆ ÔN HÔM NAY","✔ Đúng tiến độ")))))</f>
        <v>• Chưa tới</v>
      </c>
      <c r="U1673" s="38" t="n">
        <f aca="false">IF($H1673="","",$R1673/5)</f>
        <v>0</v>
      </c>
    </row>
    <row r="1674" customFormat="false" ht="15" hidden="false" customHeight="false" outlineLevel="0" collapsed="false">
      <c r="A1674" s="31" t="s">
        <v>9927</v>
      </c>
      <c r="B1674" s="31" t="n">
        <v>84</v>
      </c>
      <c r="C1674" s="32" t="n">
        <f aca="false">SETTINGS!$C$3+$B1674-1</f>
        <v>46383</v>
      </c>
      <c r="D1674" s="41" t="s">
        <v>7168</v>
      </c>
      <c r="E1674" s="34" t="s">
        <v>9865</v>
      </c>
      <c r="F1674" s="34" t="s">
        <v>280</v>
      </c>
      <c r="G1674" s="34" t="s">
        <v>9928</v>
      </c>
      <c r="H1674" s="35" t="s">
        <v>9929</v>
      </c>
      <c r="I1674" s="36" t="s">
        <v>9930</v>
      </c>
      <c r="J1674" s="34" t="s">
        <v>9931</v>
      </c>
      <c r="K1674" s="34" t="s">
        <v>9932</v>
      </c>
      <c r="L1674" s="37"/>
      <c r="M1674" s="37"/>
      <c r="N1674" s="37"/>
      <c r="O1674" s="37"/>
      <c r="P1674" s="37"/>
      <c r="Q1674" s="37"/>
      <c r="R1674" s="31" t="n">
        <f aca="false">COUNT($M1674:$Q1674)</f>
        <v>0</v>
      </c>
      <c r="S1674" s="32" t="str">
        <f aca="false">IF($L1674="","",IF($R1674&gt;=5,"",MAX($L1674:$Q1674)+CHOOSE($R1674+1,SETTINGS!$C$9,SETTINGS!$C$10,SETTINGS!$C$11,SETTINGS!$C$12,SETTINGS!$C$13)))</f>
        <v/>
      </c>
      <c r="T1674" s="34" t="str">
        <f aca="true">IF($H1674="","(chưa có nội dung)",IF($L1674="",IF($C1674&lt;TODAY(),"⚠ TRỄ HỌC",IF($C1674=TODAY(),"★ HỌC HÔM NAY","• Chưa tới")),IF($R1674&gt;=5,"✔ MASTER",IF($S1674&lt;TODAY(),"⚠ TRỄ ÔN",IF($S1674=TODAY(),"◆ ÔN HÔM NAY","✔ Đúng tiến độ")))))</f>
        <v>• Chưa tới</v>
      </c>
      <c r="U1674" s="38" t="n">
        <f aca="false">IF($H1674="","",$R1674/5)</f>
        <v>0</v>
      </c>
    </row>
    <row r="1675" customFormat="false" ht="15" hidden="false" customHeight="false" outlineLevel="0" collapsed="false">
      <c r="A1675" s="31" t="s">
        <v>9933</v>
      </c>
      <c r="B1675" s="31" t="n">
        <v>84</v>
      </c>
      <c r="C1675" s="32" t="n">
        <f aca="false">SETTINGS!$C$3+$B1675-1</f>
        <v>46383</v>
      </c>
      <c r="D1675" s="41" t="s">
        <v>7168</v>
      </c>
      <c r="E1675" s="34" t="s">
        <v>9865</v>
      </c>
      <c r="F1675" s="34" t="s">
        <v>280</v>
      </c>
      <c r="G1675" s="34" t="s">
        <v>7083</v>
      </c>
      <c r="H1675" s="35" t="s">
        <v>9934</v>
      </c>
      <c r="I1675" s="36" t="s">
        <v>9935</v>
      </c>
      <c r="J1675" s="34" t="s">
        <v>9936</v>
      </c>
      <c r="K1675" s="34" t="s">
        <v>9937</v>
      </c>
      <c r="L1675" s="37"/>
      <c r="M1675" s="37"/>
      <c r="N1675" s="37"/>
      <c r="O1675" s="37"/>
      <c r="P1675" s="37"/>
      <c r="Q1675" s="37"/>
      <c r="R1675" s="31" t="n">
        <f aca="false">COUNT($M1675:$Q1675)</f>
        <v>0</v>
      </c>
      <c r="S1675" s="32" t="str">
        <f aca="false">IF($L1675="","",IF($R1675&gt;=5,"",MAX($L1675:$Q1675)+CHOOSE($R1675+1,SETTINGS!$C$9,SETTINGS!$C$10,SETTINGS!$C$11,SETTINGS!$C$12,SETTINGS!$C$13)))</f>
        <v/>
      </c>
      <c r="T1675" s="34" t="str">
        <f aca="true">IF($H1675="","(chưa có nội dung)",IF($L1675="",IF($C1675&lt;TODAY(),"⚠ TRỄ HỌC",IF($C1675=TODAY(),"★ HỌC HÔM NAY","• Chưa tới")),IF($R1675&gt;=5,"✔ MASTER",IF($S1675&lt;TODAY(),"⚠ TRỄ ÔN",IF($S1675=TODAY(),"◆ ÔN HÔM NAY","✔ Đúng tiến độ")))))</f>
        <v>• Chưa tới</v>
      </c>
      <c r="U1675" s="38" t="n">
        <f aca="false">IF($H1675="","",$R1675/5)</f>
        <v>0</v>
      </c>
    </row>
    <row r="1676" customFormat="false" ht="15" hidden="false" customHeight="false" outlineLevel="0" collapsed="false">
      <c r="A1676" s="31" t="s">
        <v>9938</v>
      </c>
      <c r="B1676" s="31" t="n">
        <v>84</v>
      </c>
      <c r="C1676" s="32" t="n">
        <f aca="false">SETTINGS!$C$3+$B1676-1</f>
        <v>46383</v>
      </c>
      <c r="D1676" s="41" t="s">
        <v>7168</v>
      </c>
      <c r="E1676" s="34" t="s">
        <v>9865</v>
      </c>
      <c r="F1676" s="34" t="s">
        <v>280</v>
      </c>
      <c r="G1676" s="34" t="s">
        <v>9939</v>
      </c>
      <c r="H1676" s="35" t="s">
        <v>9940</v>
      </c>
      <c r="I1676" s="36" t="s">
        <v>9941</v>
      </c>
      <c r="J1676" s="34" t="s">
        <v>9942</v>
      </c>
      <c r="K1676" s="34" t="s">
        <v>9943</v>
      </c>
      <c r="L1676" s="37"/>
      <c r="M1676" s="37"/>
      <c r="N1676" s="37"/>
      <c r="O1676" s="37"/>
      <c r="P1676" s="37"/>
      <c r="Q1676" s="37"/>
      <c r="R1676" s="31" t="n">
        <f aca="false">COUNT($M1676:$Q1676)</f>
        <v>0</v>
      </c>
      <c r="S1676" s="32" t="str">
        <f aca="false">IF($L1676="","",IF($R1676&gt;=5,"",MAX($L1676:$Q1676)+CHOOSE($R1676+1,SETTINGS!$C$9,SETTINGS!$C$10,SETTINGS!$C$11,SETTINGS!$C$12,SETTINGS!$C$13)))</f>
        <v/>
      </c>
      <c r="T1676" s="34" t="str">
        <f aca="true">IF($H1676="","(chưa có nội dung)",IF($L1676="",IF($C1676&lt;TODAY(),"⚠ TRỄ HỌC",IF($C1676=TODAY(),"★ HỌC HÔM NAY","• Chưa tới")),IF($R1676&gt;=5,"✔ MASTER",IF($S1676&lt;TODAY(),"⚠ TRỄ ÔN",IF($S1676=TODAY(),"◆ ÔN HÔM NAY","✔ Đúng tiến độ")))))</f>
        <v>• Chưa tới</v>
      </c>
      <c r="U1676" s="38" t="n">
        <f aca="false">IF($H1676="","",$R1676/5)</f>
        <v>0</v>
      </c>
    </row>
    <row r="1677" customFormat="false" ht="15" hidden="false" customHeight="false" outlineLevel="0" collapsed="false">
      <c r="A1677" s="31" t="s">
        <v>9944</v>
      </c>
      <c r="B1677" s="31" t="n">
        <v>84</v>
      </c>
      <c r="C1677" s="32" t="n">
        <f aca="false">SETTINGS!$C$3+$B1677-1</f>
        <v>46383</v>
      </c>
      <c r="D1677" s="41" t="s">
        <v>7168</v>
      </c>
      <c r="E1677" s="34" t="s">
        <v>9865</v>
      </c>
      <c r="F1677" s="34" t="s">
        <v>183</v>
      </c>
      <c r="G1677" s="34" t="s">
        <v>1694</v>
      </c>
      <c r="H1677" s="35" t="s">
        <v>9945</v>
      </c>
      <c r="I1677" s="36" t="s">
        <v>9946</v>
      </c>
      <c r="J1677" s="34" t="s">
        <v>9947</v>
      </c>
      <c r="K1677" s="34" t="s">
        <v>9948</v>
      </c>
      <c r="L1677" s="37"/>
      <c r="M1677" s="37"/>
      <c r="N1677" s="37"/>
      <c r="O1677" s="37"/>
      <c r="P1677" s="37"/>
      <c r="Q1677" s="37"/>
      <c r="R1677" s="31" t="n">
        <f aca="false">COUNT($M1677:$Q1677)</f>
        <v>0</v>
      </c>
      <c r="S1677" s="32" t="str">
        <f aca="false">IF($L1677="","",IF($R1677&gt;=5,"",MAX($L1677:$Q1677)+CHOOSE($R1677+1,SETTINGS!$C$9,SETTINGS!$C$10,SETTINGS!$C$11,SETTINGS!$C$12,SETTINGS!$C$13)))</f>
        <v/>
      </c>
      <c r="T1677" s="34" t="str">
        <f aca="true">IF($H1677="","(chưa có nội dung)",IF($L1677="",IF($C1677&lt;TODAY(),"⚠ TRỄ HỌC",IF($C1677=TODAY(),"★ HỌC HÔM NAY","• Chưa tới")),IF($R1677&gt;=5,"✔ MASTER",IF($S1677&lt;TODAY(),"⚠ TRỄ ÔN",IF($S1677=TODAY(),"◆ ÔN HÔM NAY","✔ Đúng tiến độ")))))</f>
        <v>• Chưa tới</v>
      </c>
      <c r="U1677" s="38" t="n">
        <f aca="false">IF($H1677="","",$R1677/5)</f>
        <v>0</v>
      </c>
    </row>
    <row r="1678" customFormat="false" ht="15" hidden="false" customHeight="false" outlineLevel="0" collapsed="false">
      <c r="A1678" s="31" t="s">
        <v>9949</v>
      </c>
      <c r="B1678" s="31" t="n">
        <v>84</v>
      </c>
      <c r="C1678" s="32" t="n">
        <f aca="false">SETTINGS!$C$3+$B1678-1</f>
        <v>46383</v>
      </c>
      <c r="D1678" s="41" t="s">
        <v>7168</v>
      </c>
      <c r="E1678" s="34" t="s">
        <v>9865</v>
      </c>
      <c r="F1678" s="34" t="s">
        <v>202</v>
      </c>
      <c r="G1678" s="34" t="s">
        <v>9950</v>
      </c>
      <c r="H1678" s="35" t="s">
        <v>9951</v>
      </c>
      <c r="I1678" s="36" t="s">
        <v>9952</v>
      </c>
      <c r="J1678" s="34" t="s">
        <v>9953</v>
      </c>
      <c r="K1678" s="34" t="s">
        <v>9954</v>
      </c>
      <c r="L1678" s="37"/>
      <c r="M1678" s="37"/>
      <c r="N1678" s="37"/>
      <c r="O1678" s="37"/>
      <c r="P1678" s="37"/>
      <c r="Q1678" s="37"/>
      <c r="R1678" s="31" t="n">
        <f aca="false">COUNT($M1678:$Q1678)</f>
        <v>0</v>
      </c>
      <c r="S1678" s="32" t="str">
        <f aca="false">IF($L1678="","",IF($R1678&gt;=5,"",MAX($L1678:$Q1678)+CHOOSE($R1678+1,SETTINGS!$C$9,SETTINGS!$C$10,SETTINGS!$C$11,SETTINGS!$C$12,SETTINGS!$C$13)))</f>
        <v/>
      </c>
      <c r="T1678" s="34" t="str">
        <f aca="true">IF($H1678="","(chưa có nội dung)",IF($L1678="",IF($C1678&lt;TODAY(),"⚠ TRỄ HỌC",IF($C1678=TODAY(),"★ HỌC HÔM NAY","• Chưa tới")),IF($R1678&gt;=5,"✔ MASTER",IF($S1678&lt;TODAY(),"⚠ TRỄ ÔN",IF($S1678=TODAY(),"◆ ÔN HÔM NAY","✔ Đúng tiến độ")))))</f>
        <v>• Chưa tới</v>
      </c>
      <c r="U1678" s="38" t="n">
        <f aca="false">IF($H1678="","",$R1678/5)</f>
        <v>0</v>
      </c>
    </row>
    <row r="1679" customFormat="false" ht="15" hidden="false" customHeight="false" outlineLevel="0" collapsed="false">
      <c r="A1679" s="31" t="s">
        <v>9955</v>
      </c>
      <c r="B1679" s="31" t="n">
        <v>84</v>
      </c>
      <c r="C1679" s="32" t="n">
        <f aca="false">SETTINGS!$C$3+$B1679-1</f>
        <v>46383</v>
      </c>
      <c r="D1679" s="41" t="s">
        <v>7168</v>
      </c>
      <c r="E1679" s="34" t="s">
        <v>9865</v>
      </c>
      <c r="F1679" s="34" t="s">
        <v>280</v>
      </c>
      <c r="G1679" s="34" t="s">
        <v>9956</v>
      </c>
      <c r="H1679" s="35" t="s">
        <v>9957</v>
      </c>
      <c r="I1679" s="36" t="s">
        <v>9958</v>
      </c>
      <c r="J1679" s="34" t="s">
        <v>9959</v>
      </c>
      <c r="K1679" s="34" t="s">
        <v>9960</v>
      </c>
      <c r="L1679" s="37"/>
      <c r="M1679" s="37"/>
      <c r="N1679" s="37"/>
      <c r="O1679" s="37"/>
      <c r="P1679" s="37"/>
      <c r="Q1679" s="37"/>
      <c r="R1679" s="31" t="n">
        <f aca="false">COUNT($M1679:$Q1679)</f>
        <v>0</v>
      </c>
      <c r="S1679" s="32" t="str">
        <f aca="false">IF($L1679="","",IF($R1679&gt;=5,"",MAX($L1679:$Q1679)+CHOOSE($R1679+1,SETTINGS!$C$9,SETTINGS!$C$10,SETTINGS!$C$11,SETTINGS!$C$12,SETTINGS!$C$13)))</f>
        <v/>
      </c>
      <c r="T1679" s="34" t="str">
        <f aca="true">IF($H1679="","(chưa có nội dung)",IF($L1679="",IF($C1679&lt;TODAY(),"⚠ TRỄ HỌC",IF($C1679=TODAY(),"★ HỌC HÔM NAY","• Chưa tới")),IF($R1679&gt;=5,"✔ MASTER",IF($S1679&lt;TODAY(),"⚠ TRỄ ÔN",IF($S1679=TODAY(),"◆ ÔN HÔM NAY","✔ Đúng tiến độ")))))</f>
        <v>• Chưa tới</v>
      </c>
      <c r="U1679" s="38" t="n">
        <f aca="false">IF($H1679="","",$R1679/5)</f>
        <v>0</v>
      </c>
    </row>
    <row r="1680" customFormat="false" ht="15" hidden="false" customHeight="false" outlineLevel="0" collapsed="false">
      <c r="A1680" s="31" t="s">
        <v>9961</v>
      </c>
      <c r="B1680" s="31" t="n">
        <v>84</v>
      </c>
      <c r="C1680" s="32" t="n">
        <f aca="false">SETTINGS!$C$3+$B1680-1</f>
        <v>46383</v>
      </c>
      <c r="D1680" s="41" t="s">
        <v>7168</v>
      </c>
      <c r="E1680" s="34" t="s">
        <v>9865</v>
      </c>
      <c r="F1680" s="34" t="s">
        <v>280</v>
      </c>
      <c r="G1680" s="34" t="s">
        <v>9962</v>
      </c>
      <c r="H1680" s="35" t="s">
        <v>9963</v>
      </c>
      <c r="I1680" s="36" t="s">
        <v>9964</v>
      </c>
      <c r="J1680" s="34" t="s">
        <v>9965</v>
      </c>
      <c r="K1680" s="34" t="s">
        <v>9966</v>
      </c>
      <c r="L1680" s="37"/>
      <c r="M1680" s="37"/>
      <c r="N1680" s="37"/>
      <c r="O1680" s="37"/>
      <c r="P1680" s="37"/>
      <c r="Q1680" s="37"/>
      <c r="R1680" s="31" t="n">
        <f aca="false">COUNT($M1680:$Q1680)</f>
        <v>0</v>
      </c>
      <c r="S1680" s="32" t="str">
        <f aca="false">IF($L1680="","",IF($R1680&gt;=5,"",MAX($L1680:$Q1680)+CHOOSE($R1680+1,SETTINGS!$C$9,SETTINGS!$C$10,SETTINGS!$C$11,SETTINGS!$C$12,SETTINGS!$C$13)))</f>
        <v/>
      </c>
      <c r="T1680" s="34" t="str">
        <f aca="true">IF($H1680="","(chưa có nội dung)",IF($L1680="",IF($C1680&lt;TODAY(),"⚠ TRỄ HỌC",IF($C1680=TODAY(),"★ HỌC HÔM NAY","• Chưa tới")),IF($R1680&gt;=5,"✔ MASTER",IF($S1680&lt;TODAY(),"⚠ TRỄ ÔN",IF($S1680=TODAY(),"◆ ÔN HÔM NAY","✔ Đúng tiến độ")))))</f>
        <v>• Chưa tới</v>
      </c>
      <c r="U1680" s="38" t="n">
        <f aca="false">IF($H1680="","",$R1680/5)</f>
        <v>0</v>
      </c>
    </row>
    <row r="1681" customFormat="false" ht="15" hidden="false" customHeight="false" outlineLevel="0" collapsed="false">
      <c r="A1681" s="31" t="s">
        <v>9967</v>
      </c>
      <c r="B1681" s="31" t="n">
        <v>84</v>
      </c>
      <c r="C1681" s="32" t="n">
        <f aca="false">SETTINGS!$C$3+$B1681-1</f>
        <v>46383</v>
      </c>
      <c r="D1681" s="41" t="s">
        <v>7168</v>
      </c>
      <c r="E1681" s="34" t="s">
        <v>9865</v>
      </c>
      <c r="F1681" s="34" t="s">
        <v>280</v>
      </c>
      <c r="G1681" s="34" t="s">
        <v>9968</v>
      </c>
      <c r="H1681" s="35" t="s">
        <v>9969</v>
      </c>
      <c r="I1681" s="36" t="s">
        <v>9970</v>
      </c>
      <c r="J1681" s="34" t="s">
        <v>9971</v>
      </c>
      <c r="K1681" s="34" t="s">
        <v>9972</v>
      </c>
      <c r="L1681" s="37"/>
      <c r="M1681" s="37"/>
      <c r="N1681" s="37"/>
      <c r="O1681" s="37"/>
      <c r="P1681" s="37"/>
      <c r="Q1681" s="37"/>
      <c r="R1681" s="31" t="n">
        <f aca="false">COUNT($M1681:$Q1681)</f>
        <v>0</v>
      </c>
      <c r="S1681" s="32" t="str">
        <f aca="false">IF($L1681="","",IF($R1681&gt;=5,"",MAX($L1681:$Q1681)+CHOOSE($R1681+1,SETTINGS!$C$9,SETTINGS!$C$10,SETTINGS!$C$11,SETTINGS!$C$12,SETTINGS!$C$13)))</f>
        <v/>
      </c>
      <c r="T1681" s="34" t="str">
        <f aca="true">IF($H1681="","(chưa có nội dung)",IF($L1681="",IF($C1681&lt;TODAY(),"⚠ TRỄ HỌC",IF($C1681=TODAY(),"★ HỌC HÔM NAY","• Chưa tới")),IF($R1681&gt;=5,"✔ MASTER",IF($S1681&lt;TODAY(),"⚠ TRỄ ÔN",IF($S1681=TODAY(),"◆ ÔN HÔM NAY","✔ Đúng tiến độ")))))</f>
        <v>• Chưa tới</v>
      </c>
      <c r="U1681" s="38" t="n">
        <f aca="false">IF($H1681="","",$R1681/5)</f>
        <v>0</v>
      </c>
    </row>
    <row r="1682" customFormat="false" ht="26.85" hidden="false" customHeight="false" outlineLevel="0" collapsed="false">
      <c r="A1682" s="31" t="s">
        <v>9973</v>
      </c>
      <c r="B1682" s="31" t="n">
        <v>84</v>
      </c>
      <c r="C1682" s="32" t="n">
        <f aca="false">SETTINGS!$C$3+$B1682-1</f>
        <v>46383</v>
      </c>
      <c r="D1682" s="41" t="s">
        <v>7168</v>
      </c>
      <c r="E1682" s="34" t="s">
        <v>9865</v>
      </c>
      <c r="F1682" s="34" t="s">
        <v>280</v>
      </c>
      <c r="G1682" s="34" t="s">
        <v>9974</v>
      </c>
      <c r="H1682" s="35" t="s">
        <v>9975</v>
      </c>
      <c r="I1682" s="36" t="s">
        <v>9976</v>
      </c>
      <c r="J1682" s="34" t="s">
        <v>9977</v>
      </c>
      <c r="K1682" s="34" t="s">
        <v>9978</v>
      </c>
      <c r="L1682" s="37"/>
      <c r="M1682" s="37"/>
      <c r="N1682" s="37"/>
      <c r="O1682" s="37"/>
      <c r="P1682" s="37"/>
      <c r="Q1682" s="37"/>
      <c r="R1682" s="31" t="n">
        <f aca="false">COUNT($M1682:$Q1682)</f>
        <v>0</v>
      </c>
      <c r="S1682" s="32" t="str">
        <f aca="false">IF($L1682="","",IF($R1682&gt;=5,"",MAX($L1682:$Q1682)+CHOOSE($R1682+1,SETTINGS!$C$9,SETTINGS!$C$10,SETTINGS!$C$11,SETTINGS!$C$12,SETTINGS!$C$13)))</f>
        <v/>
      </c>
      <c r="T1682" s="34" t="str">
        <f aca="true">IF($H1682="","(chưa có nội dung)",IF($L1682="",IF($C1682&lt;TODAY(),"⚠ TRỄ HỌC",IF($C1682=TODAY(),"★ HỌC HÔM NAY","• Chưa tới")),IF($R1682&gt;=5,"✔ MASTER",IF($S1682&lt;TODAY(),"⚠ TRỄ ÔN",IF($S1682=TODAY(),"◆ ÔN HÔM NAY","✔ Đúng tiến độ")))))</f>
        <v>• Chưa tới</v>
      </c>
      <c r="U1682" s="38" t="n">
        <f aca="false">IF($H1682="","",$R1682/5)</f>
        <v>0</v>
      </c>
    </row>
    <row r="1683" customFormat="false" ht="15" hidden="false" customHeight="false" outlineLevel="0" collapsed="false">
      <c r="A1683" s="31" t="s">
        <v>9979</v>
      </c>
      <c r="B1683" s="31" t="n">
        <v>85</v>
      </c>
      <c r="C1683" s="32" t="n">
        <f aca="false">SETTINGS!$C$3+$B1683-1</f>
        <v>46384</v>
      </c>
      <c r="D1683" s="41" t="s">
        <v>7168</v>
      </c>
      <c r="E1683" s="34" t="s">
        <v>9980</v>
      </c>
      <c r="F1683" s="34" t="s">
        <v>156</v>
      </c>
      <c r="G1683" s="34" t="s">
        <v>9981</v>
      </c>
      <c r="H1683" s="35" t="s">
        <v>9982</v>
      </c>
      <c r="I1683" s="36" t="s">
        <v>9983</v>
      </c>
      <c r="J1683" s="34" t="s">
        <v>9984</v>
      </c>
      <c r="K1683" s="34" t="s">
        <v>9985</v>
      </c>
      <c r="L1683" s="37"/>
      <c r="M1683" s="37"/>
      <c r="N1683" s="37"/>
      <c r="O1683" s="37"/>
      <c r="P1683" s="37"/>
      <c r="Q1683" s="37"/>
      <c r="R1683" s="31" t="n">
        <f aca="false">COUNT($M1683:$Q1683)</f>
        <v>0</v>
      </c>
      <c r="S1683" s="32" t="str">
        <f aca="false">IF($L1683="","",IF($R1683&gt;=5,"",MAX($L1683:$Q1683)+CHOOSE($R1683+1,SETTINGS!$C$9,SETTINGS!$C$10,SETTINGS!$C$11,SETTINGS!$C$12,SETTINGS!$C$13)))</f>
        <v/>
      </c>
      <c r="T1683" s="34" t="str">
        <f aca="true">IF($H1683="","(chưa có nội dung)",IF($L1683="",IF($C1683&lt;TODAY(),"⚠ TRỄ HỌC",IF($C1683=TODAY(),"★ HỌC HÔM NAY","• Chưa tới")),IF($R1683&gt;=5,"✔ MASTER",IF($S1683&lt;TODAY(),"⚠ TRỄ ÔN",IF($S1683=TODAY(),"◆ ÔN HÔM NAY","✔ Đúng tiến độ")))))</f>
        <v>• Chưa tới</v>
      </c>
      <c r="U1683" s="38" t="n">
        <f aca="false">IF($H1683="","",$R1683/5)</f>
        <v>0</v>
      </c>
    </row>
    <row r="1684" customFormat="false" ht="15" hidden="false" customHeight="false" outlineLevel="0" collapsed="false">
      <c r="A1684" s="31" t="s">
        <v>9986</v>
      </c>
      <c r="B1684" s="31" t="n">
        <v>85</v>
      </c>
      <c r="C1684" s="32" t="n">
        <f aca="false">SETTINGS!$C$3+$B1684-1</f>
        <v>46384</v>
      </c>
      <c r="D1684" s="41" t="s">
        <v>7168</v>
      </c>
      <c r="E1684" s="34" t="s">
        <v>9980</v>
      </c>
      <c r="F1684" s="34" t="s">
        <v>280</v>
      </c>
      <c r="G1684" s="34" t="s">
        <v>9987</v>
      </c>
      <c r="H1684" s="35" t="s">
        <v>9988</v>
      </c>
      <c r="I1684" s="36" t="s">
        <v>9989</v>
      </c>
      <c r="J1684" s="34" t="s">
        <v>9990</v>
      </c>
      <c r="K1684" s="34" t="s">
        <v>9991</v>
      </c>
      <c r="L1684" s="37"/>
      <c r="M1684" s="37"/>
      <c r="N1684" s="37"/>
      <c r="O1684" s="37"/>
      <c r="P1684" s="37"/>
      <c r="Q1684" s="37"/>
      <c r="R1684" s="31" t="n">
        <f aca="false">COUNT($M1684:$Q1684)</f>
        <v>0</v>
      </c>
      <c r="S1684" s="32" t="str">
        <f aca="false">IF($L1684="","",IF($R1684&gt;=5,"",MAX($L1684:$Q1684)+CHOOSE($R1684+1,SETTINGS!$C$9,SETTINGS!$C$10,SETTINGS!$C$11,SETTINGS!$C$12,SETTINGS!$C$13)))</f>
        <v/>
      </c>
      <c r="T1684" s="34" t="str">
        <f aca="true">IF($H1684="","(chưa có nội dung)",IF($L1684="",IF($C1684&lt;TODAY(),"⚠ TRỄ HỌC",IF($C1684=TODAY(),"★ HỌC HÔM NAY","• Chưa tới")),IF($R1684&gt;=5,"✔ MASTER",IF($S1684&lt;TODAY(),"⚠ TRỄ ÔN",IF($S1684=TODAY(),"◆ ÔN HÔM NAY","✔ Đúng tiến độ")))))</f>
        <v>• Chưa tới</v>
      </c>
      <c r="U1684" s="38" t="n">
        <f aca="false">IF($H1684="","",$R1684/5)</f>
        <v>0</v>
      </c>
    </row>
    <row r="1685" customFormat="false" ht="15" hidden="false" customHeight="false" outlineLevel="0" collapsed="false">
      <c r="A1685" s="31" t="s">
        <v>9992</v>
      </c>
      <c r="B1685" s="31" t="n">
        <v>85</v>
      </c>
      <c r="C1685" s="32" t="n">
        <f aca="false">SETTINGS!$C$3+$B1685-1</f>
        <v>46384</v>
      </c>
      <c r="D1685" s="41" t="s">
        <v>7168</v>
      </c>
      <c r="E1685" s="34" t="s">
        <v>9980</v>
      </c>
      <c r="F1685" s="34" t="s">
        <v>280</v>
      </c>
      <c r="G1685" s="34" t="s">
        <v>9993</v>
      </c>
      <c r="H1685" s="35" t="s">
        <v>9994</v>
      </c>
      <c r="I1685" s="36" t="s">
        <v>9995</v>
      </c>
      <c r="J1685" s="34" t="s">
        <v>9996</v>
      </c>
      <c r="K1685" s="34" t="s">
        <v>9997</v>
      </c>
      <c r="L1685" s="37"/>
      <c r="M1685" s="37"/>
      <c r="N1685" s="37"/>
      <c r="O1685" s="37"/>
      <c r="P1685" s="37"/>
      <c r="Q1685" s="37"/>
      <c r="R1685" s="31" t="n">
        <f aca="false">COUNT($M1685:$Q1685)</f>
        <v>0</v>
      </c>
      <c r="S1685" s="32" t="str">
        <f aca="false">IF($L1685="","",IF($R1685&gt;=5,"",MAX($L1685:$Q1685)+CHOOSE($R1685+1,SETTINGS!$C$9,SETTINGS!$C$10,SETTINGS!$C$11,SETTINGS!$C$12,SETTINGS!$C$13)))</f>
        <v/>
      </c>
      <c r="T1685" s="34" t="str">
        <f aca="true">IF($H1685="","(chưa có nội dung)",IF($L1685="",IF($C1685&lt;TODAY(),"⚠ TRỄ HỌC",IF($C1685=TODAY(),"★ HỌC HÔM NAY","• Chưa tới")),IF($R1685&gt;=5,"✔ MASTER",IF($S1685&lt;TODAY(),"⚠ TRỄ ÔN",IF($S1685=TODAY(),"◆ ÔN HÔM NAY","✔ Đúng tiến độ")))))</f>
        <v>• Chưa tới</v>
      </c>
      <c r="U1685" s="38" t="n">
        <f aca="false">IF($H1685="","",$R1685/5)</f>
        <v>0</v>
      </c>
    </row>
    <row r="1686" customFormat="false" ht="26.85" hidden="false" customHeight="false" outlineLevel="0" collapsed="false">
      <c r="A1686" s="31" t="s">
        <v>9998</v>
      </c>
      <c r="B1686" s="31" t="n">
        <v>85</v>
      </c>
      <c r="C1686" s="32" t="n">
        <f aca="false">SETTINGS!$C$3+$B1686-1</f>
        <v>46384</v>
      </c>
      <c r="D1686" s="41" t="s">
        <v>7168</v>
      </c>
      <c r="E1686" s="34" t="s">
        <v>9980</v>
      </c>
      <c r="F1686" s="34" t="s">
        <v>3694</v>
      </c>
      <c r="G1686" s="34" t="s">
        <v>9999</v>
      </c>
      <c r="H1686" s="35" t="s">
        <v>10000</v>
      </c>
      <c r="I1686" s="36" t="s">
        <v>10001</v>
      </c>
      <c r="J1686" s="34" t="s">
        <v>10002</v>
      </c>
      <c r="K1686" s="34" t="s">
        <v>10003</v>
      </c>
      <c r="L1686" s="37"/>
      <c r="M1686" s="37"/>
      <c r="N1686" s="37"/>
      <c r="O1686" s="37"/>
      <c r="P1686" s="37"/>
      <c r="Q1686" s="37"/>
      <c r="R1686" s="31" t="n">
        <f aca="false">COUNT($M1686:$Q1686)</f>
        <v>0</v>
      </c>
      <c r="S1686" s="32" t="str">
        <f aca="false">IF($L1686="","",IF($R1686&gt;=5,"",MAX($L1686:$Q1686)+CHOOSE($R1686+1,SETTINGS!$C$9,SETTINGS!$C$10,SETTINGS!$C$11,SETTINGS!$C$12,SETTINGS!$C$13)))</f>
        <v/>
      </c>
      <c r="T1686" s="34" t="str">
        <f aca="true">IF($H1686="","(chưa có nội dung)",IF($L1686="",IF($C1686&lt;TODAY(),"⚠ TRỄ HỌC",IF($C1686=TODAY(),"★ HỌC HÔM NAY","• Chưa tới")),IF($R1686&gt;=5,"✔ MASTER",IF($S1686&lt;TODAY(),"⚠ TRỄ ÔN",IF($S1686=TODAY(),"◆ ÔN HÔM NAY","✔ Đúng tiến độ")))))</f>
        <v>• Chưa tới</v>
      </c>
      <c r="U1686" s="38" t="n">
        <f aca="false">IF($H1686="","",$R1686/5)</f>
        <v>0</v>
      </c>
    </row>
    <row r="1687" customFormat="false" ht="15" hidden="false" customHeight="false" outlineLevel="0" collapsed="false">
      <c r="A1687" s="31" t="s">
        <v>10004</v>
      </c>
      <c r="B1687" s="31" t="n">
        <v>85</v>
      </c>
      <c r="C1687" s="32" t="n">
        <f aca="false">SETTINGS!$C$3+$B1687-1</f>
        <v>46384</v>
      </c>
      <c r="D1687" s="41" t="s">
        <v>7168</v>
      </c>
      <c r="E1687" s="34" t="s">
        <v>9980</v>
      </c>
      <c r="F1687" s="34" t="s">
        <v>202</v>
      </c>
      <c r="G1687" s="34" t="s">
        <v>10005</v>
      </c>
      <c r="H1687" s="35" t="s">
        <v>10006</v>
      </c>
      <c r="I1687" s="36" t="s">
        <v>10007</v>
      </c>
      <c r="J1687" s="34" t="s">
        <v>10008</v>
      </c>
      <c r="K1687" s="34" t="s">
        <v>10009</v>
      </c>
      <c r="L1687" s="37"/>
      <c r="M1687" s="37"/>
      <c r="N1687" s="37"/>
      <c r="O1687" s="37"/>
      <c r="P1687" s="37"/>
      <c r="Q1687" s="37"/>
      <c r="R1687" s="31" t="n">
        <f aca="false">COUNT($M1687:$Q1687)</f>
        <v>0</v>
      </c>
      <c r="S1687" s="32" t="str">
        <f aca="false">IF($L1687="","",IF($R1687&gt;=5,"",MAX($L1687:$Q1687)+CHOOSE($R1687+1,SETTINGS!$C$9,SETTINGS!$C$10,SETTINGS!$C$11,SETTINGS!$C$12,SETTINGS!$C$13)))</f>
        <v/>
      </c>
      <c r="T1687" s="34" t="str">
        <f aca="true">IF($H1687="","(chưa có nội dung)",IF($L1687="",IF($C1687&lt;TODAY(),"⚠ TRỄ HỌC",IF($C1687=TODAY(),"★ HỌC HÔM NAY","• Chưa tới")),IF($R1687&gt;=5,"✔ MASTER",IF($S1687&lt;TODAY(),"⚠ TRỄ ÔN",IF($S1687=TODAY(),"◆ ÔN HÔM NAY","✔ Đúng tiến độ")))))</f>
        <v>• Chưa tới</v>
      </c>
      <c r="U1687" s="38" t="n">
        <f aca="false">IF($H1687="","",$R1687/5)</f>
        <v>0</v>
      </c>
    </row>
    <row r="1688" customFormat="false" ht="15" hidden="false" customHeight="false" outlineLevel="0" collapsed="false">
      <c r="A1688" s="31" t="s">
        <v>10010</v>
      </c>
      <c r="B1688" s="31" t="n">
        <v>85</v>
      </c>
      <c r="C1688" s="32" t="n">
        <f aca="false">SETTINGS!$C$3+$B1688-1</f>
        <v>46384</v>
      </c>
      <c r="D1688" s="41" t="s">
        <v>7168</v>
      </c>
      <c r="E1688" s="34" t="s">
        <v>9980</v>
      </c>
      <c r="F1688" s="34" t="s">
        <v>163</v>
      </c>
      <c r="G1688" s="34" t="s">
        <v>5080</v>
      </c>
      <c r="H1688" s="35" t="s">
        <v>10011</v>
      </c>
      <c r="I1688" s="36" t="s">
        <v>10012</v>
      </c>
      <c r="J1688" s="34" t="s">
        <v>10013</v>
      </c>
      <c r="K1688" s="34" t="s">
        <v>10014</v>
      </c>
      <c r="L1688" s="37"/>
      <c r="M1688" s="37"/>
      <c r="N1688" s="37"/>
      <c r="O1688" s="37"/>
      <c r="P1688" s="37"/>
      <c r="Q1688" s="37"/>
      <c r="R1688" s="31" t="n">
        <f aca="false">COUNT($M1688:$Q1688)</f>
        <v>0</v>
      </c>
      <c r="S1688" s="32" t="str">
        <f aca="false">IF($L1688="","",IF($R1688&gt;=5,"",MAX($L1688:$Q1688)+CHOOSE($R1688+1,SETTINGS!$C$9,SETTINGS!$C$10,SETTINGS!$C$11,SETTINGS!$C$12,SETTINGS!$C$13)))</f>
        <v/>
      </c>
      <c r="T1688" s="34" t="str">
        <f aca="true">IF($H1688="","(chưa có nội dung)",IF($L1688="",IF($C1688&lt;TODAY(),"⚠ TRỄ HỌC",IF($C1688=TODAY(),"★ HỌC HÔM NAY","• Chưa tới")),IF($R1688&gt;=5,"✔ MASTER",IF($S1688&lt;TODAY(),"⚠ TRỄ ÔN",IF($S1688=TODAY(),"◆ ÔN HÔM NAY","✔ Đúng tiến độ")))))</f>
        <v>• Chưa tới</v>
      </c>
      <c r="U1688" s="38" t="n">
        <f aca="false">IF($H1688="","",$R1688/5)</f>
        <v>0</v>
      </c>
    </row>
    <row r="1689" customFormat="false" ht="26.85" hidden="false" customHeight="false" outlineLevel="0" collapsed="false">
      <c r="A1689" s="31" t="s">
        <v>10015</v>
      </c>
      <c r="B1689" s="31" t="n">
        <v>85</v>
      </c>
      <c r="C1689" s="32" t="n">
        <f aca="false">SETTINGS!$C$3+$B1689-1</f>
        <v>46384</v>
      </c>
      <c r="D1689" s="41" t="s">
        <v>7168</v>
      </c>
      <c r="E1689" s="34" t="s">
        <v>9980</v>
      </c>
      <c r="F1689" s="34" t="s">
        <v>280</v>
      </c>
      <c r="G1689" s="34" t="s">
        <v>7464</v>
      </c>
      <c r="H1689" s="35" t="s">
        <v>10016</v>
      </c>
      <c r="I1689" s="36" t="s">
        <v>10017</v>
      </c>
      <c r="J1689" s="34" t="s">
        <v>10018</v>
      </c>
      <c r="K1689" s="34" t="s">
        <v>7468</v>
      </c>
      <c r="L1689" s="37"/>
      <c r="M1689" s="37"/>
      <c r="N1689" s="37"/>
      <c r="O1689" s="37"/>
      <c r="P1689" s="37"/>
      <c r="Q1689" s="37"/>
      <c r="R1689" s="31" t="n">
        <f aca="false">COUNT($M1689:$Q1689)</f>
        <v>0</v>
      </c>
      <c r="S1689" s="32" t="str">
        <f aca="false">IF($L1689="","",IF($R1689&gt;=5,"",MAX($L1689:$Q1689)+CHOOSE($R1689+1,SETTINGS!$C$9,SETTINGS!$C$10,SETTINGS!$C$11,SETTINGS!$C$12,SETTINGS!$C$13)))</f>
        <v/>
      </c>
      <c r="T1689" s="34" t="str">
        <f aca="true">IF($H1689="","(chưa có nội dung)",IF($L1689="",IF($C1689&lt;TODAY(),"⚠ TRỄ HỌC",IF($C1689=TODAY(),"★ HỌC HÔM NAY","• Chưa tới")),IF($R1689&gt;=5,"✔ MASTER",IF($S1689&lt;TODAY(),"⚠ TRỄ ÔN",IF($S1689=TODAY(),"◆ ÔN HÔM NAY","✔ Đúng tiến độ")))))</f>
        <v>• Chưa tới</v>
      </c>
      <c r="U1689" s="38" t="n">
        <f aca="false">IF($H1689="","",$R1689/5)</f>
        <v>0</v>
      </c>
    </row>
    <row r="1690" customFormat="false" ht="15" hidden="false" customHeight="false" outlineLevel="0" collapsed="false">
      <c r="A1690" s="31" t="s">
        <v>10019</v>
      </c>
      <c r="B1690" s="31" t="n">
        <v>85</v>
      </c>
      <c r="C1690" s="32" t="n">
        <f aca="false">SETTINGS!$C$3+$B1690-1</f>
        <v>46384</v>
      </c>
      <c r="D1690" s="41" t="s">
        <v>7168</v>
      </c>
      <c r="E1690" s="34" t="s">
        <v>9980</v>
      </c>
      <c r="F1690" s="34" t="s">
        <v>163</v>
      </c>
      <c r="G1690" s="34" t="s">
        <v>7404</v>
      </c>
      <c r="H1690" s="35" t="s">
        <v>10020</v>
      </c>
      <c r="I1690" s="36" t="s">
        <v>10021</v>
      </c>
      <c r="J1690" s="34" t="s">
        <v>10022</v>
      </c>
      <c r="K1690" s="34" t="s">
        <v>751</v>
      </c>
      <c r="L1690" s="37"/>
      <c r="M1690" s="37"/>
      <c r="N1690" s="37"/>
      <c r="O1690" s="37"/>
      <c r="P1690" s="37"/>
      <c r="Q1690" s="37"/>
      <c r="R1690" s="31" t="n">
        <f aca="false">COUNT($M1690:$Q1690)</f>
        <v>0</v>
      </c>
      <c r="S1690" s="32" t="str">
        <f aca="false">IF($L1690="","",IF($R1690&gt;=5,"",MAX($L1690:$Q1690)+CHOOSE($R1690+1,SETTINGS!$C$9,SETTINGS!$C$10,SETTINGS!$C$11,SETTINGS!$C$12,SETTINGS!$C$13)))</f>
        <v/>
      </c>
      <c r="T1690" s="34" t="str">
        <f aca="true">IF($H1690="","(chưa có nội dung)",IF($L1690="",IF($C1690&lt;TODAY(),"⚠ TRỄ HỌC",IF($C1690=TODAY(),"★ HỌC HÔM NAY","• Chưa tới")),IF($R1690&gt;=5,"✔ MASTER",IF($S1690&lt;TODAY(),"⚠ TRỄ ÔN",IF($S1690=TODAY(),"◆ ÔN HÔM NAY","✔ Đúng tiến độ")))))</f>
        <v>• Chưa tới</v>
      </c>
      <c r="U1690" s="38" t="n">
        <f aca="false">IF($H1690="","",$R1690/5)</f>
        <v>0</v>
      </c>
    </row>
    <row r="1691" customFormat="false" ht="15" hidden="false" customHeight="false" outlineLevel="0" collapsed="false">
      <c r="A1691" s="31" t="s">
        <v>10023</v>
      </c>
      <c r="B1691" s="31" t="n">
        <v>85</v>
      </c>
      <c r="C1691" s="32" t="n">
        <f aca="false">SETTINGS!$C$3+$B1691-1</f>
        <v>46384</v>
      </c>
      <c r="D1691" s="41" t="s">
        <v>7168</v>
      </c>
      <c r="E1691" s="34" t="s">
        <v>9980</v>
      </c>
      <c r="F1691" s="34" t="s">
        <v>280</v>
      </c>
      <c r="G1691" s="34" t="s">
        <v>10024</v>
      </c>
      <c r="H1691" s="35" t="s">
        <v>10025</v>
      </c>
      <c r="I1691" s="36" t="s">
        <v>10026</v>
      </c>
      <c r="J1691" s="34" t="s">
        <v>10027</v>
      </c>
      <c r="K1691" s="34" t="s">
        <v>10028</v>
      </c>
      <c r="L1691" s="37"/>
      <c r="M1691" s="37"/>
      <c r="N1691" s="37"/>
      <c r="O1691" s="37"/>
      <c r="P1691" s="37"/>
      <c r="Q1691" s="37"/>
      <c r="R1691" s="31" t="n">
        <f aca="false">COUNT($M1691:$Q1691)</f>
        <v>0</v>
      </c>
      <c r="S1691" s="32" t="str">
        <f aca="false">IF($L1691="","",IF($R1691&gt;=5,"",MAX($L1691:$Q1691)+CHOOSE($R1691+1,SETTINGS!$C$9,SETTINGS!$C$10,SETTINGS!$C$11,SETTINGS!$C$12,SETTINGS!$C$13)))</f>
        <v/>
      </c>
      <c r="T1691" s="34" t="str">
        <f aca="true">IF($H1691="","(chưa có nội dung)",IF($L1691="",IF($C1691&lt;TODAY(),"⚠ TRỄ HỌC",IF($C1691=TODAY(),"★ HỌC HÔM NAY","• Chưa tới")),IF($R1691&gt;=5,"✔ MASTER",IF($S1691&lt;TODAY(),"⚠ TRỄ ÔN",IF($S1691=TODAY(),"◆ ÔN HÔM NAY","✔ Đúng tiến độ")))))</f>
        <v>• Chưa tới</v>
      </c>
      <c r="U1691" s="38" t="n">
        <f aca="false">IF($H1691="","",$R1691/5)</f>
        <v>0</v>
      </c>
    </row>
    <row r="1692" customFormat="false" ht="15" hidden="false" customHeight="false" outlineLevel="0" collapsed="false">
      <c r="A1692" s="31" t="s">
        <v>10029</v>
      </c>
      <c r="B1692" s="31" t="n">
        <v>85</v>
      </c>
      <c r="C1692" s="32" t="n">
        <f aca="false">SETTINGS!$C$3+$B1692-1</f>
        <v>46384</v>
      </c>
      <c r="D1692" s="41" t="s">
        <v>7168</v>
      </c>
      <c r="E1692" s="34" t="s">
        <v>9980</v>
      </c>
      <c r="F1692" s="34" t="s">
        <v>156</v>
      </c>
      <c r="G1692" s="34" t="s">
        <v>10030</v>
      </c>
      <c r="H1692" s="35" t="s">
        <v>10031</v>
      </c>
      <c r="I1692" s="36" t="s">
        <v>10032</v>
      </c>
      <c r="J1692" s="34" t="s">
        <v>10033</v>
      </c>
      <c r="K1692" s="34" t="s">
        <v>10034</v>
      </c>
      <c r="L1692" s="37"/>
      <c r="M1692" s="37"/>
      <c r="N1692" s="37"/>
      <c r="O1692" s="37"/>
      <c r="P1692" s="37"/>
      <c r="Q1692" s="37"/>
      <c r="R1692" s="31" t="n">
        <f aca="false">COUNT($M1692:$Q1692)</f>
        <v>0</v>
      </c>
      <c r="S1692" s="32" t="str">
        <f aca="false">IF($L1692="","",IF($R1692&gt;=5,"",MAX($L1692:$Q1692)+CHOOSE($R1692+1,SETTINGS!$C$9,SETTINGS!$C$10,SETTINGS!$C$11,SETTINGS!$C$12,SETTINGS!$C$13)))</f>
        <v/>
      </c>
      <c r="T1692" s="34" t="str">
        <f aca="true">IF($H1692="","(chưa có nội dung)",IF($L1692="",IF($C1692&lt;TODAY(),"⚠ TRỄ HỌC",IF($C1692=TODAY(),"★ HỌC HÔM NAY","• Chưa tới")),IF($R1692&gt;=5,"✔ MASTER",IF($S1692&lt;TODAY(),"⚠ TRỄ ÔN",IF($S1692=TODAY(),"◆ ÔN HÔM NAY","✔ Đúng tiến độ")))))</f>
        <v>• Chưa tới</v>
      </c>
      <c r="U1692" s="38" t="n">
        <f aca="false">IF($H1692="","",$R1692/5)</f>
        <v>0</v>
      </c>
    </row>
    <row r="1693" customFormat="false" ht="26.85" hidden="false" customHeight="false" outlineLevel="0" collapsed="false">
      <c r="A1693" s="31" t="s">
        <v>10035</v>
      </c>
      <c r="B1693" s="31" t="n">
        <v>85</v>
      </c>
      <c r="C1693" s="32" t="n">
        <f aca="false">SETTINGS!$C$3+$B1693-1</f>
        <v>46384</v>
      </c>
      <c r="D1693" s="41" t="s">
        <v>7168</v>
      </c>
      <c r="E1693" s="34" t="s">
        <v>9980</v>
      </c>
      <c r="F1693" s="34" t="s">
        <v>202</v>
      </c>
      <c r="G1693" s="34" t="s">
        <v>10036</v>
      </c>
      <c r="H1693" s="35" t="s">
        <v>10037</v>
      </c>
      <c r="I1693" s="36" t="s">
        <v>10038</v>
      </c>
      <c r="J1693" s="34" t="s">
        <v>10039</v>
      </c>
      <c r="K1693" s="34" t="s">
        <v>10040</v>
      </c>
      <c r="L1693" s="37"/>
      <c r="M1693" s="37"/>
      <c r="N1693" s="37"/>
      <c r="O1693" s="37"/>
      <c r="P1693" s="37"/>
      <c r="Q1693" s="37"/>
      <c r="R1693" s="31" t="n">
        <f aca="false">COUNT($M1693:$Q1693)</f>
        <v>0</v>
      </c>
      <c r="S1693" s="32" t="str">
        <f aca="false">IF($L1693="","",IF($R1693&gt;=5,"",MAX($L1693:$Q1693)+CHOOSE($R1693+1,SETTINGS!$C$9,SETTINGS!$C$10,SETTINGS!$C$11,SETTINGS!$C$12,SETTINGS!$C$13)))</f>
        <v/>
      </c>
      <c r="T1693" s="34" t="str">
        <f aca="true">IF($H1693="","(chưa có nội dung)",IF($L1693="",IF($C1693&lt;TODAY(),"⚠ TRỄ HỌC",IF($C1693=TODAY(),"★ HỌC HÔM NAY","• Chưa tới")),IF($R1693&gt;=5,"✔ MASTER",IF($S1693&lt;TODAY(),"⚠ TRỄ ÔN",IF($S1693=TODAY(),"◆ ÔN HÔM NAY","✔ Đúng tiến độ")))))</f>
        <v>• Chưa tới</v>
      </c>
      <c r="U1693" s="38" t="n">
        <f aca="false">IF($H1693="","",$R1693/5)</f>
        <v>0</v>
      </c>
    </row>
    <row r="1694" customFormat="false" ht="15" hidden="false" customHeight="false" outlineLevel="0" collapsed="false">
      <c r="A1694" s="31" t="s">
        <v>10041</v>
      </c>
      <c r="B1694" s="31" t="n">
        <v>85</v>
      </c>
      <c r="C1694" s="32" t="n">
        <f aca="false">SETTINGS!$C$3+$B1694-1</f>
        <v>46384</v>
      </c>
      <c r="D1694" s="41" t="s">
        <v>7168</v>
      </c>
      <c r="E1694" s="34" t="s">
        <v>9980</v>
      </c>
      <c r="F1694" s="34" t="s">
        <v>280</v>
      </c>
      <c r="G1694" s="34" t="s">
        <v>10042</v>
      </c>
      <c r="H1694" s="35" t="s">
        <v>10043</v>
      </c>
      <c r="I1694" s="36" t="s">
        <v>10044</v>
      </c>
      <c r="J1694" s="34" t="s">
        <v>10045</v>
      </c>
      <c r="K1694" s="34" t="s">
        <v>8750</v>
      </c>
      <c r="L1694" s="37"/>
      <c r="M1694" s="37"/>
      <c r="N1694" s="37"/>
      <c r="O1694" s="37"/>
      <c r="P1694" s="37"/>
      <c r="Q1694" s="37"/>
      <c r="R1694" s="31" t="n">
        <f aca="false">COUNT($M1694:$Q1694)</f>
        <v>0</v>
      </c>
      <c r="S1694" s="32" t="str">
        <f aca="false">IF($L1694="","",IF($R1694&gt;=5,"",MAX($L1694:$Q1694)+CHOOSE($R1694+1,SETTINGS!$C$9,SETTINGS!$C$10,SETTINGS!$C$11,SETTINGS!$C$12,SETTINGS!$C$13)))</f>
        <v/>
      </c>
      <c r="T1694" s="34" t="str">
        <f aca="true">IF($H1694="","(chưa có nội dung)",IF($L1694="",IF($C1694&lt;TODAY(),"⚠ TRỄ HỌC",IF($C1694=TODAY(),"★ HỌC HÔM NAY","• Chưa tới")),IF($R1694&gt;=5,"✔ MASTER",IF($S1694&lt;TODAY(),"⚠ TRỄ ÔN",IF($S1694=TODAY(),"◆ ÔN HÔM NAY","✔ Đúng tiến độ")))))</f>
        <v>• Chưa tới</v>
      </c>
      <c r="U1694" s="38" t="n">
        <f aca="false">IF($H1694="","",$R1694/5)</f>
        <v>0</v>
      </c>
    </row>
    <row r="1695" customFormat="false" ht="26.85" hidden="false" customHeight="false" outlineLevel="0" collapsed="false">
      <c r="A1695" s="31" t="s">
        <v>10046</v>
      </c>
      <c r="B1695" s="31" t="n">
        <v>85</v>
      </c>
      <c r="C1695" s="32" t="n">
        <f aca="false">SETTINGS!$C$3+$B1695-1</f>
        <v>46384</v>
      </c>
      <c r="D1695" s="41" t="s">
        <v>7168</v>
      </c>
      <c r="E1695" s="34" t="s">
        <v>9980</v>
      </c>
      <c r="F1695" s="34" t="s">
        <v>3694</v>
      </c>
      <c r="G1695" s="34" t="s">
        <v>10047</v>
      </c>
      <c r="H1695" s="35" t="s">
        <v>10048</v>
      </c>
      <c r="I1695" s="36" t="s">
        <v>10049</v>
      </c>
      <c r="J1695" s="34" t="s">
        <v>10050</v>
      </c>
      <c r="K1695" s="34" t="s">
        <v>10051</v>
      </c>
      <c r="L1695" s="37"/>
      <c r="M1695" s="37"/>
      <c r="N1695" s="37"/>
      <c r="O1695" s="37"/>
      <c r="P1695" s="37"/>
      <c r="Q1695" s="37"/>
      <c r="R1695" s="31" t="n">
        <f aca="false">COUNT($M1695:$Q1695)</f>
        <v>0</v>
      </c>
      <c r="S1695" s="32" t="str">
        <f aca="false">IF($L1695="","",IF($R1695&gt;=5,"",MAX($L1695:$Q1695)+CHOOSE($R1695+1,SETTINGS!$C$9,SETTINGS!$C$10,SETTINGS!$C$11,SETTINGS!$C$12,SETTINGS!$C$13)))</f>
        <v/>
      </c>
      <c r="T1695" s="34" t="str">
        <f aca="true">IF($H1695="","(chưa có nội dung)",IF($L1695="",IF($C1695&lt;TODAY(),"⚠ TRỄ HỌC",IF($C1695=TODAY(),"★ HỌC HÔM NAY","• Chưa tới")),IF($R1695&gt;=5,"✔ MASTER",IF($S1695&lt;TODAY(),"⚠ TRỄ ÔN",IF($S1695=TODAY(),"◆ ÔN HÔM NAY","✔ Đúng tiến độ")))))</f>
        <v>• Chưa tới</v>
      </c>
      <c r="U1695" s="38" t="n">
        <f aca="false">IF($H1695="","",$R1695/5)</f>
        <v>0</v>
      </c>
    </row>
    <row r="1696" customFormat="false" ht="15" hidden="false" customHeight="false" outlineLevel="0" collapsed="false">
      <c r="A1696" s="31" t="s">
        <v>10052</v>
      </c>
      <c r="B1696" s="31" t="n">
        <v>85</v>
      </c>
      <c r="C1696" s="32" t="n">
        <f aca="false">SETTINGS!$C$3+$B1696-1</f>
        <v>46384</v>
      </c>
      <c r="D1696" s="41" t="s">
        <v>7168</v>
      </c>
      <c r="E1696" s="34" t="s">
        <v>9980</v>
      </c>
      <c r="F1696" s="34" t="s">
        <v>280</v>
      </c>
      <c r="G1696" s="34" t="s">
        <v>9145</v>
      </c>
      <c r="H1696" s="35" t="s">
        <v>10053</v>
      </c>
      <c r="I1696" s="36" t="s">
        <v>10054</v>
      </c>
      <c r="J1696" s="34" t="s">
        <v>10055</v>
      </c>
      <c r="K1696" s="34" t="s">
        <v>2290</v>
      </c>
      <c r="L1696" s="37"/>
      <c r="M1696" s="37"/>
      <c r="N1696" s="37"/>
      <c r="O1696" s="37"/>
      <c r="P1696" s="37"/>
      <c r="Q1696" s="37"/>
      <c r="R1696" s="31" t="n">
        <f aca="false">COUNT($M1696:$Q1696)</f>
        <v>0</v>
      </c>
      <c r="S1696" s="32" t="str">
        <f aca="false">IF($L1696="","",IF($R1696&gt;=5,"",MAX($L1696:$Q1696)+CHOOSE($R1696+1,SETTINGS!$C$9,SETTINGS!$C$10,SETTINGS!$C$11,SETTINGS!$C$12,SETTINGS!$C$13)))</f>
        <v/>
      </c>
      <c r="T1696" s="34" t="str">
        <f aca="true">IF($H1696="","(chưa có nội dung)",IF($L1696="",IF($C1696&lt;TODAY(),"⚠ TRỄ HỌC",IF($C1696=TODAY(),"★ HỌC HÔM NAY","• Chưa tới")),IF($R1696&gt;=5,"✔ MASTER",IF($S1696&lt;TODAY(),"⚠ TRỄ ÔN",IF($S1696=TODAY(),"◆ ÔN HÔM NAY","✔ Đúng tiến độ")))))</f>
        <v>• Chưa tới</v>
      </c>
      <c r="U1696" s="38" t="n">
        <f aca="false">IF($H1696="","",$R1696/5)</f>
        <v>0</v>
      </c>
    </row>
    <row r="1697" customFormat="false" ht="15" hidden="false" customHeight="false" outlineLevel="0" collapsed="false">
      <c r="A1697" s="31" t="s">
        <v>10056</v>
      </c>
      <c r="B1697" s="31" t="n">
        <v>85</v>
      </c>
      <c r="C1697" s="32" t="n">
        <f aca="false">SETTINGS!$C$3+$B1697-1</f>
        <v>46384</v>
      </c>
      <c r="D1697" s="41" t="s">
        <v>7168</v>
      </c>
      <c r="E1697" s="34" t="s">
        <v>9980</v>
      </c>
      <c r="F1697" s="34" t="s">
        <v>163</v>
      </c>
      <c r="G1697" s="34" t="s">
        <v>7480</v>
      </c>
      <c r="H1697" s="35" t="s">
        <v>10057</v>
      </c>
      <c r="I1697" s="36" t="s">
        <v>10058</v>
      </c>
      <c r="J1697" s="34" t="s">
        <v>10059</v>
      </c>
      <c r="K1697" s="34" t="s">
        <v>10060</v>
      </c>
      <c r="L1697" s="37"/>
      <c r="M1697" s="37"/>
      <c r="N1697" s="37"/>
      <c r="O1697" s="37"/>
      <c r="P1697" s="37"/>
      <c r="Q1697" s="37"/>
      <c r="R1697" s="31" t="n">
        <f aca="false">COUNT($M1697:$Q1697)</f>
        <v>0</v>
      </c>
      <c r="S1697" s="32" t="str">
        <f aca="false">IF($L1697="","",IF($R1697&gt;=5,"",MAX($L1697:$Q1697)+CHOOSE($R1697+1,SETTINGS!$C$9,SETTINGS!$C$10,SETTINGS!$C$11,SETTINGS!$C$12,SETTINGS!$C$13)))</f>
        <v/>
      </c>
      <c r="T1697" s="34" t="str">
        <f aca="true">IF($H1697="","(chưa có nội dung)",IF($L1697="",IF($C1697&lt;TODAY(),"⚠ TRỄ HỌC",IF($C1697=TODAY(),"★ HỌC HÔM NAY","• Chưa tới")),IF($R1697&gt;=5,"✔ MASTER",IF($S1697&lt;TODAY(),"⚠ TRỄ ÔN",IF($S1697=TODAY(),"◆ ÔN HÔM NAY","✔ Đúng tiến độ")))))</f>
        <v>• Chưa tới</v>
      </c>
      <c r="U1697" s="38" t="n">
        <f aca="false">IF($H1697="","",$R1697/5)</f>
        <v>0</v>
      </c>
    </row>
    <row r="1698" customFormat="false" ht="15" hidden="false" customHeight="false" outlineLevel="0" collapsed="false">
      <c r="A1698" s="31" t="s">
        <v>10061</v>
      </c>
      <c r="B1698" s="31" t="n">
        <v>85</v>
      </c>
      <c r="C1698" s="32" t="n">
        <f aca="false">SETTINGS!$C$3+$B1698-1</f>
        <v>46384</v>
      </c>
      <c r="D1698" s="41" t="s">
        <v>7168</v>
      </c>
      <c r="E1698" s="34" t="s">
        <v>9980</v>
      </c>
      <c r="F1698" s="34" t="s">
        <v>280</v>
      </c>
      <c r="G1698" s="34" t="s">
        <v>10062</v>
      </c>
      <c r="H1698" s="35" t="s">
        <v>10063</v>
      </c>
      <c r="I1698" s="36" t="s">
        <v>10064</v>
      </c>
      <c r="J1698" s="34" t="s">
        <v>10065</v>
      </c>
      <c r="K1698" s="34" t="s">
        <v>10066</v>
      </c>
      <c r="L1698" s="37"/>
      <c r="M1698" s="37"/>
      <c r="N1698" s="37"/>
      <c r="O1698" s="37"/>
      <c r="P1698" s="37"/>
      <c r="Q1698" s="37"/>
      <c r="R1698" s="31" t="n">
        <f aca="false">COUNT($M1698:$Q1698)</f>
        <v>0</v>
      </c>
      <c r="S1698" s="32" t="str">
        <f aca="false">IF($L1698="","",IF($R1698&gt;=5,"",MAX($L1698:$Q1698)+CHOOSE($R1698+1,SETTINGS!$C$9,SETTINGS!$C$10,SETTINGS!$C$11,SETTINGS!$C$12,SETTINGS!$C$13)))</f>
        <v/>
      </c>
      <c r="T1698" s="34" t="str">
        <f aca="true">IF($H1698="","(chưa có nội dung)",IF($L1698="",IF($C1698&lt;TODAY(),"⚠ TRỄ HỌC",IF($C1698=TODAY(),"★ HỌC HÔM NAY","• Chưa tới")),IF($R1698&gt;=5,"✔ MASTER",IF($S1698&lt;TODAY(),"⚠ TRỄ ÔN",IF($S1698=TODAY(),"◆ ÔN HÔM NAY","✔ Đúng tiến độ")))))</f>
        <v>• Chưa tới</v>
      </c>
      <c r="U1698" s="38" t="n">
        <f aca="false">IF($H1698="","",$R1698/5)</f>
        <v>0</v>
      </c>
    </row>
    <row r="1699" customFormat="false" ht="15" hidden="false" customHeight="false" outlineLevel="0" collapsed="false">
      <c r="A1699" s="31" t="s">
        <v>10067</v>
      </c>
      <c r="B1699" s="31" t="n">
        <v>85</v>
      </c>
      <c r="C1699" s="32" t="n">
        <f aca="false">SETTINGS!$C$3+$B1699-1</f>
        <v>46384</v>
      </c>
      <c r="D1699" s="41" t="s">
        <v>7168</v>
      </c>
      <c r="E1699" s="34" t="s">
        <v>9980</v>
      </c>
      <c r="F1699" s="34" t="s">
        <v>280</v>
      </c>
      <c r="G1699" s="34" t="s">
        <v>10068</v>
      </c>
      <c r="H1699" s="35" t="s">
        <v>10069</v>
      </c>
      <c r="I1699" s="36" t="s">
        <v>10070</v>
      </c>
      <c r="J1699" s="34" t="s">
        <v>10071</v>
      </c>
      <c r="K1699" s="34" t="s">
        <v>4357</v>
      </c>
      <c r="L1699" s="37"/>
      <c r="M1699" s="37"/>
      <c r="N1699" s="37"/>
      <c r="O1699" s="37"/>
      <c r="P1699" s="37"/>
      <c r="Q1699" s="37"/>
      <c r="R1699" s="31" t="n">
        <f aca="false">COUNT($M1699:$Q1699)</f>
        <v>0</v>
      </c>
      <c r="S1699" s="32" t="str">
        <f aca="false">IF($L1699="","",IF($R1699&gt;=5,"",MAX($L1699:$Q1699)+CHOOSE($R1699+1,SETTINGS!$C$9,SETTINGS!$C$10,SETTINGS!$C$11,SETTINGS!$C$12,SETTINGS!$C$13)))</f>
        <v/>
      </c>
      <c r="T1699" s="34" t="str">
        <f aca="true">IF($H1699="","(chưa có nội dung)",IF($L1699="",IF($C1699&lt;TODAY(),"⚠ TRỄ HỌC",IF($C1699=TODAY(),"★ HỌC HÔM NAY","• Chưa tới")),IF($R1699&gt;=5,"✔ MASTER",IF($S1699&lt;TODAY(),"⚠ TRỄ ÔN",IF($S1699=TODAY(),"◆ ÔN HÔM NAY","✔ Đúng tiến độ")))))</f>
        <v>• Chưa tới</v>
      </c>
      <c r="U1699" s="38" t="n">
        <f aca="false">IF($H1699="","",$R1699/5)</f>
        <v>0</v>
      </c>
    </row>
    <row r="1700" customFormat="false" ht="15" hidden="false" customHeight="false" outlineLevel="0" collapsed="false">
      <c r="A1700" s="31" t="s">
        <v>10072</v>
      </c>
      <c r="B1700" s="31" t="n">
        <v>85</v>
      </c>
      <c r="C1700" s="32" t="n">
        <f aca="false">SETTINGS!$C$3+$B1700-1</f>
        <v>46384</v>
      </c>
      <c r="D1700" s="41" t="s">
        <v>7168</v>
      </c>
      <c r="E1700" s="34" t="s">
        <v>9980</v>
      </c>
      <c r="F1700" s="34" t="s">
        <v>163</v>
      </c>
      <c r="G1700" s="34" t="s">
        <v>1583</v>
      </c>
      <c r="H1700" s="35" t="s">
        <v>10073</v>
      </c>
      <c r="I1700" s="36" t="s">
        <v>10074</v>
      </c>
      <c r="J1700" s="34" t="s">
        <v>10075</v>
      </c>
      <c r="K1700" s="34" t="s">
        <v>10076</v>
      </c>
      <c r="L1700" s="37"/>
      <c r="M1700" s="37"/>
      <c r="N1700" s="37"/>
      <c r="O1700" s="37"/>
      <c r="P1700" s="37"/>
      <c r="Q1700" s="37"/>
      <c r="R1700" s="31" t="n">
        <f aca="false">COUNT($M1700:$Q1700)</f>
        <v>0</v>
      </c>
      <c r="S1700" s="32" t="str">
        <f aca="false">IF($L1700="","",IF($R1700&gt;=5,"",MAX($L1700:$Q1700)+CHOOSE($R1700+1,SETTINGS!$C$9,SETTINGS!$C$10,SETTINGS!$C$11,SETTINGS!$C$12,SETTINGS!$C$13)))</f>
        <v/>
      </c>
      <c r="T1700" s="34" t="str">
        <f aca="true">IF($H1700="","(chưa có nội dung)",IF($L1700="",IF($C1700&lt;TODAY(),"⚠ TRỄ HỌC",IF($C1700=TODAY(),"★ HỌC HÔM NAY","• Chưa tới")),IF($R1700&gt;=5,"✔ MASTER",IF($S1700&lt;TODAY(),"⚠ TRỄ ÔN",IF($S1700=TODAY(),"◆ ÔN HÔM NAY","✔ Đúng tiến độ")))))</f>
        <v>• Chưa tới</v>
      </c>
      <c r="U1700" s="38" t="n">
        <f aca="false">IF($H1700="","",$R1700/5)</f>
        <v>0</v>
      </c>
    </row>
    <row r="1701" customFormat="false" ht="15" hidden="false" customHeight="false" outlineLevel="0" collapsed="false">
      <c r="A1701" s="31" t="s">
        <v>10077</v>
      </c>
      <c r="B1701" s="31" t="n">
        <v>85</v>
      </c>
      <c r="C1701" s="32" t="n">
        <f aca="false">SETTINGS!$C$3+$B1701-1</f>
        <v>46384</v>
      </c>
      <c r="D1701" s="41" t="s">
        <v>7168</v>
      </c>
      <c r="E1701" s="34" t="s">
        <v>9980</v>
      </c>
      <c r="F1701" s="34" t="s">
        <v>280</v>
      </c>
      <c r="G1701" s="34" t="s">
        <v>10078</v>
      </c>
      <c r="H1701" s="35" t="s">
        <v>10079</v>
      </c>
      <c r="I1701" s="36" t="s">
        <v>10080</v>
      </c>
      <c r="J1701" s="34" t="s">
        <v>10081</v>
      </c>
      <c r="K1701" s="34" t="s">
        <v>10082</v>
      </c>
      <c r="L1701" s="37"/>
      <c r="M1701" s="37"/>
      <c r="N1701" s="37"/>
      <c r="O1701" s="37"/>
      <c r="P1701" s="37"/>
      <c r="Q1701" s="37"/>
      <c r="R1701" s="31" t="n">
        <f aca="false">COUNT($M1701:$Q1701)</f>
        <v>0</v>
      </c>
      <c r="S1701" s="32" t="str">
        <f aca="false">IF($L1701="","",IF($R1701&gt;=5,"",MAX($L1701:$Q1701)+CHOOSE($R1701+1,SETTINGS!$C$9,SETTINGS!$C$10,SETTINGS!$C$11,SETTINGS!$C$12,SETTINGS!$C$13)))</f>
        <v/>
      </c>
      <c r="T1701" s="34" t="str">
        <f aca="true">IF($H1701="","(chưa có nội dung)",IF($L1701="",IF($C1701&lt;TODAY(),"⚠ TRỄ HỌC",IF($C1701=TODAY(),"★ HỌC HÔM NAY","• Chưa tới")),IF($R1701&gt;=5,"✔ MASTER",IF($S1701&lt;TODAY(),"⚠ TRỄ ÔN",IF($S1701=TODAY(),"◆ ÔN HÔM NAY","✔ Đúng tiến độ")))))</f>
        <v>• Chưa tới</v>
      </c>
      <c r="U1701" s="38" t="n">
        <f aca="false">IF($H1701="","",$R1701/5)</f>
        <v>0</v>
      </c>
    </row>
    <row r="1702" customFormat="false" ht="15" hidden="false" customHeight="false" outlineLevel="0" collapsed="false">
      <c r="A1702" s="31" t="s">
        <v>10083</v>
      </c>
      <c r="B1702" s="31" t="n">
        <v>85</v>
      </c>
      <c r="C1702" s="32" t="n">
        <f aca="false">SETTINGS!$C$3+$B1702-1</f>
        <v>46384</v>
      </c>
      <c r="D1702" s="41" t="s">
        <v>7168</v>
      </c>
      <c r="E1702" s="34" t="s">
        <v>9980</v>
      </c>
      <c r="F1702" s="34" t="s">
        <v>280</v>
      </c>
      <c r="G1702" s="34" t="s">
        <v>10084</v>
      </c>
      <c r="H1702" s="35" t="s">
        <v>10085</v>
      </c>
      <c r="I1702" s="36" t="s">
        <v>10086</v>
      </c>
      <c r="J1702" s="34" t="s">
        <v>10087</v>
      </c>
      <c r="K1702" s="34" t="s">
        <v>10088</v>
      </c>
      <c r="L1702" s="37"/>
      <c r="M1702" s="37"/>
      <c r="N1702" s="37"/>
      <c r="O1702" s="37"/>
      <c r="P1702" s="37"/>
      <c r="Q1702" s="37"/>
      <c r="R1702" s="31" t="n">
        <f aca="false">COUNT($M1702:$Q1702)</f>
        <v>0</v>
      </c>
      <c r="S1702" s="32" t="str">
        <f aca="false">IF($L1702="","",IF($R1702&gt;=5,"",MAX($L1702:$Q1702)+CHOOSE($R1702+1,SETTINGS!$C$9,SETTINGS!$C$10,SETTINGS!$C$11,SETTINGS!$C$12,SETTINGS!$C$13)))</f>
        <v/>
      </c>
      <c r="T1702" s="34" t="str">
        <f aca="true">IF($H1702="","(chưa có nội dung)",IF($L1702="",IF($C1702&lt;TODAY(),"⚠ TRỄ HỌC",IF($C1702=TODAY(),"★ HỌC HÔM NAY","• Chưa tới")),IF($R1702&gt;=5,"✔ MASTER",IF($S1702&lt;TODAY(),"⚠ TRỄ ÔN",IF($S1702=TODAY(),"◆ ÔN HÔM NAY","✔ Đúng tiến độ")))))</f>
        <v>• Chưa tới</v>
      </c>
      <c r="U1702" s="38" t="n">
        <f aca="false">IF($H1702="","",$R1702/5)</f>
        <v>0</v>
      </c>
    </row>
    <row r="1703" customFormat="false" ht="23.85" hidden="false" customHeight="false" outlineLevel="0" collapsed="false">
      <c r="A1703" s="31" t="s">
        <v>10089</v>
      </c>
      <c r="B1703" s="31" t="n">
        <v>86</v>
      </c>
      <c r="C1703" s="32" t="n">
        <f aca="false">SETTINGS!$C$3+$B1703-1</f>
        <v>46385</v>
      </c>
      <c r="D1703" s="41" t="s">
        <v>7168</v>
      </c>
      <c r="E1703" s="34" t="s">
        <v>10090</v>
      </c>
      <c r="F1703" s="34" t="s">
        <v>280</v>
      </c>
      <c r="G1703" s="34" t="s">
        <v>10091</v>
      </c>
      <c r="H1703" s="35" t="s">
        <v>10092</v>
      </c>
      <c r="I1703" s="36" t="s">
        <v>10093</v>
      </c>
      <c r="J1703" s="34" t="s">
        <v>10094</v>
      </c>
      <c r="K1703" s="34" t="s">
        <v>10095</v>
      </c>
      <c r="L1703" s="37"/>
      <c r="M1703" s="37"/>
      <c r="N1703" s="37"/>
      <c r="O1703" s="37"/>
      <c r="P1703" s="37"/>
      <c r="Q1703" s="37"/>
      <c r="R1703" s="31" t="n">
        <f aca="false">COUNT($M1703:$Q1703)</f>
        <v>0</v>
      </c>
      <c r="S1703" s="32" t="str">
        <f aca="false">IF($L1703="","",IF($R1703&gt;=5,"",MAX($L1703:$Q1703)+CHOOSE($R1703+1,SETTINGS!$C$9,SETTINGS!$C$10,SETTINGS!$C$11,SETTINGS!$C$12,SETTINGS!$C$13)))</f>
        <v/>
      </c>
      <c r="T1703" s="34" t="str">
        <f aca="true">IF($H1703="","(chưa có nội dung)",IF($L1703="",IF($C1703&lt;TODAY(),"⚠ TRỄ HỌC",IF($C1703=TODAY(),"★ HỌC HÔM NAY","• Chưa tới")),IF($R1703&gt;=5,"✔ MASTER",IF($S1703&lt;TODAY(),"⚠ TRỄ ÔN",IF($S1703=TODAY(),"◆ ÔN HÔM NAY","✔ Đúng tiến độ")))))</f>
        <v>• Chưa tới</v>
      </c>
      <c r="U1703" s="38" t="n">
        <f aca="false">IF($H1703="","",$R1703/5)</f>
        <v>0</v>
      </c>
    </row>
    <row r="1704" customFormat="false" ht="15" hidden="false" customHeight="false" outlineLevel="0" collapsed="false">
      <c r="A1704" s="31" t="s">
        <v>10096</v>
      </c>
      <c r="B1704" s="31" t="n">
        <v>86</v>
      </c>
      <c r="C1704" s="32" t="n">
        <f aca="false">SETTINGS!$C$3+$B1704-1</f>
        <v>46385</v>
      </c>
      <c r="D1704" s="41" t="s">
        <v>7168</v>
      </c>
      <c r="E1704" s="34" t="s">
        <v>10090</v>
      </c>
      <c r="F1704" s="34" t="s">
        <v>280</v>
      </c>
      <c r="G1704" s="34" t="s">
        <v>9373</v>
      </c>
      <c r="H1704" s="35" t="s">
        <v>10097</v>
      </c>
      <c r="I1704" s="36" t="s">
        <v>10098</v>
      </c>
      <c r="J1704" s="34" t="s">
        <v>10099</v>
      </c>
      <c r="K1704" s="34" t="s">
        <v>10100</v>
      </c>
      <c r="L1704" s="37"/>
      <c r="M1704" s="37"/>
      <c r="N1704" s="37"/>
      <c r="O1704" s="37"/>
      <c r="P1704" s="37"/>
      <c r="Q1704" s="37"/>
      <c r="R1704" s="31" t="n">
        <f aca="false">COUNT($M1704:$Q1704)</f>
        <v>0</v>
      </c>
      <c r="S1704" s="32" t="str">
        <f aca="false">IF($L1704="","",IF($R1704&gt;=5,"",MAX($L1704:$Q1704)+CHOOSE($R1704+1,SETTINGS!$C$9,SETTINGS!$C$10,SETTINGS!$C$11,SETTINGS!$C$12,SETTINGS!$C$13)))</f>
        <v/>
      </c>
      <c r="T1704" s="34" t="str">
        <f aca="true">IF($H1704="","(chưa có nội dung)",IF($L1704="",IF($C1704&lt;TODAY(),"⚠ TRỄ HỌC",IF($C1704=TODAY(),"★ HỌC HÔM NAY","• Chưa tới")),IF($R1704&gt;=5,"✔ MASTER",IF($S1704&lt;TODAY(),"⚠ TRỄ ÔN",IF($S1704=TODAY(),"◆ ÔN HÔM NAY","✔ Đúng tiến độ")))))</f>
        <v>• Chưa tới</v>
      </c>
      <c r="U1704" s="38" t="n">
        <f aca="false">IF($H1704="","",$R1704/5)</f>
        <v>0</v>
      </c>
    </row>
    <row r="1705" customFormat="false" ht="15" hidden="false" customHeight="false" outlineLevel="0" collapsed="false">
      <c r="A1705" s="31" t="s">
        <v>10101</v>
      </c>
      <c r="B1705" s="31" t="n">
        <v>86</v>
      </c>
      <c r="C1705" s="32" t="n">
        <f aca="false">SETTINGS!$C$3+$B1705-1</f>
        <v>46385</v>
      </c>
      <c r="D1705" s="41" t="s">
        <v>7168</v>
      </c>
      <c r="E1705" s="34" t="s">
        <v>10090</v>
      </c>
      <c r="F1705" s="34" t="s">
        <v>280</v>
      </c>
      <c r="G1705" s="34" t="s">
        <v>10102</v>
      </c>
      <c r="H1705" s="35" t="s">
        <v>10103</v>
      </c>
      <c r="I1705" s="36" t="s">
        <v>10104</v>
      </c>
      <c r="J1705" s="34" t="s">
        <v>10105</v>
      </c>
      <c r="K1705" s="34" t="s">
        <v>10106</v>
      </c>
      <c r="L1705" s="37"/>
      <c r="M1705" s="37"/>
      <c r="N1705" s="37"/>
      <c r="O1705" s="37"/>
      <c r="P1705" s="37"/>
      <c r="Q1705" s="37"/>
      <c r="R1705" s="31" t="n">
        <f aca="false">COUNT($M1705:$Q1705)</f>
        <v>0</v>
      </c>
      <c r="S1705" s="32" t="str">
        <f aca="false">IF($L1705="","",IF($R1705&gt;=5,"",MAX($L1705:$Q1705)+CHOOSE($R1705+1,SETTINGS!$C$9,SETTINGS!$C$10,SETTINGS!$C$11,SETTINGS!$C$12,SETTINGS!$C$13)))</f>
        <v/>
      </c>
      <c r="T1705" s="34" t="str">
        <f aca="true">IF($H1705="","(chưa có nội dung)",IF($L1705="",IF($C1705&lt;TODAY(),"⚠ TRỄ HỌC",IF($C1705=TODAY(),"★ HỌC HÔM NAY","• Chưa tới")),IF($R1705&gt;=5,"✔ MASTER",IF($S1705&lt;TODAY(),"⚠ TRỄ ÔN",IF($S1705=TODAY(),"◆ ÔN HÔM NAY","✔ Đúng tiến độ")))))</f>
        <v>• Chưa tới</v>
      </c>
      <c r="U1705" s="38" t="n">
        <f aca="false">IF($H1705="","",$R1705/5)</f>
        <v>0</v>
      </c>
    </row>
    <row r="1706" customFormat="false" ht="15" hidden="false" customHeight="false" outlineLevel="0" collapsed="false">
      <c r="A1706" s="31" t="s">
        <v>10107</v>
      </c>
      <c r="B1706" s="31" t="n">
        <v>86</v>
      </c>
      <c r="C1706" s="32" t="n">
        <f aca="false">SETTINGS!$C$3+$B1706-1</f>
        <v>46385</v>
      </c>
      <c r="D1706" s="41" t="s">
        <v>7168</v>
      </c>
      <c r="E1706" s="34" t="s">
        <v>10090</v>
      </c>
      <c r="F1706" s="34" t="s">
        <v>280</v>
      </c>
      <c r="G1706" s="34" t="s">
        <v>9296</v>
      </c>
      <c r="H1706" s="35" t="s">
        <v>10108</v>
      </c>
      <c r="I1706" s="36" t="s">
        <v>10109</v>
      </c>
      <c r="J1706" s="34" t="s">
        <v>10110</v>
      </c>
      <c r="K1706" s="34" t="s">
        <v>10111</v>
      </c>
      <c r="L1706" s="37"/>
      <c r="M1706" s="37"/>
      <c r="N1706" s="37"/>
      <c r="O1706" s="37"/>
      <c r="P1706" s="37"/>
      <c r="Q1706" s="37"/>
      <c r="R1706" s="31" t="n">
        <f aca="false">COUNT($M1706:$Q1706)</f>
        <v>0</v>
      </c>
      <c r="S1706" s="32" t="str">
        <f aca="false">IF($L1706="","",IF($R1706&gt;=5,"",MAX($L1706:$Q1706)+CHOOSE($R1706+1,SETTINGS!$C$9,SETTINGS!$C$10,SETTINGS!$C$11,SETTINGS!$C$12,SETTINGS!$C$13)))</f>
        <v/>
      </c>
      <c r="T1706" s="34" t="str">
        <f aca="true">IF($H1706="","(chưa có nội dung)",IF($L1706="",IF($C1706&lt;TODAY(),"⚠ TRỄ HỌC",IF($C1706=TODAY(),"★ HỌC HÔM NAY","• Chưa tới")),IF($R1706&gt;=5,"✔ MASTER",IF($S1706&lt;TODAY(),"⚠ TRỄ ÔN",IF($S1706=TODAY(),"◆ ÔN HÔM NAY","✔ Đúng tiến độ")))))</f>
        <v>• Chưa tới</v>
      </c>
      <c r="U1706" s="38" t="n">
        <f aca="false">IF($H1706="","",$R1706/5)</f>
        <v>0</v>
      </c>
    </row>
    <row r="1707" customFormat="false" ht="23.85" hidden="false" customHeight="false" outlineLevel="0" collapsed="false">
      <c r="A1707" s="31" t="s">
        <v>10112</v>
      </c>
      <c r="B1707" s="31" t="n">
        <v>86</v>
      </c>
      <c r="C1707" s="32" t="n">
        <f aca="false">SETTINGS!$C$3+$B1707-1</f>
        <v>46385</v>
      </c>
      <c r="D1707" s="41" t="s">
        <v>7168</v>
      </c>
      <c r="E1707" s="34" t="s">
        <v>10090</v>
      </c>
      <c r="F1707" s="34" t="s">
        <v>280</v>
      </c>
      <c r="G1707" s="34" t="s">
        <v>10113</v>
      </c>
      <c r="H1707" s="35" t="s">
        <v>10114</v>
      </c>
      <c r="I1707" s="36" t="s">
        <v>10115</v>
      </c>
      <c r="J1707" s="34" t="s">
        <v>10116</v>
      </c>
      <c r="K1707" s="34" t="s">
        <v>10117</v>
      </c>
      <c r="L1707" s="37"/>
      <c r="M1707" s="37"/>
      <c r="N1707" s="37"/>
      <c r="O1707" s="37"/>
      <c r="P1707" s="37"/>
      <c r="Q1707" s="37"/>
      <c r="R1707" s="31" t="n">
        <f aca="false">COUNT($M1707:$Q1707)</f>
        <v>0</v>
      </c>
      <c r="S1707" s="32" t="str">
        <f aca="false">IF($L1707="","",IF($R1707&gt;=5,"",MAX($L1707:$Q1707)+CHOOSE($R1707+1,SETTINGS!$C$9,SETTINGS!$C$10,SETTINGS!$C$11,SETTINGS!$C$12,SETTINGS!$C$13)))</f>
        <v/>
      </c>
      <c r="T1707" s="34" t="str">
        <f aca="true">IF($H1707="","(chưa có nội dung)",IF($L1707="",IF($C1707&lt;TODAY(),"⚠ TRỄ HỌC",IF($C1707=TODAY(),"★ HỌC HÔM NAY","• Chưa tới")),IF($R1707&gt;=5,"✔ MASTER",IF($S1707&lt;TODAY(),"⚠ TRỄ ÔN",IF($S1707=TODAY(),"◆ ÔN HÔM NAY","✔ Đúng tiến độ")))))</f>
        <v>• Chưa tới</v>
      </c>
      <c r="U1707" s="38" t="n">
        <f aca="false">IF($H1707="","",$R1707/5)</f>
        <v>0</v>
      </c>
    </row>
    <row r="1708" customFormat="false" ht="15" hidden="false" customHeight="false" outlineLevel="0" collapsed="false">
      <c r="A1708" s="31" t="s">
        <v>10118</v>
      </c>
      <c r="B1708" s="31" t="n">
        <v>86</v>
      </c>
      <c r="C1708" s="32" t="n">
        <f aca="false">SETTINGS!$C$3+$B1708-1</f>
        <v>46385</v>
      </c>
      <c r="D1708" s="41" t="s">
        <v>7168</v>
      </c>
      <c r="E1708" s="34" t="s">
        <v>10090</v>
      </c>
      <c r="F1708" s="34" t="s">
        <v>280</v>
      </c>
      <c r="G1708" s="34" t="s">
        <v>10119</v>
      </c>
      <c r="H1708" s="35" t="s">
        <v>10120</v>
      </c>
      <c r="I1708" s="36" t="s">
        <v>10121</v>
      </c>
      <c r="J1708" s="34" t="s">
        <v>10122</v>
      </c>
      <c r="K1708" s="34" t="s">
        <v>10123</v>
      </c>
      <c r="L1708" s="37"/>
      <c r="M1708" s="37"/>
      <c r="N1708" s="37"/>
      <c r="O1708" s="37"/>
      <c r="P1708" s="37"/>
      <c r="Q1708" s="37"/>
      <c r="R1708" s="31" t="n">
        <f aca="false">COUNT($M1708:$Q1708)</f>
        <v>0</v>
      </c>
      <c r="S1708" s="32" t="str">
        <f aca="false">IF($L1708="","",IF($R1708&gt;=5,"",MAX($L1708:$Q1708)+CHOOSE($R1708+1,SETTINGS!$C$9,SETTINGS!$C$10,SETTINGS!$C$11,SETTINGS!$C$12,SETTINGS!$C$13)))</f>
        <v/>
      </c>
      <c r="T1708" s="34" t="str">
        <f aca="true">IF($H1708="","(chưa có nội dung)",IF($L1708="",IF($C1708&lt;TODAY(),"⚠ TRỄ HỌC",IF($C1708=TODAY(),"★ HỌC HÔM NAY","• Chưa tới")),IF($R1708&gt;=5,"✔ MASTER",IF($S1708&lt;TODAY(),"⚠ TRỄ ÔN",IF($S1708=TODAY(),"◆ ÔN HÔM NAY","✔ Đúng tiến độ")))))</f>
        <v>• Chưa tới</v>
      </c>
      <c r="U1708" s="38" t="n">
        <f aca="false">IF($H1708="","",$R1708/5)</f>
        <v>0</v>
      </c>
    </row>
    <row r="1709" customFormat="false" ht="15" hidden="false" customHeight="false" outlineLevel="0" collapsed="false">
      <c r="A1709" s="31" t="s">
        <v>10124</v>
      </c>
      <c r="B1709" s="31" t="n">
        <v>86</v>
      </c>
      <c r="C1709" s="32" t="n">
        <f aca="false">SETTINGS!$C$3+$B1709-1</f>
        <v>46385</v>
      </c>
      <c r="D1709" s="41" t="s">
        <v>7168</v>
      </c>
      <c r="E1709" s="34" t="s">
        <v>10090</v>
      </c>
      <c r="F1709" s="34" t="s">
        <v>280</v>
      </c>
      <c r="G1709" s="34" t="s">
        <v>10125</v>
      </c>
      <c r="H1709" s="35" t="s">
        <v>10126</v>
      </c>
      <c r="I1709" s="36" t="s">
        <v>10127</v>
      </c>
      <c r="J1709" s="34" t="s">
        <v>10128</v>
      </c>
      <c r="K1709" s="34" t="s">
        <v>10129</v>
      </c>
      <c r="L1709" s="37"/>
      <c r="M1709" s="37"/>
      <c r="N1709" s="37"/>
      <c r="O1709" s="37"/>
      <c r="P1709" s="37"/>
      <c r="Q1709" s="37"/>
      <c r="R1709" s="31" t="n">
        <f aca="false">COUNT($M1709:$Q1709)</f>
        <v>0</v>
      </c>
      <c r="S1709" s="32" t="str">
        <f aca="false">IF($L1709="","",IF($R1709&gt;=5,"",MAX($L1709:$Q1709)+CHOOSE($R1709+1,SETTINGS!$C$9,SETTINGS!$C$10,SETTINGS!$C$11,SETTINGS!$C$12,SETTINGS!$C$13)))</f>
        <v/>
      </c>
      <c r="T1709" s="34" t="str">
        <f aca="true">IF($H1709="","(chưa có nội dung)",IF($L1709="",IF($C1709&lt;TODAY(),"⚠ TRỄ HỌC",IF($C1709=TODAY(),"★ HỌC HÔM NAY","• Chưa tới")),IF($R1709&gt;=5,"✔ MASTER",IF($S1709&lt;TODAY(),"⚠ TRỄ ÔN",IF($S1709=TODAY(),"◆ ÔN HÔM NAY","✔ Đúng tiến độ")))))</f>
        <v>• Chưa tới</v>
      </c>
      <c r="U1709" s="38" t="n">
        <f aca="false">IF($H1709="","",$R1709/5)</f>
        <v>0</v>
      </c>
    </row>
    <row r="1710" customFormat="false" ht="23.85" hidden="false" customHeight="false" outlineLevel="0" collapsed="false">
      <c r="A1710" s="31" t="s">
        <v>10130</v>
      </c>
      <c r="B1710" s="31" t="n">
        <v>86</v>
      </c>
      <c r="C1710" s="32" t="n">
        <f aca="false">SETTINGS!$C$3+$B1710-1</f>
        <v>46385</v>
      </c>
      <c r="D1710" s="41" t="s">
        <v>7168</v>
      </c>
      <c r="E1710" s="34" t="s">
        <v>10090</v>
      </c>
      <c r="F1710" s="34" t="s">
        <v>280</v>
      </c>
      <c r="G1710" s="34" t="s">
        <v>10131</v>
      </c>
      <c r="H1710" s="35" t="s">
        <v>10132</v>
      </c>
      <c r="I1710" s="36" t="s">
        <v>10133</v>
      </c>
      <c r="J1710" s="34" t="s">
        <v>10134</v>
      </c>
      <c r="K1710" s="34" t="s">
        <v>10135</v>
      </c>
      <c r="L1710" s="37"/>
      <c r="M1710" s="37"/>
      <c r="N1710" s="37"/>
      <c r="O1710" s="37"/>
      <c r="P1710" s="37"/>
      <c r="Q1710" s="37"/>
      <c r="R1710" s="31" t="n">
        <f aca="false">COUNT($M1710:$Q1710)</f>
        <v>0</v>
      </c>
      <c r="S1710" s="32" t="str">
        <f aca="false">IF($L1710="","",IF($R1710&gt;=5,"",MAX($L1710:$Q1710)+CHOOSE($R1710+1,SETTINGS!$C$9,SETTINGS!$C$10,SETTINGS!$C$11,SETTINGS!$C$12,SETTINGS!$C$13)))</f>
        <v/>
      </c>
      <c r="T1710" s="34" t="str">
        <f aca="true">IF($H1710="","(chưa có nội dung)",IF($L1710="",IF($C1710&lt;TODAY(),"⚠ TRỄ HỌC",IF($C1710=TODAY(),"★ HỌC HÔM NAY","• Chưa tới")),IF($R1710&gt;=5,"✔ MASTER",IF($S1710&lt;TODAY(),"⚠ TRỄ ÔN",IF($S1710=TODAY(),"◆ ÔN HÔM NAY","✔ Đúng tiến độ")))))</f>
        <v>• Chưa tới</v>
      </c>
      <c r="U1710" s="38" t="n">
        <f aca="false">IF($H1710="","",$R1710/5)</f>
        <v>0</v>
      </c>
    </row>
    <row r="1711" customFormat="false" ht="15" hidden="false" customHeight="false" outlineLevel="0" collapsed="false">
      <c r="A1711" s="31" t="s">
        <v>10136</v>
      </c>
      <c r="B1711" s="31" t="n">
        <v>86</v>
      </c>
      <c r="C1711" s="32" t="n">
        <f aca="false">SETTINGS!$C$3+$B1711-1</f>
        <v>46385</v>
      </c>
      <c r="D1711" s="41" t="s">
        <v>7168</v>
      </c>
      <c r="E1711" s="34" t="s">
        <v>10090</v>
      </c>
      <c r="F1711" s="34" t="s">
        <v>280</v>
      </c>
      <c r="G1711" s="34" t="s">
        <v>10137</v>
      </c>
      <c r="H1711" s="35" t="s">
        <v>10138</v>
      </c>
      <c r="I1711" s="36" t="s">
        <v>10139</v>
      </c>
      <c r="J1711" s="34" t="s">
        <v>10140</v>
      </c>
      <c r="K1711" s="34" t="s">
        <v>10141</v>
      </c>
      <c r="L1711" s="37"/>
      <c r="M1711" s="37"/>
      <c r="N1711" s="37"/>
      <c r="O1711" s="37"/>
      <c r="P1711" s="37"/>
      <c r="Q1711" s="37"/>
      <c r="R1711" s="31" t="n">
        <f aca="false">COUNT($M1711:$Q1711)</f>
        <v>0</v>
      </c>
      <c r="S1711" s="32" t="str">
        <f aca="false">IF($L1711="","",IF($R1711&gt;=5,"",MAX($L1711:$Q1711)+CHOOSE($R1711+1,SETTINGS!$C$9,SETTINGS!$C$10,SETTINGS!$C$11,SETTINGS!$C$12,SETTINGS!$C$13)))</f>
        <v/>
      </c>
      <c r="T1711" s="34" t="str">
        <f aca="true">IF($H1711="","(chưa có nội dung)",IF($L1711="",IF($C1711&lt;TODAY(),"⚠ TRỄ HỌC",IF($C1711=TODAY(),"★ HỌC HÔM NAY","• Chưa tới")),IF($R1711&gt;=5,"✔ MASTER",IF($S1711&lt;TODAY(),"⚠ TRỄ ÔN",IF($S1711=TODAY(),"◆ ÔN HÔM NAY","✔ Đúng tiến độ")))))</f>
        <v>• Chưa tới</v>
      </c>
      <c r="U1711" s="38" t="n">
        <f aca="false">IF($H1711="","",$R1711/5)</f>
        <v>0</v>
      </c>
    </row>
    <row r="1712" customFormat="false" ht="15" hidden="false" customHeight="false" outlineLevel="0" collapsed="false">
      <c r="A1712" s="31" t="s">
        <v>10142</v>
      </c>
      <c r="B1712" s="31" t="n">
        <v>86</v>
      </c>
      <c r="C1712" s="32" t="n">
        <f aca="false">SETTINGS!$C$3+$B1712-1</f>
        <v>46385</v>
      </c>
      <c r="D1712" s="41" t="s">
        <v>7168</v>
      </c>
      <c r="E1712" s="34" t="s">
        <v>10090</v>
      </c>
      <c r="F1712" s="34" t="s">
        <v>280</v>
      </c>
      <c r="G1712" s="34" t="s">
        <v>10143</v>
      </c>
      <c r="H1712" s="35" t="s">
        <v>10144</v>
      </c>
      <c r="I1712" s="36" t="s">
        <v>10145</v>
      </c>
      <c r="J1712" s="34" t="s">
        <v>10146</v>
      </c>
      <c r="K1712" s="34" t="s">
        <v>10147</v>
      </c>
      <c r="L1712" s="37"/>
      <c r="M1712" s="37"/>
      <c r="N1712" s="37"/>
      <c r="O1712" s="37"/>
      <c r="P1712" s="37"/>
      <c r="Q1712" s="37"/>
      <c r="R1712" s="31" t="n">
        <f aca="false">COUNT($M1712:$Q1712)</f>
        <v>0</v>
      </c>
      <c r="S1712" s="32" t="str">
        <f aca="false">IF($L1712="","",IF($R1712&gt;=5,"",MAX($L1712:$Q1712)+CHOOSE($R1712+1,SETTINGS!$C$9,SETTINGS!$C$10,SETTINGS!$C$11,SETTINGS!$C$12,SETTINGS!$C$13)))</f>
        <v/>
      </c>
      <c r="T1712" s="34" t="str">
        <f aca="true">IF($H1712="","(chưa có nội dung)",IF($L1712="",IF($C1712&lt;TODAY(),"⚠ TRỄ HỌC",IF($C1712=TODAY(),"★ HỌC HÔM NAY","• Chưa tới")),IF($R1712&gt;=5,"✔ MASTER",IF($S1712&lt;TODAY(),"⚠ TRỄ ÔN",IF($S1712=TODAY(),"◆ ÔN HÔM NAY","✔ Đúng tiến độ")))))</f>
        <v>• Chưa tới</v>
      </c>
      <c r="U1712" s="38" t="n">
        <f aca="false">IF($H1712="","",$R1712/5)</f>
        <v>0</v>
      </c>
    </row>
    <row r="1713" customFormat="false" ht="26.85" hidden="false" customHeight="false" outlineLevel="0" collapsed="false">
      <c r="A1713" s="31" t="s">
        <v>10148</v>
      </c>
      <c r="B1713" s="31" t="n">
        <v>86</v>
      </c>
      <c r="C1713" s="32" t="n">
        <f aca="false">SETTINGS!$C$3+$B1713-1</f>
        <v>46385</v>
      </c>
      <c r="D1713" s="41" t="s">
        <v>7168</v>
      </c>
      <c r="E1713" s="34" t="s">
        <v>10090</v>
      </c>
      <c r="F1713" s="34" t="s">
        <v>3694</v>
      </c>
      <c r="G1713" s="34" t="s">
        <v>10149</v>
      </c>
      <c r="H1713" s="35" t="s">
        <v>10150</v>
      </c>
      <c r="I1713" s="36" t="s">
        <v>10151</v>
      </c>
      <c r="J1713" s="34" t="s">
        <v>10152</v>
      </c>
      <c r="K1713" s="34" t="s">
        <v>10153</v>
      </c>
      <c r="L1713" s="37"/>
      <c r="M1713" s="37"/>
      <c r="N1713" s="37"/>
      <c r="O1713" s="37"/>
      <c r="P1713" s="37"/>
      <c r="Q1713" s="37"/>
      <c r="R1713" s="31" t="n">
        <f aca="false">COUNT($M1713:$Q1713)</f>
        <v>0</v>
      </c>
      <c r="S1713" s="32" t="str">
        <f aca="false">IF($L1713="","",IF($R1713&gt;=5,"",MAX($L1713:$Q1713)+CHOOSE($R1713+1,SETTINGS!$C$9,SETTINGS!$C$10,SETTINGS!$C$11,SETTINGS!$C$12,SETTINGS!$C$13)))</f>
        <v/>
      </c>
      <c r="T1713" s="34" t="str">
        <f aca="true">IF($H1713="","(chưa có nội dung)",IF($L1713="",IF($C1713&lt;TODAY(),"⚠ TRỄ HỌC",IF($C1713=TODAY(),"★ HỌC HÔM NAY","• Chưa tới")),IF($R1713&gt;=5,"✔ MASTER",IF($S1713&lt;TODAY(),"⚠ TRỄ ÔN",IF($S1713=TODAY(),"◆ ÔN HÔM NAY","✔ Đúng tiến độ")))))</f>
        <v>• Chưa tới</v>
      </c>
      <c r="U1713" s="38" t="n">
        <f aca="false">IF($H1713="","",$R1713/5)</f>
        <v>0</v>
      </c>
    </row>
    <row r="1714" customFormat="false" ht="15" hidden="false" customHeight="false" outlineLevel="0" collapsed="false">
      <c r="A1714" s="31" t="s">
        <v>10154</v>
      </c>
      <c r="B1714" s="31" t="n">
        <v>86</v>
      </c>
      <c r="C1714" s="32" t="n">
        <f aca="false">SETTINGS!$C$3+$B1714-1</f>
        <v>46385</v>
      </c>
      <c r="D1714" s="41" t="s">
        <v>7168</v>
      </c>
      <c r="E1714" s="34" t="s">
        <v>10090</v>
      </c>
      <c r="F1714" s="34" t="s">
        <v>280</v>
      </c>
      <c r="G1714" s="34" t="s">
        <v>10155</v>
      </c>
      <c r="H1714" s="35" t="s">
        <v>10156</v>
      </c>
      <c r="I1714" s="36" t="s">
        <v>10157</v>
      </c>
      <c r="J1714" s="34" t="s">
        <v>10158</v>
      </c>
      <c r="K1714" s="34" t="s">
        <v>10159</v>
      </c>
      <c r="L1714" s="37"/>
      <c r="M1714" s="37"/>
      <c r="N1714" s="37"/>
      <c r="O1714" s="37"/>
      <c r="P1714" s="37"/>
      <c r="Q1714" s="37"/>
      <c r="R1714" s="31" t="n">
        <f aca="false">COUNT($M1714:$Q1714)</f>
        <v>0</v>
      </c>
      <c r="S1714" s="32" t="str">
        <f aca="false">IF($L1714="","",IF($R1714&gt;=5,"",MAX($L1714:$Q1714)+CHOOSE($R1714+1,SETTINGS!$C$9,SETTINGS!$C$10,SETTINGS!$C$11,SETTINGS!$C$12,SETTINGS!$C$13)))</f>
        <v/>
      </c>
      <c r="T1714" s="34" t="str">
        <f aca="true">IF($H1714="","(chưa có nội dung)",IF($L1714="",IF($C1714&lt;TODAY(),"⚠ TRỄ HỌC",IF($C1714=TODAY(),"★ HỌC HÔM NAY","• Chưa tới")),IF($R1714&gt;=5,"✔ MASTER",IF($S1714&lt;TODAY(),"⚠ TRỄ ÔN",IF($S1714=TODAY(),"◆ ÔN HÔM NAY","✔ Đúng tiến độ")))))</f>
        <v>• Chưa tới</v>
      </c>
      <c r="U1714" s="38" t="n">
        <f aca="false">IF($H1714="","",$R1714/5)</f>
        <v>0</v>
      </c>
    </row>
    <row r="1715" customFormat="false" ht="15" hidden="false" customHeight="false" outlineLevel="0" collapsed="false">
      <c r="A1715" s="31" t="s">
        <v>10160</v>
      </c>
      <c r="B1715" s="31" t="n">
        <v>86</v>
      </c>
      <c r="C1715" s="32" t="n">
        <f aca="false">SETTINGS!$C$3+$B1715-1</f>
        <v>46385</v>
      </c>
      <c r="D1715" s="41" t="s">
        <v>7168</v>
      </c>
      <c r="E1715" s="34" t="s">
        <v>10090</v>
      </c>
      <c r="F1715" s="34" t="s">
        <v>280</v>
      </c>
      <c r="G1715" s="34" t="s">
        <v>10161</v>
      </c>
      <c r="H1715" s="35" t="s">
        <v>10162</v>
      </c>
      <c r="I1715" s="36" t="s">
        <v>10163</v>
      </c>
      <c r="J1715" s="34" t="s">
        <v>10164</v>
      </c>
      <c r="K1715" s="34" t="s">
        <v>10165</v>
      </c>
      <c r="L1715" s="37"/>
      <c r="M1715" s="37"/>
      <c r="N1715" s="37"/>
      <c r="O1715" s="37"/>
      <c r="P1715" s="37"/>
      <c r="Q1715" s="37"/>
      <c r="R1715" s="31" t="n">
        <f aca="false">COUNT($M1715:$Q1715)</f>
        <v>0</v>
      </c>
      <c r="S1715" s="32" t="str">
        <f aca="false">IF($L1715="","",IF($R1715&gt;=5,"",MAX($L1715:$Q1715)+CHOOSE($R1715+1,SETTINGS!$C$9,SETTINGS!$C$10,SETTINGS!$C$11,SETTINGS!$C$12,SETTINGS!$C$13)))</f>
        <v/>
      </c>
      <c r="T1715" s="34" t="str">
        <f aca="true">IF($H1715="","(chưa có nội dung)",IF($L1715="",IF($C1715&lt;TODAY(),"⚠ TRỄ HỌC",IF($C1715=TODAY(),"★ HỌC HÔM NAY","• Chưa tới")),IF($R1715&gt;=5,"✔ MASTER",IF($S1715&lt;TODAY(),"⚠ TRỄ ÔN",IF($S1715=TODAY(),"◆ ÔN HÔM NAY","✔ Đúng tiến độ")))))</f>
        <v>• Chưa tới</v>
      </c>
      <c r="U1715" s="38" t="n">
        <f aca="false">IF($H1715="","",$R1715/5)</f>
        <v>0</v>
      </c>
    </row>
    <row r="1716" customFormat="false" ht="26.85" hidden="false" customHeight="false" outlineLevel="0" collapsed="false">
      <c r="A1716" s="31" t="s">
        <v>10166</v>
      </c>
      <c r="B1716" s="31" t="n">
        <v>86</v>
      </c>
      <c r="C1716" s="32" t="n">
        <f aca="false">SETTINGS!$C$3+$B1716-1</f>
        <v>46385</v>
      </c>
      <c r="D1716" s="41" t="s">
        <v>7168</v>
      </c>
      <c r="E1716" s="34" t="s">
        <v>10090</v>
      </c>
      <c r="F1716" s="34" t="s">
        <v>280</v>
      </c>
      <c r="G1716" s="34" t="s">
        <v>10167</v>
      </c>
      <c r="H1716" s="35" t="s">
        <v>10168</v>
      </c>
      <c r="I1716" s="36" t="s">
        <v>10169</v>
      </c>
      <c r="J1716" s="34" t="s">
        <v>10170</v>
      </c>
      <c r="K1716" s="34" t="s">
        <v>4967</v>
      </c>
      <c r="L1716" s="37"/>
      <c r="M1716" s="37"/>
      <c r="N1716" s="37"/>
      <c r="O1716" s="37"/>
      <c r="P1716" s="37"/>
      <c r="Q1716" s="37"/>
      <c r="R1716" s="31" t="n">
        <f aca="false">COUNT($M1716:$Q1716)</f>
        <v>0</v>
      </c>
      <c r="S1716" s="32" t="str">
        <f aca="false">IF($L1716="","",IF($R1716&gt;=5,"",MAX($L1716:$Q1716)+CHOOSE($R1716+1,SETTINGS!$C$9,SETTINGS!$C$10,SETTINGS!$C$11,SETTINGS!$C$12,SETTINGS!$C$13)))</f>
        <v/>
      </c>
      <c r="T1716" s="34" t="str">
        <f aca="true">IF($H1716="","(chưa có nội dung)",IF($L1716="",IF($C1716&lt;TODAY(),"⚠ TRỄ HỌC",IF($C1716=TODAY(),"★ HỌC HÔM NAY","• Chưa tới")),IF($R1716&gt;=5,"✔ MASTER",IF($S1716&lt;TODAY(),"⚠ TRỄ ÔN",IF($S1716=TODAY(),"◆ ÔN HÔM NAY","✔ Đúng tiến độ")))))</f>
        <v>• Chưa tới</v>
      </c>
      <c r="U1716" s="38" t="n">
        <f aca="false">IF($H1716="","",$R1716/5)</f>
        <v>0</v>
      </c>
    </row>
    <row r="1717" customFormat="false" ht="26.85" hidden="false" customHeight="false" outlineLevel="0" collapsed="false">
      <c r="A1717" s="31" t="s">
        <v>10171</v>
      </c>
      <c r="B1717" s="31" t="n">
        <v>86</v>
      </c>
      <c r="C1717" s="32" t="n">
        <f aca="false">SETTINGS!$C$3+$B1717-1</f>
        <v>46385</v>
      </c>
      <c r="D1717" s="41" t="s">
        <v>7168</v>
      </c>
      <c r="E1717" s="34" t="s">
        <v>10090</v>
      </c>
      <c r="F1717" s="34" t="s">
        <v>280</v>
      </c>
      <c r="G1717" s="34" t="s">
        <v>10172</v>
      </c>
      <c r="H1717" s="35" t="s">
        <v>10173</v>
      </c>
      <c r="I1717" s="36" t="s">
        <v>10174</v>
      </c>
      <c r="J1717" s="34" t="s">
        <v>10175</v>
      </c>
      <c r="K1717" s="34" t="s">
        <v>10176</v>
      </c>
      <c r="L1717" s="37"/>
      <c r="M1717" s="37"/>
      <c r="N1717" s="37"/>
      <c r="O1717" s="37"/>
      <c r="P1717" s="37"/>
      <c r="Q1717" s="37"/>
      <c r="R1717" s="31" t="n">
        <f aca="false">COUNT($M1717:$Q1717)</f>
        <v>0</v>
      </c>
      <c r="S1717" s="32" t="str">
        <f aca="false">IF($L1717="","",IF($R1717&gt;=5,"",MAX($L1717:$Q1717)+CHOOSE($R1717+1,SETTINGS!$C$9,SETTINGS!$C$10,SETTINGS!$C$11,SETTINGS!$C$12,SETTINGS!$C$13)))</f>
        <v/>
      </c>
      <c r="T1717" s="34" t="str">
        <f aca="true">IF($H1717="","(chưa có nội dung)",IF($L1717="",IF($C1717&lt;TODAY(),"⚠ TRỄ HỌC",IF($C1717=TODAY(),"★ HỌC HÔM NAY","• Chưa tới")),IF($R1717&gt;=5,"✔ MASTER",IF($S1717&lt;TODAY(),"⚠ TRỄ ÔN",IF($S1717=TODAY(),"◆ ÔN HÔM NAY","✔ Đúng tiến độ")))))</f>
        <v>• Chưa tới</v>
      </c>
      <c r="U1717" s="38" t="n">
        <f aca="false">IF($H1717="","",$R1717/5)</f>
        <v>0</v>
      </c>
    </row>
    <row r="1718" customFormat="false" ht="15" hidden="false" customHeight="false" outlineLevel="0" collapsed="false">
      <c r="A1718" s="31" t="s">
        <v>10177</v>
      </c>
      <c r="B1718" s="31" t="n">
        <v>86</v>
      </c>
      <c r="C1718" s="32" t="n">
        <f aca="false">SETTINGS!$C$3+$B1718-1</f>
        <v>46385</v>
      </c>
      <c r="D1718" s="41" t="s">
        <v>7168</v>
      </c>
      <c r="E1718" s="34" t="s">
        <v>10090</v>
      </c>
      <c r="F1718" s="34" t="s">
        <v>280</v>
      </c>
      <c r="G1718" s="34" t="s">
        <v>10178</v>
      </c>
      <c r="H1718" s="35" t="s">
        <v>10179</v>
      </c>
      <c r="I1718" s="36" t="s">
        <v>10180</v>
      </c>
      <c r="J1718" s="34" t="s">
        <v>10181</v>
      </c>
      <c r="K1718" s="34" t="s">
        <v>10182</v>
      </c>
      <c r="L1718" s="37"/>
      <c r="M1718" s="37"/>
      <c r="N1718" s="37"/>
      <c r="O1718" s="37"/>
      <c r="P1718" s="37"/>
      <c r="Q1718" s="37"/>
      <c r="R1718" s="31" t="n">
        <f aca="false">COUNT($M1718:$Q1718)</f>
        <v>0</v>
      </c>
      <c r="S1718" s="32" t="str">
        <f aca="false">IF($L1718="","",IF($R1718&gt;=5,"",MAX($L1718:$Q1718)+CHOOSE($R1718+1,SETTINGS!$C$9,SETTINGS!$C$10,SETTINGS!$C$11,SETTINGS!$C$12,SETTINGS!$C$13)))</f>
        <v/>
      </c>
      <c r="T1718" s="34" t="str">
        <f aca="true">IF($H1718="","(chưa có nội dung)",IF($L1718="",IF($C1718&lt;TODAY(),"⚠ TRỄ HỌC",IF($C1718=TODAY(),"★ HỌC HÔM NAY","• Chưa tới")),IF($R1718&gt;=5,"✔ MASTER",IF($S1718&lt;TODAY(),"⚠ TRỄ ÔN",IF($S1718=TODAY(),"◆ ÔN HÔM NAY","✔ Đúng tiến độ")))))</f>
        <v>• Chưa tới</v>
      </c>
      <c r="U1718" s="38" t="n">
        <f aca="false">IF($H1718="","",$R1718/5)</f>
        <v>0</v>
      </c>
    </row>
    <row r="1719" customFormat="false" ht="15" hidden="false" customHeight="false" outlineLevel="0" collapsed="false">
      <c r="A1719" s="31" t="s">
        <v>10183</v>
      </c>
      <c r="B1719" s="31" t="n">
        <v>86</v>
      </c>
      <c r="C1719" s="32" t="n">
        <f aca="false">SETTINGS!$C$3+$B1719-1</f>
        <v>46385</v>
      </c>
      <c r="D1719" s="41" t="s">
        <v>7168</v>
      </c>
      <c r="E1719" s="34" t="s">
        <v>10090</v>
      </c>
      <c r="F1719" s="34" t="s">
        <v>280</v>
      </c>
      <c r="G1719" s="34" t="s">
        <v>7245</v>
      </c>
      <c r="H1719" s="35" t="s">
        <v>10184</v>
      </c>
      <c r="I1719" s="36" t="s">
        <v>10185</v>
      </c>
      <c r="J1719" s="34" t="s">
        <v>10186</v>
      </c>
      <c r="K1719" s="34" t="s">
        <v>9143</v>
      </c>
      <c r="L1719" s="37"/>
      <c r="M1719" s="37"/>
      <c r="N1719" s="37"/>
      <c r="O1719" s="37"/>
      <c r="P1719" s="37"/>
      <c r="Q1719" s="37"/>
      <c r="R1719" s="31" t="n">
        <f aca="false">COUNT($M1719:$Q1719)</f>
        <v>0</v>
      </c>
      <c r="S1719" s="32" t="str">
        <f aca="false">IF($L1719="","",IF($R1719&gt;=5,"",MAX($L1719:$Q1719)+CHOOSE($R1719+1,SETTINGS!$C$9,SETTINGS!$C$10,SETTINGS!$C$11,SETTINGS!$C$12,SETTINGS!$C$13)))</f>
        <v/>
      </c>
      <c r="T1719" s="34" t="str">
        <f aca="true">IF($H1719="","(chưa có nội dung)",IF($L1719="",IF($C1719&lt;TODAY(),"⚠ TRỄ HỌC",IF($C1719=TODAY(),"★ HỌC HÔM NAY","• Chưa tới")),IF($R1719&gt;=5,"✔ MASTER",IF($S1719&lt;TODAY(),"⚠ TRỄ ÔN",IF($S1719=TODAY(),"◆ ÔN HÔM NAY","✔ Đúng tiến độ")))))</f>
        <v>• Chưa tới</v>
      </c>
      <c r="U1719" s="38" t="n">
        <f aca="false">IF($H1719="","",$R1719/5)</f>
        <v>0</v>
      </c>
    </row>
    <row r="1720" customFormat="false" ht="15" hidden="false" customHeight="false" outlineLevel="0" collapsed="false">
      <c r="A1720" s="31" t="s">
        <v>10187</v>
      </c>
      <c r="B1720" s="31" t="n">
        <v>86</v>
      </c>
      <c r="C1720" s="32" t="n">
        <f aca="false">SETTINGS!$C$3+$B1720-1</f>
        <v>46385</v>
      </c>
      <c r="D1720" s="41" t="s">
        <v>7168</v>
      </c>
      <c r="E1720" s="34" t="s">
        <v>10090</v>
      </c>
      <c r="F1720" s="34" t="s">
        <v>280</v>
      </c>
      <c r="G1720" s="34" t="s">
        <v>10188</v>
      </c>
      <c r="H1720" s="35" t="s">
        <v>10189</v>
      </c>
      <c r="I1720" s="36" t="s">
        <v>10190</v>
      </c>
      <c r="J1720" s="34" t="s">
        <v>10191</v>
      </c>
      <c r="K1720" s="34" t="s">
        <v>10192</v>
      </c>
      <c r="L1720" s="37"/>
      <c r="M1720" s="37"/>
      <c r="N1720" s="37"/>
      <c r="O1720" s="37"/>
      <c r="P1720" s="37"/>
      <c r="Q1720" s="37"/>
      <c r="R1720" s="31" t="n">
        <f aca="false">COUNT($M1720:$Q1720)</f>
        <v>0</v>
      </c>
      <c r="S1720" s="32" t="str">
        <f aca="false">IF($L1720="","",IF($R1720&gt;=5,"",MAX($L1720:$Q1720)+CHOOSE($R1720+1,SETTINGS!$C$9,SETTINGS!$C$10,SETTINGS!$C$11,SETTINGS!$C$12,SETTINGS!$C$13)))</f>
        <v/>
      </c>
      <c r="T1720" s="34" t="str">
        <f aca="true">IF($H1720="","(chưa có nội dung)",IF($L1720="",IF($C1720&lt;TODAY(),"⚠ TRỄ HỌC",IF($C1720=TODAY(),"★ HỌC HÔM NAY","• Chưa tới")),IF($R1720&gt;=5,"✔ MASTER",IF($S1720&lt;TODAY(),"⚠ TRỄ ÔN",IF($S1720=TODAY(),"◆ ÔN HÔM NAY","✔ Đúng tiến độ")))))</f>
        <v>• Chưa tới</v>
      </c>
      <c r="U1720" s="38" t="n">
        <f aca="false">IF($H1720="","",$R1720/5)</f>
        <v>0</v>
      </c>
    </row>
    <row r="1721" customFormat="false" ht="15" hidden="false" customHeight="false" outlineLevel="0" collapsed="false">
      <c r="A1721" s="31" t="s">
        <v>10193</v>
      </c>
      <c r="B1721" s="31" t="n">
        <v>86</v>
      </c>
      <c r="C1721" s="32" t="n">
        <f aca="false">SETTINGS!$C$3+$B1721-1</f>
        <v>46385</v>
      </c>
      <c r="D1721" s="41" t="s">
        <v>7168</v>
      </c>
      <c r="E1721" s="34" t="s">
        <v>10090</v>
      </c>
      <c r="F1721" s="34" t="s">
        <v>280</v>
      </c>
      <c r="G1721" s="34" t="s">
        <v>10194</v>
      </c>
      <c r="H1721" s="35" t="s">
        <v>10195</v>
      </c>
      <c r="I1721" s="36" t="s">
        <v>10196</v>
      </c>
      <c r="J1721" s="34" t="s">
        <v>10197</v>
      </c>
      <c r="K1721" s="34" t="s">
        <v>10198</v>
      </c>
      <c r="L1721" s="37"/>
      <c r="M1721" s="37"/>
      <c r="N1721" s="37"/>
      <c r="O1721" s="37"/>
      <c r="P1721" s="37"/>
      <c r="Q1721" s="37"/>
      <c r="R1721" s="31" t="n">
        <f aca="false">COUNT($M1721:$Q1721)</f>
        <v>0</v>
      </c>
      <c r="S1721" s="32" t="str">
        <f aca="false">IF($L1721="","",IF($R1721&gt;=5,"",MAX($L1721:$Q1721)+CHOOSE($R1721+1,SETTINGS!$C$9,SETTINGS!$C$10,SETTINGS!$C$11,SETTINGS!$C$12,SETTINGS!$C$13)))</f>
        <v/>
      </c>
      <c r="T1721" s="34" t="str">
        <f aca="true">IF($H1721="","(chưa có nội dung)",IF($L1721="",IF($C1721&lt;TODAY(),"⚠ TRỄ HỌC",IF($C1721=TODAY(),"★ HỌC HÔM NAY","• Chưa tới")),IF($R1721&gt;=5,"✔ MASTER",IF($S1721&lt;TODAY(),"⚠ TRỄ ÔN",IF($S1721=TODAY(),"◆ ÔN HÔM NAY","✔ Đúng tiến độ")))))</f>
        <v>• Chưa tới</v>
      </c>
      <c r="U1721" s="38" t="n">
        <f aca="false">IF($H1721="","",$R1721/5)</f>
        <v>0</v>
      </c>
    </row>
    <row r="1722" customFormat="false" ht="26.85" hidden="false" customHeight="false" outlineLevel="0" collapsed="false">
      <c r="A1722" s="31" t="s">
        <v>10199</v>
      </c>
      <c r="B1722" s="31" t="n">
        <v>86</v>
      </c>
      <c r="C1722" s="32" t="n">
        <f aca="false">SETTINGS!$C$3+$B1722-1</f>
        <v>46385</v>
      </c>
      <c r="D1722" s="41" t="s">
        <v>7168</v>
      </c>
      <c r="E1722" s="34" t="s">
        <v>10090</v>
      </c>
      <c r="F1722" s="34" t="s">
        <v>280</v>
      </c>
      <c r="G1722" s="34" t="s">
        <v>10200</v>
      </c>
      <c r="H1722" s="35" t="s">
        <v>10201</v>
      </c>
      <c r="I1722" s="36" t="s">
        <v>10202</v>
      </c>
      <c r="J1722" s="34" t="s">
        <v>10203</v>
      </c>
      <c r="K1722" s="34" t="s">
        <v>7251</v>
      </c>
      <c r="L1722" s="37"/>
      <c r="M1722" s="37"/>
      <c r="N1722" s="37"/>
      <c r="O1722" s="37"/>
      <c r="P1722" s="37"/>
      <c r="Q1722" s="37"/>
      <c r="R1722" s="31" t="n">
        <f aca="false">COUNT($M1722:$Q1722)</f>
        <v>0</v>
      </c>
      <c r="S1722" s="32" t="str">
        <f aca="false">IF($L1722="","",IF($R1722&gt;=5,"",MAX($L1722:$Q1722)+CHOOSE($R1722+1,SETTINGS!$C$9,SETTINGS!$C$10,SETTINGS!$C$11,SETTINGS!$C$12,SETTINGS!$C$13)))</f>
        <v/>
      </c>
      <c r="T1722" s="34" t="str">
        <f aca="true">IF($H1722="","(chưa có nội dung)",IF($L1722="",IF($C1722&lt;TODAY(),"⚠ TRỄ HỌC",IF($C1722=TODAY(),"★ HỌC HÔM NAY","• Chưa tới")),IF($R1722&gt;=5,"✔ MASTER",IF($S1722&lt;TODAY(),"⚠ TRỄ ÔN",IF($S1722=TODAY(),"◆ ÔN HÔM NAY","✔ Đúng tiến độ")))))</f>
        <v>• Chưa tới</v>
      </c>
      <c r="U1722" s="38" t="n">
        <f aca="false">IF($H1722="","",$R1722/5)</f>
        <v>0</v>
      </c>
    </row>
    <row r="1723" customFormat="false" ht="15" hidden="false" customHeight="false" outlineLevel="0" collapsed="false">
      <c r="A1723" s="31" t="s">
        <v>10204</v>
      </c>
      <c r="B1723" s="31" t="n">
        <v>87</v>
      </c>
      <c r="C1723" s="32" t="n">
        <f aca="false">SETTINGS!$C$3+$B1723-1</f>
        <v>46386</v>
      </c>
      <c r="D1723" s="41" t="s">
        <v>7168</v>
      </c>
      <c r="E1723" s="34" t="s">
        <v>10205</v>
      </c>
      <c r="F1723" s="34" t="s">
        <v>10206</v>
      </c>
      <c r="G1723" s="34" t="s">
        <v>10207</v>
      </c>
      <c r="H1723" s="35" t="s">
        <v>10208</v>
      </c>
      <c r="I1723" s="36" t="s">
        <v>10209</v>
      </c>
      <c r="J1723" s="34" t="s">
        <v>10210</v>
      </c>
      <c r="K1723" s="34" t="s">
        <v>10211</v>
      </c>
      <c r="L1723" s="37"/>
      <c r="M1723" s="37"/>
      <c r="N1723" s="37"/>
      <c r="O1723" s="37"/>
      <c r="P1723" s="37"/>
      <c r="Q1723" s="37"/>
      <c r="R1723" s="31" t="n">
        <f aca="false">COUNT($M1723:$Q1723)</f>
        <v>0</v>
      </c>
      <c r="S1723" s="32" t="str">
        <f aca="false">IF($L1723="","",IF($R1723&gt;=5,"",MAX($L1723:$Q1723)+CHOOSE($R1723+1,SETTINGS!$C$9,SETTINGS!$C$10,SETTINGS!$C$11,SETTINGS!$C$12,SETTINGS!$C$13)))</f>
        <v/>
      </c>
      <c r="T1723" s="34" t="str">
        <f aca="true">IF($H1723="","(chưa có nội dung)",IF($L1723="",IF($C1723&lt;TODAY(),"⚠ TRỄ HỌC",IF($C1723=TODAY(),"★ HỌC HÔM NAY","• Chưa tới")),IF($R1723&gt;=5,"✔ MASTER",IF($S1723&lt;TODAY(),"⚠ TRỄ ÔN",IF($S1723=TODAY(),"◆ ÔN HÔM NAY","✔ Đúng tiến độ")))))</f>
        <v>• Chưa tới</v>
      </c>
      <c r="U1723" s="38" t="n">
        <f aca="false">IF($H1723="","",$R1723/5)</f>
        <v>0</v>
      </c>
    </row>
    <row r="1724" customFormat="false" ht="15" hidden="false" customHeight="false" outlineLevel="0" collapsed="false">
      <c r="A1724" s="31" t="s">
        <v>10212</v>
      </c>
      <c r="B1724" s="31" t="n">
        <v>87</v>
      </c>
      <c r="C1724" s="32" t="n">
        <f aca="false">SETTINGS!$C$3+$B1724-1</f>
        <v>46386</v>
      </c>
      <c r="D1724" s="41" t="s">
        <v>7168</v>
      </c>
      <c r="E1724" s="34" t="s">
        <v>10205</v>
      </c>
      <c r="F1724" s="34" t="s">
        <v>10206</v>
      </c>
      <c r="G1724" s="34" t="s">
        <v>10213</v>
      </c>
      <c r="H1724" s="35" t="s">
        <v>10214</v>
      </c>
      <c r="I1724" s="36" t="s">
        <v>10215</v>
      </c>
      <c r="J1724" s="34" t="s">
        <v>10216</v>
      </c>
      <c r="K1724" s="34" t="s">
        <v>10217</v>
      </c>
      <c r="L1724" s="37"/>
      <c r="M1724" s="37"/>
      <c r="N1724" s="37"/>
      <c r="O1724" s="37"/>
      <c r="P1724" s="37"/>
      <c r="Q1724" s="37"/>
      <c r="R1724" s="31" t="n">
        <f aca="false">COUNT($M1724:$Q1724)</f>
        <v>0</v>
      </c>
      <c r="S1724" s="32" t="str">
        <f aca="false">IF($L1724="","",IF($R1724&gt;=5,"",MAX($L1724:$Q1724)+CHOOSE($R1724+1,SETTINGS!$C$9,SETTINGS!$C$10,SETTINGS!$C$11,SETTINGS!$C$12,SETTINGS!$C$13)))</f>
        <v/>
      </c>
      <c r="T1724" s="34" t="str">
        <f aca="true">IF($H1724="","(chưa có nội dung)",IF($L1724="",IF($C1724&lt;TODAY(),"⚠ TRỄ HỌC",IF($C1724=TODAY(),"★ HỌC HÔM NAY","• Chưa tới")),IF($R1724&gt;=5,"✔ MASTER",IF($S1724&lt;TODAY(),"⚠ TRỄ ÔN",IF($S1724=TODAY(),"◆ ÔN HÔM NAY","✔ Đúng tiến độ")))))</f>
        <v>• Chưa tới</v>
      </c>
      <c r="U1724" s="38" t="n">
        <f aca="false">IF($H1724="","",$R1724/5)</f>
        <v>0</v>
      </c>
    </row>
    <row r="1725" customFormat="false" ht="15" hidden="false" customHeight="false" outlineLevel="0" collapsed="false">
      <c r="A1725" s="31" t="s">
        <v>10218</v>
      </c>
      <c r="B1725" s="31" t="n">
        <v>87</v>
      </c>
      <c r="C1725" s="32" t="n">
        <f aca="false">SETTINGS!$C$3+$B1725-1</f>
        <v>46386</v>
      </c>
      <c r="D1725" s="41" t="s">
        <v>7168</v>
      </c>
      <c r="E1725" s="34" t="s">
        <v>10205</v>
      </c>
      <c r="F1725" s="34" t="s">
        <v>10206</v>
      </c>
      <c r="G1725" s="34" t="s">
        <v>10219</v>
      </c>
      <c r="H1725" s="35" t="s">
        <v>10220</v>
      </c>
      <c r="I1725" s="36" t="s">
        <v>10221</v>
      </c>
      <c r="J1725" s="34" t="s">
        <v>10222</v>
      </c>
      <c r="K1725" s="34" t="s">
        <v>10223</v>
      </c>
      <c r="L1725" s="37"/>
      <c r="M1725" s="37"/>
      <c r="N1725" s="37"/>
      <c r="O1725" s="37"/>
      <c r="P1725" s="37"/>
      <c r="Q1725" s="37"/>
      <c r="R1725" s="31" t="n">
        <f aca="false">COUNT($M1725:$Q1725)</f>
        <v>0</v>
      </c>
      <c r="S1725" s="32" t="str">
        <f aca="false">IF($L1725="","",IF($R1725&gt;=5,"",MAX($L1725:$Q1725)+CHOOSE($R1725+1,SETTINGS!$C$9,SETTINGS!$C$10,SETTINGS!$C$11,SETTINGS!$C$12,SETTINGS!$C$13)))</f>
        <v/>
      </c>
      <c r="T1725" s="34" t="str">
        <f aca="true">IF($H1725="","(chưa có nội dung)",IF($L1725="",IF($C1725&lt;TODAY(),"⚠ TRỄ HỌC",IF($C1725=TODAY(),"★ HỌC HÔM NAY","• Chưa tới")),IF($R1725&gt;=5,"✔ MASTER",IF($S1725&lt;TODAY(),"⚠ TRỄ ÔN",IF($S1725=TODAY(),"◆ ÔN HÔM NAY","✔ Đúng tiến độ")))))</f>
        <v>• Chưa tới</v>
      </c>
      <c r="U1725" s="38" t="n">
        <f aca="false">IF($H1725="","",$R1725/5)</f>
        <v>0</v>
      </c>
    </row>
    <row r="1726" customFormat="false" ht="15" hidden="false" customHeight="false" outlineLevel="0" collapsed="false">
      <c r="A1726" s="31" t="s">
        <v>10224</v>
      </c>
      <c r="B1726" s="31" t="n">
        <v>87</v>
      </c>
      <c r="C1726" s="32" t="n">
        <f aca="false">SETTINGS!$C$3+$B1726-1</f>
        <v>46386</v>
      </c>
      <c r="D1726" s="41" t="s">
        <v>7168</v>
      </c>
      <c r="E1726" s="34" t="s">
        <v>10205</v>
      </c>
      <c r="F1726" s="34" t="s">
        <v>10206</v>
      </c>
      <c r="G1726" s="34" t="s">
        <v>10225</v>
      </c>
      <c r="H1726" s="35" t="s">
        <v>10226</v>
      </c>
      <c r="I1726" s="36" t="s">
        <v>10227</v>
      </c>
      <c r="J1726" s="34" t="s">
        <v>10228</v>
      </c>
      <c r="K1726" s="34" t="s">
        <v>10229</v>
      </c>
      <c r="L1726" s="37"/>
      <c r="M1726" s="37"/>
      <c r="N1726" s="37"/>
      <c r="O1726" s="37"/>
      <c r="P1726" s="37"/>
      <c r="Q1726" s="37"/>
      <c r="R1726" s="31" t="n">
        <f aca="false">COUNT($M1726:$Q1726)</f>
        <v>0</v>
      </c>
      <c r="S1726" s="32" t="str">
        <f aca="false">IF($L1726="","",IF($R1726&gt;=5,"",MAX($L1726:$Q1726)+CHOOSE($R1726+1,SETTINGS!$C$9,SETTINGS!$C$10,SETTINGS!$C$11,SETTINGS!$C$12,SETTINGS!$C$13)))</f>
        <v/>
      </c>
      <c r="T1726" s="34" t="str">
        <f aca="true">IF($H1726="","(chưa có nội dung)",IF($L1726="",IF($C1726&lt;TODAY(),"⚠ TRỄ HỌC",IF($C1726=TODAY(),"★ HỌC HÔM NAY","• Chưa tới")),IF($R1726&gt;=5,"✔ MASTER",IF($S1726&lt;TODAY(),"⚠ TRỄ ÔN",IF($S1726=TODAY(),"◆ ÔN HÔM NAY","✔ Đúng tiến độ")))))</f>
        <v>• Chưa tới</v>
      </c>
      <c r="U1726" s="38" t="n">
        <f aca="false">IF($H1726="","",$R1726/5)</f>
        <v>0</v>
      </c>
    </row>
    <row r="1727" customFormat="false" ht="15" hidden="false" customHeight="false" outlineLevel="0" collapsed="false">
      <c r="A1727" s="31" t="s">
        <v>10230</v>
      </c>
      <c r="B1727" s="31" t="n">
        <v>87</v>
      </c>
      <c r="C1727" s="32" t="n">
        <f aca="false">SETTINGS!$C$3+$B1727-1</f>
        <v>46386</v>
      </c>
      <c r="D1727" s="41" t="s">
        <v>7168</v>
      </c>
      <c r="E1727" s="34" t="s">
        <v>10205</v>
      </c>
      <c r="F1727" s="34" t="s">
        <v>10206</v>
      </c>
      <c r="G1727" s="34" t="s">
        <v>10231</v>
      </c>
      <c r="H1727" s="35" t="s">
        <v>10232</v>
      </c>
      <c r="I1727" s="36" t="s">
        <v>10233</v>
      </c>
      <c r="J1727" s="34" t="s">
        <v>10234</v>
      </c>
      <c r="K1727" s="34" t="s">
        <v>10235</v>
      </c>
      <c r="L1727" s="37"/>
      <c r="M1727" s="37"/>
      <c r="N1727" s="37"/>
      <c r="O1727" s="37"/>
      <c r="P1727" s="37"/>
      <c r="Q1727" s="37"/>
      <c r="R1727" s="31" t="n">
        <f aca="false">COUNT($M1727:$Q1727)</f>
        <v>0</v>
      </c>
      <c r="S1727" s="32" t="str">
        <f aca="false">IF($L1727="","",IF($R1727&gt;=5,"",MAX($L1727:$Q1727)+CHOOSE($R1727+1,SETTINGS!$C$9,SETTINGS!$C$10,SETTINGS!$C$11,SETTINGS!$C$12,SETTINGS!$C$13)))</f>
        <v/>
      </c>
      <c r="T1727" s="34" t="str">
        <f aca="true">IF($H1727="","(chưa có nội dung)",IF($L1727="",IF($C1727&lt;TODAY(),"⚠ TRỄ HỌC",IF($C1727=TODAY(),"★ HỌC HÔM NAY","• Chưa tới")),IF($R1727&gt;=5,"✔ MASTER",IF($S1727&lt;TODAY(),"⚠ TRỄ ÔN",IF($S1727=TODAY(),"◆ ÔN HÔM NAY","✔ Đúng tiến độ")))))</f>
        <v>• Chưa tới</v>
      </c>
      <c r="U1727" s="38" t="n">
        <f aca="false">IF($H1727="","",$R1727/5)</f>
        <v>0</v>
      </c>
    </row>
    <row r="1728" customFormat="false" ht="15" hidden="false" customHeight="false" outlineLevel="0" collapsed="false">
      <c r="A1728" s="31" t="s">
        <v>10236</v>
      </c>
      <c r="B1728" s="31" t="n">
        <v>87</v>
      </c>
      <c r="C1728" s="32" t="n">
        <f aca="false">SETTINGS!$C$3+$B1728-1</f>
        <v>46386</v>
      </c>
      <c r="D1728" s="41" t="s">
        <v>7168</v>
      </c>
      <c r="E1728" s="34" t="s">
        <v>10205</v>
      </c>
      <c r="F1728" s="34" t="s">
        <v>10206</v>
      </c>
      <c r="G1728" s="34" t="s">
        <v>10237</v>
      </c>
      <c r="H1728" s="35" t="s">
        <v>10238</v>
      </c>
      <c r="I1728" s="36" t="s">
        <v>10239</v>
      </c>
      <c r="J1728" s="34" t="s">
        <v>10240</v>
      </c>
      <c r="K1728" s="34" t="s">
        <v>10241</v>
      </c>
      <c r="L1728" s="37"/>
      <c r="M1728" s="37"/>
      <c r="N1728" s="37"/>
      <c r="O1728" s="37"/>
      <c r="P1728" s="37"/>
      <c r="Q1728" s="37"/>
      <c r="R1728" s="31" t="n">
        <f aca="false">COUNT($M1728:$Q1728)</f>
        <v>0</v>
      </c>
      <c r="S1728" s="32" t="str">
        <f aca="false">IF($L1728="","",IF($R1728&gt;=5,"",MAX($L1728:$Q1728)+CHOOSE($R1728+1,SETTINGS!$C$9,SETTINGS!$C$10,SETTINGS!$C$11,SETTINGS!$C$12,SETTINGS!$C$13)))</f>
        <v/>
      </c>
      <c r="T1728" s="34" t="str">
        <f aca="true">IF($H1728="","(chưa có nội dung)",IF($L1728="",IF($C1728&lt;TODAY(),"⚠ TRỄ HỌC",IF($C1728=TODAY(),"★ HỌC HÔM NAY","• Chưa tới")),IF($R1728&gt;=5,"✔ MASTER",IF($S1728&lt;TODAY(),"⚠ TRỄ ÔN",IF($S1728=TODAY(),"◆ ÔN HÔM NAY","✔ Đúng tiến độ")))))</f>
        <v>• Chưa tới</v>
      </c>
      <c r="U1728" s="38" t="n">
        <f aca="false">IF($H1728="","",$R1728/5)</f>
        <v>0</v>
      </c>
    </row>
    <row r="1729" customFormat="false" ht="15" hidden="false" customHeight="false" outlineLevel="0" collapsed="false">
      <c r="A1729" s="31" t="s">
        <v>10242</v>
      </c>
      <c r="B1729" s="31" t="n">
        <v>87</v>
      </c>
      <c r="C1729" s="32" t="n">
        <f aca="false">SETTINGS!$C$3+$B1729-1</f>
        <v>46386</v>
      </c>
      <c r="D1729" s="41" t="s">
        <v>7168</v>
      </c>
      <c r="E1729" s="34" t="s">
        <v>10205</v>
      </c>
      <c r="F1729" s="34" t="s">
        <v>10206</v>
      </c>
      <c r="G1729" s="34" t="s">
        <v>10243</v>
      </c>
      <c r="H1729" s="35" t="s">
        <v>10244</v>
      </c>
      <c r="I1729" s="36" t="s">
        <v>10245</v>
      </c>
      <c r="J1729" s="34" t="s">
        <v>10246</v>
      </c>
      <c r="K1729" s="34" t="s">
        <v>10247</v>
      </c>
      <c r="L1729" s="37"/>
      <c r="M1729" s="37"/>
      <c r="N1729" s="37"/>
      <c r="O1729" s="37"/>
      <c r="P1729" s="37"/>
      <c r="Q1729" s="37"/>
      <c r="R1729" s="31" t="n">
        <f aca="false">COUNT($M1729:$Q1729)</f>
        <v>0</v>
      </c>
      <c r="S1729" s="32" t="str">
        <f aca="false">IF($L1729="","",IF($R1729&gt;=5,"",MAX($L1729:$Q1729)+CHOOSE($R1729+1,SETTINGS!$C$9,SETTINGS!$C$10,SETTINGS!$C$11,SETTINGS!$C$12,SETTINGS!$C$13)))</f>
        <v/>
      </c>
      <c r="T1729" s="34" t="str">
        <f aca="true">IF($H1729="","(chưa có nội dung)",IF($L1729="",IF($C1729&lt;TODAY(),"⚠ TRỄ HỌC",IF($C1729=TODAY(),"★ HỌC HÔM NAY","• Chưa tới")),IF($R1729&gt;=5,"✔ MASTER",IF($S1729&lt;TODAY(),"⚠ TRỄ ÔN",IF($S1729=TODAY(),"◆ ÔN HÔM NAY","✔ Đúng tiến độ")))))</f>
        <v>• Chưa tới</v>
      </c>
      <c r="U1729" s="38" t="n">
        <f aca="false">IF($H1729="","",$R1729/5)</f>
        <v>0</v>
      </c>
    </row>
    <row r="1730" customFormat="false" ht="15" hidden="false" customHeight="false" outlineLevel="0" collapsed="false">
      <c r="A1730" s="31" t="s">
        <v>10248</v>
      </c>
      <c r="B1730" s="31" t="n">
        <v>87</v>
      </c>
      <c r="C1730" s="32" t="n">
        <f aca="false">SETTINGS!$C$3+$B1730-1</f>
        <v>46386</v>
      </c>
      <c r="D1730" s="41" t="s">
        <v>7168</v>
      </c>
      <c r="E1730" s="34" t="s">
        <v>10205</v>
      </c>
      <c r="F1730" s="34" t="s">
        <v>10206</v>
      </c>
      <c r="G1730" s="34" t="s">
        <v>10249</v>
      </c>
      <c r="H1730" s="35" t="s">
        <v>10250</v>
      </c>
      <c r="I1730" s="36" t="s">
        <v>10251</v>
      </c>
      <c r="J1730" s="34" t="s">
        <v>10252</v>
      </c>
      <c r="K1730" s="34" t="s">
        <v>10253</v>
      </c>
      <c r="L1730" s="37"/>
      <c r="M1730" s="37"/>
      <c r="N1730" s="37"/>
      <c r="O1730" s="37"/>
      <c r="P1730" s="37"/>
      <c r="Q1730" s="37"/>
      <c r="R1730" s="31" t="n">
        <f aca="false">COUNT($M1730:$Q1730)</f>
        <v>0</v>
      </c>
      <c r="S1730" s="32" t="str">
        <f aca="false">IF($L1730="","",IF($R1730&gt;=5,"",MAX($L1730:$Q1730)+CHOOSE($R1730+1,SETTINGS!$C$9,SETTINGS!$C$10,SETTINGS!$C$11,SETTINGS!$C$12,SETTINGS!$C$13)))</f>
        <v/>
      </c>
      <c r="T1730" s="34" t="str">
        <f aca="true">IF($H1730="","(chưa có nội dung)",IF($L1730="",IF($C1730&lt;TODAY(),"⚠ TRỄ HỌC",IF($C1730=TODAY(),"★ HỌC HÔM NAY","• Chưa tới")),IF($R1730&gt;=5,"✔ MASTER",IF($S1730&lt;TODAY(),"⚠ TRỄ ÔN",IF($S1730=TODAY(),"◆ ÔN HÔM NAY","✔ Đúng tiến độ")))))</f>
        <v>• Chưa tới</v>
      </c>
      <c r="U1730" s="38" t="n">
        <f aca="false">IF($H1730="","",$R1730/5)</f>
        <v>0</v>
      </c>
    </row>
    <row r="1731" customFormat="false" ht="15" hidden="false" customHeight="false" outlineLevel="0" collapsed="false">
      <c r="A1731" s="31" t="s">
        <v>10254</v>
      </c>
      <c r="B1731" s="31" t="n">
        <v>87</v>
      </c>
      <c r="C1731" s="32" t="n">
        <f aca="false">SETTINGS!$C$3+$B1731-1</f>
        <v>46386</v>
      </c>
      <c r="D1731" s="41" t="s">
        <v>7168</v>
      </c>
      <c r="E1731" s="34" t="s">
        <v>10205</v>
      </c>
      <c r="F1731" s="34" t="s">
        <v>10206</v>
      </c>
      <c r="G1731" s="34" t="s">
        <v>10255</v>
      </c>
      <c r="H1731" s="35" t="s">
        <v>10256</v>
      </c>
      <c r="I1731" s="36" t="s">
        <v>10257</v>
      </c>
      <c r="J1731" s="34" t="s">
        <v>10258</v>
      </c>
      <c r="K1731" s="34" t="s">
        <v>10259</v>
      </c>
      <c r="L1731" s="37"/>
      <c r="M1731" s="37"/>
      <c r="N1731" s="37"/>
      <c r="O1731" s="37"/>
      <c r="P1731" s="37"/>
      <c r="Q1731" s="37"/>
      <c r="R1731" s="31" t="n">
        <f aca="false">COUNT($M1731:$Q1731)</f>
        <v>0</v>
      </c>
      <c r="S1731" s="32" t="str">
        <f aca="false">IF($L1731="","",IF($R1731&gt;=5,"",MAX($L1731:$Q1731)+CHOOSE($R1731+1,SETTINGS!$C$9,SETTINGS!$C$10,SETTINGS!$C$11,SETTINGS!$C$12,SETTINGS!$C$13)))</f>
        <v/>
      </c>
      <c r="T1731" s="34" t="str">
        <f aca="true">IF($H1731="","(chưa có nội dung)",IF($L1731="",IF($C1731&lt;TODAY(),"⚠ TRỄ HỌC",IF($C1731=TODAY(),"★ HỌC HÔM NAY","• Chưa tới")),IF($R1731&gt;=5,"✔ MASTER",IF($S1731&lt;TODAY(),"⚠ TRỄ ÔN",IF($S1731=TODAY(),"◆ ÔN HÔM NAY","✔ Đúng tiến độ")))))</f>
        <v>• Chưa tới</v>
      </c>
      <c r="U1731" s="38" t="n">
        <f aca="false">IF($H1731="","",$R1731/5)</f>
        <v>0</v>
      </c>
    </row>
    <row r="1732" customFormat="false" ht="15" hidden="false" customHeight="false" outlineLevel="0" collapsed="false">
      <c r="A1732" s="31" t="s">
        <v>10260</v>
      </c>
      <c r="B1732" s="31" t="n">
        <v>87</v>
      </c>
      <c r="C1732" s="32" t="n">
        <f aca="false">SETTINGS!$C$3+$B1732-1</f>
        <v>46386</v>
      </c>
      <c r="D1732" s="41" t="s">
        <v>7168</v>
      </c>
      <c r="E1732" s="34" t="s">
        <v>10205</v>
      </c>
      <c r="F1732" s="34" t="s">
        <v>10206</v>
      </c>
      <c r="G1732" s="34" t="s">
        <v>10261</v>
      </c>
      <c r="H1732" s="35" t="s">
        <v>10262</v>
      </c>
      <c r="I1732" s="36" t="s">
        <v>10263</v>
      </c>
      <c r="J1732" s="34" t="s">
        <v>10264</v>
      </c>
      <c r="K1732" s="34" t="s">
        <v>10265</v>
      </c>
      <c r="L1732" s="37"/>
      <c r="M1732" s="37"/>
      <c r="N1732" s="37"/>
      <c r="O1732" s="37"/>
      <c r="P1732" s="37"/>
      <c r="Q1732" s="37"/>
      <c r="R1732" s="31" t="n">
        <f aca="false">COUNT($M1732:$Q1732)</f>
        <v>0</v>
      </c>
      <c r="S1732" s="32" t="str">
        <f aca="false">IF($L1732="","",IF($R1732&gt;=5,"",MAX($L1732:$Q1732)+CHOOSE($R1732+1,SETTINGS!$C$9,SETTINGS!$C$10,SETTINGS!$C$11,SETTINGS!$C$12,SETTINGS!$C$13)))</f>
        <v/>
      </c>
      <c r="T1732" s="34" t="str">
        <f aca="true">IF($H1732="","(chưa có nội dung)",IF($L1732="",IF($C1732&lt;TODAY(),"⚠ TRỄ HỌC",IF($C1732=TODAY(),"★ HỌC HÔM NAY","• Chưa tới")),IF($R1732&gt;=5,"✔ MASTER",IF($S1732&lt;TODAY(),"⚠ TRỄ ÔN",IF($S1732=TODAY(),"◆ ÔN HÔM NAY","✔ Đúng tiến độ")))))</f>
        <v>• Chưa tới</v>
      </c>
      <c r="U1732" s="38" t="n">
        <f aca="false">IF($H1732="","",$R1732/5)</f>
        <v>0</v>
      </c>
    </row>
    <row r="1733" customFormat="false" ht="15" hidden="false" customHeight="false" outlineLevel="0" collapsed="false">
      <c r="A1733" s="31" t="s">
        <v>10266</v>
      </c>
      <c r="B1733" s="31" t="n">
        <v>87</v>
      </c>
      <c r="C1733" s="32" t="n">
        <f aca="false">SETTINGS!$C$3+$B1733-1</f>
        <v>46386</v>
      </c>
      <c r="D1733" s="41" t="s">
        <v>7168</v>
      </c>
      <c r="E1733" s="34" t="s">
        <v>10205</v>
      </c>
      <c r="F1733" s="34" t="s">
        <v>10206</v>
      </c>
      <c r="G1733" s="34" t="s">
        <v>10267</v>
      </c>
      <c r="H1733" s="35" t="s">
        <v>10268</v>
      </c>
      <c r="I1733" s="36" t="s">
        <v>10269</v>
      </c>
      <c r="J1733" s="34" t="s">
        <v>10270</v>
      </c>
      <c r="K1733" s="34" t="s">
        <v>10271</v>
      </c>
      <c r="L1733" s="37"/>
      <c r="M1733" s="37"/>
      <c r="N1733" s="37"/>
      <c r="O1733" s="37"/>
      <c r="P1733" s="37"/>
      <c r="Q1733" s="37"/>
      <c r="R1733" s="31" t="n">
        <f aca="false">COUNT($M1733:$Q1733)</f>
        <v>0</v>
      </c>
      <c r="S1733" s="32" t="str">
        <f aca="false">IF($L1733="","",IF($R1733&gt;=5,"",MAX($L1733:$Q1733)+CHOOSE($R1733+1,SETTINGS!$C$9,SETTINGS!$C$10,SETTINGS!$C$11,SETTINGS!$C$12,SETTINGS!$C$13)))</f>
        <v/>
      </c>
      <c r="T1733" s="34" t="str">
        <f aca="true">IF($H1733="","(chưa có nội dung)",IF($L1733="",IF($C1733&lt;TODAY(),"⚠ TRỄ HỌC",IF($C1733=TODAY(),"★ HỌC HÔM NAY","• Chưa tới")),IF($R1733&gt;=5,"✔ MASTER",IF($S1733&lt;TODAY(),"⚠ TRỄ ÔN",IF($S1733=TODAY(),"◆ ÔN HÔM NAY","✔ Đúng tiến độ")))))</f>
        <v>• Chưa tới</v>
      </c>
      <c r="U1733" s="38" t="n">
        <f aca="false">IF($H1733="","",$R1733/5)</f>
        <v>0</v>
      </c>
    </row>
    <row r="1734" customFormat="false" ht="15" hidden="false" customHeight="false" outlineLevel="0" collapsed="false">
      <c r="A1734" s="31" t="s">
        <v>10272</v>
      </c>
      <c r="B1734" s="31" t="n">
        <v>87</v>
      </c>
      <c r="C1734" s="32" t="n">
        <f aca="false">SETTINGS!$C$3+$B1734-1</f>
        <v>46386</v>
      </c>
      <c r="D1734" s="41" t="s">
        <v>7168</v>
      </c>
      <c r="E1734" s="34" t="s">
        <v>10205</v>
      </c>
      <c r="F1734" s="34" t="s">
        <v>10206</v>
      </c>
      <c r="G1734" s="34" t="s">
        <v>10273</v>
      </c>
      <c r="H1734" s="35" t="s">
        <v>10274</v>
      </c>
      <c r="I1734" s="36" t="s">
        <v>10275</v>
      </c>
      <c r="J1734" s="34" t="s">
        <v>10276</v>
      </c>
      <c r="K1734" s="34" t="s">
        <v>10277</v>
      </c>
      <c r="L1734" s="37"/>
      <c r="M1734" s="37"/>
      <c r="N1734" s="37"/>
      <c r="O1734" s="37"/>
      <c r="P1734" s="37"/>
      <c r="Q1734" s="37"/>
      <c r="R1734" s="31" t="n">
        <f aca="false">COUNT($M1734:$Q1734)</f>
        <v>0</v>
      </c>
      <c r="S1734" s="32" t="str">
        <f aca="false">IF($L1734="","",IF($R1734&gt;=5,"",MAX($L1734:$Q1734)+CHOOSE($R1734+1,SETTINGS!$C$9,SETTINGS!$C$10,SETTINGS!$C$11,SETTINGS!$C$12,SETTINGS!$C$13)))</f>
        <v/>
      </c>
      <c r="T1734" s="34" t="str">
        <f aca="true">IF($H1734="","(chưa có nội dung)",IF($L1734="",IF($C1734&lt;TODAY(),"⚠ TRỄ HỌC",IF($C1734=TODAY(),"★ HỌC HÔM NAY","• Chưa tới")),IF($R1734&gt;=5,"✔ MASTER",IF($S1734&lt;TODAY(),"⚠ TRỄ ÔN",IF($S1734=TODAY(),"◆ ÔN HÔM NAY","✔ Đúng tiến độ")))))</f>
        <v>• Chưa tới</v>
      </c>
      <c r="U1734" s="38" t="n">
        <f aca="false">IF($H1734="","",$R1734/5)</f>
        <v>0</v>
      </c>
    </row>
    <row r="1735" customFormat="false" ht="15" hidden="false" customHeight="false" outlineLevel="0" collapsed="false">
      <c r="A1735" s="31" t="s">
        <v>10278</v>
      </c>
      <c r="B1735" s="31" t="n">
        <v>87</v>
      </c>
      <c r="C1735" s="32" t="n">
        <f aca="false">SETTINGS!$C$3+$B1735-1</f>
        <v>46386</v>
      </c>
      <c r="D1735" s="41" t="s">
        <v>7168</v>
      </c>
      <c r="E1735" s="34" t="s">
        <v>10205</v>
      </c>
      <c r="F1735" s="34" t="s">
        <v>10206</v>
      </c>
      <c r="G1735" s="34" t="s">
        <v>10279</v>
      </c>
      <c r="H1735" s="35" t="s">
        <v>10280</v>
      </c>
      <c r="I1735" s="36" t="s">
        <v>10281</v>
      </c>
      <c r="J1735" s="34" t="s">
        <v>10282</v>
      </c>
      <c r="K1735" s="34" t="s">
        <v>10283</v>
      </c>
      <c r="L1735" s="37"/>
      <c r="M1735" s="37"/>
      <c r="N1735" s="37"/>
      <c r="O1735" s="37"/>
      <c r="P1735" s="37"/>
      <c r="Q1735" s="37"/>
      <c r="R1735" s="31" t="n">
        <f aca="false">COUNT($M1735:$Q1735)</f>
        <v>0</v>
      </c>
      <c r="S1735" s="32" t="str">
        <f aca="false">IF($L1735="","",IF($R1735&gt;=5,"",MAX($L1735:$Q1735)+CHOOSE($R1735+1,SETTINGS!$C$9,SETTINGS!$C$10,SETTINGS!$C$11,SETTINGS!$C$12,SETTINGS!$C$13)))</f>
        <v/>
      </c>
      <c r="T1735" s="34" t="str">
        <f aca="true">IF($H1735="","(chưa có nội dung)",IF($L1735="",IF($C1735&lt;TODAY(),"⚠ TRỄ HỌC",IF($C1735=TODAY(),"★ HỌC HÔM NAY","• Chưa tới")),IF($R1735&gt;=5,"✔ MASTER",IF($S1735&lt;TODAY(),"⚠ TRỄ ÔN",IF($S1735=TODAY(),"◆ ÔN HÔM NAY","✔ Đúng tiến độ")))))</f>
        <v>• Chưa tới</v>
      </c>
      <c r="U1735" s="38" t="n">
        <f aca="false">IF($H1735="","",$R1735/5)</f>
        <v>0</v>
      </c>
    </row>
    <row r="1736" customFormat="false" ht="15" hidden="false" customHeight="false" outlineLevel="0" collapsed="false">
      <c r="A1736" s="31" t="s">
        <v>10284</v>
      </c>
      <c r="B1736" s="31" t="n">
        <v>87</v>
      </c>
      <c r="C1736" s="32" t="n">
        <f aca="false">SETTINGS!$C$3+$B1736-1</f>
        <v>46386</v>
      </c>
      <c r="D1736" s="41" t="s">
        <v>7168</v>
      </c>
      <c r="E1736" s="34" t="s">
        <v>10205</v>
      </c>
      <c r="F1736" s="34" t="s">
        <v>10206</v>
      </c>
      <c r="G1736" s="34" t="s">
        <v>10231</v>
      </c>
      <c r="H1736" s="35" t="s">
        <v>10285</v>
      </c>
      <c r="I1736" s="36" t="s">
        <v>10286</v>
      </c>
      <c r="J1736" s="34" t="s">
        <v>10287</v>
      </c>
      <c r="K1736" s="34" t="s">
        <v>10288</v>
      </c>
      <c r="L1736" s="37"/>
      <c r="M1736" s="37"/>
      <c r="N1736" s="37"/>
      <c r="O1736" s="37"/>
      <c r="P1736" s="37"/>
      <c r="Q1736" s="37"/>
      <c r="R1736" s="31" t="n">
        <f aca="false">COUNT($M1736:$Q1736)</f>
        <v>0</v>
      </c>
      <c r="S1736" s="32" t="str">
        <f aca="false">IF($L1736="","",IF($R1736&gt;=5,"",MAX($L1736:$Q1736)+CHOOSE($R1736+1,SETTINGS!$C$9,SETTINGS!$C$10,SETTINGS!$C$11,SETTINGS!$C$12,SETTINGS!$C$13)))</f>
        <v/>
      </c>
      <c r="T1736" s="34" t="str">
        <f aca="true">IF($H1736="","(chưa có nội dung)",IF($L1736="",IF($C1736&lt;TODAY(),"⚠ TRỄ HỌC",IF($C1736=TODAY(),"★ HỌC HÔM NAY","• Chưa tới")),IF($R1736&gt;=5,"✔ MASTER",IF($S1736&lt;TODAY(),"⚠ TRỄ ÔN",IF($S1736=TODAY(),"◆ ÔN HÔM NAY","✔ Đúng tiến độ")))))</f>
        <v>• Chưa tới</v>
      </c>
      <c r="U1736" s="38" t="n">
        <f aca="false">IF($H1736="","",$R1736/5)</f>
        <v>0</v>
      </c>
    </row>
    <row r="1737" customFormat="false" ht="15" hidden="false" customHeight="false" outlineLevel="0" collapsed="false">
      <c r="A1737" s="31" t="s">
        <v>10289</v>
      </c>
      <c r="B1737" s="31" t="n">
        <v>87</v>
      </c>
      <c r="C1737" s="32" t="n">
        <f aca="false">SETTINGS!$C$3+$B1737-1</f>
        <v>46386</v>
      </c>
      <c r="D1737" s="41" t="s">
        <v>7168</v>
      </c>
      <c r="E1737" s="34" t="s">
        <v>10205</v>
      </c>
      <c r="F1737" s="34" t="s">
        <v>10206</v>
      </c>
      <c r="G1737" s="34" t="s">
        <v>10290</v>
      </c>
      <c r="H1737" s="35" t="s">
        <v>10291</v>
      </c>
      <c r="I1737" s="36" t="s">
        <v>10292</v>
      </c>
      <c r="J1737" s="34" t="s">
        <v>10293</v>
      </c>
      <c r="K1737" s="34" t="s">
        <v>10294</v>
      </c>
      <c r="L1737" s="37"/>
      <c r="M1737" s="37"/>
      <c r="N1737" s="37"/>
      <c r="O1737" s="37"/>
      <c r="P1737" s="37"/>
      <c r="Q1737" s="37"/>
      <c r="R1737" s="31" t="n">
        <f aca="false">COUNT($M1737:$Q1737)</f>
        <v>0</v>
      </c>
      <c r="S1737" s="32" t="str">
        <f aca="false">IF($L1737="","",IF($R1737&gt;=5,"",MAX($L1737:$Q1737)+CHOOSE($R1737+1,SETTINGS!$C$9,SETTINGS!$C$10,SETTINGS!$C$11,SETTINGS!$C$12,SETTINGS!$C$13)))</f>
        <v/>
      </c>
      <c r="T1737" s="34" t="str">
        <f aca="true">IF($H1737="","(chưa có nội dung)",IF($L1737="",IF($C1737&lt;TODAY(),"⚠ TRỄ HỌC",IF($C1737=TODAY(),"★ HỌC HÔM NAY","• Chưa tới")),IF($R1737&gt;=5,"✔ MASTER",IF($S1737&lt;TODAY(),"⚠ TRỄ ÔN",IF($S1737=TODAY(),"◆ ÔN HÔM NAY","✔ Đúng tiến độ")))))</f>
        <v>• Chưa tới</v>
      </c>
      <c r="U1737" s="38" t="n">
        <f aca="false">IF($H1737="","",$R1737/5)</f>
        <v>0</v>
      </c>
    </row>
    <row r="1738" customFormat="false" ht="15" hidden="false" customHeight="false" outlineLevel="0" collapsed="false">
      <c r="A1738" s="31" t="s">
        <v>10295</v>
      </c>
      <c r="B1738" s="31" t="n">
        <v>87</v>
      </c>
      <c r="C1738" s="32" t="n">
        <f aca="false">SETTINGS!$C$3+$B1738-1</f>
        <v>46386</v>
      </c>
      <c r="D1738" s="41" t="s">
        <v>7168</v>
      </c>
      <c r="E1738" s="34" t="s">
        <v>10205</v>
      </c>
      <c r="F1738" s="34" t="s">
        <v>10206</v>
      </c>
      <c r="G1738" s="34" t="s">
        <v>10296</v>
      </c>
      <c r="H1738" s="35" t="s">
        <v>10297</v>
      </c>
      <c r="I1738" s="36" t="s">
        <v>10298</v>
      </c>
      <c r="J1738" s="34" t="s">
        <v>10299</v>
      </c>
      <c r="K1738" s="34" t="s">
        <v>10300</v>
      </c>
      <c r="L1738" s="37"/>
      <c r="M1738" s="37"/>
      <c r="N1738" s="37"/>
      <c r="O1738" s="37"/>
      <c r="P1738" s="37"/>
      <c r="Q1738" s="37"/>
      <c r="R1738" s="31" t="n">
        <f aca="false">COUNT($M1738:$Q1738)</f>
        <v>0</v>
      </c>
      <c r="S1738" s="32" t="str">
        <f aca="false">IF($L1738="","",IF($R1738&gt;=5,"",MAX($L1738:$Q1738)+CHOOSE($R1738+1,SETTINGS!$C$9,SETTINGS!$C$10,SETTINGS!$C$11,SETTINGS!$C$12,SETTINGS!$C$13)))</f>
        <v/>
      </c>
      <c r="T1738" s="34" t="str">
        <f aca="true">IF($H1738="","(chưa có nội dung)",IF($L1738="",IF($C1738&lt;TODAY(),"⚠ TRỄ HỌC",IF($C1738=TODAY(),"★ HỌC HÔM NAY","• Chưa tới")),IF($R1738&gt;=5,"✔ MASTER",IF($S1738&lt;TODAY(),"⚠ TRỄ ÔN",IF($S1738=TODAY(),"◆ ÔN HÔM NAY","✔ Đúng tiến độ")))))</f>
        <v>• Chưa tới</v>
      </c>
      <c r="U1738" s="38" t="n">
        <f aca="false">IF($H1738="","",$R1738/5)</f>
        <v>0</v>
      </c>
    </row>
    <row r="1739" customFormat="false" ht="15" hidden="false" customHeight="false" outlineLevel="0" collapsed="false">
      <c r="A1739" s="31" t="s">
        <v>10301</v>
      </c>
      <c r="B1739" s="31" t="n">
        <v>87</v>
      </c>
      <c r="C1739" s="32" t="n">
        <f aca="false">SETTINGS!$C$3+$B1739-1</f>
        <v>46386</v>
      </c>
      <c r="D1739" s="41" t="s">
        <v>7168</v>
      </c>
      <c r="E1739" s="34" t="s">
        <v>10205</v>
      </c>
      <c r="F1739" s="34" t="s">
        <v>10206</v>
      </c>
      <c r="G1739" s="34" t="s">
        <v>10302</v>
      </c>
      <c r="H1739" s="35" t="s">
        <v>10303</v>
      </c>
      <c r="I1739" s="36" t="s">
        <v>10304</v>
      </c>
      <c r="J1739" s="34" t="s">
        <v>10305</v>
      </c>
      <c r="K1739" s="34" t="s">
        <v>10306</v>
      </c>
      <c r="L1739" s="37"/>
      <c r="M1739" s="37"/>
      <c r="N1739" s="37"/>
      <c r="O1739" s="37"/>
      <c r="P1739" s="37"/>
      <c r="Q1739" s="37"/>
      <c r="R1739" s="31" t="n">
        <f aca="false">COUNT($M1739:$Q1739)</f>
        <v>0</v>
      </c>
      <c r="S1739" s="32" t="str">
        <f aca="false">IF($L1739="","",IF($R1739&gt;=5,"",MAX($L1739:$Q1739)+CHOOSE($R1739+1,SETTINGS!$C$9,SETTINGS!$C$10,SETTINGS!$C$11,SETTINGS!$C$12,SETTINGS!$C$13)))</f>
        <v/>
      </c>
      <c r="T1739" s="34" t="str">
        <f aca="true">IF($H1739="","(chưa có nội dung)",IF($L1739="",IF($C1739&lt;TODAY(),"⚠ TRỄ HỌC",IF($C1739=TODAY(),"★ HỌC HÔM NAY","• Chưa tới")),IF($R1739&gt;=5,"✔ MASTER",IF($S1739&lt;TODAY(),"⚠ TRỄ ÔN",IF($S1739=TODAY(),"◆ ÔN HÔM NAY","✔ Đúng tiến độ")))))</f>
        <v>• Chưa tới</v>
      </c>
      <c r="U1739" s="38" t="n">
        <f aca="false">IF($H1739="","",$R1739/5)</f>
        <v>0</v>
      </c>
    </row>
    <row r="1740" customFormat="false" ht="15" hidden="false" customHeight="false" outlineLevel="0" collapsed="false">
      <c r="A1740" s="31" t="s">
        <v>10307</v>
      </c>
      <c r="B1740" s="31" t="n">
        <v>87</v>
      </c>
      <c r="C1740" s="32" t="n">
        <f aca="false">SETTINGS!$C$3+$B1740-1</f>
        <v>46386</v>
      </c>
      <c r="D1740" s="41" t="s">
        <v>7168</v>
      </c>
      <c r="E1740" s="34" t="s">
        <v>10205</v>
      </c>
      <c r="F1740" s="34" t="s">
        <v>10206</v>
      </c>
      <c r="G1740" s="34" t="s">
        <v>10308</v>
      </c>
      <c r="H1740" s="35" t="s">
        <v>10309</v>
      </c>
      <c r="I1740" s="36" t="s">
        <v>10310</v>
      </c>
      <c r="J1740" s="34" t="s">
        <v>10311</v>
      </c>
      <c r="K1740" s="34" t="s">
        <v>10312</v>
      </c>
      <c r="L1740" s="37"/>
      <c r="M1740" s="37"/>
      <c r="N1740" s="37"/>
      <c r="O1740" s="37"/>
      <c r="P1740" s="37"/>
      <c r="Q1740" s="37"/>
      <c r="R1740" s="31" t="n">
        <f aca="false">COUNT($M1740:$Q1740)</f>
        <v>0</v>
      </c>
      <c r="S1740" s="32" t="str">
        <f aca="false">IF($L1740="","",IF($R1740&gt;=5,"",MAX($L1740:$Q1740)+CHOOSE($R1740+1,SETTINGS!$C$9,SETTINGS!$C$10,SETTINGS!$C$11,SETTINGS!$C$12,SETTINGS!$C$13)))</f>
        <v/>
      </c>
      <c r="T1740" s="34" t="str">
        <f aca="true">IF($H1740="","(chưa có nội dung)",IF($L1740="",IF($C1740&lt;TODAY(),"⚠ TRỄ HỌC",IF($C1740=TODAY(),"★ HỌC HÔM NAY","• Chưa tới")),IF($R1740&gt;=5,"✔ MASTER",IF($S1740&lt;TODAY(),"⚠ TRỄ ÔN",IF($S1740=TODAY(),"◆ ÔN HÔM NAY","✔ Đúng tiến độ")))))</f>
        <v>• Chưa tới</v>
      </c>
      <c r="U1740" s="38" t="n">
        <f aca="false">IF($H1740="","",$R1740/5)</f>
        <v>0</v>
      </c>
    </row>
    <row r="1741" customFormat="false" ht="15" hidden="false" customHeight="false" outlineLevel="0" collapsed="false">
      <c r="A1741" s="31" t="s">
        <v>10313</v>
      </c>
      <c r="B1741" s="31" t="n">
        <v>87</v>
      </c>
      <c r="C1741" s="32" t="n">
        <f aca="false">SETTINGS!$C$3+$B1741-1</f>
        <v>46386</v>
      </c>
      <c r="D1741" s="41" t="s">
        <v>7168</v>
      </c>
      <c r="E1741" s="34" t="s">
        <v>10205</v>
      </c>
      <c r="F1741" s="34" t="s">
        <v>10206</v>
      </c>
      <c r="G1741" s="34" t="s">
        <v>10273</v>
      </c>
      <c r="H1741" s="35" t="s">
        <v>10314</v>
      </c>
      <c r="I1741" s="36" t="s">
        <v>10315</v>
      </c>
      <c r="J1741" s="34" t="s">
        <v>10316</v>
      </c>
      <c r="K1741" s="34" t="s">
        <v>5389</v>
      </c>
      <c r="L1741" s="37"/>
      <c r="M1741" s="37"/>
      <c r="N1741" s="37"/>
      <c r="O1741" s="37"/>
      <c r="P1741" s="37"/>
      <c r="Q1741" s="37"/>
      <c r="R1741" s="31" t="n">
        <f aca="false">COUNT($M1741:$Q1741)</f>
        <v>0</v>
      </c>
      <c r="S1741" s="32" t="str">
        <f aca="false">IF($L1741="","",IF($R1741&gt;=5,"",MAX($L1741:$Q1741)+CHOOSE($R1741+1,SETTINGS!$C$9,SETTINGS!$C$10,SETTINGS!$C$11,SETTINGS!$C$12,SETTINGS!$C$13)))</f>
        <v/>
      </c>
      <c r="T1741" s="34" t="str">
        <f aca="true">IF($H1741="","(chưa có nội dung)",IF($L1741="",IF($C1741&lt;TODAY(),"⚠ TRỄ HỌC",IF($C1741=TODAY(),"★ HỌC HÔM NAY","• Chưa tới")),IF($R1741&gt;=5,"✔ MASTER",IF($S1741&lt;TODAY(),"⚠ TRỄ ÔN",IF($S1741=TODAY(),"◆ ÔN HÔM NAY","✔ Đúng tiến độ")))))</f>
        <v>• Chưa tới</v>
      </c>
      <c r="U1741" s="38" t="n">
        <f aca="false">IF($H1741="","",$R1741/5)</f>
        <v>0</v>
      </c>
    </row>
    <row r="1742" customFormat="false" ht="15" hidden="false" customHeight="false" outlineLevel="0" collapsed="false">
      <c r="A1742" s="31" t="s">
        <v>10317</v>
      </c>
      <c r="B1742" s="31" t="n">
        <v>87</v>
      </c>
      <c r="C1742" s="32" t="n">
        <f aca="false">SETTINGS!$C$3+$B1742-1</f>
        <v>46386</v>
      </c>
      <c r="D1742" s="41" t="s">
        <v>7168</v>
      </c>
      <c r="E1742" s="34" t="s">
        <v>10205</v>
      </c>
      <c r="F1742" s="34" t="s">
        <v>10206</v>
      </c>
      <c r="G1742" s="34" t="s">
        <v>10318</v>
      </c>
      <c r="H1742" s="35" t="s">
        <v>10319</v>
      </c>
      <c r="I1742" s="36" t="s">
        <v>10320</v>
      </c>
      <c r="J1742" s="34" t="s">
        <v>10321</v>
      </c>
      <c r="K1742" s="34" t="s">
        <v>10322</v>
      </c>
      <c r="L1742" s="37"/>
      <c r="M1742" s="37"/>
      <c r="N1742" s="37"/>
      <c r="O1742" s="37"/>
      <c r="P1742" s="37"/>
      <c r="Q1742" s="37"/>
      <c r="R1742" s="31" t="n">
        <f aca="false">COUNT($M1742:$Q1742)</f>
        <v>0</v>
      </c>
      <c r="S1742" s="32" t="str">
        <f aca="false">IF($L1742="","",IF($R1742&gt;=5,"",MAX($L1742:$Q1742)+CHOOSE($R1742+1,SETTINGS!$C$9,SETTINGS!$C$10,SETTINGS!$C$11,SETTINGS!$C$12,SETTINGS!$C$13)))</f>
        <v/>
      </c>
      <c r="T1742" s="34" t="str">
        <f aca="true">IF($H1742="","(chưa có nội dung)",IF($L1742="",IF($C1742&lt;TODAY(),"⚠ TRỄ HỌC",IF($C1742=TODAY(),"★ HỌC HÔM NAY","• Chưa tới")),IF($R1742&gt;=5,"✔ MASTER",IF($S1742&lt;TODAY(),"⚠ TRỄ ÔN",IF($S1742=TODAY(),"◆ ÔN HÔM NAY","✔ Đúng tiến độ")))))</f>
        <v>• Chưa tới</v>
      </c>
      <c r="U1742" s="38" t="n">
        <f aca="false">IF($H1742="","",$R1742/5)</f>
        <v>0</v>
      </c>
    </row>
    <row r="1743" customFormat="false" ht="15" hidden="false" customHeight="false" outlineLevel="0" collapsed="false">
      <c r="A1743" s="31" t="s">
        <v>10323</v>
      </c>
      <c r="B1743" s="31" t="n">
        <v>88</v>
      </c>
      <c r="C1743" s="32" t="n">
        <f aca="false">SETTINGS!$C$3+$B1743-1</f>
        <v>46387</v>
      </c>
      <c r="D1743" s="41" t="s">
        <v>7168</v>
      </c>
      <c r="E1743" s="34" t="s">
        <v>10324</v>
      </c>
      <c r="F1743" s="34" t="s">
        <v>10325</v>
      </c>
      <c r="G1743" s="34" t="s">
        <v>10326</v>
      </c>
      <c r="H1743" s="35" t="s">
        <v>10327</v>
      </c>
      <c r="I1743" s="36" t="s">
        <v>10328</v>
      </c>
      <c r="J1743" s="34" t="s">
        <v>10329</v>
      </c>
      <c r="K1743" s="34" t="s">
        <v>10330</v>
      </c>
      <c r="L1743" s="37"/>
      <c r="M1743" s="37"/>
      <c r="N1743" s="37"/>
      <c r="O1743" s="37"/>
      <c r="P1743" s="37"/>
      <c r="Q1743" s="37"/>
      <c r="R1743" s="31" t="n">
        <f aca="false">COUNT($M1743:$Q1743)</f>
        <v>0</v>
      </c>
      <c r="S1743" s="32" t="str">
        <f aca="false">IF($L1743="","",IF($R1743&gt;=5,"",MAX($L1743:$Q1743)+CHOOSE($R1743+1,SETTINGS!$C$9,SETTINGS!$C$10,SETTINGS!$C$11,SETTINGS!$C$12,SETTINGS!$C$13)))</f>
        <v/>
      </c>
      <c r="T1743" s="34" t="str">
        <f aca="true">IF($H1743="","(chưa có nội dung)",IF($L1743="",IF($C1743&lt;TODAY(),"⚠ TRỄ HỌC",IF($C1743=TODAY(),"★ HỌC HÔM NAY","• Chưa tới")),IF($R1743&gt;=5,"✔ MASTER",IF($S1743&lt;TODAY(),"⚠ TRỄ ÔN",IF($S1743=TODAY(),"◆ ÔN HÔM NAY","✔ Đúng tiến độ")))))</f>
        <v>• Chưa tới</v>
      </c>
      <c r="U1743" s="38" t="n">
        <f aca="false">IF($H1743="","",$R1743/5)</f>
        <v>0</v>
      </c>
    </row>
    <row r="1744" customFormat="false" ht="15" hidden="false" customHeight="false" outlineLevel="0" collapsed="false">
      <c r="A1744" s="31" t="s">
        <v>10331</v>
      </c>
      <c r="B1744" s="31" t="n">
        <v>88</v>
      </c>
      <c r="C1744" s="32" t="n">
        <f aca="false">SETTINGS!$C$3+$B1744-1</f>
        <v>46387</v>
      </c>
      <c r="D1744" s="41" t="s">
        <v>7168</v>
      </c>
      <c r="E1744" s="34" t="s">
        <v>10324</v>
      </c>
      <c r="F1744" s="34" t="s">
        <v>10325</v>
      </c>
      <c r="G1744" s="34" t="s">
        <v>10332</v>
      </c>
      <c r="H1744" s="35" t="s">
        <v>10333</v>
      </c>
      <c r="I1744" s="36" t="s">
        <v>10334</v>
      </c>
      <c r="J1744" s="34" t="s">
        <v>10335</v>
      </c>
      <c r="K1744" s="34" t="s">
        <v>10336</v>
      </c>
      <c r="L1744" s="37"/>
      <c r="M1744" s="37"/>
      <c r="N1744" s="37"/>
      <c r="O1744" s="37"/>
      <c r="P1744" s="37"/>
      <c r="Q1744" s="37"/>
      <c r="R1744" s="31" t="n">
        <f aca="false">COUNT($M1744:$Q1744)</f>
        <v>0</v>
      </c>
      <c r="S1744" s="32" t="str">
        <f aca="false">IF($L1744="","",IF($R1744&gt;=5,"",MAX($L1744:$Q1744)+CHOOSE($R1744+1,SETTINGS!$C$9,SETTINGS!$C$10,SETTINGS!$C$11,SETTINGS!$C$12,SETTINGS!$C$13)))</f>
        <v/>
      </c>
      <c r="T1744" s="34" t="str">
        <f aca="true">IF($H1744="","(chưa có nội dung)",IF($L1744="",IF($C1744&lt;TODAY(),"⚠ TRỄ HỌC",IF($C1744=TODAY(),"★ HỌC HÔM NAY","• Chưa tới")),IF($R1744&gt;=5,"✔ MASTER",IF($S1744&lt;TODAY(),"⚠ TRỄ ÔN",IF($S1744=TODAY(),"◆ ÔN HÔM NAY","✔ Đúng tiến độ")))))</f>
        <v>• Chưa tới</v>
      </c>
      <c r="U1744" s="38" t="n">
        <f aca="false">IF($H1744="","",$R1744/5)</f>
        <v>0</v>
      </c>
    </row>
    <row r="1745" customFormat="false" ht="15" hidden="false" customHeight="false" outlineLevel="0" collapsed="false">
      <c r="A1745" s="31" t="s">
        <v>10337</v>
      </c>
      <c r="B1745" s="31" t="n">
        <v>88</v>
      </c>
      <c r="C1745" s="32" t="n">
        <f aca="false">SETTINGS!$C$3+$B1745-1</f>
        <v>46387</v>
      </c>
      <c r="D1745" s="41" t="s">
        <v>7168</v>
      </c>
      <c r="E1745" s="34" t="s">
        <v>10324</v>
      </c>
      <c r="F1745" s="34" t="s">
        <v>10325</v>
      </c>
      <c r="G1745" s="34" t="s">
        <v>10338</v>
      </c>
      <c r="H1745" s="35" t="s">
        <v>10339</v>
      </c>
      <c r="I1745" s="36" t="s">
        <v>10340</v>
      </c>
      <c r="J1745" s="34" t="s">
        <v>10341</v>
      </c>
      <c r="K1745" s="34" t="s">
        <v>10342</v>
      </c>
      <c r="L1745" s="37"/>
      <c r="M1745" s="37"/>
      <c r="N1745" s="37"/>
      <c r="O1745" s="37"/>
      <c r="P1745" s="37"/>
      <c r="Q1745" s="37"/>
      <c r="R1745" s="31" t="n">
        <f aca="false">COUNT($M1745:$Q1745)</f>
        <v>0</v>
      </c>
      <c r="S1745" s="32" t="str">
        <f aca="false">IF($L1745="","",IF($R1745&gt;=5,"",MAX($L1745:$Q1745)+CHOOSE($R1745+1,SETTINGS!$C$9,SETTINGS!$C$10,SETTINGS!$C$11,SETTINGS!$C$12,SETTINGS!$C$13)))</f>
        <v/>
      </c>
      <c r="T1745" s="34" t="str">
        <f aca="true">IF($H1745="","(chưa có nội dung)",IF($L1745="",IF($C1745&lt;TODAY(),"⚠ TRỄ HỌC",IF($C1745=TODAY(),"★ HỌC HÔM NAY","• Chưa tới")),IF($R1745&gt;=5,"✔ MASTER",IF($S1745&lt;TODAY(),"⚠ TRỄ ÔN",IF($S1745=TODAY(),"◆ ÔN HÔM NAY","✔ Đúng tiến độ")))))</f>
        <v>• Chưa tới</v>
      </c>
      <c r="U1745" s="38" t="n">
        <f aca="false">IF($H1745="","",$R1745/5)</f>
        <v>0</v>
      </c>
    </row>
    <row r="1746" customFormat="false" ht="15" hidden="false" customHeight="false" outlineLevel="0" collapsed="false">
      <c r="A1746" s="31" t="s">
        <v>10343</v>
      </c>
      <c r="B1746" s="31" t="n">
        <v>88</v>
      </c>
      <c r="C1746" s="32" t="n">
        <f aca="false">SETTINGS!$C$3+$B1746-1</f>
        <v>46387</v>
      </c>
      <c r="D1746" s="41" t="s">
        <v>7168</v>
      </c>
      <c r="E1746" s="34" t="s">
        <v>10324</v>
      </c>
      <c r="F1746" s="34" t="s">
        <v>10325</v>
      </c>
      <c r="G1746" s="34" t="s">
        <v>10344</v>
      </c>
      <c r="H1746" s="35" t="s">
        <v>10345</v>
      </c>
      <c r="I1746" s="36" t="s">
        <v>10346</v>
      </c>
      <c r="J1746" s="34" t="s">
        <v>10347</v>
      </c>
      <c r="K1746" s="34" t="s">
        <v>10348</v>
      </c>
      <c r="L1746" s="37"/>
      <c r="M1746" s="37"/>
      <c r="N1746" s="37"/>
      <c r="O1746" s="37"/>
      <c r="P1746" s="37"/>
      <c r="Q1746" s="37"/>
      <c r="R1746" s="31" t="n">
        <f aca="false">COUNT($M1746:$Q1746)</f>
        <v>0</v>
      </c>
      <c r="S1746" s="32" t="str">
        <f aca="false">IF($L1746="","",IF($R1746&gt;=5,"",MAX($L1746:$Q1746)+CHOOSE($R1746+1,SETTINGS!$C$9,SETTINGS!$C$10,SETTINGS!$C$11,SETTINGS!$C$12,SETTINGS!$C$13)))</f>
        <v/>
      </c>
      <c r="T1746" s="34" t="str">
        <f aca="true">IF($H1746="","(chưa có nội dung)",IF($L1746="",IF($C1746&lt;TODAY(),"⚠ TRỄ HỌC",IF($C1746=TODAY(),"★ HỌC HÔM NAY","• Chưa tới")),IF($R1746&gt;=5,"✔ MASTER",IF($S1746&lt;TODAY(),"⚠ TRỄ ÔN",IF($S1746=TODAY(),"◆ ÔN HÔM NAY","✔ Đúng tiến độ")))))</f>
        <v>• Chưa tới</v>
      </c>
      <c r="U1746" s="38" t="n">
        <f aca="false">IF($H1746="","",$R1746/5)</f>
        <v>0</v>
      </c>
    </row>
    <row r="1747" customFormat="false" ht="15" hidden="false" customHeight="false" outlineLevel="0" collapsed="false">
      <c r="A1747" s="31" t="s">
        <v>10349</v>
      </c>
      <c r="B1747" s="31" t="n">
        <v>88</v>
      </c>
      <c r="C1747" s="32" t="n">
        <f aca="false">SETTINGS!$C$3+$B1747-1</f>
        <v>46387</v>
      </c>
      <c r="D1747" s="41" t="s">
        <v>7168</v>
      </c>
      <c r="E1747" s="34" t="s">
        <v>10324</v>
      </c>
      <c r="F1747" s="34" t="s">
        <v>10325</v>
      </c>
      <c r="G1747" s="34" t="s">
        <v>10350</v>
      </c>
      <c r="H1747" s="35" t="s">
        <v>10351</v>
      </c>
      <c r="I1747" s="36" t="s">
        <v>10352</v>
      </c>
      <c r="J1747" s="34" t="s">
        <v>10353</v>
      </c>
      <c r="K1747" s="34" t="s">
        <v>10354</v>
      </c>
      <c r="L1747" s="37"/>
      <c r="M1747" s="37"/>
      <c r="N1747" s="37"/>
      <c r="O1747" s="37"/>
      <c r="P1747" s="37"/>
      <c r="Q1747" s="37"/>
      <c r="R1747" s="31" t="n">
        <f aca="false">COUNT($M1747:$Q1747)</f>
        <v>0</v>
      </c>
      <c r="S1747" s="32" t="str">
        <f aca="false">IF($L1747="","",IF($R1747&gt;=5,"",MAX($L1747:$Q1747)+CHOOSE($R1747+1,SETTINGS!$C$9,SETTINGS!$C$10,SETTINGS!$C$11,SETTINGS!$C$12,SETTINGS!$C$13)))</f>
        <v/>
      </c>
      <c r="T1747" s="34" t="str">
        <f aca="true">IF($H1747="","(chưa có nội dung)",IF($L1747="",IF($C1747&lt;TODAY(),"⚠ TRỄ HỌC",IF($C1747=TODAY(),"★ HỌC HÔM NAY","• Chưa tới")),IF($R1747&gt;=5,"✔ MASTER",IF($S1747&lt;TODAY(),"⚠ TRỄ ÔN",IF($S1747=TODAY(),"◆ ÔN HÔM NAY","✔ Đúng tiến độ")))))</f>
        <v>• Chưa tới</v>
      </c>
      <c r="U1747" s="38" t="n">
        <f aca="false">IF($H1747="","",$R1747/5)</f>
        <v>0</v>
      </c>
    </row>
    <row r="1748" customFormat="false" ht="26.85" hidden="false" customHeight="false" outlineLevel="0" collapsed="false">
      <c r="A1748" s="31" t="s">
        <v>10355</v>
      </c>
      <c r="B1748" s="31" t="n">
        <v>88</v>
      </c>
      <c r="C1748" s="32" t="n">
        <f aca="false">SETTINGS!$C$3+$B1748-1</f>
        <v>46387</v>
      </c>
      <c r="D1748" s="41" t="s">
        <v>7168</v>
      </c>
      <c r="E1748" s="34" t="s">
        <v>10324</v>
      </c>
      <c r="F1748" s="34" t="s">
        <v>10356</v>
      </c>
      <c r="G1748" s="34" t="s">
        <v>10357</v>
      </c>
      <c r="H1748" s="35" t="s">
        <v>10358</v>
      </c>
      <c r="I1748" s="36" t="s">
        <v>10359</v>
      </c>
      <c r="J1748" s="34" t="s">
        <v>10360</v>
      </c>
      <c r="K1748" s="34" t="s">
        <v>10361</v>
      </c>
      <c r="L1748" s="37"/>
      <c r="M1748" s="37"/>
      <c r="N1748" s="37"/>
      <c r="O1748" s="37"/>
      <c r="P1748" s="37"/>
      <c r="Q1748" s="37"/>
      <c r="R1748" s="31" t="n">
        <f aca="false">COUNT($M1748:$Q1748)</f>
        <v>0</v>
      </c>
      <c r="S1748" s="32" t="str">
        <f aca="false">IF($L1748="","",IF($R1748&gt;=5,"",MAX($L1748:$Q1748)+CHOOSE($R1748+1,SETTINGS!$C$9,SETTINGS!$C$10,SETTINGS!$C$11,SETTINGS!$C$12,SETTINGS!$C$13)))</f>
        <v/>
      </c>
      <c r="T1748" s="34" t="str">
        <f aca="true">IF($H1748="","(chưa có nội dung)",IF($L1748="",IF($C1748&lt;TODAY(),"⚠ TRỄ HỌC",IF($C1748=TODAY(),"★ HỌC HÔM NAY","• Chưa tới")),IF($R1748&gt;=5,"✔ MASTER",IF($S1748&lt;TODAY(),"⚠ TRỄ ÔN",IF($S1748=TODAY(),"◆ ÔN HÔM NAY","✔ Đúng tiến độ")))))</f>
        <v>• Chưa tới</v>
      </c>
      <c r="U1748" s="38" t="n">
        <f aca="false">IF($H1748="","",$R1748/5)</f>
        <v>0</v>
      </c>
    </row>
    <row r="1749" customFormat="false" ht="15" hidden="false" customHeight="false" outlineLevel="0" collapsed="false">
      <c r="A1749" s="31" t="s">
        <v>10362</v>
      </c>
      <c r="B1749" s="31" t="n">
        <v>88</v>
      </c>
      <c r="C1749" s="32" t="n">
        <f aca="false">SETTINGS!$C$3+$B1749-1</f>
        <v>46387</v>
      </c>
      <c r="D1749" s="41" t="s">
        <v>7168</v>
      </c>
      <c r="E1749" s="34" t="s">
        <v>10324</v>
      </c>
      <c r="F1749" s="34" t="s">
        <v>10325</v>
      </c>
      <c r="G1749" s="34" t="s">
        <v>10363</v>
      </c>
      <c r="H1749" s="35" t="s">
        <v>10364</v>
      </c>
      <c r="I1749" s="36" t="s">
        <v>10365</v>
      </c>
      <c r="J1749" s="34" t="s">
        <v>10366</v>
      </c>
      <c r="K1749" s="34" t="s">
        <v>847</v>
      </c>
      <c r="L1749" s="37"/>
      <c r="M1749" s="37"/>
      <c r="N1749" s="37"/>
      <c r="O1749" s="37"/>
      <c r="P1749" s="37"/>
      <c r="Q1749" s="37"/>
      <c r="R1749" s="31" t="n">
        <f aca="false">COUNT($M1749:$Q1749)</f>
        <v>0</v>
      </c>
      <c r="S1749" s="32" t="str">
        <f aca="false">IF($L1749="","",IF($R1749&gt;=5,"",MAX($L1749:$Q1749)+CHOOSE($R1749+1,SETTINGS!$C$9,SETTINGS!$C$10,SETTINGS!$C$11,SETTINGS!$C$12,SETTINGS!$C$13)))</f>
        <v/>
      </c>
      <c r="T1749" s="34" t="str">
        <f aca="true">IF($H1749="","(chưa có nội dung)",IF($L1749="",IF($C1749&lt;TODAY(),"⚠ TRỄ HỌC",IF($C1749=TODAY(),"★ HỌC HÔM NAY","• Chưa tới")),IF($R1749&gt;=5,"✔ MASTER",IF($S1749&lt;TODAY(),"⚠ TRỄ ÔN",IF($S1749=TODAY(),"◆ ÔN HÔM NAY","✔ Đúng tiến độ")))))</f>
        <v>• Chưa tới</v>
      </c>
      <c r="U1749" s="38" t="n">
        <f aca="false">IF($H1749="","",$R1749/5)</f>
        <v>0</v>
      </c>
    </row>
    <row r="1750" customFormat="false" ht="15" hidden="false" customHeight="false" outlineLevel="0" collapsed="false">
      <c r="A1750" s="31" t="s">
        <v>10367</v>
      </c>
      <c r="B1750" s="31" t="n">
        <v>88</v>
      </c>
      <c r="C1750" s="32" t="n">
        <f aca="false">SETTINGS!$C$3+$B1750-1</f>
        <v>46387</v>
      </c>
      <c r="D1750" s="41" t="s">
        <v>7168</v>
      </c>
      <c r="E1750" s="34" t="s">
        <v>10324</v>
      </c>
      <c r="F1750" s="34" t="s">
        <v>10325</v>
      </c>
      <c r="G1750" s="34" t="s">
        <v>10368</v>
      </c>
      <c r="H1750" s="35" t="s">
        <v>10369</v>
      </c>
      <c r="I1750" s="36" t="s">
        <v>10370</v>
      </c>
      <c r="J1750" s="34" t="s">
        <v>10371</v>
      </c>
      <c r="K1750" s="34" t="s">
        <v>10372</v>
      </c>
      <c r="L1750" s="37"/>
      <c r="M1750" s="37"/>
      <c r="N1750" s="37"/>
      <c r="O1750" s="37"/>
      <c r="P1750" s="37"/>
      <c r="Q1750" s="37"/>
      <c r="R1750" s="31" t="n">
        <f aca="false">COUNT($M1750:$Q1750)</f>
        <v>0</v>
      </c>
      <c r="S1750" s="32" t="str">
        <f aca="false">IF($L1750="","",IF($R1750&gt;=5,"",MAX($L1750:$Q1750)+CHOOSE($R1750+1,SETTINGS!$C$9,SETTINGS!$C$10,SETTINGS!$C$11,SETTINGS!$C$12,SETTINGS!$C$13)))</f>
        <v/>
      </c>
      <c r="T1750" s="34" t="str">
        <f aca="true">IF($H1750="","(chưa có nội dung)",IF($L1750="",IF($C1750&lt;TODAY(),"⚠ TRỄ HỌC",IF($C1750=TODAY(),"★ HỌC HÔM NAY","• Chưa tới")),IF($R1750&gt;=5,"✔ MASTER",IF($S1750&lt;TODAY(),"⚠ TRỄ ÔN",IF($S1750=TODAY(),"◆ ÔN HÔM NAY","✔ Đúng tiến độ")))))</f>
        <v>• Chưa tới</v>
      </c>
      <c r="U1750" s="38" t="n">
        <f aca="false">IF($H1750="","",$R1750/5)</f>
        <v>0</v>
      </c>
    </row>
    <row r="1751" customFormat="false" ht="26.85" hidden="false" customHeight="false" outlineLevel="0" collapsed="false">
      <c r="A1751" s="31" t="s">
        <v>10373</v>
      </c>
      <c r="B1751" s="31" t="n">
        <v>88</v>
      </c>
      <c r="C1751" s="32" t="n">
        <f aca="false">SETTINGS!$C$3+$B1751-1</f>
        <v>46387</v>
      </c>
      <c r="D1751" s="41" t="s">
        <v>7168</v>
      </c>
      <c r="E1751" s="34" t="s">
        <v>10324</v>
      </c>
      <c r="F1751" s="34" t="s">
        <v>10356</v>
      </c>
      <c r="G1751" s="34" t="s">
        <v>10374</v>
      </c>
      <c r="H1751" s="35" t="s">
        <v>10375</v>
      </c>
      <c r="I1751" s="36" t="s">
        <v>10376</v>
      </c>
      <c r="J1751" s="34" t="s">
        <v>10377</v>
      </c>
      <c r="K1751" s="34" t="s">
        <v>10378</v>
      </c>
      <c r="L1751" s="37"/>
      <c r="M1751" s="37"/>
      <c r="N1751" s="37"/>
      <c r="O1751" s="37"/>
      <c r="P1751" s="37"/>
      <c r="Q1751" s="37"/>
      <c r="R1751" s="31" t="n">
        <f aca="false">COUNT($M1751:$Q1751)</f>
        <v>0</v>
      </c>
      <c r="S1751" s="32" t="str">
        <f aca="false">IF($L1751="","",IF($R1751&gt;=5,"",MAX($L1751:$Q1751)+CHOOSE($R1751+1,SETTINGS!$C$9,SETTINGS!$C$10,SETTINGS!$C$11,SETTINGS!$C$12,SETTINGS!$C$13)))</f>
        <v/>
      </c>
      <c r="T1751" s="34" t="str">
        <f aca="true">IF($H1751="","(chưa có nội dung)",IF($L1751="",IF($C1751&lt;TODAY(),"⚠ TRỄ HỌC",IF($C1751=TODAY(),"★ HỌC HÔM NAY","• Chưa tới")),IF($R1751&gt;=5,"✔ MASTER",IF($S1751&lt;TODAY(),"⚠ TRỄ ÔN",IF($S1751=TODAY(),"◆ ÔN HÔM NAY","✔ Đúng tiến độ")))))</f>
        <v>• Chưa tới</v>
      </c>
      <c r="U1751" s="38" t="n">
        <f aca="false">IF($H1751="","",$R1751/5)</f>
        <v>0</v>
      </c>
    </row>
    <row r="1752" customFormat="false" ht="15" hidden="false" customHeight="false" outlineLevel="0" collapsed="false">
      <c r="A1752" s="31" t="s">
        <v>10379</v>
      </c>
      <c r="B1752" s="31" t="n">
        <v>88</v>
      </c>
      <c r="C1752" s="32" t="n">
        <f aca="false">SETTINGS!$C$3+$B1752-1</f>
        <v>46387</v>
      </c>
      <c r="D1752" s="41" t="s">
        <v>7168</v>
      </c>
      <c r="E1752" s="34" t="s">
        <v>10324</v>
      </c>
      <c r="F1752" s="34" t="s">
        <v>10325</v>
      </c>
      <c r="G1752" s="34" t="s">
        <v>10380</v>
      </c>
      <c r="H1752" s="35" t="s">
        <v>10381</v>
      </c>
      <c r="I1752" s="36" t="s">
        <v>10382</v>
      </c>
      <c r="J1752" s="34" t="s">
        <v>10383</v>
      </c>
      <c r="K1752" s="34" t="s">
        <v>7029</v>
      </c>
      <c r="L1752" s="37"/>
      <c r="M1752" s="37"/>
      <c r="N1752" s="37"/>
      <c r="O1752" s="37"/>
      <c r="P1752" s="37"/>
      <c r="Q1752" s="37"/>
      <c r="R1752" s="31" t="n">
        <f aca="false">COUNT($M1752:$Q1752)</f>
        <v>0</v>
      </c>
      <c r="S1752" s="32" t="str">
        <f aca="false">IF($L1752="","",IF($R1752&gt;=5,"",MAX($L1752:$Q1752)+CHOOSE($R1752+1,SETTINGS!$C$9,SETTINGS!$C$10,SETTINGS!$C$11,SETTINGS!$C$12,SETTINGS!$C$13)))</f>
        <v/>
      </c>
      <c r="T1752" s="34" t="str">
        <f aca="true">IF($H1752="","(chưa có nội dung)",IF($L1752="",IF($C1752&lt;TODAY(),"⚠ TRỄ HỌC",IF($C1752=TODAY(),"★ HỌC HÔM NAY","• Chưa tới")),IF($R1752&gt;=5,"✔ MASTER",IF($S1752&lt;TODAY(),"⚠ TRỄ ÔN",IF($S1752=TODAY(),"◆ ÔN HÔM NAY","✔ Đúng tiến độ")))))</f>
        <v>• Chưa tới</v>
      </c>
      <c r="U1752" s="38" t="n">
        <f aca="false">IF($H1752="","",$R1752/5)</f>
        <v>0</v>
      </c>
    </row>
    <row r="1753" customFormat="false" ht="15" hidden="false" customHeight="false" outlineLevel="0" collapsed="false">
      <c r="A1753" s="31" t="s">
        <v>10384</v>
      </c>
      <c r="B1753" s="31" t="n">
        <v>88</v>
      </c>
      <c r="C1753" s="32" t="n">
        <f aca="false">SETTINGS!$C$3+$B1753-1</f>
        <v>46387</v>
      </c>
      <c r="D1753" s="41" t="s">
        <v>7168</v>
      </c>
      <c r="E1753" s="34" t="s">
        <v>10324</v>
      </c>
      <c r="F1753" s="34" t="s">
        <v>10325</v>
      </c>
      <c r="G1753" s="34" t="s">
        <v>10385</v>
      </c>
      <c r="H1753" s="35" t="s">
        <v>10386</v>
      </c>
      <c r="I1753" s="36" t="s">
        <v>10387</v>
      </c>
      <c r="J1753" s="34" t="s">
        <v>10388</v>
      </c>
      <c r="K1753" s="34" t="s">
        <v>10389</v>
      </c>
      <c r="L1753" s="37"/>
      <c r="M1753" s="37"/>
      <c r="N1753" s="37"/>
      <c r="O1753" s="37"/>
      <c r="P1753" s="37"/>
      <c r="Q1753" s="37"/>
      <c r="R1753" s="31" t="n">
        <f aca="false">COUNT($M1753:$Q1753)</f>
        <v>0</v>
      </c>
      <c r="S1753" s="32" t="str">
        <f aca="false">IF($L1753="","",IF($R1753&gt;=5,"",MAX($L1753:$Q1753)+CHOOSE($R1753+1,SETTINGS!$C$9,SETTINGS!$C$10,SETTINGS!$C$11,SETTINGS!$C$12,SETTINGS!$C$13)))</f>
        <v/>
      </c>
      <c r="T1753" s="34" t="str">
        <f aca="true">IF($H1753="","(chưa có nội dung)",IF($L1753="",IF($C1753&lt;TODAY(),"⚠ TRỄ HỌC",IF($C1753=TODAY(),"★ HỌC HÔM NAY","• Chưa tới")),IF($R1753&gt;=5,"✔ MASTER",IF($S1753&lt;TODAY(),"⚠ TRỄ ÔN",IF($S1753=TODAY(),"◆ ÔN HÔM NAY","✔ Đúng tiến độ")))))</f>
        <v>• Chưa tới</v>
      </c>
      <c r="U1753" s="38" t="n">
        <f aca="false">IF($H1753="","",$R1753/5)</f>
        <v>0</v>
      </c>
    </row>
    <row r="1754" customFormat="false" ht="15" hidden="false" customHeight="false" outlineLevel="0" collapsed="false">
      <c r="A1754" s="31" t="s">
        <v>10390</v>
      </c>
      <c r="B1754" s="31" t="n">
        <v>88</v>
      </c>
      <c r="C1754" s="32" t="n">
        <f aca="false">SETTINGS!$C$3+$B1754-1</f>
        <v>46387</v>
      </c>
      <c r="D1754" s="41" t="s">
        <v>7168</v>
      </c>
      <c r="E1754" s="34" t="s">
        <v>10324</v>
      </c>
      <c r="F1754" s="34" t="s">
        <v>10356</v>
      </c>
      <c r="G1754" s="34" t="s">
        <v>5823</v>
      </c>
      <c r="H1754" s="35" t="s">
        <v>10391</v>
      </c>
      <c r="I1754" s="36" t="s">
        <v>10392</v>
      </c>
      <c r="J1754" s="34" t="s">
        <v>10393</v>
      </c>
      <c r="K1754" s="34" t="s">
        <v>10394</v>
      </c>
      <c r="L1754" s="37"/>
      <c r="M1754" s="37"/>
      <c r="N1754" s="37"/>
      <c r="O1754" s="37"/>
      <c r="P1754" s="37"/>
      <c r="Q1754" s="37"/>
      <c r="R1754" s="31" t="n">
        <f aca="false">COUNT($M1754:$Q1754)</f>
        <v>0</v>
      </c>
      <c r="S1754" s="32" t="str">
        <f aca="false">IF($L1754="","",IF($R1754&gt;=5,"",MAX($L1754:$Q1754)+CHOOSE($R1754+1,SETTINGS!$C$9,SETTINGS!$C$10,SETTINGS!$C$11,SETTINGS!$C$12,SETTINGS!$C$13)))</f>
        <v/>
      </c>
      <c r="T1754" s="34" t="str">
        <f aca="true">IF($H1754="","(chưa có nội dung)",IF($L1754="",IF($C1754&lt;TODAY(),"⚠ TRỄ HỌC",IF($C1754=TODAY(),"★ HỌC HÔM NAY","• Chưa tới")),IF($R1754&gt;=5,"✔ MASTER",IF($S1754&lt;TODAY(),"⚠ TRỄ ÔN",IF($S1754=TODAY(),"◆ ÔN HÔM NAY","✔ Đúng tiến độ")))))</f>
        <v>• Chưa tới</v>
      </c>
      <c r="U1754" s="38" t="n">
        <f aca="false">IF($H1754="","",$R1754/5)</f>
        <v>0</v>
      </c>
    </row>
    <row r="1755" customFormat="false" ht="15" hidden="false" customHeight="false" outlineLevel="0" collapsed="false">
      <c r="A1755" s="31" t="s">
        <v>10395</v>
      </c>
      <c r="B1755" s="31" t="n">
        <v>88</v>
      </c>
      <c r="C1755" s="32" t="n">
        <f aca="false">SETTINGS!$C$3+$B1755-1</f>
        <v>46387</v>
      </c>
      <c r="D1755" s="41" t="s">
        <v>7168</v>
      </c>
      <c r="E1755" s="34" t="s">
        <v>10324</v>
      </c>
      <c r="F1755" s="34" t="s">
        <v>10325</v>
      </c>
      <c r="G1755" s="34" t="s">
        <v>10396</v>
      </c>
      <c r="H1755" s="35" t="s">
        <v>10397</v>
      </c>
      <c r="I1755" s="36" t="s">
        <v>10398</v>
      </c>
      <c r="J1755" s="34" t="s">
        <v>10399</v>
      </c>
      <c r="K1755" s="34" t="s">
        <v>10400</v>
      </c>
      <c r="L1755" s="37"/>
      <c r="M1755" s="37"/>
      <c r="N1755" s="37"/>
      <c r="O1755" s="37"/>
      <c r="P1755" s="37"/>
      <c r="Q1755" s="37"/>
      <c r="R1755" s="31" t="n">
        <f aca="false">COUNT($M1755:$Q1755)</f>
        <v>0</v>
      </c>
      <c r="S1755" s="32" t="str">
        <f aca="false">IF($L1755="","",IF($R1755&gt;=5,"",MAX($L1755:$Q1755)+CHOOSE($R1755+1,SETTINGS!$C$9,SETTINGS!$C$10,SETTINGS!$C$11,SETTINGS!$C$12,SETTINGS!$C$13)))</f>
        <v/>
      </c>
      <c r="T1755" s="34" t="str">
        <f aca="true">IF($H1755="","(chưa có nội dung)",IF($L1755="",IF($C1755&lt;TODAY(),"⚠ TRỄ HỌC",IF($C1755=TODAY(),"★ HỌC HÔM NAY","• Chưa tới")),IF($R1755&gt;=5,"✔ MASTER",IF($S1755&lt;TODAY(),"⚠ TRỄ ÔN",IF($S1755=TODAY(),"◆ ÔN HÔM NAY","✔ Đúng tiến độ")))))</f>
        <v>• Chưa tới</v>
      </c>
      <c r="U1755" s="38" t="n">
        <f aca="false">IF($H1755="","",$R1755/5)</f>
        <v>0</v>
      </c>
    </row>
    <row r="1756" customFormat="false" ht="15" hidden="false" customHeight="false" outlineLevel="0" collapsed="false">
      <c r="A1756" s="31" t="s">
        <v>10401</v>
      </c>
      <c r="B1756" s="31" t="n">
        <v>88</v>
      </c>
      <c r="C1756" s="32" t="n">
        <f aca="false">SETTINGS!$C$3+$B1756-1</f>
        <v>46387</v>
      </c>
      <c r="D1756" s="41" t="s">
        <v>7168</v>
      </c>
      <c r="E1756" s="34" t="s">
        <v>10324</v>
      </c>
      <c r="F1756" s="34" t="s">
        <v>10325</v>
      </c>
      <c r="G1756" s="34" t="s">
        <v>10402</v>
      </c>
      <c r="H1756" s="35" t="s">
        <v>10403</v>
      </c>
      <c r="I1756" s="36" t="s">
        <v>10404</v>
      </c>
      <c r="J1756" s="34" t="s">
        <v>10405</v>
      </c>
      <c r="K1756" s="34" t="s">
        <v>10406</v>
      </c>
      <c r="L1756" s="37"/>
      <c r="M1756" s="37"/>
      <c r="N1756" s="37"/>
      <c r="O1756" s="37"/>
      <c r="P1756" s="37"/>
      <c r="Q1756" s="37"/>
      <c r="R1756" s="31" t="n">
        <f aca="false">COUNT($M1756:$Q1756)</f>
        <v>0</v>
      </c>
      <c r="S1756" s="32" t="str">
        <f aca="false">IF($L1756="","",IF($R1756&gt;=5,"",MAX($L1756:$Q1756)+CHOOSE($R1756+1,SETTINGS!$C$9,SETTINGS!$C$10,SETTINGS!$C$11,SETTINGS!$C$12,SETTINGS!$C$13)))</f>
        <v/>
      </c>
      <c r="T1756" s="34" t="str">
        <f aca="true">IF($H1756="","(chưa có nội dung)",IF($L1756="",IF($C1756&lt;TODAY(),"⚠ TRỄ HỌC",IF($C1756=TODAY(),"★ HỌC HÔM NAY","• Chưa tới")),IF($R1756&gt;=5,"✔ MASTER",IF($S1756&lt;TODAY(),"⚠ TRỄ ÔN",IF($S1756=TODAY(),"◆ ÔN HÔM NAY","✔ Đúng tiến độ")))))</f>
        <v>• Chưa tới</v>
      </c>
      <c r="U1756" s="38" t="n">
        <f aca="false">IF($H1756="","",$R1756/5)</f>
        <v>0</v>
      </c>
    </row>
    <row r="1757" customFormat="false" ht="26.85" hidden="false" customHeight="false" outlineLevel="0" collapsed="false">
      <c r="A1757" s="31" t="s">
        <v>10407</v>
      </c>
      <c r="B1757" s="31" t="n">
        <v>88</v>
      </c>
      <c r="C1757" s="32" t="n">
        <f aca="false">SETTINGS!$C$3+$B1757-1</f>
        <v>46387</v>
      </c>
      <c r="D1757" s="41" t="s">
        <v>7168</v>
      </c>
      <c r="E1757" s="34" t="s">
        <v>10324</v>
      </c>
      <c r="F1757" s="34" t="s">
        <v>10356</v>
      </c>
      <c r="G1757" s="34" t="s">
        <v>10408</v>
      </c>
      <c r="H1757" s="35" t="s">
        <v>10409</v>
      </c>
      <c r="I1757" s="36" t="s">
        <v>10410</v>
      </c>
      <c r="J1757" s="34" t="s">
        <v>10411</v>
      </c>
      <c r="K1757" s="34" t="s">
        <v>10408</v>
      </c>
      <c r="L1757" s="37"/>
      <c r="M1757" s="37"/>
      <c r="N1757" s="37"/>
      <c r="O1757" s="37"/>
      <c r="P1757" s="37"/>
      <c r="Q1757" s="37"/>
      <c r="R1757" s="31" t="n">
        <f aca="false">COUNT($M1757:$Q1757)</f>
        <v>0</v>
      </c>
      <c r="S1757" s="32" t="str">
        <f aca="false">IF($L1757="","",IF($R1757&gt;=5,"",MAX($L1757:$Q1757)+CHOOSE($R1757+1,SETTINGS!$C$9,SETTINGS!$C$10,SETTINGS!$C$11,SETTINGS!$C$12,SETTINGS!$C$13)))</f>
        <v/>
      </c>
      <c r="T1757" s="34" t="str">
        <f aca="true">IF($H1757="","(chưa có nội dung)",IF($L1757="",IF($C1757&lt;TODAY(),"⚠ TRỄ HỌC",IF($C1757=TODAY(),"★ HỌC HÔM NAY","• Chưa tới")),IF($R1757&gt;=5,"✔ MASTER",IF($S1757&lt;TODAY(),"⚠ TRỄ ÔN",IF($S1757=TODAY(),"◆ ÔN HÔM NAY","✔ Đúng tiến độ")))))</f>
        <v>• Chưa tới</v>
      </c>
      <c r="U1757" s="38" t="n">
        <f aca="false">IF($H1757="","",$R1757/5)</f>
        <v>0</v>
      </c>
    </row>
    <row r="1758" customFormat="false" ht="15" hidden="false" customHeight="false" outlineLevel="0" collapsed="false">
      <c r="A1758" s="31" t="s">
        <v>10412</v>
      </c>
      <c r="B1758" s="31" t="n">
        <v>88</v>
      </c>
      <c r="C1758" s="32" t="n">
        <f aca="false">SETTINGS!$C$3+$B1758-1</f>
        <v>46387</v>
      </c>
      <c r="D1758" s="41" t="s">
        <v>7168</v>
      </c>
      <c r="E1758" s="34" t="s">
        <v>10324</v>
      </c>
      <c r="F1758" s="34" t="s">
        <v>10325</v>
      </c>
      <c r="G1758" s="34" t="s">
        <v>10413</v>
      </c>
      <c r="H1758" s="35" t="s">
        <v>10414</v>
      </c>
      <c r="I1758" s="36" t="s">
        <v>10415</v>
      </c>
      <c r="J1758" s="34" t="s">
        <v>10416</v>
      </c>
      <c r="K1758" s="34" t="s">
        <v>10417</v>
      </c>
      <c r="L1758" s="37"/>
      <c r="M1758" s="37"/>
      <c r="N1758" s="37"/>
      <c r="O1758" s="37"/>
      <c r="P1758" s="37"/>
      <c r="Q1758" s="37"/>
      <c r="R1758" s="31" t="n">
        <f aca="false">COUNT($M1758:$Q1758)</f>
        <v>0</v>
      </c>
      <c r="S1758" s="32" t="str">
        <f aca="false">IF($L1758="","",IF($R1758&gt;=5,"",MAX($L1758:$Q1758)+CHOOSE($R1758+1,SETTINGS!$C$9,SETTINGS!$C$10,SETTINGS!$C$11,SETTINGS!$C$12,SETTINGS!$C$13)))</f>
        <v/>
      </c>
      <c r="T1758" s="34" t="str">
        <f aca="true">IF($H1758="","(chưa có nội dung)",IF($L1758="",IF($C1758&lt;TODAY(),"⚠ TRỄ HỌC",IF($C1758=TODAY(),"★ HỌC HÔM NAY","• Chưa tới")),IF($R1758&gt;=5,"✔ MASTER",IF($S1758&lt;TODAY(),"⚠ TRỄ ÔN",IF($S1758=TODAY(),"◆ ÔN HÔM NAY","✔ Đúng tiến độ")))))</f>
        <v>• Chưa tới</v>
      </c>
      <c r="U1758" s="38" t="n">
        <f aca="false">IF($H1758="","",$R1758/5)</f>
        <v>0</v>
      </c>
    </row>
    <row r="1759" customFormat="false" ht="15" hidden="false" customHeight="false" outlineLevel="0" collapsed="false">
      <c r="A1759" s="31" t="s">
        <v>10418</v>
      </c>
      <c r="B1759" s="31" t="n">
        <v>88</v>
      </c>
      <c r="C1759" s="32" t="n">
        <f aca="false">SETTINGS!$C$3+$B1759-1</f>
        <v>46387</v>
      </c>
      <c r="D1759" s="41" t="s">
        <v>7168</v>
      </c>
      <c r="E1759" s="34" t="s">
        <v>10324</v>
      </c>
      <c r="F1759" s="34" t="s">
        <v>10325</v>
      </c>
      <c r="G1759" s="34" t="s">
        <v>10419</v>
      </c>
      <c r="H1759" s="35" t="s">
        <v>10420</v>
      </c>
      <c r="I1759" s="36" t="s">
        <v>10421</v>
      </c>
      <c r="J1759" s="34" t="s">
        <v>10422</v>
      </c>
      <c r="K1759" s="34" t="s">
        <v>10423</v>
      </c>
      <c r="L1759" s="37"/>
      <c r="M1759" s="37"/>
      <c r="N1759" s="37"/>
      <c r="O1759" s="37"/>
      <c r="P1759" s="37"/>
      <c r="Q1759" s="37"/>
      <c r="R1759" s="31" t="n">
        <f aca="false">COUNT($M1759:$Q1759)</f>
        <v>0</v>
      </c>
      <c r="S1759" s="32" t="str">
        <f aca="false">IF($L1759="","",IF($R1759&gt;=5,"",MAX($L1759:$Q1759)+CHOOSE($R1759+1,SETTINGS!$C$9,SETTINGS!$C$10,SETTINGS!$C$11,SETTINGS!$C$12,SETTINGS!$C$13)))</f>
        <v/>
      </c>
      <c r="T1759" s="34" t="str">
        <f aca="true">IF($H1759="","(chưa có nội dung)",IF($L1759="",IF($C1759&lt;TODAY(),"⚠ TRỄ HỌC",IF($C1759=TODAY(),"★ HỌC HÔM NAY","• Chưa tới")),IF($R1759&gt;=5,"✔ MASTER",IF($S1759&lt;TODAY(),"⚠ TRỄ ÔN",IF($S1759=TODAY(),"◆ ÔN HÔM NAY","✔ Đúng tiến độ")))))</f>
        <v>• Chưa tới</v>
      </c>
      <c r="U1759" s="38" t="n">
        <f aca="false">IF($H1759="","",$R1759/5)</f>
        <v>0</v>
      </c>
    </row>
    <row r="1760" customFormat="false" ht="26.85" hidden="false" customHeight="false" outlineLevel="0" collapsed="false">
      <c r="A1760" s="31" t="s">
        <v>10424</v>
      </c>
      <c r="B1760" s="31" t="n">
        <v>88</v>
      </c>
      <c r="C1760" s="32" t="n">
        <f aca="false">SETTINGS!$C$3+$B1760-1</f>
        <v>46387</v>
      </c>
      <c r="D1760" s="41" t="s">
        <v>7168</v>
      </c>
      <c r="E1760" s="34" t="s">
        <v>10324</v>
      </c>
      <c r="F1760" s="34" t="s">
        <v>10356</v>
      </c>
      <c r="G1760" s="34" t="s">
        <v>10425</v>
      </c>
      <c r="H1760" s="35" t="s">
        <v>10426</v>
      </c>
      <c r="I1760" s="36" t="s">
        <v>10427</v>
      </c>
      <c r="J1760" s="34" t="s">
        <v>10428</v>
      </c>
      <c r="K1760" s="34" t="s">
        <v>10429</v>
      </c>
      <c r="L1760" s="37"/>
      <c r="M1760" s="37"/>
      <c r="N1760" s="37"/>
      <c r="O1760" s="37"/>
      <c r="P1760" s="37"/>
      <c r="Q1760" s="37"/>
      <c r="R1760" s="31" t="n">
        <f aca="false">COUNT($M1760:$Q1760)</f>
        <v>0</v>
      </c>
      <c r="S1760" s="32" t="str">
        <f aca="false">IF($L1760="","",IF($R1760&gt;=5,"",MAX($L1760:$Q1760)+CHOOSE($R1760+1,SETTINGS!$C$9,SETTINGS!$C$10,SETTINGS!$C$11,SETTINGS!$C$12,SETTINGS!$C$13)))</f>
        <v/>
      </c>
      <c r="T1760" s="34" t="str">
        <f aca="true">IF($H1760="","(chưa có nội dung)",IF($L1760="",IF($C1760&lt;TODAY(),"⚠ TRỄ HỌC",IF($C1760=TODAY(),"★ HỌC HÔM NAY","• Chưa tới")),IF($R1760&gt;=5,"✔ MASTER",IF($S1760&lt;TODAY(),"⚠ TRỄ ÔN",IF($S1760=TODAY(),"◆ ÔN HÔM NAY","✔ Đúng tiến độ")))))</f>
        <v>• Chưa tới</v>
      </c>
      <c r="U1760" s="38" t="n">
        <f aca="false">IF($H1760="","",$R1760/5)</f>
        <v>0</v>
      </c>
    </row>
    <row r="1761" customFormat="false" ht="15" hidden="false" customHeight="false" outlineLevel="0" collapsed="false">
      <c r="A1761" s="31" t="s">
        <v>10430</v>
      </c>
      <c r="B1761" s="31" t="n">
        <v>88</v>
      </c>
      <c r="C1761" s="32" t="n">
        <f aca="false">SETTINGS!$C$3+$B1761-1</f>
        <v>46387</v>
      </c>
      <c r="D1761" s="41" t="s">
        <v>7168</v>
      </c>
      <c r="E1761" s="34" t="s">
        <v>10324</v>
      </c>
      <c r="F1761" s="34" t="s">
        <v>10325</v>
      </c>
      <c r="G1761" s="34" t="s">
        <v>10431</v>
      </c>
      <c r="H1761" s="35" t="s">
        <v>10432</v>
      </c>
      <c r="I1761" s="36" t="s">
        <v>10433</v>
      </c>
      <c r="J1761" s="34" t="s">
        <v>10434</v>
      </c>
      <c r="K1761" s="34" t="s">
        <v>10435</v>
      </c>
      <c r="L1761" s="37"/>
      <c r="M1761" s="37"/>
      <c r="N1761" s="37"/>
      <c r="O1761" s="37"/>
      <c r="P1761" s="37"/>
      <c r="Q1761" s="37"/>
      <c r="R1761" s="31" t="n">
        <f aca="false">COUNT($M1761:$Q1761)</f>
        <v>0</v>
      </c>
      <c r="S1761" s="32" t="str">
        <f aca="false">IF($L1761="","",IF($R1761&gt;=5,"",MAX($L1761:$Q1761)+CHOOSE($R1761+1,SETTINGS!$C$9,SETTINGS!$C$10,SETTINGS!$C$11,SETTINGS!$C$12,SETTINGS!$C$13)))</f>
        <v/>
      </c>
      <c r="T1761" s="34" t="str">
        <f aca="true">IF($H1761="","(chưa có nội dung)",IF($L1761="",IF($C1761&lt;TODAY(),"⚠ TRỄ HỌC",IF($C1761=TODAY(),"★ HỌC HÔM NAY","• Chưa tới")),IF($R1761&gt;=5,"✔ MASTER",IF($S1761&lt;TODAY(),"⚠ TRỄ ÔN",IF($S1761=TODAY(),"◆ ÔN HÔM NAY","✔ Đúng tiến độ")))))</f>
        <v>• Chưa tới</v>
      </c>
      <c r="U1761" s="38" t="n">
        <f aca="false">IF($H1761="","",$R1761/5)</f>
        <v>0</v>
      </c>
    </row>
    <row r="1762" customFormat="false" ht="26.85" hidden="false" customHeight="false" outlineLevel="0" collapsed="false">
      <c r="A1762" s="31" t="s">
        <v>10436</v>
      </c>
      <c r="B1762" s="31" t="n">
        <v>88</v>
      </c>
      <c r="C1762" s="32" t="n">
        <f aca="false">SETTINGS!$C$3+$B1762-1</f>
        <v>46387</v>
      </c>
      <c r="D1762" s="41" t="s">
        <v>7168</v>
      </c>
      <c r="E1762" s="34" t="s">
        <v>10324</v>
      </c>
      <c r="F1762" s="34" t="s">
        <v>10356</v>
      </c>
      <c r="G1762" s="34" t="s">
        <v>10437</v>
      </c>
      <c r="H1762" s="35" t="s">
        <v>10438</v>
      </c>
      <c r="I1762" s="36" t="s">
        <v>10439</v>
      </c>
      <c r="J1762" s="34" t="s">
        <v>10440</v>
      </c>
      <c r="K1762" s="34" t="s">
        <v>10441</v>
      </c>
      <c r="L1762" s="37"/>
      <c r="M1762" s="37"/>
      <c r="N1762" s="37"/>
      <c r="O1762" s="37"/>
      <c r="P1762" s="37"/>
      <c r="Q1762" s="37"/>
      <c r="R1762" s="31" t="n">
        <f aca="false">COUNT($M1762:$Q1762)</f>
        <v>0</v>
      </c>
      <c r="S1762" s="32" t="str">
        <f aca="false">IF($L1762="","",IF($R1762&gt;=5,"",MAX($L1762:$Q1762)+CHOOSE($R1762+1,SETTINGS!$C$9,SETTINGS!$C$10,SETTINGS!$C$11,SETTINGS!$C$12,SETTINGS!$C$13)))</f>
        <v/>
      </c>
      <c r="T1762" s="34" t="str">
        <f aca="true">IF($H1762="","(chưa có nội dung)",IF($L1762="",IF($C1762&lt;TODAY(),"⚠ TRỄ HỌC",IF($C1762=TODAY(),"★ HỌC HÔM NAY","• Chưa tới")),IF($R1762&gt;=5,"✔ MASTER",IF($S1762&lt;TODAY(),"⚠ TRỄ ÔN",IF($S1762=TODAY(),"◆ ÔN HÔM NAY","✔ Đúng tiến độ")))))</f>
        <v>• Chưa tới</v>
      </c>
      <c r="U1762" s="38" t="n">
        <f aca="false">IF($H1762="","",$R1762/5)</f>
        <v>0</v>
      </c>
    </row>
    <row r="1763" customFormat="false" ht="15" hidden="false" customHeight="false" outlineLevel="0" collapsed="false">
      <c r="A1763" s="31" t="s">
        <v>10442</v>
      </c>
      <c r="B1763" s="31" t="n">
        <v>89</v>
      </c>
      <c r="C1763" s="32" t="n">
        <f aca="false">SETTINGS!$C$3+$B1763-1</f>
        <v>46388</v>
      </c>
      <c r="D1763" s="41" t="s">
        <v>7168</v>
      </c>
      <c r="E1763" s="34" t="s">
        <v>10443</v>
      </c>
      <c r="F1763" s="34" t="s">
        <v>10444</v>
      </c>
      <c r="G1763" s="34" t="s">
        <v>10445</v>
      </c>
      <c r="H1763" s="35" t="s">
        <v>10446</v>
      </c>
      <c r="I1763" s="36" t="s">
        <v>10447</v>
      </c>
      <c r="J1763" s="34" t="s">
        <v>10448</v>
      </c>
      <c r="K1763" s="34" t="s">
        <v>10449</v>
      </c>
      <c r="L1763" s="37"/>
      <c r="M1763" s="37"/>
      <c r="N1763" s="37"/>
      <c r="O1763" s="37"/>
      <c r="P1763" s="37"/>
      <c r="Q1763" s="37"/>
      <c r="R1763" s="31" t="n">
        <f aca="false">COUNT($M1763:$Q1763)</f>
        <v>0</v>
      </c>
      <c r="S1763" s="32" t="str">
        <f aca="false">IF($L1763="","",IF($R1763&gt;=5,"",MAX($L1763:$Q1763)+CHOOSE($R1763+1,SETTINGS!$C$9,SETTINGS!$C$10,SETTINGS!$C$11,SETTINGS!$C$12,SETTINGS!$C$13)))</f>
        <v/>
      </c>
      <c r="T1763" s="34" t="str">
        <f aca="true">IF($H1763="","(chưa có nội dung)",IF($L1763="",IF($C1763&lt;TODAY(),"⚠ TRỄ HỌC",IF($C1763=TODAY(),"★ HỌC HÔM NAY","• Chưa tới")),IF($R1763&gt;=5,"✔ MASTER",IF($S1763&lt;TODAY(),"⚠ TRỄ ÔN",IF($S1763=TODAY(),"◆ ÔN HÔM NAY","✔ Đúng tiến độ")))))</f>
        <v>• Chưa tới</v>
      </c>
      <c r="U1763" s="38" t="n">
        <f aca="false">IF($H1763="","",$R1763/5)</f>
        <v>0</v>
      </c>
    </row>
    <row r="1764" customFormat="false" ht="15" hidden="false" customHeight="false" outlineLevel="0" collapsed="false">
      <c r="A1764" s="31" t="s">
        <v>10450</v>
      </c>
      <c r="B1764" s="31" t="n">
        <v>89</v>
      </c>
      <c r="C1764" s="32" t="n">
        <f aca="false">SETTINGS!$C$3+$B1764-1</f>
        <v>46388</v>
      </c>
      <c r="D1764" s="41" t="s">
        <v>7168</v>
      </c>
      <c r="E1764" s="34" t="s">
        <v>10443</v>
      </c>
      <c r="F1764" s="34" t="s">
        <v>10444</v>
      </c>
      <c r="G1764" s="34" t="s">
        <v>1583</v>
      </c>
      <c r="H1764" s="35" t="s">
        <v>10451</v>
      </c>
      <c r="I1764" s="36" t="s">
        <v>10452</v>
      </c>
      <c r="J1764" s="34" t="s">
        <v>10453</v>
      </c>
      <c r="K1764" s="34" t="s">
        <v>10454</v>
      </c>
      <c r="L1764" s="37"/>
      <c r="M1764" s="37"/>
      <c r="N1764" s="37"/>
      <c r="O1764" s="37"/>
      <c r="P1764" s="37"/>
      <c r="Q1764" s="37"/>
      <c r="R1764" s="31" t="n">
        <f aca="false">COUNT($M1764:$Q1764)</f>
        <v>0</v>
      </c>
      <c r="S1764" s="32" t="str">
        <f aca="false">IF($L1764="","",IF($R1764&gt;=5,"",MAX($L1764:$Q1764)+CHOOSE($R1764+1,SETTINGS!$C$9,SETTINGS!$C$10,SETTINGS!$C$11,SETTINGS!$C$12,SETTINGS!$C$13)))</f>
        <v/>
      </c>
      <c r="T1764" s="34" t="str">
        <f aca="true">IF($H1764="","(chưa có nội dung)",IF($L1764="",IF($C1764&lt;TODAY(),"⚠ TRỄ HỌC",IF($C1764=TODAY(),"★ HỌC HÔM NAY","• Chưa tới")),IF($R1764&gt;=5,"✔ MASTER",IF($S1764&lt;TODAY(),"⚠ TRỄ ÔN",IF($S1764=TODAY(),"◆ ÔN HÔM NAY","✔ Đúng tiến độ")))))</f>
        <v>• Chưa tới</v>
      </c>
      <c r="U1764" s="38" t="n">
        <f aca="false">IF($H1764="","",$R1764/5)</f>
        <v>0</v>
      </c>
    </row>
    <row r="1765" customFormat="false" ht="15" hidden="false" customHeight="false" outlineLevel="0" collapsed="false">
      <c r="A1765" s="31" t="s">
        <v>10455</v>
      </c>
      <c r="B1765" s="31" t="n">
        <v>89</v>
      </c>
      <c r="C1765" s="32" t="n">
        <f aca="false">SETTINGS!$C$3+$B1765-1</f>
        <v>46388</v>
      </c>
      <c r="D1765" s="41" t="s">
        <v>7168</v>
      </c>
      <c r="E1765" s="34" t="s">
        <v>10443</v>
      </c>
      <c r="F1765" s="34" t="s">
        <v>10444</v>
      </c>
      <c r="G1765" s="34" t="s">
        <v>10456</v>
      </c>
      <c r="H1765" s="35" t="s">
        <v>10457</v>
      </c>
      <c r="I1765" s="36" t="s">
        <v>10458</v>
      </c>
      <c r="J1765" s="34" t="s">
        <v>10459</v>
      </c>
      <c r="K1765" s="34" t="s">
        <v>7275</v>
      </c>
      <c r="L1765" s="37"/>
      <c r="M1765" s="37"/>
      <c r="N1765" s="37"/>
      <c r="O1765" s="37"/>
      <c r="P1765" s="37"/>
      <c r="Q1765" s="37"/>
      <c r="R1765" s="31" t="n">
        <f aca="false">COUNT($M1765:$Q1765)</f>
        <v>0</v>
      </c>
      <c r="S1765" s="32" t="str">
        <f aca="false">IF($L1765="","",IF($R1765&gt;=5,"",MAX($L1765:$Q1765)+CHOOSE($R1765+1,SETTINGS!$C$9,SETTINGS!$C$10,SETTINGS!$C$11,SETTINGS!$C$12,SETTINGS!$C$13)))</f>
        <v/>
      </c>
      <c r="T1765" s="34" t="str">
        <f aca="true">IF($H1765="","(chưa có nội dung)",IF($L1765="",IF($C1765&lt;TODAY(),"⚠ TRỄ HỌC",IF($C1765=TODAY(),"★ HỌC HÔM NAY","• Chưa tới")),IF($R1765&gt;=5,"✔ MASTER",IF($S1765&lt;TODAY(),"⚠ TRỄ ÔN",IF($S1765=TODAY(),"◆ ÔN HÔM NAY","✔ Đúng tiến độ")))))</f>
        <v>• Chưa tới</v>
      </c>
      <c r="U1765" s="38" t="n">
        <f aca="false">IF($H1765="","",$R1765/5)</f>
        <v>0</v>
      </c>
    </row>
    <row r="1766" customFormat="false" ht="15" hidden="false" customHeight="false" outlineLevel="0" collapsed="false">
      <c r="A1766" s="31" t="s">
        <v>10460</v>
      </c>
      <c r="B1766" s="31" t="n">
        <v>89</v>
      </c>
      <c r="C1766" s="32" t="n">
        <f aca="false">SETTINGS!$C$3+$B1766-1</f>
        <v>46388</v>
      </c>
      <c r="D1766" s="41" t="s">
        <v>7168</v>
      </c>
      <c r="E1766" s="34" t="s">
        <v>10443</v>
      </c>
      <c r="F1766" s="34" t="s">
        <v>10444</v>
      </c>
      <c r="G1766" s="34" t="s">
        <v>10461</v>
      </c>
      <c r="H1766" s="35" t="s">
        <v>10462</v>
      </c>
      <c r="I1766" s="36" t="s">
        <v>10463</v>
      </c>
      <c r="J1766" s="34" t="s">
        <v>10464</v>
      </c>
      <c r="K1766" s="34" t="s">
        <v>2551</v>
      </c>
      <c r="L1766" s="37"/>
      <c r="M1766" s="37"/>
      <c r="N1766" s="37"/>
      <c r="O1766" s="37"/>
      <c r="P1766" s="37"/>
      <c r="Q1766" s="37"/>
      <c r="R1766" s="31" t="n">
        <f aca="false">COUNT($M1766:$Q1766)</f>
        <v>0</v>
      </c>
      <c r="S1766" s="32" t="str">
        <f aca="false">IF($L1766="","",IF($R1766&gt;=5,"",MAX($L1766:$Q1766)+CHOOSE($R1766+1,SETTINGS!$C$9,SETTINGS!$C$10,SETTINGS!$C$11,SETTINGS!$C$12,SETTINGS!$C$13)))</f>
        <v/>
      </c>
      <c r="T1766" s="34" t="str">
        <f aca="true">IF($H1766="","(chưa có nội dung)",IF($L1766="",IF($C1766&lt;TODAY(),"⚠ TRỄ HỌC",IF($C1766=TODAY(),"★ HỌC HÔM NAY","• Chưa tới")),IF($R1766&gt;=5,"✔ MASTER",IF($S1766&lt;TODAY(),"⚠ TRỄ ÔN",IF($S1766=TODAY(),"◆ ÔN HÔM NAY","✔ Đúng tiến độ")))))</f>
        <v>• Chưa tới</v>
      </c>
      <c r="U1766" s="38" t="n">
        <f aca="false">IF($H1766="","",$R1766/5)</f>
        <v>0</v>
      </c>
    </row>
    <row r="1767" customFormat="false" ht="26.85" hidden="false" customHeight="false" outlineLevel="0" collapsed="false">
      <c r="A1767" s="31" t="s">
        <v>10465</v>
      </c>
      <c r="B1767" s="31" t="n">
        <v>89</v>
      </c>
      <c r="C1767" s="32" t="n">
        <f aca="false">SETTINGS!$C$3+$B1767-1</f>
        <v>46388</v>
      </c>
      <c r="D1767" s="41" t="s">
        <v>7168</v>
      </c>
      <c r="E1767" s="34" t="s">
        <v>10443</v>
      </c>
      <c r="F1767" s="34" t="s">
        <v>10444</v>
      </c>
      <c r="G1767" s="34" t="s">
        <v>10466</v>
      </c>
      <c r="H1767" s="35" t="s">
        <v>10467</v>
      </c>
      <c r="I1767" s="36" t="s">
        <v>10468</v>
      </c>
      <c r="J1767" s="34" t="s">
        <v>10469</v>
      </c>
      <c r="K1767" s="34" t="s">
        <v>703</v>
      </c>
      <c r="L1767" s="37"/>
      <c r="M1767" s="37"/>
      <c r="N1767" s="37"/>
      <c r="O1767" s="37"/>
      <c r="P1767" s="37"/>
      <c r="Q1767" s="37"/>
      <c r="R1767" s="31" t="n">
        <f aca="false">COUNT($M1767:$Q1767)</f>
        <v>0</v>
      </c>
      <c r="S1767" s="32" t="str">
        <f aca="false">IF($L1767="","",IF($R1767&gt;=5,"",MAX($L1767:$Q1767)+CHOOSE($R1767+1,SETTINGS!$C$9,SETTINGS!$C$10,SETTINGS!$C$11,SETTINGS!$C$12,SETTINGS!$C$13)))</f>
        <v/>
      </c>
      <c r="T1767" s="34" t="str">
        <f aca="true">IF($H1767="","(chưa có nội dung)",IF($L1767="",IF($C1767&lt;TODAY(),"⚠ TRỄ HỌC",IF($C1767=TODAY(),"★ HỌC HÔM NAY","• Chưa tới")),IF($R1767&gt;=5,"✔ MASTER",IF($S1767&lt;TODAY(),"⚠ TRỄ ÔN",IF($S1767=TODAY(),"◆ ÔN HÔM NAY","✔ Đúng tiến độ")))))</f>
        <v>• Chưa tới</v>
      </c>
      <c r="U1767" s="38" t="n">
        <f aca="false">IF($H1767="","",$R1767/5)</f>
        <v>0</v>
      </c>
    </row>
    <row r="1768" customFormat="false" ht="15" hidden="false" customHeight="false" outlineLevel="0" collapsed="false">
      <c r="A1768" s="31" t="s">
        <v>10470</v>
      </c>
      <c r="B1768" s="31" t="n">
        <v>89</v>
      </c>
      <c r="C1768" s="32" t="n">
        <f aca="false">SETTINGS!$C$3+$B1768-1</f>
        <v>46388</v>
      </c>
      <c r="D1768" s="41" t="s">
        <v>7168</v>
      </c>
      <c r="E1768" s="34" t="s">
        <v>10443</v>
      </c>
      <c r="F1768" s="34" t="s">
        <v>10444</v>
      </c>
      <c r="G1768" s="34" t="s">
        <v>10471</v>
      </c>
      <c r="H1768" s="35" t="s">
        <v>10472</v>
      </c>
      <c r="I1768" s="36" t="s">
        <v>10473</v>
      </c>
      <c r="J1768" s="34" t="s">
        <v>10474</v>
      </c>
      <c r="K1768" s="34" t="s">
        <v>739</v>
      </c>
      <c r="L1768" s="37"/>
      <c r="M1768" s="37"/>
      <c r="N1768" s="37"/>
      <c r="O1768" s="37"/>
      <c r="P1768" s="37"/>
      <c r="Q1768" s="37"/>
      <c r="R1768" s="31" t="n">
        <f aca="false">COUNT($M1768:$Q1768)</f>
        <v>0</v>
      </c>
      <c r="S1768" s="32" t="str">
        <f aca="false">IF($L1768="","",IF($R1768&gt;=5,"",MAX($L1768:$Q1768)+CHOOSE($R1768+1,SETTINGS!$C$9,SETTINGS!$C$10,SETTINGS!$C$11,SETTINGS!$C$12,SETTINGS!$C$13)))</f>
        <v/>
      </c>
      <c r="T1768" s="34" t="str">
        <f aca="true">IF($H1768="","(chưa có nội dung)",IF($L1768="",IF($C1768&lt;TODAY(),"⚠ TRỄ HỌC",IF($C1768=TODAY(),"★ HỌC HÔM NAY","• Chưa tới")),IF($R1768&gt;=5,"✔ MASTER",IF($S1768&lt;TODAY(),"⚠ TRỄ ÔN",IF($S1768=TODAY(),"◆ ÔN HÔM NAY","✔ Đúng tiến độ")))))</f>
        <v>• Chưa tới</v>
      </c>
      <c r="U1768" s="38" t="n">
        <f aca="false">IF($H1768="","",$R1768/5)</f>
        <v>0</v>
      </c>
    </row>
    <row r="1769" customFormat="false" ht="15" hidden="false" customHeight="false" outlineLevel="0" collapsed="false">
      <c r="A1769" s="31" t="s">
        <v>10475</v>
      </c>
      <c r="B1769" s="31" t="n">
        <v>89</v>
      </c>
      <c r="C1769" s="32" t="n">
        <f aca="false">SETTINGS!$C$3+$B1769-1</f>
        <v>46388</v>
      </c>
      <c r="D1769" s="41" t="s">
        <v>7168</v>
      </c>
      <c r="E1769" s="34" t="s">
        <v>10443</v>
      </c>
      <c r="F1769" s="34" t="s">
        <v>10444</v>
      </c>
      <c r="G1769" s="34" t="s">
        <v>10476</v>
      </c>
      <c r="H1769" s="35" t="s">
        <v>10477</v>
      </c>
      <c r="I1769" s="36" t="s">
        <v>10478</v>
      </c>
      <c r="J1769" s="34" t="s">
        <v>10479</v>
      </c>
      <c r="K1769" s="34" t="s">
        <v>2166</v>
      </c>
      <c r="L1769" s="37"/>
      <c r="M1769" s="37"/>
      <c r="N1769" s="37"/>
      <c r="O1769" s="37"/>
      <c r="P1769" s="37"/>
      <c r="Q1769" s="37"/>
      <c r="R1769" s="31" t="n">
        <f aca="false">COUNT($M1769:$Q1769)</f>
        <v>0</v>
      </c>
      <c r="S1769" s="32" t="str">
        <f aca="false">IF($L1769="","",IF($R1769&gt;=5,"",MAX($L1769:$Q1769)+CHOOSE($R1769+1,SETTINGS!$C$9,SETTINGS!$C$10,SETTINGS!$C$11,SETTINGS!$C$12,SETTINGS!$C$13)))</f>
        <v/>
      </c>
      <c r="T1769" s="34" t="str">
        <f aca="true">IF($H1769="","(chưa có nội dung)",IF($L1769="",IF($C1769&lt;TODAY(),"⚠ TRỄ HỌC",IF($C1769=TODAY(),"★ HỌC HÔM NAY","• Chưa tới")),IF($R1769&gt;=5,"✔ MASTER",IF($S1769&lt;TODAY(),"⚠ TRỄ ÔN",IF($S1769=TODAY(),"◆ ÔN HÔM NAY","✔ Đúng tiến độ")))))</f>
        <v>• Chưa tới</v>
      </c>
      <c r="U1769" s="38" t="n">
        <f aca="false">IF($H1769="","",$R1769/5)</f>
        <v>0</v>
      </c>
    </row>
    <row r="1770" customFormat="false" ht="15" hidden="false" customHeight="false" outlineLevel="0" collapsed="false">
      <c r="A1770" s="31" t="s">
        <v>10480</v>
      </c>
      <c r="B1770" s="31" t="n">
        <v>89</v>
      </c>
      <c r="C1770" s="32" t="n">
        <f aca="false">SETTINGS!$C$3+$B1770-1</f>
        <v>46388</v>
      </c>
      <c r="D1770" s="41" t="s">
        <v>7168</v>
      </c>
      <c r="E1770" s="34" t="s">
        <v>10443</v>
      </c>
      <c r="F1770" s="34" t="s">
        <v>10444</v>
      </c>
      <c r="G1770" s="34" t="s">
        <v>10481</v>
      </c>
      <c r="H1770" s="35" t="s">
        <v>10482</v>
      </c>
      <c r="I1770" s="36" t="s">
        <v>10483</v>
      </c>
      <c r="J1770" s="34" t="s">
        <v>10484</v>
      </c>
      <c r="K1770" s="34" t="s">
        <v>10485</v>
      </c>
      <c r="L1770" s="37"/>
      <c r="M1770" s="37"/>
      <c r="N1770" s="37"/>
      <c r="O1770" s="37"/>
      <c r="P1770" s="37"/>
      <c r="Q1770" s="37"/>
      <c r="R1770" s="31" t="n">
        <f aca="false">COUNT($M1770:$Q1770)</f>
        <v>0</v>
      </c>
      <c r="S1770" s="32" t="str">
        <f aca="false">IF($L1770="","",IF($R1770&gt;=5,"",MAX($L1770:$Q1770)+CHOOSE($R1770+1,SETTINGS!$C$9,SETTINGS!$C$10,SETTINGS!$C$11,SETTINGS!$C$12,SETTINGS!$C$13)))</f>
        <v/>
      </c>
      <c r="T1770" s="34" t="str">
        <f aca="true">IF($H1770="","(chưa có nội dung)",IF($L1770="",IF($C1770&lt;TODAY(),"⚠ TRỄ HỌC",IF($C1770=TODAY(),"★ HỌC HÔM NAY","• Chưa tới")),IF($R1770&gt;=5,"✔ MASTER",IF($S1770&lt;TODAY(),"⚠ TRỄ ÔN",IF($S1770=TODAY(),"◆ ÔN HÔM NAY","✔ Đúng tiến độ")))))</f>
        <v>• Chưa tới</v>
      </c>
      <c r="U1770" s="38" t="n">
        <f aca="false">IF($H1770="","",$R1770/5)</f>
        <v>0</v>
      </c>
    </row>
    <row r="1771" customFormat="false" ht="15" hidden="false" customHeight="false" outlineLevel="0" collapsed="false">
      <c r="A1771" s="31" t="s">
        <v>10486</v>
      </c>
      <c r="B1771" s="31" t="n">
        <v>89</v>
      </c>
      <c r="C1771" s="32" t="n">
        <f aca="false">SETTINGS!$C$3+$B1771-1</f>
        <v>46388</v>
      </c>
      <c r="D1771" s="41" t="s">
        <v>7168</v>
      </c>
      <c r="E1771" s="34" t="s">
        <v>10443</v>
      </c>
      <c r="F1771" s="34" t="s">
        <v>10444</v>
      </c>
      <c r="G1771" s="34" t="s">
        <v>10487</v>
      </c>
      <c r="H1771" s="35" t="s">
        <v>10488</v>
      </c>
      <c r="I1771" s="36" t="s">
        <v>10489</v>
      </c>
      <c r="J1771" s="34" t="s">
        <v>10490</v>
      </c>
      <c r="K1771" s="34" t="s">
        <v>10491</v>
      </c>
      <c r="L1771" s="37"/>
      <c r="M1771" s="37"/>
      <c r="N1771" s="37"/>
      <c r="O1771" s="37"/>
      <c r="P1771" s="37"/>
      <c r="Q1771" s="37"/>
      <c r="R1771" s="31" t="n">
        <f aca="false">COUNT($M1771:$Q1771)</f>
        <v>0</v>
      </c>
      <c r="S1771" s="32" t="str">
        <f aca="false">IF($L1771="","",IF($R1771&gt;=5,"",MAX($L1771:$Q1771)+CHOOSE($R1771+1,SETTINGS!$C$9,SETTINGS!$C$10,SETTINGS!$C$11,SETTINGS!$C$12,SETTINGS!$C$13)))</f>
        <v/>
      </c>
      <c r="T1771" s="34" t="str">
        <f aca="true">IF($H1771="","(chưa có nội dung)",IF($L1771="",IF($C1771&lt;TODAY(),"⚠ TRỄ HỌC",IF($C1771=TODAY(),"★ HỌC HÔM NAY","• Chưa tới")),IF($R1771&gt;=5,"✔ MASTER",IF($S1771&lt;TODAY(),"⚠ TRỄ ÔN",IF($S1771=TODAY(),"◆ ÔN HÔM NAY","✔ Đúng tiến độ")))))</f>
        <v>• Chưa tới</v>
      </c>
      <c r="U1771" s="38" t="n">
        <f aca="false">IF($H1771="","",$R1771/5)</f>
        <v>0</v>
      </c>
    </row>
    <row r="1772" customFormat="false" ht="15" hidden="false" customHeight="false" outlineLevel="0" collapsed="false">
      <c r="A1772" s="31" t="s">
        <v>10492</v>
      </c>
      <c r="B1772" s="31" t="n">
        <v>89</v>
      </c>
      <c r="C1772" s="32" t="n">
        <f aca="false">SETTINGS!$C$3+$B1772-1</f>
        <v>46388</v>
      </c>
      <c r="D1772" s="41" t="s">
        <v>7168</v>
      </c>
      <c r="E1772" s="34" t="s">
        <v>10443</v>
      </c>
      <c r="F1772" s="34" t="s">
        <v>10444</v>
      </c>
      <c r="G1772" s="34" t="s">
        <v>10493</v>
      </c>
      <c r="H1772" s="35" t="s">
        <v>10494</v>
      </c>
      <c r="I1772" s="36" t="s">
        <v>10495</v>
      </c>
      <c r="J1772" s="34" t="s">
        <v>10496</v>
      </c>
      <c r="K1772" s="34" t="s">
        <v>1004</v>
      </c>
      <c r="L1772" s="37"/>
      <c r="M1772" s="37"/>
      <c r="N1772" s="37"/>
      <c r="O1772" s="37"/>
      <c r="P1772" s="37"/>
      <c r="Q1772" s="37"/>
      <c r="R1772" s="31" t="n">
        <f aca="false">COUNT($M1772:$Q1772)</f>
        <v>0</v>
      </c>
      <c r="S1772" s="32" t="str">
        <f aca="false">IF($L1772="","",IF($R1772&gt;=5,"",MAX($L1772:$Q1772)+CHOOSE($R1772+1,SETTINGS!$C$9,SETTINGS!$C$10,SETTINGS!$C$11,SETTINGS!$C$12,SETTINGS!$C$13)))</f>
        <v/>
      </c>
      <c r="T1772" s="34" t="str">
        <f aca="true">IF($H1772="","(chưa có nội dung)",IF($L1772="",IF($C1772&lt;TODAY(),"⚠ TRỄ HỌC",IF($C1772=TODAY(),"★ HỌC HÔM NAY","• Chưa tới")),IF($R1772&gt;=5,"✔ MASTER",IF($S1772&lt;TODAY(),"⚠ TRỄ ÔN",IF($S1772=TODAY(),"◆ ÔN HÔM NAY","✔ Đúng tiến độ")))))</f>
        <v>• Chưa tới</v>
      </c>
      <c r="U1772" s="38" t="n">
        <f aca="false">IF($H1772="","",$R1772/5)</f>
        <v>0</v>
      </c>
    </row>
    <row r="1773" customFormat="false" ht="15" hidden="false" customHeight="false" outlineLevel="0" collapsed="false">
      <c r="A1773" s="31" t="s">
        <v>10497</v>
      </c>
      <c r="B1773" s="31" t="n">
        <v>89</v>
      </c>
      <c r="C1773" s="32" t="n">
        <f aca="false">SETTINGS!$C$3+$B1773-1</f>
        <v>46388</v>
      </c>
      <c r="D1773" s="41" t="s">
        <v>7168</v>
      </c>
      <c r="E1773" s="34" t="s">
        <v>10443</v>
      </c>
      <c r="F1773" s="34" t="s">
        <v>10444</v>
      </c>
      <c r="G1773" s="34" t="s">
        <v>10498</v>
      </c>
      <c r="H1773" s="35" t="s">
        <v>10499</v>
      </c>
      <c r="I1773" s="36" t="s">
        <v>10500</v>
      </c>
      <c r="J1773" s="34" t="s">
        <v>10501</v>
      </c>
      <c r="K1773" s="34" t="s">
        <v>5513</v>
      </c>
      <c r="L1773" s="37"/>
      <c r="M1773" s="37"/>
      <c r="N1773" s="37"/>
      <c r="O1773" s="37"/>
      <c r="P1773" s="37"/>
      <c r="Q1773" s="37"/>
      <c r="R1773" s="31" t="n">
        <f aca="false">COUNT($M1773:$Q1773)</f>
        <v>0</v>
      </c>
      <c r="S1773" s="32" t="str">
        <f aca="false">IF($L1773="","",IF($R1773&gt;=5,"",MAX($L1773:$Q1773)+CHOOSE($R1773+1,SETTINGS!$C$9,SETTINGS!$C$10,SETTINGS!$C$11,SETTINGS!$C$12,SETTINGS!$C$13)))</f>
        <v/>
      </c>
      <c r="T1773" s="34" t="str">
        <f aca="true">IF($H1773="","(chưa có nội dung)",IF($L1773="",IF($C1773&lt;TODAY(),"⚠ TRỄ HỌC",IF($C1773=TODAY(),"★ HỌC HÔM NAY","• Chưa tới")),IF($R1773&gt;=5,"✔ MASTER",IF($S1773&lt;TODAY(),"⚠ TRỄ ÔN",IF($S1773=TODAY(),"◆ ÔN HÔM NAY","✔ Đúng tiến độ")))))</f>
        <v>• Chưa tới</v>
      </c>
      <c r="U1773" s="38" t="n">
        <f aca="false">IF($H1773="","",$R1773/5)</f>
        <v>0</v>
      </c>
    </row>
    <row r="1774" customFormat="false" ht="26.85" hidden="false" customHeight="false" outlineLevel="0" collapsed="false">
      <c r="A1774" s="31" t="s">
        <v>10502</v>
      </c>
      <c r="B1774" s="31" t="n">
        <v>89</v>
      </c>
      <c r="C1774" s="32" t="n">
        <f aca="false">SETTINGS!$C$3+$B1774-1</f>
        <v>46388</v>
      </c>
      <c r="D1774" s="41" t="s">
        <v>7168</v>
      </c>
      <c r="E1774" s="34" t="s">
        <v>10443</v>
      </c>
      <c r="F1774" s="34" t="s">
        <v>10444</v>
      </c>
      <c r="G1774" s="34" t="s">
        <v>10503</v>
      </c>
      <c r="H1774" s="35" t="s">
        <v>10504</v>
      </c>
      <c r="I1774" s="36" t="s">
        <v>10505</v>
      </c>
      <c r="J1774" s="34" t="s">
        <v>10506</v>
      </c>
      <c r="K1774" s="34" t="s">
        <v>3684</v>
      </c>
      <c r="L1774" s="37"/>
      <c r="M1774" s="37"/>
      <c r="N1774" s="37"/>
      <c r="O1774" s="37"/>
      <c r="P1774" s="37"/>
      <c r="Q1774" s="37"/>
      <c r="R1774" s="31" t="n">
        <f aca="false">COUNT($M1774:$Q1774)</f>
        <v>0</v>
      </c>
      <c r="S1774" s="32" t="str">
        <f aca="false">IF($L1774="","",IF($R1774&gt;=5,"",MAX($L1774:$Q1774)+CHOOSE($R1774+1,SETTINGS!$C$9,SETTINGS!$C$10,SETTINGS!$C$11,SETTINGS!$C$12,SETTINGS!$C$13)))</f>
        <v/>
      </c>
      <c r="T1774" s="34" t="str">
        <f aca="true">IF($H1774="","(chưa có nội dung)",IF($L1774="",IF($C1774&lt;TODAY(),"⚠ TRỄ HỌC",IF($C1774=TODAY(),"★ HỌC HÔM NAY","• Chưa tới")),IF($R1774&gt;=5,"✔ MASTER",IF($S1774&lt;TODAY(),"⚠ TRỄ ÔN",IF($S1774=TODAY(),"◆ ÔN HÔM NAY","✔ Đúng tiến độ")))))</f>
        <v>• Chưa tới</v>
      </c>
      <c r="U1774" s="38" t="n">
        <f aca="false">IF($H1774="","",$R1774/5)</f>
        <v>0</v>
      </c>
    </row>
    <row r="1775" customFormat="false" ht="26.85" hidden="false" customHeight="false" outlineLevel="0" collapsed="false">
      <c r="A1775" s="31" t="s">
        <v>10507</v>
      </c>
      <c r="B1775" s="31" t="n">
        <v>89</v>
      </c>
      <c r="C1775" s="32" t="n">
        <f aca="false">SETTINGS!$C$3+$B1775-1</f>
        <v>46388</v>
      </c>
      <c r="D1775" s="41" t="s">
        <v>7168</v>
      </c>
      <c r="E1775" s="34" t="s">
        <v>10443</v>
      </c>
      <c r="F1775" s="34" t="s">
        <v>10444</v>
      </c>
      <c r="G1775" s="34" t="s">
        <v>10508</v>
      </c>
      <c r="H1775" s="35" t="s">
        <v>10509</v>
      </c>
      <c r="I1775" s="36" t="s">
        <v>10510</v>
      </c>
      <c r="J1775" s="34" t="s">
        <v>10511</v>
      </c>
      <c r="K1775" s="34" t="s">
        <v>10512</v>
      </c>
      <c r="L1775" s="37"/>
      <c r="M1775" s="37"/>
      <c r="N1775" s="37"/>
      <c r="O1775" s="37"/>
      <c r="P1775" s="37"/>
      <c r="Q1775" s="37"/>
      <c r="R1775" s="31" t="n">
        <f aca="false">COUNT($M1775:$Q1775)</f>
        <v>0</v>
      </c>
      <c r="S1775" s="32" t="str">
        <f aca="false">IF($L1775="","",IF($R1775&gt;=5,"",MAX($L1775:$Q1775)+CHOOSE($R1775+1,SETTINGS!$C$9,SETTINGS!$C$10,SETTINGS!$C$11,SETTINGS!$C$12,SETTINGS!$C$13)))</f>
        <v/>
      </c>
      <c r="T1775" s="34" t="str">
        <f aca="true">IF($H1775="","(chưa có nội dung)",IF($L1775="",IF($C1775&lt;TODAY(),"⚠ TRỄ HỌC",IF($C1775=TODAY(),"★ HỌC HÔM NAY","• Chưa tới")),IF($R1775&gt;=5,"✔ MASTER",IF($S1775&lt;TODAY(),"⚠ TRỄ ÔN",IF($S1775=TODAY(),"◆ ÔN HÔM NAY","✔ Đúng tiến độ")))))</f>
        <v>• Chưa tới</v>
      </c>
      <c r="U1775" s="38" t="n">
        <f aca="false">IF($H1775="","",$R1775/5)</f>
        <v>0</v>
      </c>
    </row>
    <row r="1776" customFormat="false" ht="15" hidden="false" customHeight="false" outlineLevel="0" collapsed="false">
      <c r="A1776" s="31" t="s">
        <v>10513</v>
      </c>
      <c r="B1776" s="31" t="n">
        <v>89</v>
      </c>
      <c r="C1776" s="32" t="n">
        <f aca="false">SETTINGS!$C$3+$B1776-1</f>
        <v>46388</v>
      </c>
      <c r="D1776" s="41" t="s">
        <v>7168</v>
      </c>
      <c r="E1776" s="34" t="s">
        <v>10443</v>
      </c>
      <c r="F1776" s="34" t="s">
        <v>10444</v>
      </c>
      <c r="G1776" s="34" t="s">
        <v>10514</v>
      </c>
      <c r="H1776" s="35" t="s">
        <v>10515</v>
      </c>
      <c r="I1776" s="36" t="s">
        <v>10516</v>
      </c>
      <c r="J1776" s="34" t="s">
        <v>10517</v>
      </c>
      <c r="K1776" s="34" t="s">
        <v>10518</v>
      </c>
      <c r="L1776" s="37"/>
      <c r="M1776" s="37"/>
      <c r="N1776" s="37"/>
      <c r="O1776" s="37"/>
      <c r="P1776" s="37"/>
      <c r="Q1776" s="37"/>
      <c r="R1776" s="31" t="n">
        <f aca="false">COUNT($M1776:$Q1776)</f>
        <v>0</v>
      </c>
      <c r="S1776" s="32" t="str">
        <f aca="false">IF($L1776="","",IF($R1776&gt;=5,"",MAX($L1776:$Q1776)+CHOOSE($R1776+1,SETTINGS!$C$9,SETTINGS!$C$10,SETTINGS!$C$11,SETTINGS!$C$12,SETTINGS!$C$13)))</f>
        <v/>
      </c>
      <c r="T1776" s="34" t="str">
        <f aca="true">IF($H1776="","(chưa có nội dung)",IF($L1776="",IF($C1776&lt;TODAY(),"⚠ TRỄ HỌC",IF($C1776=TODAY(),"★ HỌC HÔM NAY","• Chưa tới")),IF($R1776&gt;=5,"✔ MASTER",IF($S1776&lt;TODAY(),"⚠ TRỄ ÔN",IF($S1776=TODAY(),"◆ ÔN HÔM NAY","✔ Đúng tiến độ")))))</f>
        <v>• Chưa tới</v>
      </c>
      <c r="U1776" s="38" t="n">
        <f aca="false">IF($H1776="","",$R1776/5)</f>
        <v>0</v>
      </c>
    </row>
    <row r="1777" customFormat="false" ht="15" hidden="false" customHeight="false" outlineLevel="0" collapsed="false">
      <c r="A1777" s="31" t="s">
        <v>10519</v>
      </c>
      <c r="B1777" s="31" t="n">
        <v>89</v>
      </c>
      <c r="C1777" s="32" t="n">
        <f aca="false">SETTINGS!$C$3+$B1777-1</f>
        <v>46388</v>
      </c>
      <c r="D1777" s="41" t="s">
        <v>7168</v>
      </c>
      <c r="E1777" s="34" t="s">
        <v>10443</v>
      </c>
      <c r="F1777" s="34" t="s">
        <v>10444</v>
      </c>
      <c r="G1777" s="34" t="s">
        <v>10520</v>
      </c>
      <c r="H1777" s="35" t="s">
        <v>10521</v>
      </c>
      <c r="I1777" s="36" t="s">
        <v>10522</v>
      </c>
      <c r="J1777" s="34" t="s">
        <v>10523</v>
      </c>
      <c r="K1777" s="34" t="s">
        <v>4363</v>
      </c>
      <c r="L1777" s="37"/>
      <c r="M1777" s="37"/>
      <c r="N1777" s="37"/>
      <c r="O1777" s="37"/>
      <c r="P1777" s="37"/>
      <c r="Q1777" s="37"/>
      <c r="R1777" s="31" t="n">
        <f aca="false">COUNT($M1777:$Q1777)</f>
        <v>0</v>
      </c>
      <c r="S1777" s="32" t="str">
        <f aca="false">IF($L1777="","",IF($R1777&gt;=5,"",MAX($L1777:$Q1777)+CHOOSE($R1777+1,SETTINGS!$C$9,SETTINGS!$C$10,SETTINGS!$C$11,SETTINGS!$C$12,SETTINGS!$C$13)))</f>
        <v/>
      </c>
      <c r="T1777" s="34" t="str">
        <f aca="true">IF($H1777="","(chưa có nội dung)",IF($L1777="",IF($C1777&lt;TODAY(),"⚠ TRỄ HỌC",IF($C1777=TODAY(),"★ HỌC HÔM NAY","• Chưa tới")),IF($R1777&gt;=5,"✔ MASTER",IF($S1777&lt;TODAY(),"⚠ TRỄ ÔN",IF($S1777=TODAY(),"◆ ÔN HÔM NAY","✔ Đúng tiến độ")))))</f>
        <v>• Chưa tới</v>
      </c>
      <c r="U1777" s="38" t="n">
        <f aca="false">IF($H1777="","",$R1777/5)</f>
        <v>0</v>
      </c>
    </row>
    <row r="1778" customFormat="false" ht="15" hidden="false" customHeight="false" outlineLevel="0" collapsed="false">
      <c r="A1778" s="31" t="s">
        <v>10524</v>
      </c>
      <c r="B1778" s="31" t="n">
        <v>89</v>
      </c>
      <c r="C1778" s="32" t="n">
        <f aca="false">SETTINGS!$C$3+$B1778-1</f>
        <v>46388</v>
      </c>
      <c r="D1778" s="41" t="s">
        <v>7168</v>
      </c>
      <c r="E1778" s="34" t="s">
        <v>10443</v>
      </c>
      <c r="F1778" s="34" t="s">
        <v>10444</v>
      </c>
      <c r="G1778" s="34" t="s">
        <v>10525</v>
      </c>
      <c r="H1778" s="35" t="s">
        <v>10526</v>
      </c>
      <c r="I1778" s="36" t="s">
        <v>10527</v>
      </c>
      <c r="J1778" s="34" t="s">
        <v>10528</v>
      </c>
      <c r="K1778" s="34" t="s">
        <v>10529</v>
      </c>
      <c r="L1778" s="37"/>
      <c r="M1778" s="37"/>
      <c r="N1778" s="37"/>
      <c r="O1778" s="37"/>
      <c r="P1778" s="37"/>
      <c r="Q1778" s="37"/>
      <c r="R1778" s="31" t="n">
        <f aca="false">COUNT($M1778:$Q1778)</f>
        <v>0</v>
      </c>
      <c r="S1778" s="32" t="str">
        <f aca="false">IF($L1778="","",IF($R1778&gt;=5,"",MAX($L1778:$Q1778)+CHOOSE($R1778+1,SETTINGS!$C$9,SETTINGS!$C$10,SETTINGS!$C$11,SETTINGS!$C$12,SETTINGS!$C$13)))</f>
        <v/>
      </c>
      <c r="T1778" s="34" t="str">
        <f aca="true">IF($H1778="","(chưa có nội dung)",IF($L1778="",IF($C1778&lt;TODAY(),"⚠ TRỄ HỌC",IF($C1778=TODAY(),"★ HỌC HÔM NAY","• Chưa tới")),IF($R1778&gt;=5,"✔ MASTER",IF($S1778&lt;TODAY(),"⚠ TRỄ ÔN",IF($S1778=TODAY(),"◆ ÔN HÔM NAY","✔ Đúng tiến độ")))))</f>
        <v>• Chưa tới</v>
      </c>
      <c r="U1778" s="38" t="n">
        <f aca="false">IF($H1778="","",$R1778/5)</f>
        <v>0</v>
      </c>
    </row>
    <row r="1779" customFormat="false" ht="15" hidden="false" customHeight="false" outlineLevel="0" collapsed="false">
      <c r="A1779" s="31" t="s">
        <v>10530</v>
      </c>
      <c r="B1779" s="31" t="n">
        <v>89</v>
      </c>
      <c r="C1779" s="32" t="n">
        <f aca="false">SETTINGS!$C$3+$B1779-1</f>
        <v>46388</v>
      </c>
      <c r="D1779" s="41" t="s">
        <v>7168</v>
      </c>
      <c r="E1779" s="34" t="s">
        <v>10443</v>
      </c>
      <c r="F1779" s="34" t="s">
        <v>10444</v>
      </c>
      <c r="G1779" s="34" t="s">
        <v>10531</v>
      </c>
      <c r="H1779" s="35" t="s">
        <v>10532</v>
      </c>
      <c r="I1779" s="36" t="s">
        <v>10533</v>
      </c>
      <c r="J1779" s="34" t="s">
        <v>10534</v>
      </c>
      <c r="K1779" s="34" t="s">
        <v>2615</v>
      </c>
      <c r="L1779" s="37"/>
      <c r="M1779" s="37"/>
      <c r="N1779" s="37"/>
      <c r="O1779" s="37"/>
      <c r="P1779" s="37"/>
      <c r="Q1779" s="37"/>
      <c r="R1779" s="31" t="n">
        <f aca="false">COUNT($M1779:$Q1779)</f>
        <v>0</v>
      </c>
      <c r="S1779" s="32" t="str">
        <f aca="false">IF($L1779="","",IF($R1779&gt;=5,"",MAX($L1779:$Q1779)+CHOOSE($R1779+1,SETTINGS!$C$9,SETTINGS!$C$10,SETTINGS!$C$11,SETTINGS!$C$12,SETTINGS!$C$13)))</f>
        <v/>
      </c>
      <c r="T1779" s="34" t="str">
        <f aca="true">IF($H1779="","(chưa có nội dung)",IF($L1779="",IF($C1779&lt;TODAY(),"⚠ TRỄ HỌC",IF($C1779=TODAY(),"★ HỌC HÔM NAY","• Chưa tới")),IF($R1779&gt;=5,"✔ MASTER",IF($S1779&lt;TODAY(),"⚠ TRỄ ÔN",IF($S1779=TODAY(),"◆ ÔN HÔM NAY","✔ Đúng tiến độ")))))</f>
        <v>• Chưa tới</v>
      </c>
      <c r="U1779" s="38" t="n">
        <f aca="false">IF($H1779="","",$R1779/5)</f>
        <v>0</v>
      </c>
    </row>
    <row r="1780" customFormat="false" ht="15" hidden="false" customHeight="false" outlineLevel="0" collapsed="false">
      <c r="A1780" s="31" t="s">
        <v>10535</v>
      </c>
      <c r="B1780" s="31" t="n">
        <v>89</v>
      </c>
      <c r="C1780" s="32" t="n">
        <f aca="false">SETTINGS!$C$3+$B1780-1</f>
        <v>46388</v>
      </c>
      <c r="D1780" s="41" t="s">
        <v>7168</v>
      </c>
      <c r="E1780" s="34" t="s">
        <v>10443</v>
      </c>
      <c r="F1780" s="34" t="s">
        <v>10444</v>
      </c>
      <c r="G1780" s="34" t="s">
        <v>10536</v>
      </c>
      <c r="H1780" s="35" t="s">
        <v>10537</v>
      </c>
      <c r="I1780" s="36" t="s">
        <v>10538</v>
      </c>
      <c r="J1780" s="34" t="s">
        <v>10539</v>
      </c>
      <c r="K1780" s="34" t="s">
        <v>10540</v>
      </c>
      <c r="L1780" s="37"/>
      <c r="M1780" s="37"/>
      <c r="N1780" s="37"/>
      <c r="O1780" s="37"/>
      <c r="P1780" s="37"/>
      <c r="Q1780" s="37"/>
      <c r="R1780" s="31" t="n">
        <f aca="false">COUNT($M1780:$Q1780)</f>
        <v>0</v>
      </c>
      <c r="S1780" s="32" t="str">
        <f aca="false">IF($L1780="","",IF($R1780&gt;=5,"",MAX($L1780:$Q1780)+CHOOSE($R1780+1,SETTINGS!$C$9,SETTINGS!$C$10,SETTINGS!$C$11,SETTINGS!$C$12,SETTINGS!$C$13)))</f>
        <v/>
      </c>
      <c r="T1780" s="34" t="str">
        <f aca="true">IF($H1780="","(chưa có nội dung)",IF($L1780="",IF($C1780&lt;TODAY(),"⚠ TRỄ HỌC",IF($C1780=TODAY(),"★ HỌC HÔM NAY","• Chưa tới")),IF($R1780&gt;=5,"✔ MASTER",IF($S1780&lt;TODAY(),"⚠ TRỄ ÔN",IF($S1780=TODAY(),"◆ ÔN HÔM NAY","✔ Đúng tiến độ")))))</f>
        <v>• Chưa tới</v>
      </c>
      <c r="U1780" s="38" t="n">
        <f aca="false">IF($H1780="","",$R1780/5)</f>
        <v>0</v>
      </c>
    </row>
    <row r="1781" customFormat="false" ht="26.85" hidden="false" customHeight="false" outlineLevel="0" collapsed="false">
      <c r="A1781" s="31" t="s">
        <v>10541</v>
      </c>
      <c r="B1781" s="31" t="n">
        <v>89</v>
      </c>
      <c r="C1781" s="32" t="n">
        <f aca="false">SETTINGS!$C$3+$B1781-1</f>
        <v>46388</v>
      </c>
      <c r="D1781" s="41" t="s">
        <v>7168</v>
      </c>
      <c r="E1781" s="34" t="s">
        <v>10443</v>
      </c>
      <c r="F1781" s="34" t="s">
        <v>10444</v>
      </c>
      <c r="G1781" s="34" t="s">
        <v>10542</v>
      </c>
      <c r="H1781" s="35" t="s">
        <v>10543</v>
      </c>
      <c r="I1781" s="36" t="s">
        <v>10544</v>
      </c>
      <c r="J1781" s="34" t="s">
        <v>10545</v>
      </c>
      <c r="K1781" s="34" t="s">
        <v>10546</v>
      </c>
      <c r="L1781" s="37"/>
      <c r="M1781" s="37"/>
      <c r="N1781" s="37"/>
      <c r="O1781" s="37"/>
      <c r="P1781" s="37"/>
      <c r="Q1781" s="37"/>
      <c r="R1781" s="31" t="n">
        <f aca="false">COUNT($M1781:$Q1781)</f>
        <v>0</v>
      </c>
      <c r="S1781" s="32" t="str">
        <f aca="false">IF($L1781="","",IF($R1781&gt;=5,"",MAX($L1781:$Q1781)+CHOOSE($R1781+1,SETTINGS!$C$9,SETTINGS!$C$10,SETTINGS!$C$11,SETTINGS!$C$12,SETTINGS!$C$13)))</f>
        <v/>
      </c>
      <c r="T1781" s="34" t="str">
        <f aca="true">IF($H1781="","(chưa có nội dung)",IF($L1781="",IF($C1781&lt;TODAY(),"⚠ TRỄ HỌC",IF($C1781=TODAY(),"★ HỌC HÔM NAY","• Chưa tới")),IF($R1781&gt;=5,"✔ MASTER",IF($S1781&lt;TODAY(),"⚠ TRỄ ÔN",IF($S1781=TODAY(),"◆ ÔN HÔM NAY","✔ Đúng tiến độ")))))</f>
        <v>• Chưa tới</v>
      </c>
      <c r="U1781" s="38" t="n">
        <f aca="false">IF($H1781="","",$R1781/5)</f>
        <v>0</v>
      </c>
    </row>
    <row r="1782" customFormat="false" ht="26.85" hidden="false" customHeight="false" outlineLevel="0" collapsed="false">
      <c r="A1782" s="31" t="s">
        <v>10547</v>
      </c>
      <c r="B1782" s="31" t="n">
        <v>89</v>
      </c>
      <c r="C1782" s="32" t="n">
        <f aca="false">SETTINGS!$C$3+$B1782-1</f>
        <v>46388</v>
      </c>
      <c r="D1782" s="41" t="s">
        <v>7168</v>
      </c>
      <c r="E1782" s="34" t="s">
        <v>10443</v>
      </c>
      <c r="F1782" s="34" t="s">
        <v>10444</v>
      </c>
      <c r="G1782" s="34" t="s">
        <v>1955</v>
      </c>
      <c r="H1782" s="35" t="s">
        <v>10548</v>
      </c>
      <c r="I1782" s="36" t="s">
        <v>10549</v>
      </c>
      <c r="J1782" s="34" t="s">
        <v>10550</v>
      </c>
      <c r="K1782" s="34" t="s">
        <v>1959</v>
      </c>
      <c r="L1782" s="37"/>
      <c r="M1782" s="37"/>
      <c r="N1782" s="37"/>
      <c r="O1782" s="37"/>
      <c r="P1782" s="37"/>
      <c r="Q1782" s="37"/>
      <c r="R1782" s="31" t="n">
        <f aca="false">COUNT($M1782:$Q1782)</f>
        <v>0</v>
      </c>
      <c r="S1782" s="32" t="str">
        <f aca="false">IF($L1782="","",IF($R1782&gt;=5,"",MAX($L1782:$Q1782)+CHOOSE($R1782+1,SETTINGS!$C$9,SETTINGS!$C$10,SETTINGS!$C$11,SETTINGS!$C$12,SETTINGS!$C$13)))</f>
        <v/>
      </c>
      <c r="T1782" s="34" t="str">
        <f aca="true">IF($H1782="","(chưa có nội dung)",IF($L1782="",IF($C1782&lt;TODAY(),"⚠ TRỄ HỌC",IF($C1782=TODAY(),"★ HỌC HÔM NAY","• Chưa tới")),IF($R1782&gt;=5,"✔ MASTER",IF($S1782&lt;TODAY(),"⚠ TRỄ ÔN",IF($S1782=TODAY(),"◆ ÔN HÔM NAY","✔ Đúng tiến độ")))))</f>
        <v>• Chưa tới</v>
      </c>
      <c r="U1782" s="38" t="n">
        <f aca="false">IF($H1782="","",$R1782/5)</f>
        <v>0</v>
      </c>
    </row>
    <row r="1783" customFormat="false" ht="26.85" hidden="false" customHeight="false" outlineLevel="0" collapsed="false">
      <c r="A1783" s="31" t="s">
        <v>10551</v>
      </c>
      <c r="B1783" s="31" t="n">
        <v>90</v>
      </c>
      <c r="C1783" s="32" t="n">
        <f aca="false">SETTINGS!$C$3+$B1783-1</f>
        <v>46389</v>
      </c>
      <c r="D1783" s="41" t="s">
        <v>7168</v>
      </c>
      <c r="E1783" s="34" t="s">
        <v>10552</v>
      </c>
      <c r="F1783" s="34" t="s">
        <v>10553</v>
      </c>
      <c r="G1783" s="34" t="s">
        <v>10554</v>
      </c>
      <c r="H1783" s="35" t="s">
        <v>10555</v>
      </c>
      <c r="I1783" s="36" t="s">
        <v>10556</v>
      </c>
      <c r="J1783" s="34" t="s">
        <v>10557</v>
      </c>
      <c r="K1783" s="34" t="s">
        <v>10558</v>
      </c>
      <c r="L1783" s="37"/>
      <c r="M1783" s="37"/>
      <c r="N1783" s="37"/>
      <c r="O1783" s="37"/>
      <c r="P1783" s="37"/>
      <c r="Q1783" s="37"/>
      <c r="R1783" s="31" t="n">
        <f aca="false">COUNT($M1783:$Q1783)</f>
        <v>0</v>
      </c>
      <c r="S1783" s="32" t="str">
        <f aca="false">IF($L1783="","",IF($R1783&gt;=5,"",MAX($L1783:$Q1783)+CHOOSE($R1783+1,SETTINGS!$C$9,SETTINGS!$C$10,SETTINGS!$C$11,SETTINGS!$C$12,SETTINGS!$C$13)))</f>
        <v/>
      </c>
      <c r="T1783" s="34" t="str">
        <f aca="true">IF($H1783="","(chưa có nội dung)",IF($L1783="",IF($C1783&lt;TODAY(),"⚠ TRỄ HỌC",IF($C1783=TODAY(),"★ HỌC HÔM NAY","• Chưa tới")),IF($R1783&gt;=5,"✔ MASTER",IF($S1783&lt;TODAY(),"⚠ TRỄ ÔN",IF($S1783=TODAY(),"◆ ÔN HÔM NAY","✔ Đúng tiến độ")))))</f>
        <v>• Chưa tới</v>
      </c>
      <c r="U1783" s="38" t="n">
        <f aca="false">IF($H1783="","",$R1783/5)</f>
        <v>0</v>
      </c>
    </row>
    <row r="1784" customFormat="false" ht="23.85" hidden="false" customHeight="false" outlineLevel="0" collapsed="false">
      <c r="A1784" s="31" t="s">
        <v>10559</v>
      </c>
      <c r="B1784" s="31" t="n">
        <v>90</v>
      </c>
      <c r="C1784" s="32" t="n">
        <f aca="false">SETTINGS!$C$3+$B1784-1</f>
        <v>46389</v>
      </c>
      <c r="D1784" s="41" t="s">
        <v>7168</v>
      </c>
      <c r="E1784" s="34" t="s">
        <v>10552</v>
      </c>
      <c r="F1784" s="34" t="s">
        <v>10553</v>
      </c>
      <c r="G1784" s="34" t="s">
        <v>10024</v>
      </c>
      <c r="H1784" s="35" t="s">
        <v>10560</v>
      </c>
      <c r="I1784" s="36" t="s">
        <v>10561</v>
      </c>
      <c r="J1784" s="34" t="s">
        <v>10562</v>
      </c>
      <c r="K1784" s="34" t="s">
        <v>10028</v>
      </c>
      <c r="L1784" s="37"/>
      <c r="M1784" s="37"/>
      <c r="N1784" s="37"/>
      <c r="O1784" s="37"/>
      <c r="P1784" s="37"/>
      <c r="Q1784" s="37"/>
      <c r="R1784" s="31" t="n">
        <f aca="false">COUNT($M1784:$Q1784)</f>
        <v>0</v>
      </c>
      <c r="S1784" s="32" t="str">
        <f aca="false">IF($L1784="","",IF($R1784&gt;=5,"",MAX($L1784:$Q1784)+CHOOSE($R1784+1,SETTINGS!$C$9,SETTINGS!$C$10,SETTINGS!$C$11,SETTINGS!$C$12,SETTINGS!$C$13)))</f>
        <v/>
      </c>
      <c r="T1784" s="34" t="str">
        <f aca="true">IF($H1784="","(chưa có nội dung)",IF($L1784="",IF($C1784&lt;TODAY(),"⚠ TRỄ HỌC",IF($C1784=TODAY(),"★ HỌC HÔM NAY","• Chưa tới")),IF($R1784&gt;=5,"✔ MASTER",IF($S1784&lt;TODAY(),"⚠ TRỄ ÔN",IF($S1784=TODAY(),"◆ ÔN HÔM NAY","✔ Đúng tiến độ")))))</f>
        <v>• Chưa tới</v>
      </c>
      <c r="U1784" s="38" t="n">
        <f aca="false">IF($H1784="","",$R1784/5)</f>
        <v>0</v>
      </c>
    </row>
    <row r="1785" customFormat="false" ht="26.85" hidden="false" customHeight="false" outlineLevel="0" collapsed="false">
      <c r="A1785" s="31" t="s">
        <v>10563</v>
      </c>
      <c r="B1785" s="31" t="n">
        <v>90</v>
      </c>
      <c r="C1785" s="32" t="n">
        <f aca="false">SETTINGS!$C$3+$B1785-1</f>
        <v>46389</v>
      </c>
      <c r="D1785" s="41" t="s">
        <v>7168</v>
      </c>
      <c r="E1785" s="34" t="s">
        <v>10552</v>
      </c>
      <c r="F1785" s="34" t="s">
        <v>10553</v>
      </c>
      <c r="G1785" s="34" t="s">
        <v>10564</v>
      </c>
      <c r="H1785" s="35" t="s">
        <v>10565</v>
      </c>
      <c r="I1785" s="36" t="s">
        <v>10566</v>
      </c>
      <c r="J1785" s="34" t="s">
        <v>10567</v>
      </c>
      <c r="K1785" s="34" t="s">
        <v>10568</v>
      </c>
      <c r="L1785" s="37"/>
      <c r="M1785" s="37"/>
      <c r="N1785" s="37"/>
      <c r="O1785" s="37"/>
      <c r="P1785" s="37"/>
      <c r="Q1785" s="37"/>
      <c r="R1785" s="31" t="n">
        <f aca="false">COUNT($M1785:$Q1785)</f>
        <v>0</v>
      </c>
      <c r="S1785" s="32" t="str">
        <f aca="false">IF($L1785="","",IF($R1785&gt;=5,"",MAX($L1785:$Q1785)+CHOOSE($R1785+1,SETTINGS!$C$9,SETTINGS!$C$10,SETTINGS!$C$11,SETTINGS!$C$12,SETTINGS!$C$13)))</f>
        <v/>
      </c>
      <c r="T1785" s="34" t="str">
        <f aca="true">IF($H1785="","(chưa có nội dung)",IF($L1785="",IF($C1785&lt;TODAY(),"⚠ TRỄ HỌC",IF($C1785=TODAY(),"★ HỌC HÔM NAY","• Chưa tới")),IF($R1785&gt;=5,"✔ MASTER",IF($S1785&lt;TODAY(),"⚠ TRỄ ÔN",IF($S1785=TODAY(),"◆ ÔN HÔM NAY","✔ Đúng tiến độ")))))</f>
        <v>• Chưa tới</v>
      </c>
      <c r="U1785" s="38" t="n">
        <f aca="false">IF($H1785="","",$R1785/5)</f>
        <v>0</v>
      </c>
    </row>
    <row r="1786" customFormat="false" ht="23.85" hidden="false" customHeight="false" outlineLevel="0" collapsed="false">
      <c r="A1786" s="31" t="s">
        <v>10569</v>
      </c>
      <c r="B1786" s="31" t="n">
        <v>90</v>
      </c>
      <c r="C1786" s="32" t="n">
        <f aca="false">SETTINGS!$C$3+$B1786-1</f>
        <v>46389</v>
      </c>
      <c r="D1786" s="41" t="s">
        <v>7168</v>
      </c>
      <c r="E1786" s="34" t="s">
        <v>10552</v>
      </c>
      <c r="F1786" s="34" t="s">
        <v>10553</v>
      </c>
      <c r="G1786" s="34" t="s">
        <v>10570</v>
      </c>
      <c r="H1786" s="35" t="s">
        <v>10571</v>
      </c>
      <c r="I1786" s="36" t="s">
        <v>10572</v>
      </c>
      <c r="J1786" s="34" t="s">
        <v>10573</v>
      </c>
      <c r="K1786" s="34" t="s">
        <v>10574</v>
      </c>
      <c r="L1786" s="37"/>
      <c r="M1786" s="37"/>
      <c r="N1786" s="37"/>
      <c r="O1786" s="37"/>
      <c r="P1786" s="37"/>
      <c r="Q1786" s="37"/>
      <c r="R1786" s="31" t="n">
        <f aca="false">COUNT($M1786:$Q1786)</f>
        <v>0</v>
      </c>
      <c r="S1786" s="32" t="str">
        <f aca="false">IF($L1786="","",IF($R1786&gt;=5,"",MAX($L1786:$Q1786)+CHOOSE($R1786+1,SETTINGS!$C$9,SETTINGS!$C$10,SETTINGS!$C$11,SETTINGS!$C$12,SETTINGS!$C$13)))</f>
        <v/>
      </c>
      <c r="T1786" s="34" t="str">
        <f aca="true">IF($H1786="","(chưa có nội dung)",IF($L1786="",IF($C1786&lt;TODAY(),"⚠ TRỄ HỌC",IF($C1786=TODAY(),"★ HỌC HÔM NAY","• Chưa tới")),IF($R1786&gt;=5,"✔ MASTER",IF($S1786&lt;TODAY(),"⚠ TRỄ ÔN",IF($S1786=TODAY(),"◆ ÔN HÔM NAY","✔ Đúng tiến độ")))))</f>
        <v>• Chưa tới</v>
      </c>
      <c r="U1786" s="38" t="n">
        <f aca="false">IF($H1786="","",$R1786/5)</f>
        <v>0</v>
      </c>
    </row>
    <row r="1787" customFormat="false" ht="26.85" hidden="false" customHeight="false" outlineLevel="0" collapsed="false">
      <c r="A1787" s="31" t="s">
        <v>10575</v>
      </c>
      <c r="B1787" s="31" t="n">
        <v>90</v>
      </c>
      <c r="C1787" s="32" t="n">
        <f aca="false">SETTINGS!$C$3+$B1787-1</f>
        <v>46389</v>
      </c>
      <c r="D1787" s="41" t="s">
        <v>7168</v>
      </c>
      <c r="E1787" s="34" t="s">
        <v>10552</v>
      </c>
      <c r="F1787" s="34" t="s">
        <v>10553</v>
      </c>
      <c r="G1787" s="34" t="s">
        <v>10576</v>
      </c>
      <c r="H1787" s="35" t="s">
        <v>10577</v>
      </c>
      <c r="I1787" s="36" t="s">
        <v>10578</v>
      </c>
      <c r="J1787" s="34" t="s">
        <v>10579</v>
      </c>
      <c r="K1787" s="34" t="s">
        <v>10580</v>
      </c>
      <c r="L1787" s="37"/>
      <c r="M1787" s="37"/>
      <c r="N1787" s="37"/>
      <c r="O1787" s="37"/>
      <c r="P1787" s="37"/>
      <c r="Q1787" s="37"/>
      <c r="R1787" s="31" t="n">
        <f aca="false">COUNT($M1787:$Q1787)</f>
        <v>0</v>
      </c>
      <c r="S1787" s="32" t="str">
        <f aca="false">IF($L1787="","",IF($R1787&gt;=5,"",MAX($L1787:$Q1787)+CHOOSE($R1787+1,SETTINGS!$C$9,SETTINGS!$C$10,SETTINGS!$C$11,SETTINGS!$C$12,SETTINGS!$C$13)))</f>
        <v/>
      </c>
      <c r="T1787" s="34" t="str">
        <f aca="true">IF($H1787="","(chưa có nội dung)",IF($L1787="",IF($C1787&lt;TODAY(),"⚠ TRỄ HỌC",IF($C1787=TODAY(),"★ HỌC HÔM NAY","• Chưa tới")),IF($R1787&gt;=5,"✔ MASTER",IF($S1787&lt;TODAY(),"⚠ TRỄ ÔN",IF($S1787=TODAY(),"◆ ÔN HÔM NAY","✔ Đúng tiến độ")))))</f>
        <v>• Chưa tới</v>
      </c>
      <c r="U1787" s="38" t="n">
        <f aca="false">IF($H1787="","",$R1787/5)</f>
        <v>0</v>
      </c>
    </row>
    <row r="1788" customFormat="false" ht="15" hidden="false" customHeight="false" outlineLevel="0" collapsed="false">
      <c r="A1788" s="31" t="s">
        <v>10581</v>
      </c>
      <c r="B1788" s="31" t="n">
        <v>90</v>
      </c>
      <c r="C1788" s="32" t="n">
        <f aca="false">SETTINGS!$C$3+$B1788-1</f>
        <v>46389</v>
      </c>
      <c r="D1788" s="41" t="s">
        <v>7168</v>
      </c>
      <c r="E1788" s="34" t="s">
        <v>10552</v>
      </c>
      <c r="F1788" s="34" t="s">
        <v>10553</v>
      </c>
      <c r="G1788" s="34" t="s">
        <v>10582</v>
      </c>
      <c r="H1788" s="35" t="s">
        <v>10583</v>
      </c>
      <c r="I1788" s="36" t="s">
        <v>10584</v>
      </c>
      <c r="J1788" s="34" t="s">
        <v>10585</v>
      </c>
      <c r="K1788" s="34" t="s">
        <v>10586</v>
      </c>
      <c r="L1788" s="37"/>
      <c r="M1788" s="37"/>
      <c r="N1788" s="37"/>
      <c r="O1788" s="37"/>
      <c r="P1788" s="37"/>
      <c r="Q1788" s="37"/>
      <c r="R1788" s="31" t="n">
        <f aca="false">COUNT($M1788:$Q1788)</f>
        <v>0</v>
      </c>
      <c r="S1788" s="32" t="str">
        <f aca="false">IF($L1788="","",IF($R1788&gt;=5,"",MAX($L1788:$Q1788)+CHOOSE($R1788+1,SETTINGS!$C$9,SETTINGS!$C$10,SETTINGS!$C$11,SETTINGS!$C$12,SETTINGS!$C$13)))</f>
        <v/>
      </c>
      <c r="T1788" s="34" t="str">
        <f aca="true">IF($H1788="","(chưa có nội dung)",IF($L1788="",IF($C1788&lt;TODAY(),"⚠ TRỄ HỌC",IF($C1788=TODAY(),"★ HỌC HÔM NAY","• Chưa tới")),IF($R1788&gt;=5,"✔ MASTER",IF($S1788&lt;TODAY(),"⚠ TRỄ ÔN",IF($S1788=TODAY(),"◆ ÔN HÔM NAY","✔ Đúng tiến độ")))))</f>
        <v>• Chưa tới</v>
      </c>
      <c r="U1788" s="38" t="n">
        <f aca="false">IF($H1788="","",$R1788/5)</f>
        <v>0</v>
      </c>
    </row>
    <row r="1789" customFormat="false" ht="26.85" hidden="false" customHeight="false" outlineLevel="0" collapsed="false">
      <c r="A1789" s="31" t="s">
        <v>10587</v>
      </c>
      <c r="B1789" s="31" t="n">
        <v>90</v>
      </c>
      <c r="C1789" s="32" t="n">
        <f aca="false">SETTINGS!$C$3+$B1789-1</f>
        <v>46389</v>
      </c>
      <c r="D1789" s="41" t="s">
        <v>7168</v>
      </c>
      <c r="E1789" s="34" t="s">
        <v>10552</v>
      </c>
      <c r="F1789" s="34" t="s">
        <v>10553</v>
      </c>
      <c r="G1789" s="34" t="s">
        <v>10588</v>
      </c>
      <c r="H1789" s="35" t="s">
        <v>10589</v>
      </c>
      <c r="I1789" s="36" t="s">
        <v>10590</v>
      </c>
      <c r="J1789" s="34" t="s">
        <v>10591</v>
      </c>
      <c r="K1789" s="34" t="s">
        <v>9954</v>
      </c>
      <c r="L1789" s="37"/>
      <c r="M1789" s="37"/>
      <c r="N1789" s="37"/>
      <c r="O1789" s="37"/>
      <c r="P1789" s="37"/>
      <c r="Q1789" s="37"/>
      <c r="R1789" s="31" t="n">
        <f aca="false">COUNT($M1789:$Q1789)</f>
        <v>0</v>
      </c>
      <c r="S1789" s="32" t="str">
        <f aca="false">IF($L1789="","",IF($R1789&gt;=5,"",MAX($L1789:$Q1789)+CHOOSE($R1789+1,SETTINGS!$C$9,SETTINGS!$C$10,SETTINGS!$C$11,SETTINGS!$C$12,SETTINGS!$C$13)))</f>
        <v/>
      </c>
      <c r="T1789" s="34" t="str">
        <f aca="true">IF($H1789="","(chưa có nội dung)",IF($L1789="",IF($C1789&lt;TODAY(),"⚠ TRỄ HỌC",IF($C1789=TODAY(),"★ HỌC HÔM NAY","• Chưa tới")),IF($R1789&gt;=5,"✔ MASTER",IF($S1789&lt;TODAY(),"⚠ TRỄ ÔN",IF($S1789=TODAY(),"◆ ÔN HÔM NAY","✔ Đúng tiến độ")))))</f>
        <v>• Chưa tới</v>
      </c>
      <c r="U1789" s="38" t="n">
        <f aca="false">IF($H1789="","",$R1789/5)</f>
        <v>0</v>
      </c>
    </row>
    <row r="1790" customFormat="false" ht="15" hidden="false" customHeight="false" outlineLevel="0" collapsed="false">
      <c r="A1790" s="31" t="s">
        <v>10592</v>
      </c>
      <c r="B1790" s="31" t="n">
        <v>90</v>
      </c>
      <c r="C1790" s="32" t="n">
        <f aca="false">SETTINGS!$C$3+$B1790-1</f>
        <v>46389</v>
      </c>
      <c r="D1790" s="41" t="s">
        <v>7168</v>
      </c>
      <c r="E1790" s="34" t="s">
        <v>10552</v>
      </c>
      <c r="F1790" s="34" t="s">
        <v>10553</v>
      </c>
      <c r="G1790" s="34" t="s">
        <v>9121</v>
      </c>
      <c r="H1790" s="35" t="s">
        <v>10593</v>
      </c>
      <c r="I1790" s="36" t="s">
        <v>10594</v>
      </c>
      <c r="J1790" s="34" t="s">
        <v>10595</v>
      </c>
      <c r="K1790" s="34" t="s">
        <v>10596</v>
      </c>
      <c r="L1790" s="37"/>
      <c r="M1790" s="37"/>
      <c r="N1790" s="37"/>
      <c r="O1790" s="37"/>
      <c r="P1790" s="37"/>
      <c r="Q1790" s="37"/>
      <c r="R1790" s="31" t="n">
        <f aca="false">COUNT($M1790:$Q1790)</f>
        <v>0</v>
      </c>
      <c r="S1790" s="32" t="str">
        <f aca="false">IF($L1790="","",IF($R1790&gt;=5,"",MAX($L1790:$Q1790)+CHOOSE($R1790+1,SETTINGS!$C$9,SETTINGS!$C$10,SETTINGS!$C$11,SETTINGS!$C$12,SETTINGS!$C$13)))</f>
        <v/>
      </c>
      <c r="T1790" s="34" t="str">
        <f aca="true">IF($H1790="","(chưa có nội dung)",IF($L1790="",IF($C1790&lt;TODAY(),"⚠ TRỄ HỌC",IF($C1790=TODAY(),"★ HỌC HÔM NAY","• Chưa tới")),IF($R1790&gt;=5,"✔ MASTER",IF($S1790&lt;TODAY(),"⚠ TRỄ ÔN",IF($S1790=TODAY(),"◆ ÔN HÔM NAY","✔ Đúng tiến độ")))))</f>
        <v>• Chưa tới</v>
      </c>
      <c r="U1790" s="38" t="n">
        <f aca="false">IF($H1790="","",$R1790/5)</f>
        <v>0</v>
      </c>
    </row>
    <row r="1791" customFormat="false" ht="26.85" hidden="false" customHeight="false" outlineLevel="0" collapsed="false">
      <c r="A1791" s="31" t="s">
        <v>10597</v>
      </c>
      <c r="B1791" s="31" t="n">
        <v>90</v>
      </c>
      <c r="C1791" s="32" t="n">
        <f aca="false">SETTINGS!$C$3+$B1791-1</f>
        <v>46389</v>
      </c>
      <c r="D1791" s="41" t="s">
        <v>7168</v>
      </c>
      <c r="E1791" s="34" t="s">
        <v>10552</v>
      </c>
      <c r="F1791" s="34" t="s">
        <v>10553</v>
      </c>
      <c r="G1791" s="34" t="s">
        <v>10598</v>
      </c>
      <c r="H1791" s="35" t="s">
        <v>10599</v>
      </c>
      <c r="I1791" s="36" t="s">
        <v>10600</v>
      </c>
      <c r="J1791" s="34" t="s">
        <v>10601</v>
      </c>
      <c r="K1791" s="34" t="s">
        <v>2296</v>
      </c>
      <c r="L1791" s="37"/>
      <c r="M1791" s="37"/>
      <c r="N1791" s="37"/>
      <c r="O1791" s="37"/>
      <c r="P1791" s="37"/>
      <c r="Q1791" s="37"/>
      <c r="R1791" s="31" t="n">
        <f aca="false">COUNT($M1791:$Q1791)</f>
        <v>0</v>
      </c>
      <c r="S1791" s="32" t="str">
        <f aca="false">IF($L1791="","",IF($R1791&gt;=5,"",MAX($L1791:$Q1791)+CHOOSE($R1791+1,SETTINGS!$C$9,SETTINGS!$C$10,SETTINGS!$C$11,SETTINGS!$C$12,SETTINGS!$C$13)))</f>
        <v/>
      </c>
      <c r="T1791" s="34" t="str">
        <f aca="true">IF($H1791="","(chưa có nội dung)",IF($L1791="",IF($C1791&lt;TODAY(),"⚠ TRỄ HỌC",IF($C1791=TODAY(),"★ HỌC HÔM NAY","• Chưa tới")),IF($R1791&gt;=5,"✔ MASTER",IF($S1791&lt;TODAY(),"⚠ TRỄ ÔN",IF($S1791=TODAY(),"◆ ÔN HÔM NAY","✔ Đúng tiến độ")))))</f>
        <v>• Chưa tới</v>
      </c>
      <c r="U1791" s="38" t="n">
        <f aca="false">IF($H1791="","",$R1791/5)</f>
        <v>0</v>
      </c>
    </row>
    <row r="1792" customFormat="false" ht="15" hidden="false" customHeight="false" outlineLevel="0" collapsed="false">
      <c r="A1792" s="31" t="s">
        <v>10602</v>
      </c>
      <c r="B1792" s="31" t="n">
        <v>90</v>
      </c>
      <c r="C1792" s="32" t="n">
        <f aca="false">SETTINGS!$C$3+$B1792-1</f>
        <v>46389</v>
      </c>
      <c r="D1792" s="41" t="s">
        <v>7168</v>
      </c>
      <c r="E1792" s="34" t="s">
        <v>10552</v>
      </c>
      <c r="F1792" s="34" t="s">
        <v>10553</v>
      </c>
      <c r="G1792" s="34" t="s">
        <v>10603</v>
      </c>
      <c r="H1792" s="35" t="s">
        <v>10604</v>
      </c>
      <c r="I1792" s="36" t="s">
        <v>10605</v>
      </c>
      <c r="J1792" s="34" t="s">
        <v>10606</v>
      </c>
      <c r="K1792" s="34" t="s">
        <v>10607</v>
      </c>
      <c r="L1792" s="37"/>
      <c r="M1792" s="37"/>
      <c r="N1792" s="37"/>
      <c r="O1792" s="37"/>
      <c r="P1792" s="37"/>
      <c r="Q1792" s="37"/>
      <c r="R1792" s="31" t="n">
        <f aca="false">COUNT($M1792:$Q1792)</f>
        <v>0</v>
      </c>
      <c r="S1792" s="32" t="str">
        <f aca="false">IF($L1792="","",IF($R1792&gt;=5,"",MAX($L1792:$Q1792)+CHOOSE($R1792+1,SETTINGS!$C$9,SETTINGS!$C$10,SETTINGS!$C$11,SETTINGS!$C$12,SETTINGS!$C$13)))</f>
        <v/>
      </c>
      <c r="T1792" s="34" t="str">
        <f aca="true">IF($H1792="","(chưa có nội dung)",IF($L1792="",IF($C1792&lt;TODAY(),"⚠ TRỄ HỌC",IF($C1792=TODAY(),"★ HỌC HÔM NAY","• Chưa tới")),IF($R1792&gt;=5,"✔ MASTER",IF($S1792&lt;TODAY(),"⚠ TRỄ ÔN",IF($S1792=TODAY(),"◆ ÔN HÔM NAY","✔ Đúng tiến độ")))))</f>
        <v>• Chưa tới</v>
      </c>
      <c r="U1792" s="38" t="n">
        <f aca="false">IF($H1792="","",$R1792/5)</f>
        <v>0</v>
      </c>
    </row>
    <row r="1793" customFormat="false" ht="15" hidden="false" customHeight="false" outlineLevel="0" collapsed="false">
      <c r="A1793" s="31" t="s">
        <v>10608</v>
      </c>
      <c r="B1793" s="31" t="n">
        <v>90</v>
      </c>
      <c r="C1793" s="32" t="n">
        <f aca="false">SETTINGS!$C$3+$B1793-1</f>
        <v>46389</v>
      </c>
      <c r="D1793" s="41" t="s">
        <v>7168</v>
      </c>
      <c r="E1793" s="34" t="s">
        <v>10552</v>
      </c>
      <c r="F1793" s="34" t="s">
        <v>10553</v>
      </c>
      <c r="G1793" s="34" t="s">
        <v>7440</v>
      </c>
      <c r="H1793" s="35" t="s">
        <v>10609</v>
      </c>
      <c r="I1793" s="36" t="s">
        <v>10610</v>
      </c>
      <c r="J1793" s="34" t="s">
        <v>10611</v>
      </c>
      <c r="K1793" s="34" t="s">
        <v>7440</v>
      </c>
      <c r="L1793" s="37"/>
      <c r="M1793" s="37"/>
      <c r="N1793" s="37"/>
      <c r="O1793" s="37"/>
      <c r="P1793" s="37"/>
      <c r="Q1793" s="37"/>
      <c r="R1793" s="31" t="n">
        <f aca="false">COUNT($M1793:$Q1793)</f>
        <v>0</v>
      </c>
      <c r="S1793" s="32" t="str">
        <f aca="false">IF($L1793="","",IF($R1793&gt;=5,"",MAX($L1793:$Q1793)+CHOOSE($R1793+1,SETTINGS!$C$9,SETTINGS!$C$10,SETTINGS!$C$11,SETTINGS!$C$12,SETTINGS!$C$13)))</f>
        <v/>
      </c>
      <c r="T1793" s="34" t="str">
        <f aca="true">IF($H1793="","(chưa có nội dung)",IF($L1793="",IF($C1793&lt;TODAY(),"⚠ TRỄ HỌC",IF($C1793=TODAY(),"★ HỌC HÔM NAY","• Chưa tới")),IF($R1793&gt;=5,"✔ MASTER",IF($S1793&lt;TODAY(),"⚠ TRỄ ÔN",IF($S1793=TODAY(),"◆ ÔN HÔM NAY","✔ Đúng tiến độ")))))</f>
        <v>• Chưa tới</v>
      </c>
      <c r="U1793" s="38" t="n">
        <f aca="false">IF($H1793="","",$R1793/5)</f>
        <v>0</v>
      </c>
    </row>
    <row r="1794" customFormat="false" ht="15" hidden="false" customHeight="false" outlineLevel="0" collapsed="false">
      <c r="A1794" s="31" t="s">
        <v>10612</v>
      </c>
      <c r="B1794" s="31" t="n">
        <v>90</v>
      </c>
      <c r="C1794" s="32" t="n">
        <f aca="false">SETTINGS!$C$3+$B1794-1</f>
        <v>46389</v>
      </c>
      <c r="D1794" s="41" t="s">
        <v>7168</v>
      </c>
      <c r="E1794" s="34" t="s">
        <v>10552</v>
      </c>
      <c r="F1794" s="34" t="s">
        <v>10553</v>
      </c>
      <c r="G1794" s="34" t="s">
        <v>10613</v>
      </c>
      <c r="H1794" s="35" t="s">
        <v>10614</v>
      </c>
      <c r="I1794" s="36" t="s">
        <v>10615</v>
      </c>
      <c r="J1794" s="34" t="s">
        <v>10616</v>
      </c>
      <c r="K1794" s="34" t="s">
        <v>3806</v>
      </c>
      <c r="L1794" s="37"/>
      <c r="M1794" s="37"/>
      <c r="N1794" s="37"/>
      <c r="O1794" s="37"/>
      <c r="P1794" s="37"/>
      <c r="Q1794" s="37"/>
      <c r="R1794" s="31" t="n">
        <f aca="false">COUNT($M1794:$Q1794)</f>
        <v>0</v>
      </c>
      <c r="S1794" s="32" t="str">
        <f aca="false">IF($L1794="","",IF($R1794&gt;=5,"",MAX($L1794:$Q1794)+CHOOSE($R1794+1,SETTINGS!$C$9,SETTINGS!$C$10,SETTINGS!$C$11,SETTINGS!$C$12,SETTINGS!$C$13)))</f>
        <v/>
      </c>
      <c r="T1794" s="34" t="str">
        <f aca="true">IF($H1794="","(chưa có nội dung)",IF($L1794="",IF($C1794&lt;TODAY(),"⚠ TRỄ HỌC",IF($C1794=TODAY(),"★ HỌC HÔM NAY","• Chưa tới")),IF($R1794&gt;=5,"✔ MASTER",IF($S1794&lt;TODAY(),"⚠ TRỄ ÔN",IF($S1794=TODAY(),"◆ ÔN HÔM NAY","✔ Đúng tiến độ")))))</f>
        <v>• Chưa tới</v>
      </c>
      <c r="U1794" s="38" t="n">
        <f aca="false">IF($H1794="","",$R1794/5)</f>
        <v>0</v>
      </c>
    </row>
    <row r="1795" customFormat="false" ht="15" hidden="false" customHeight="false" outlineLevel="0" collapsed="false">
      <c r="A1795" s="31" t="s">
        <v>10617</v>
      </c>
      <c r="B1795" s="31" t="n">
        <v>90</v>
      </c>
      <c r="C1795" s="32" t="n">
        <f aca="false">SETTINGS!$C$3+$B1795-1</f>
        <v>46389</v>
      </c>
      <c r="D1795" s="41" t="s">
        <v>7168</v>
      </c>
      <c r="E1795" s="34" t="s">
        <v>10552</v>
      </c>
      <c r="F1795" s="34" t="s">
        <v>10553</v>
      </c>
      <c r="G1795" s="34" t="s">
        <v>10618</v>
      </c>
      <c r="H1795" s="35" t="s">
        <v>10619</v>
      </c>
      <c r="I1795" s="36" t="s">
        <v>10620</v>
      </c>
      <c r="J1795" s="34" t="s">
        <v>10621</v>
      </c>
      <c r="K1795" s="34" t="s">
        <v>10622</v>
      </c>
      <c r="L1795" s="37"/>
      <c r="M1795" s="37"/>
      <c r="N1795" s="37"/>
      <c r="O1795" s="37"/>
      <c r="P1795" s="37"/>
      <c r="Q1795" s="37"/>
      <c r="R1795" s="31" t="n">
        <f aca="false">COUNT($M1795:$Q1795)</f>
        <v>0</v>
      </c>
      <c r="S1795" s="32" t="str">
        <f aca="false">IF($L1795="","",IF($R1795&gt;=5,"",MAX($L1795:$Q1795)+CHOOSE($R1795+1,SETTINGS!$C$9,SETTINGS!$C$10,SETTINGS!$C$11,SETTINGS!$C$12,SETTINGS!$C$13)))</f>
        <v/>
      </c>
      <c r="T1795" s="34" t="str">
        <f aca="true">IF($H1795="","(chưa có nội dung)",IF($L1795="",IF($C1795&lt;TODAY(),"⚠ TRỄ HỌC",IF($C1795=TODAY(),"★ HỌC HÔM NAY","• Chưa tới")),IF($R1795&gt;=5,"✔ MASTER",IF($S1795&lt;TODAY(),"⚠ TRỄ ÔN",IF($S1795=TODAY(),"◆ ÔN HÔM NAY","✔ Đúng tiến độ")))))</f>
        <v>• Chưa tới</v>
      </c>
      <c r="U1795" s="38" t="n">
        <f aca="false">IF($H1795="","",$R1795/5)</f>
        <v>0</v>
      </c>
    </row>
    <row r="1796" customFormat="false" ht="15" hidden="false" customHeight="false" outlineLevel="0" collapsed="false">
      <c r="A1796" s="31" t="s">
        <v>10623</v>
      </c>
      <c r="B1796" s="31" t="n">
        <v>90</v>
      </c>
      <c r="C1796" s="32" t="n">
        <f aca="false">SETTINGS!$C$3+$B1796-1</f>
        <v>46389</v>
      </c>
      <c r="D1796" s="41" t="s">
        <v>7168</v>
      </c>
      <c r="E1796" s="34" t="s">
        <v>10552</v>
      </c>
      <c r="F1796" s="34" t="s">
        <v>10553</v>
      </c>
      <c r="G1796" s="34" t="s">
        <v>10624</v>
      </c>
      <c r="H1796" s="35" t="s">
        <v>10625</v>
      </c>
      <c r="I1796" s="36" t="s">
        <v>10626</v>
      </c>
      <c r="J1796" s="34" t="s">
        <v>10627</v>
      </c>
      <c r="K1796" s="34" t="s">
        <v>10628</v>
      </c>
      <c r="L1796" s="37"/>
      <c r="M1796" s="37"/>
      <c r="N1796" s="37"/>
      <c r="O1796" s="37"/>
      <c r="P1796" s="37"/>
      <c r="Q1796" s="37"/>
      <c r="R1796" s="31" t="n">
        <f aca="false">COUNT($M1796:$Q1796)</f>
        <v>0</v>
      </c>
      <c r="S1796" s="32" t="str">
        <f aca="false">IF($L1796="","",IF($R1796&gt;=5,"",MAX($L1796:$Q1796)+CHOOSE($R1796+1,SETTINGS!$C$9,SETTINGS!$C$10,SETTINGS!$C$11,SETTINGS!$C$12,SETTINGS!$C$13)))</f>
        <v/>
      </c>
      <c r="T1796" s="34" t="str">
        <f aca="true">IF($H1796="","(chưa có nội dung)",IF($L1796="",IF($C1796&lt;TODAY(),"⚠ TRỄ HỌC",IF($C1796=TODAY(),"★ HỌC HÔM NAY","• Chưa tới")),IF($R1796&gt;=5,"✔ MASTER",IF($S1796&lt;TODAY(),"⚠ TRỄ ÔN",IF($S1796=TODAY(),"◆ ÔN HÔM NAY","✔ Đúng tiến độ")))))</f>
        <v>• Chưa tới</v>
      </c>
      <c r="U1796" s="38" t="n">
        <f aca="false">IF($H1796="","",$R1796/5)</f>
        <v>0</v>
      </c>
    </row>
    <row r="1797" customFormat="false" ht="15" hidden="false" customHeight="false" outlineLevel="0" collapsed="false">
      <c r="A1797" s="31" t="s">
        <v>10629</v>
      </c>
      <c r="B1797" s="31" t="n">
        <v>90</v>
      </c>
      <c r="C1797" s="32" t="n">
        <f aca="false">SETTINGS!$C$3+$B1797-1</f>
        <v>46389</v>
      </c>
      <c r="D1797" s="41" t="s">
        <v>7168</v>
      </c>
      <c r="E1797" s="34" t="s">
        <v>10552</v>
      </c>
      <c r="F1797" s="34" t="s">
        <v>10553</v>
      </c>
      <c r="G1797" s="34" t="s">
        <v>10630</v>
      </c>
      <c r="H1797" s="35" t="s">
        <v>10631</v>
      </c>
      <c r="I1797" s="36" t="s">
        <v>10632</v>
      </c>
      <c r="J1797" s="34" t="s">
        <v>10633</v>
      </c>
      <c r="K1797" s="34" t="s">
        <v>10634</v>
      </c>
      <c r="L1797" s="37"/>
      <c r="M1797" s="37"/>
      <c r="N1797" s="37"/>
      <c r="O1797" s="37"/>
      <c r="P1797" s="37"/>
      <c r="Q1797" s="37"/>
      <c r="R1797" s="31" t="n">
        <f aca="false">COUNT($M1797:$Q1797)</f>
        <v>0</v>
      </c>
      <c r="S1797" s="32" t="str">
        <f aca="false">IF($L1797="","",IF($R1797&gt;=5,"",MAX($L1797:$Q1797)+CHOOSE($R1797+1,SETTINGS!$C$9,SETTINGS!$C$10,SETTINGS!$C$11,SETTINGS!$C$12,SETTINGS!$C$13)))</f>
        <v/>
      </c>
      <c r="T1797" s="34" t="str">
        <f aca="true">IF($H1797="","(chưa có nội dung)",IF($L1797="",IF($C1797&lt;TODAY(),"⚠ TRỄ HỌC",IF($C1797=TODAY(),"★ HỌC HÔM NAY","• Chưa tới")),IF($R1797&gt;=5,"✔ MASTER",IF($S1797&lt;TODAY(),"⚠ TRỄ ÔN",IF($S1797=TODAY(),"◆ ÔN HÔM NAY","✔ Đúng tiến độ")))))</f>
        <v>• Chưa tới</v>
      </c>
      <c r="U1797" s="38" t="n">
        <f aca="false">IF($H1797="","",$R1797/5)</f>
        <v>0</v>
      </c>
    </row>
    <row r="1798" customFormat="false" ht="15" hidden="false" customHeight="false" outlineLevel="0" collapsed="false">
      <c r="A1798" s="31" t="s">
        <v>10635</v>
      </c>
      <c r="B1798" s="31" t="n">
        <v>90</v>
      </c>
      <c r="C1798" s="32" t="n">
        <f aca="false">SETTINGS!$C$3+$B1798-1</f>
        <v>46389</v>
      </c>
      <c r="D1798" s="41" t="s">
        <v>7168</v>
      </c>
      <c r="E1798" s="34" t="s">
        <v>10552</v>
      </c>
      <c r="F1798" s="34" t="s">
        <v>10553</v>
      </c>
      <c r="G1798" s="34" t="s">
        <v>10636</v>
      </c>
      <c r="H1798" s="35" t="s">
        <v>10637</v>
      </c>
      <c r="I1798" s="36" t="s">
        <v>10638</v>
      </c>
      <c r="J1798" s="34" t="s">
        <v>10639</v>
      </c>
      <c r="K1798" s="34" t="s">
        <v>10640</v>
      </c>
      <c r="L1798" s="37"/>
      <c r="M1798" s="37"/>
      <c r="N1798" s="37"/>
      <c r="O1798" s="37"/>
      <c r="P1798" s="37"/>
      <c r="Q1798" s="37"/>
      <c r="R1798" s="31" t="n">
        <f aca="false">COUNT($M1798:$Q1798)</f>
        <v>0</v>
      </c>
      <c r="S1798" s="32" t="str">
        <f aca="false">IF($L1798="","",IF($R1798&gt;=5,"",MAX($L1798:$Q1798)+CHOOSE($R1798+1,SETTINGS!$C$9,SETTINGS!$C$10,SETTINGS!$C$11,SETTINGS!$C$12,SETTINGS!$C$13)))</f>
        <v/>
      </c>
      <c r="T1798" s="34" t="str">
        <f aca="true">IF($H1798="","(chưa có nội dung)",IF($L1798="",IF($C1798&lt;TODAY(),"⚠ TRỄ HỌC",IF($C1798=TODAY(),"★ HỌC HÔM NAY","• Chưa tới")),IF($R1798&gt;=5,"✔ MASTER",IF($S1798&lt;TODAY(),"⚠ TRỄ ÔN",IF($S1798=TODAY(),"◆ ÔN HÔM NAY","✔ Đúng tiến độ")))))</f>
        <v>• Chưa tới</v>
      </c>
      <c r="U1798" s="38" t="n">
        <f aca="false">IF($H1798="","",$R1798/5)</f>
        <v>0</v>
      </c>
    </row>
    <row r="1799" customFormat="false" ht="15" hidden="false" customHeight="false" outlineLevel="0" collapsed="false">
      <c r="A1799" s="31" t="s">
        <v>10641</v>
      </c>
      <c r="B1799" s="31" t="n">
        <v>90</v>
      </c>
      <c r="C1799" s="32" t="n">
        <f aca="false">SETTINGS!$C$3+$B1799-1</f>
        <v>46389</v>
      </c>
      <c r="D1799" s="41" t="s">
        <v>7168</v>
      </c>
      <c r="E1799" s="34" t="s">
        <v>10552</v>
      </c>
      <c r="F1799" s="34" t="s">
        <v>10553</v>
      </c>
      <c r="G1799" s="34" t="s">
        <v>10642</v>
      </c>
      <c r="H1799" s="35" t="s">
        <v>10643</v>
      </c>
      <c r="I1799" s="36" t="s">
        <v>10644</v>
      </c>
      <c r="J1799" s="34" t="s">
        <v>10645</v>
      </c>
      <c r="K1799" s="34" t="s">
        <v>10646</v>
      </c>
      <c r="L1799" s="37"/>
      <c r="M1799" s="37"/>
      <c r="N1799" s="37"/>
      <c r="O1799" s="37"/>
      <c r="P1799" s="37"/>
      <c r="Q1799" s="37"/>
      <c r="R1799" s="31" t="n">
        <f aca="false">COUNT($M1799:$Q1799)</f>
        <v>0</v>
      </c>
      <c r="S1799" s="32" t="str">
        <f aca="false">IF($L1799="","",IF($R1799&gt;=5,"",MAX($L1799:$Q1799)+CHOOSE($R1799+1,SETTINGS!$C$9,SETTINGS!$C$10,SETTINGS!$C$11,SETTINGS!$C$12,SETTINGS!$C$13)))</f>
        <v/>
      </c>
      <c r="T1799" s="34" t="str">
        <f aca="true">IF($H1799="","(chưa có nội dung)",IF($L1799="",IF($C1799&lt;TODAY(),"⚠ TRỄ HỌC",IF($C1799=TODAY(),"★ HỌC HÔM NAY","• Chưa tới")),IF($R1799&gt;=5,"✔ MASTER",IF($S1799&lt;TODAY(),"⚠ TRỄ ÔN",IF($S1799=TODAY(),"◆ ÔN HÔM NAY","✔ Đúng tiến độ")))))</f>
        <v>• Chưa tới</v>
      </c>
      <c r="U1799" s="38" t="n">
        <f aca="false">IF($H1799="","",$R1799/5)</f>
        <v>0</v>
      </c>
    </row>
    <row r="1800" customFormat="false" ht="15" hidden="false" customHeight="false" outlineLevel="0" collapsed="false">
      <c r="A1800" s="31" t="s">
        <v>10647</v>
      </c>
      <c r="B1800" s="31" t="n">
        <v>90</v>
      </c>
      <c r="C1800" s="32" t="n">
        <f aca="false">SETTINGS!$C$3+$B1800-1</f>
        <v>46389</v>
      </c>
      <c r="D1800" s="41" t="s">
        <v>7168</v>
      </c>
      <c r="E1800" s="34" t="s">
        <v>10552</v>
      </c>
      <c r="F1800" s="34" t="s">
        <v>10553</v>
      </c>
      <c r="G1800" s="34" t="s">
        <v>10648</v>
      </c>
      <c r="H1800" s="35" t="s">
        <v>10649</v>
      </c>
      <c r="I1800" s="36" t="s">
        <v>10650</v>
      </c>
      <c r="J1800" s="34" t="s">
        <v>10651</v>
      </c>
      <c r="K1800" s="34" t="s">
        <v>10652</v>
      </c>
      <c r="L1800" s="37"/>
      <c r="M1800" s="37"/>
      <c r="N1800" s="37"/>
      <c r="O1800" s="37"/>
      <c r="P1800" s="37"/>
      <c r="Q1800" s="37"/>
      <c r="R1800" s="31" t="n">
        <f aca="false">COUNT($M1800:$Q1800)</f>
        <v>0</v>
      </c>
      <c r="S1800" s="32" t="str">
        <f aca="false">IF($L1800="","",IF($R1800&gt;=5,"",MAX($L1800:$Q1800)+CHOOSE($R1800+1,SETTINGS!$C$9,SETTINGS!$C$10,SETTINGS!$C$11,SETTINGS!$C$12,SETTINGS!$C$13)))</f>
        <v/>
      </c>
      <c r="T1800" s="34" t="str">
        <f aca="true">IF($H1800="","(chưa có nội dung)",IF($L1800="",IF($C1800&lt;TODAY(),"⚠ TRỄ HỌC",IF($C1800=TODAY(),"★ HỌC HÔM NAY","• Chưa tới")),IF($R1800&gt;=5,"✔ MASTER",IF($S1800&lt;TODAY(),"⚠ TRỄ ÔN",IF($S1800=TODAY(),"◆ ÔN HÔM NAY","✔ Đúng tiến độ")))))</f>
        <v>• Chưa tới</v>
      </c>
      <c r="U1800" s="38" t="n">
        <f aca="false">IF($H1800="","",$R1800/5)</f>
        <v>0</v>
      </c>
    </row>
    <row r="1801" customFormat="false" ht="26.85" hidden="false" customHeight="false" outlineLevel="0" collapsed="false">
      <c r="A1801" s="31" t="s">
        <v>10653</v>
      </c>
      <c r="B1801" s="31" t="n">
        <v>90</v>
      </c>
      <c r="C1801" s="32" t="n">
        <f aca="false">SETTINGS!$C$3+$B1801-1</f>
        <v>46389</v>
      </c>
      <c r="D1801" s="41" t="s">
        <v>7168</v>
      </c>
      <c r="E1801" s="34" t="s">
        <v>10552</v>
      </c>
      <c r="F1801" s="34" t="s">
        <v>10553</v>
      </c>
      <c r="G1801" s="34" t="s">
        <v>10654</v>
      </c>
      <c r="H1801" s="35" t="s">
        <v>10655</v>
      </c>
      <c r="I1801" s="36" t="s">
        <v>10656</v>
      </c>
      <c r="J1801" s="34" t="s">
        <v>10657</v>
      </c>
      <c r="K1801" s="34" t="s">
        <v>10658</v>
      </c>
      <c r="L1801" s="37"/>
      <c r="M1801" s="37"/>
      <c r="N1801" s="37"/>
      <c r="O1801" s="37"/>
      <c r="P1801" s="37"/>
      <c r="Q1801" s="37"/>
      <c r="R1801" s="31" t="n">
        <f aca="false">COUNT($M1801:$Q1801)</f>
        <v>0</v>
      </c>
      <c r="S1801" s="32" t="str">
        <f aca="false">IF($L1801="","",IF($R1801&gt;=5,"",MAX($L1801:$Q1801)+CHOOSE($R1801+1,SETTINGS!$C$9,SETTINGS!$C$10,SETTINGS!$C$11,SETTINGS!$C$12,SETTINGS!$C$13)))</f>
        <v/>
      </c>
      <c r="T1801" s="34" t="str">
        <f aca="true">IF($H1801="","(chưa có nội dung)",IF($L1801="",IF($C1801&lt;TODAY(),"⚠ TRỄ HỌC",IF($C1801=TODAY(),"★ HỌC HÔM NAY","• Chưa tới")),IF($R1801&gt;=5,"✔ MASTER",IF($S1801&lt;TODAY(),"⚠ TRỄ ÔN",IF($S1801=TODAY(),"◆ ÔN HÔM NAY","✔ Đúng tiến độ")))))</f>
        <v>• Chưa tới</v>
      </c>
      <c r="U1801" s="38" t="n">
        <f aca="false">IF($H1801="","",$R1801/5)</f>
        <v>0</v>
      </c>
    </row>
    <row r="1802" customFormat="false" ht="15" hidden="false" customHeight="false" outlineLevel="0" collapsed="false">
      <c r="A1802" s="31" t="s">
        <v>10659</v>
      </c>
      <c r="B1802" s="31" t="n">
        <v>90</v>
      </c>
      <c r="C1802" s="32" t="n">
        <f aca="false">SETTINGS!$C$3+$B1802-1</f>
        <v>46389</v>
      </c>
      <c r="D1802" s="41" t="s">
        <v>7168</v>
      </c>
      <c r="E1802" s="34" t="s">
        <v>10552</v>
      </c>
      <c r="F1802" s="34" t="s">
        <v>10553</v>
      </c>
      <c r="G1802" s="34" t="s">
        <v>10660</v>
      </c>
      <c r="H1802" s="35" t="s">
        <v>10661</v>
      </c>
      <c r="I1802" s="36" t="s">
        <v>10662</v>
      </c>
      <c r="J1802" s="34" t="s">
        <v>10663</v>
      </c>
      <c r="K1802" s="34" t="s">
        <v>10664</v>
      </c>
      <c r="L1802" s="37"/>
      <c r="M1802" s="37"/>
      <c r="N1802" s="37"/>
      <c r="O1802" s="37"/>
      <c r="P1802" s="37"/>
      <c r="Q1802" s="37"/>
      <c r="R1802" s="31" t="n">
        <f aca="false">COUNT($M1802:$Q1802)</f>
        <v>0</v>
      </c>
      <c r="S1802" s="32" t="str">
        <f aca="false">IF($L1802="","",IF($R1802&gt;=5,"",MAX($L1802:$Q1802)+CHOOSE($R1802+1,SETTINGS!$C$9,SETTINGS!$C$10,SETTINGS!$C$11,SETTINGS!$C$12,SETTINGS!$C$13)))</f>
        <v/>
      </c>
      <c r="T1802" s="34" t="str">
        <f aca="true">IF($H1802="","(chưa có nội dung)",IF($L1802="",IF($C1802&lt;TODAY(),"⚠ TRỄ HỌC",IF($C1802=TODAY(),"★ HỌC HÔM NAY","• Chưa tới")),IF($R1802&gt;=5,"✔ MASTER",IF($S1802&lt;TODAY(),"⚠ TRỄ ÔN",IF($S1802=TODAY(),"◆ ÔN HÔM NAY","✔ Đúng tiến độ")))))</f>
        <v>• Chưa tới</v>
      </c>
      <c r="U1802" s="38" t="n">
        <f aca="false">IF($H1802="","",$R1802/5)</f>
        <v>0</v>
      </c>
    </row>
  </sheetData>
  <autoFilter ref="A2:U1802"/>
  <conditionalFormatting sqref="T3:T1802">
    <cfRule type="cellIs" priority="2" operator="equal" aboveAverage="0" equalAverage="0" bottom="0" percent="0" rank="0" text="" dxfId="12">
      <formula>"⚠ TRỄ HỌC"</formula>
    </cfRule>
    <cfRule type="cellIs" priority="3" operator="equal" aboveAverage="0" equalAverage="0" bottom="0" percent="0" rank="0" text="" dxfId="12">
      <formula>"⚠ TRỄ ÔN"</formula>
    </cfRule>
    <cfRule type="cellIs" priority="4" operator="equal" aboveAverage="0" equalAverage="0" bottom="0" percent="0" rank="0" text="" dxfId="13">
      <formula>"★ HỌC HÔM NAY"</formula>
    </cfRule>
    <cfRule type="cellIs" priority="5" operator="equal" aboveAverage="0" equalAverage="0" bottom="0" percent="0" rank="0" text="" dxfId="14">
      <formula>"◆ ÔN HÔM NAY"</formula>
    </cfRule>
    <cfRule type="cellIs" priority="6" operator="equal" aboveAverage="0" equalAverage="0" bottom="0" percent="0" rank="0" text="" dxfId="15">
      <formula>"✔ Đúng tiến độ"</formula>
    </cfRule>
    <cfRule type="cellIs" priority="7" operator="equal" aboveAverage="0" equalAverage="0" bottom="0" percent="0" rank="0" text="" dxfId="16">
      <formula>"✔ MASTER"</formula>
    </cfRule>
  </conditionalFormatting>
  <conditionalFormatting sqref="U3:U1802">
    <cfRule type="colorScale" priority="8">
      <colorScale>
        <cfvo type="num" val="0"/>
        <cfvo type="num" val="1"/>
        <color rgb="FFFFFFFF"/>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28"/>
    <col collapsed="false" customWidth="true" hidden="false" outlineLevel="0" max="4" min="4" style="0" width="20"/>
    <col collapsed="false" customWidth="true" hidden="false" outlineLevel="0" max="5" min="5" style="0" width="12"/>
    <col collapsed="false" customWidth="true" hidden="false" outlineLevel="0" max="7" min="6" style="0" width="9"/>
    <col collapsed="false" customWidth="true" hidden="false" outlineLevel="0" max="8" min="8" style="0" width="8"/>
    <col collapsed="false" customWidth="true" hidden="false" outlineLevel="0" max="9" min="9" style="0" width="24"/>
    <col collapsed="false" customWidth="true" hidden="false" outlineLevel="0" max="10" min="10" style="0" width="46"/>
    <col collapsed="false" customWidth="true" hidden="false" outlineLevel="0" max="11" min="11" style="0" width="40"/>
    <col collapsed="false" customWidth="true" hidden="false" outlineLevel="0" max="12" min="12" style="0" width="12"/>
    <col collapsed="false" customWidth="true" hidden="false" outlineLevel="0" max="13" min="13" style="0" width="18"/>
  </cols>
  <sheetData>
    <row r="1" customFormat="false" ht="15" hidden="false" customHeight="false" outlineLevel="0" collapsed="false">
      <c r="A1" s="29" t="s">
        <v>10665</v>
      </c>
    </row>
    <row r="2" customFormat="false" ht="31.5" hidden="false" customHeight="true" outlineLevel="0" collapsed="false">
      <c r="A2" s="42" t="s">
        <v>10666</v>
      </c>
      <c r="B2" s="42" t="s">
        <v>10667</v>
      </c>
      <c r="C2" s="42" t="s">
        <v>142</v>
      </c>
      <c r="D2" s="42" t="s">
        <v>10668</v>
      </c>
      <c r="E2" s="42" t="s">
        <v>10669</v>
      </c>
      <c r="F2" s="42" t="s">
        <v>10670</v>
      </c>
      <c r="G2" s="42" t="s">
        <v>134</v>
      </c>
      <c r="H2" s="42" t="s">
        <v>136</v>
      </c>
      <c r="I2" s="42" t="s">
        <v>137</v>
      </c>
      <c r="J2" s="42" t="s">
        <v>10671</v>
      </c>
      <c r="K2" s="42" t="s">
        <v>10672</v>
      </c>
      <c r="L2" s="42" t="s">
        <v>10673</v>
      </c>
      <c r="M2" s="42" t="s">
        <v>10674</v>
      </c>
    </row>
    <row r="3" customFormat="false" ht="15" hidden="false" customHeight="false" outlineLevel="0" collapsed="false">
      <c r="A3" s="31" t="n">
        <v>1</v>
      </c>
      <c r="B3" s="43" t="s">
        <v>10675</v>
      </c>
      <c r="C3" s="34" t="s">
        <v>10676</v>
      </c>
      <c r="D3" s="44" t="s">
        <v>10677</v>
      </c>
      <c r="E3" s="31" t="s">
        <v>10678</v>
      </c>
      <c r="F3" s="31" t="s">
        <v>153</v>
      </c>
      <c r="G3" s="31" t="n">
        <v>1</v>
      </c>
      <c r="H3" s="31" t="s">
        <v>154</v>
      </c>
      <c r="I3" s="44" t="s">
        <v>155</v>
      </c>
      <c r="J3" s="45" t="s">
        <v>158</v>
      </c>
      <c r="K3" s="45" t="s">
        <v>160</v>
      </c>
      <c r="L3" s="31" t="n">
        <f aca="false">COUNTIF($B$3:$B$2205,$B3)</f>
        <v>1</v>
      </c>
      <c r="M3" s="44" t="str">
        <f aca="false">IFERROR(INDEX(SENTENCES!$T$3:$T$1802,MATCH($F3,SENTENCES!$A$3:$A$1802,0)),"")</f>
        <v>⚠ TRỄ HỌC</v>
      </c>
    </row>
    <row r="4" customFormat="false" ht="15" hidden="false" customHeight="false" outlineLevel="0" collapsed="false">
      <c r="A4" s="31" t="n">
        <v>2</v>
      </c>
      <c r="B4" s="43" t="s">
        <v>10679</v>
      </c>
      <c r="C4" s="34" t="s">
        <v>10680</v>
      </c>
      <c r="D4" s="44" t="s">
        <v>10681</v>
      </c>
      <c r="E4" s="31"/>
      <c r="F4" s="31" t="s">
        <v>153</v>
      </c>
      <c r="G4" s="31" t="n">
        <v>1</v>
      </c>
      <c r="H4" s="31" t="s">
        <v>154</v>
      </c>
      <c r="I4" s="44" t="s">
        <v>155</v>
      </c>
      <c r="J4" s="45" t="s">
        <v>158</v>
      </c>
      <c r="K4" s="45" t="s">
        <v>160</v>
      </c>
      <c r="L4" s="31" t="n">
        <f aca="false">COUNTIF($B$3:$B$2205,$B4)</f>
        <v>1</v>
      </c>
      <c r="M4" s="44" t="str">
        <f aca="false">IFERROR(INDEX(SENTENCES!$T$3:$T$1802,MATCH($F4,SENTENCES!$A$3:$A$1802,0)),"")</f>
        <v>⚠ TRỄ HỌC</v>
      </c>
    </row>
    <row r="5" customFormat="false" ht="15" hidden="false" customHeight="false" outlineLevel="0" collapsed="false">
      <c r="A5" s="31" t="n">
        <v>3</v>
      </c>
      <c r="B5" s="43" t="s">
        <v>10682</v>
      </c>
      <c r="C5" s="34" t="s">
        <v>10683</v>
      </c>
      <c r="D5" s="44" t="s">
        <v>10677</v>
      </c>
      <c r="E5" s="31" t="s">
        <v>10678</v>
      </c>
      <c r="F5" s="31" t="s">
        <v>162</v>
      </c>
      <c r="G5" s="31" t="n">
        <v>1</v>
      </c>
      <c r="H5" s="31" t="s">
        <v>154</v>
      </c>
      <c r="I5" s="44" t="s">
        <v>155</v>
      </c>
      <c r="J5" s="45" t="s">
        <v>165</v>
      </c>
      <c r="K5" s="45" t="s">
        <v>167</v>
      </c>
      <c r="L5" s="31" t="n">
        <f aca="false">COUNTIF($B$3:$B$2205,$B5)</f>
        <v>1</v>
      </c>
      <c r="M5" s="44" t="str">
        <f aca="false">IFERROR(INDEX(SENTENCES!$T$3:$T$1802,MATCH($F5,SENTENCES!$A$3:$A$1802,0)),"")</f>
        <v>⚠ TRỄ HỌC</v>
      </c>
    </row>
    <row r="6" customFormat="false" ht="15" hidden="false" customHeight="false" outlineLevel="0" collapsed="false">
      <c r="A6" s="31" t="n">
        <v>4</v>
      </c>
      <c r="B6" s="43" t="s">
        <v>10684</v>
      </c>
      <c r="C6" s="34" t="s">
        <v>10685</v>
      </c>
      <c r="D6" s="44" t="s">
        <v>10686</v>
      </c>
      <c r="E6" s="31"/>
      <c r="F6" s="31" t="s">
        <v>162</v>
      </c>
      <c r="G6" s="31" t="n">
        <v>1</v>
      </c>
      <c r="H6" s="31" t="s">
        <v>154</v>
      </c>
      <c r="I6" s="44" t="s">
        <v>155</v>
      </c>
      <c r="J6" s="45" t="s">
        <v>165</v>
      </c>
      <c r="K6" s="45" t="s">
        <v>167</v>
      </c>
      <c r="L6" s="31" t="n">
        <f aca="false">COUNTIF($B$3:$B$2205,$B6)</f>
        <v>2</v>
      </c>
      <c r="M6" s="44" t="str">
        <f aca="false">IFERROR(INDEX(SENTENCES!$T$3:$T$1802,MATCH($F6,SENTENCES!$A$3:$A$1802,0)),"")</f>
        <v>⚠ TRỄ HỌC</v>
      </c>
    </row>
    <row r="7" customFormat="false" ht="15" hidden="false" customHeight="false" outlineLevel="0" collapsed="false">
      <c r="A7" s="31" t="n">
        <v>5</v>
      </c>
      <c r="B7" s="43" t="s">
        <v>10687</v>
      </c>
      <c r="C7" s="34" t="s">
        <v>10688</v>
      </c>
      <c r="D7" s="44" t="s">
        <v>10681</v>
      </c>
      <c r="E7" s="31"/>
      <c r="F7" s="31" t="s">
        <v>169</v>
      </c>
      <c r="G7" s="31" t="n">
        <v>1</v>
      </c>
      <c r="H7" s="31" t="s">
        <v>154</v>
      </c>
      <c r="I7" s="44" t="s">
        <v>155</v>
      </c>
      <c r="J7" s="45" t="s">
        <v>171</v>
      </c>
      <c r="K7" s="45" t="s">
        <v>173</v>
      </c>
      <c r="L7" s="31" t="n">
        <f aca="false">COUNTIF($B$3:$B$2205,$B7)</f>
        <v>1</v>
      </c>
      <c r="M7" s="44" t="str">
        <f aca="false">IFERROR(INDEX(SENTENCES!$T$3:$T$1802,MATCH($F7,SENTENCES!$A$3:$A$1802,0)),"")</f>
        <v>⚠ TRỄ HỌC</v>
      </c>
    </row>
    <row r="8" customFormat="false" ht="15" hidden="false" customHeight="false" outlineLevel="0" collapsed="false">
      <c r="A8" s="31" t="n">
        <v>6</v>
      </c>
      <c r="B8" s="43" t="s">
        <v>10689</v>
      </c>
      <c r="C8" s="34" t="s">
        <v>10690</v>
      </c>
      <c r="D8" s="44" t="s">
        <v>10681</v>
      </c>
      <c r="E8" s="31"/>
      <c r="F8" s="31" t="s">
        <v>175</v>
      </c>
      <c r="G8" s="31" t="n">
        <v>1</v>
      </c>
      <c r="H8" s="31" t="s">
        <v>154</v>
      </c>
      <c r="I8" s="44" t="s">
        <v>155</v>
      </c>
      <c r="J8" s="45" t="s">
        <v>178</v>
      </c>
      <c r="K8" s="45" t="s">
        <v>180</v>
      </c>
      <c r="L8" s="31" t="n">
        <f aca="false">COUNTIF($B$3:$B$2205,$B8)</f>
        <v>1</v>
      </c>
      <c r="M8" s="44" t="str">
        <f aca="false">IFERROR(INDEX(SENTENCES!$T$3:$T$1802,MATCH($F8,SENTENCES!$A$3:$A$1802,0)),"")</f>
        <v>⚠ TRỄ HỌC</v>
      </c>
    </row>
    <row r="9" customFormat="false" ht="15" hidden="false" customHeight="false" outlineLevel="0" collapsed="false">
      <c r="A9" s="31" t="n">
        <v>7</v>
      </c>
      <c r="B9" s="43" t="s">
        <v>10691</v>
      </c>
      <c r="C9" s="34" t="s">
        <v>10692</v>
      </c>
      <c r="D9" s="44" t="s">
        <v>10681</v>
      </c>
      <c r="E9" s="31"/>
      <c r="F9" s="31" t="s">
        <v>175</v>
      </c>
      <c r="G9" s="31" t="n">
        <v>1</v>
      </c>
      <c r="H9" s="31" t="s">
        <v>154</v>
      </c>
      <c r="I9" s="44" t="s">
        <v>155</v>
      </c>
      <c r="J9" s="45" t="s">
        <v>178</v>
      </c>
      <c r="K9" s="45" t="s">
        <v>180</v>
      </c>
      <c r="L9" s="31" t="n">
        <f aca="false">COUNTIF($B$3:$B$2205,$B9)</f>
        <v>1</v>
      </c>
      <c r="M9" s="44" t="str">
        <f aca="false">IFERROR(INDEX(SENTENCES!$T$3:$T$1802,MATCH($F9,SENTENCES!$A$3:$A$1802,0)),"")</f>
        <v>⚠ TRỄ HỌC</v>
      </c>
    </row>
    <row r="10" customFormat="false" ht="15" hidden="false" customHeight="false" outlineLevel="0" collapsed="false">
      <c r="A10" s="31" t="n">
        <v>8</v>
      </c>
      <c r="B10" s="43" t="s">
        <v>10693</v>
      </c>
      <c r="C10" s="34" t="s">
        <v>10694</v>
      </c>
      <c r="D10" s="44" t="s">
        <v>10681</v>
      </c>
      <c r="E10" s="31"/>
      <c r="F10" s="31" t="s">
        <v>182</v>
      </c>
      <c r="G10" s="31" t="n">
        <v>1</v>
      </c>
      <c r="H10" s="31" t="s">
        <v>154</v>
      </c>
      <c r="I10" s="44" t="s">
        <v>155</v>
      </c>
      <c r="J10" s="45" t="s">
        <v>185</v>
      </c>
      <c r="K10" s="45" t="s">
        <v>187</v>
      </c>
      <c r="L10" s="31" t="n">
        <f aca="false">COUNTIF($B$3:$B$2205,$B10)</f>
        <v>1</v>
      </c>
      <c r="M10" s="44" t="str">
        <f aca="false">IFERROR(INDEX(SENTENCES!$T$3:$T$1802,MATCH($F10,SENTENCES!$A$3:$A$1802,0)),"")</f>
        <v>⚠ TRỄ HỌC</v>
      </c>
    </row>
    <row r="11" customFormat="false" ht="15" hidden="false" customHeight="false" outlineLevel="0" collapsed="false">
      <c r="A11" s="31" t="n">
        <v>9</v>
      </c>
      <c r="B11" s="43" t="s">
        <v>10695</v>
      </c>
      <c r="C11" s="34" t="s">
        <v>10696</v>
      </c>
      <c r="D11" s="44" t="s">
        <v>10681</v>
      </c>
      <c r="E11" s="31"/>
      <c r="F11" s="31" t="s">
        <v>182</v>
      </c>
      <c r="G11" s="31" t="n">
        <v>1</v>
      </c>
      <c r="H11" s="31" t="s">
        <v>154</v>
      </c>
      <c r="I11" s="44" t="s">
        <v>155</v>
      </c>
      <c r="J11" s="45" t="s">
        <v>185</v>
      </c>
      <c r="K11" s="45" t="s">
        <v>187</v>
      </c>
      <c r="L11" s="31" t="n">
        <f aca="false">COUNTIF($B$3:$B$2205,$B11)</f>
        <v>1</v>
      </c>
      <c r="M11" s="44" t="str">
        <f aca="false">IFERROR(INDEX(SENTENCES!$T$3:$T$1802,MATCH($F11,SENTENCES!$A$3:$A$1802,0)),"")</f>
        <v>⚠ TRỄ HỌC</v>
      </c>
    </row>
    <row r="12" customFormat="false" ht="15" hidden="false" customHeight="false" outlineLevel="0" collapsed="false">
      <c r="A12" s="31" t="n">
        <v>10</v>
      </c>
      <c r="B12" s="43" t="s">
        <v>10697</v>
      </c>
      <c r="C12" s="34" t="s">
        <v>10698</v>
      </c>
      <c r="D12" s="44" t="s">
        <v>10681</v>
      </c>
      <c r="E12" s="31"/>
      <c r="F12" s="31" t="s">
        <v>189</v>
      </c>
      <c r="G12" s="31" t="n">
        <v>1</v>
      </c>
      <c r="H12" s="31" t="s">
        <v>154</v>
      </c>
      <c r="I12" s="44" t="s">
        <v>155</v>
      </c>
      <c r="J12" s="45" t="s">
        <v>191</v>
      </c>
      <c r="K12" s="45" t="s">
        <v>193</v>
      </c>
      <c r="L12" s="31" t="n">
        <f aca="false">COUNTIF($B$3:$B$2205,$B12)</f>
        <v>1</v>
      </c>
      <c r="M12" s="44" t="str">
        <f aca="false">IFERROR(INDEX(SENTENCES!$T$3:$T$1802,MATCH($F12,SENTENCES!$A$3:$A$1802,0)),"")</f>
        <v>⚠ TRỄ HỌC</v>
      </c>
    </row>
    <row r="13" customFormat="false" ht="15" hidden="false" customHeight="false" outlineLevel="0" collapsed="false">
      <c r="A13" s="31" t="n">
        <v>11</v>
      </c>
      <c r="B13" s="43" t="s">
        <v>10699</v>
      </c>
      <c r="C13" s="34" t="s">
        <v>10700</v>
      </c>
      <c r="D13" s="44" t="s">
        <v>10677</v>
      </c>
      <c r="E13" s="31" t="s">
        <v>10678</v>
      </c>
      <c r="F13" s="31" t="s">
        <v>195</v>
      </c>
      <c r="G13" s="31" t="n">
        <v>1</v>
      </c>
      <c r="H13" s="31" t="s">
        <v>154</v>
      </c>
      <c r="I13" s="44" t="s">
        <v>155</v>
      </c>
      <c r="J13" s="45" t="s">
        <v>197</v>
      </c>
      <c r="K13" s="45" t="s">
        <v>199</v>
      </c>
      <c r="L13" s="31" t="n">
        <f aca="false">COUNTIF($B$3:$B$2205,$B13)</f>
        <v>1</v>
      </c>
      <c r="M13" s="44" t="str">
        <f aca="false">IFERROR(INDEX(SENTENCES!$T$3:$T$1802,MATCH($F13,SENTENCES!$A$3:$A$1802,0)),"")</f>
        <v>⚠ TRỄ HỌC</v>
      </c>
    </row>
    <row r="14" customFormat="false" ht="15" hidden="false" customHeight="false" outlineLevel="0" collapsed="false">
      <c r="A14" s="31" t="n">
        <v>12</v>
      </c>
      <c r="B14" s="43" t="s">
        <v>10701</v>
      </c>
      <c r="C14" s="34" t="s">
        <v>10702</v>
      </c>
      <c r="D14" s="44" t="s">
        <v>10681</v>
      </c>
      <c r="E14" s="31"/>
      <c r="F14" s="31" t="s">
        <v>195</v>
      </c>
      <c r="G14" s="31" t="n">
        <v>1</v>
      </c>
      <c r="H14" s="31" t="s">
        <v>154</v>
      </c>
      <c r="I14" s="44" t="s">
        <v>155</v>
      </c>
      <c r="J14" s="45" t="s">
        <v>197</v>
      </c>
      <c r="K14" s="45" t="s">
        <v>199</v>
      </c>
      <c r="L14" s="31" t="n">
        <f aca="false">COUNTIF($B$3:$B$2205,$B14)</f>
        <v>3</v>
      </c>
      <c r="M14" s="44" t="str">
        <f aca="false">IFERROR(INDEX(SENTENCES!$T$3:$T$1802,MATCH($F14,SENTENCES!$A$3:$A$1802,0)),"")</f>
        <v>⚠ TRỄ HỌC</v>
      </c>
    </row>
    <row r="15" customFormat="false" ht="15" hidden="false" customHeight="false" outlineLevel="0" collapsed="false">
      <c r="A15" s="31" t="n">
        <v>13</v>
      </c>
      <c r="B15" s="43" t="s">
        <v>10703</v>
      </c>
      <c r="C15" s="34" t="s">
        <v>10704</v>
      </c>
      <c r="D15" s="44" t="s">
        <v>10686</v>
      </c>
      <c r="E15" s="31"/>
      <c r="F15" s="31" t="s">
        <v>195</v>
      </c>
      <c r="G15" s="31" t="n">
        <v>1</v>
      </c>
      <c r="H15" s="31" t="s">
        <v>154</v>
      </c>
      <c r="I15" s="44" t="s">
        <v>155</v>
      </c>
      <c r="J15" s="45" t="s">
        <v>197</v>
      </c>
      <c r="K15" s="45" t="s">
        <v>199</v>
      </c>
      <c r="L15" s="31" t="n">
        <f aca="false">COUNTIF($B$3:$B$2205,$B15)</f>
        <v>2</v>
      </c>
      <c r="M15" s="44" t="str">
        <f aca="false">IFERROR(INDEX(SENTENCES!$T$3:$T$1802,MATCH($F15,SENTENCES!$A$3:$A$1802,0)),"")</f>
        <v>⚠ TRỄ HỌC</v>
      </c>
    </row>
    <row r="16" customFormat="false" ht="15" hidden="false" customHeight="false" outlineLevel="0" collapsed="false">
      <c r="A16" s="31" t="n">
        <v>14</v>
      </c>
      <c r="B16" s="43" t="s">
        <v>10705</v>
      </c>
      <c r="C16" s="34" t="s">
        <v>10706</v>
      </c>
      <c r="D16" s="44" t="s">
        <v>10677</v>
      </c>
      <c r="E16" s="31" t="s">
        <v>10707</v>
      </c>
      <c r="F16" s="31" t="s">
        <v>201</v>
      </c>
      <c r="G16" s="31" t="n">
        <v>1</v>
      </c>
      <c r="H16" s="31" t="s">
        <v>154</v>
      </c>
      <c r="I16" s="44" t="s">
        <v>155</v>
      </c>
      <c r="J16" s="45" t="s">
        <v>204</v>
      </c>
      <c r="K16" s="45" t="s">
        <v>206</v>
      </c>
      <c r="L16" s="31" t="n">
        <f aca="false">COUNTIF($B$3:$B$2205,$B16)</f>
        <v>1</v>
      </c>
      <c r="M16" s="44" t="str">
        <f aca="false">IFERROR(INDEX(SENTENCES!$T$3:$T$1802,MATCH($F16,SENTENCES!$A$3:$A$1802,0)),"")</f>
        <v>⚠ TRỄ HỌC</v>
      </c>
    </row>
    <row r="17" customFormat="false" ht="15" hidden="false" customHeight="false" outlineLevel="0" collapsed="false">
      <c r="A17" s="31" t="n">
        <v>15</v>
      </c>
      <c r="B17" s="43" t="s">
        <v>10708</v>
      </c>
      <c r="C17" s="34" t="s">
        <v>10709</v>
      </c>
      <c r="D17" s="44" t="s">
        <v>10686</v>
      </c>
      <c r="E17" s="31"/>
      <c r="F17" s="31" t="s">
        <v>201</v>
      </c>
      <c r="G17" s="31" t="n">
        <v>1</v>
      </c>
      <c r="H17" s="31" t="s">
        <v>154</v>
      </c>
      <c r="I17" s="44" t="s">
        <v>155</v>
      </c>
      <c r="J17" s="45" t="s">
        <v>204</v>
      </c>
      <c r="K17" s="45" t="s">
        <v>206</v>
      </c>
      <c r="L17" s="31" t="n">
        <f aca="false">COUNTIF($B$3:$B$2205,$B17)</f>
        <v>1</v>
      </c>
      <c r="M17" s="44" t="str">
        <f aca="false">IFERROR(INDEX(SENTENCES!$T$3:$T$1802,MATCH($F17,SENTENCES!$A$3:$A$1802,0)),"")</f>
        <v>⚠ TRỄ HỌC</v>
      </c>
    </row>
    <row r="18" customFormat="false" ht="15" hidden="false" customHeight="false" outlineLevel="0" collapsed="false">
      <c r="A18" s="31" t="n">
        <v>16</v>
      </c>
      <c r="B18" s="43" t="s">
        <v>10710</v>
      </c>
      <c r="C18" s="34" t="s">
        <v>10711</v>
      </c>
      <c r="D18" s="44" t="s">
        <v>10681</v>
      </c>
      <c r="E18" s="31"/>
      <c r="F18" s="31" t="s">
        <v>208</v>
      </c>
      <c r="G18" s="31" t="n">
        <v>1</v>
      </c>
      <c r="H18" s="31" t="s">
        <v>154</v>
      </c>
      <c r="I18" s="44" t="s">
        <v>155</v>
      </c>
      <c r="J18" s="45" t="s">
        <v>210</v>
      </c>
      <c r="K18" s="45" t="s">
        <v>212</v>
      </c>
      <c r="L18" s="31" t="n">
        <f aca="false">COUNTIF($B$3:$B$2205,$B18)</f>
        <v>2</v>
      </c>
      <c r="M18" s="44" t="str">
        <f aca="false">IFERROR(INDEX(SENTENCES!$T$3:$T$1802,MATCH($F18,SENTENCES!$A$3:$A$1802,0)),"")</f>
        <v>⚠ TRỄ HỌC</v>
      </c>
    </row>
    <row r="19" customFormat="false" ht="15" hidden="false" customHeight="false" outlineLevel="0" collapsed="false">
      <c r="A19" s="31" t="n">
        <v>17</v>
      </c>
      <c r="B19" s="43" t="s">
        <v>10712</v>
      </c>
      <c r="C19" s="34" t="s">
        <v>10713</v>
      </c>
      <c r="D19" s="44" t="s">
        <v>10681</v>
      </c>
      <c r="E19" s="31"/>
      <c r="F19" s="31" t="s">
        <v>214</v>
      </c>
      <c r="G19" s="31" t="n">
        <v>1</v>
      </c>
      <c r="H19" s="31" t="s">
        <v>154</v>
      </c>
      <c r="I19" s="44" t="s">
        <v>155</v>
      </c>
      <c r="J19" s="45" t="s">
        <v>216</v>
      </c>
      <c r="K19" s="45" t="s">
        <v>218</v>
      </c>
      <c r="L19" s="31" t="n">
        <f aca="false">COUNTIF($B$3:$B$2205,$B19)</f>
        <v>2</v>
      </c>
      <c r="M19" s="44" t="str">
        <f aca="false">IFERROR(INDEX(SENTENCES!$T$3:$T$1802,MATCH($F19,SENTENCES!$A$3:$A$1802,0)),"")</f>
        <v>⚠ TRỄ HỌC</v>
      </c>
    </row>
    <row r="20" customFormat="false" ht="15" hidden="false" customHeight="false" outlineLevel="0" collapsed="false">
      <c r="A20" s="31" t="n">
        <v>18</v>
      </c>
      <c r="B20" s="43" t="s">
        <v>10714</v>
      </c>
      <c r="C20" s="34" t="s">
        <v>10715</v>
      </c>
      <c r="D20" s="44" t="s">
        <v>10686</v>
      </c>
      <c r="E20" s="31"/>
      <c r="F20" s="31" t="s">
        <v>214</v>
      </c>
      <c r="G20" s="31" t="n">
        <v>1</v>
      </c>
      <c r="H20" s="31" t="s">
        <v>154</v>
      </c>
      <c r="I20" s="44" t="s">
        <v>155</v>
      </c>
      <c r="J20" s="45" t="s">
        <v>216</v>
      </c>
      <c r="K20" s="45" t="s">
        <v>218</v>
      </c>
      <c r="L20" s="31" t="n">
        <f aca="false">COUNTIF($B$3:$B$2205,$B20)</f>
        <v>1</v>
      </c>
      <c r="M20" s="44" t="str">
        <f aca="false">IFERROR(INDEX(SENTENCES!$T$3:$T$1802,MATCH($F20,SENTENCES!$A$3:$A$1802,0)),"")</f>
        <v>⚠ TRỄ HỌC</v>
      </c>
    </row>
    <row r="21" customFormat="false" ht="15" hidden="false" customHeight="false" outlineLevel="0" collapsed="false">
      <c r="A21" s="31" t="n">
        <v>19</v>
      </c>
      <c r="B21" s="43" t="s">
        <v>10716</v>
      </c>
      <c r="C21" s="34" t="s">
        <v>10717</v>
      </c>
      <c r="D21" s="44" t="s">
        <v>10681</v>
      </c>
      <c r="E21" s="31"/>
      <c r="F21" s="31" t="s">
        <v>220</v>
      </c>
      <c r="G21" s="31" t="n">
        <v>1</v>
      </c>
      <c r="H21" s="31" t="s">
        <v>154</v>
      </c>
      <c r="I21" s="44" t="s">
        <v>155</v>
      </c>
      <c r="J21" s="45" t="s">
        <v>222</v>
      </c>
      <c r="K21" s="45" t="s">
        <v>224</v>
      </c>
      <c r="L21" s="31" t="n">
        <f aca="false">COUNTIF($B$3:$B$2205,$B21)</f>
        <v>2</v>
      </c>
      <c r="M21" s="44" t="str">
        <f aca="false">IFERROR(INDEX(SENTENCES!$T$3:$T$1802,MATCH($F21,SENTENCES!$A$3:$A$1802,0)),"")</f>
        <v>⚠ TRỄ HỌC</v>
      </c>
    </row>
    <row r="22" customFormat="false" ht="15" hidden="false" customHeight="false" outlineLevel="0" collapsed="false">
      <c r="A22" s="31" t="n">
        <v>20</v>
      </c>
      <c r="B22" s="43" t="s">
        <v>10718</v>
      </c>
      <c r="C22" s="34" t="s">
        <v>10719</v>
      </c>
      <c r="D22" s="44" t="s">
        <v>10681</v>
      </c>
      <c r="E22" s="31"/>
      <c r="F22" s="31" t="s">
        <v>226</v>
      </c>
      <c r="G22" s="31" t="n">
        <v>1</v>
      </c>
      <c r="H22" s="31" t="s">
        <v>154</v>
      </c>
      <c r="I22" s="44" t="s">
        <v>155</v>
      </c>
      <c r="J22" s="45" t="s">
        <v>227</v>
      </c>
      <c r="K22" s="45" t="s">
        <v>229</v>
      </c>
      <c r="L22" s="31" t="n">
        <f aca="false">COUNTIF($B$3:$B$2205,$B22)</f>
        <v>2</v>
      </c>
      <c r="M22" s="44" t="str">
        <f aca="false">IFERROR(INDEX(SENTENCES!$T$3:$T$1802,MATCH($F22,SENTENCES!$A$3:$A$1802,0)),"")</f>
        <v>⚠ TRỄ HỌC</v>
      </c>
    </row>
    <row r="23" customFormat="false" ht="15" hidden="false" customHeight="false" outlineLevel="0" collapsed="false">
      <c r="A23" s="31" t="n">
        <v>21</v>
      </c>
      <c r="B23" s="43" t="s">
        <v>10720</v>
      </c>
      <c r="C23" s="34" t="s">
        <v>10721</v>
      </c>
      <c r="D23" s="44" t="s">
        <v>10686</v>
      </c>
      <c r="E23" s="31"/>
      <c r="F23" s="31" t="s">
        <v>231</v>
      </c>
      <c r="G23" s="31" t="n">
        <v>1</v>
      </c>
      <c r="H23" s="31" t="s">
        <v>154</v>
      </c>
      <c r="I23" s="44" t="s">
        <v>155</v>
      </c>
      <c r="J23" s="45" t="s">
        <v>233</v>
      </c>
      <c r="K23" s="45" t="s">
        <v>235</v>
      </c>
      <c r="L23" s="31" t="n">
        <f aca="false">COUNTIF($B$3:$B$2205,$B23)</f>
        <v>1</v>
      </c>
      <c r="M23" s="44" t="str">
        <f aca="false">IFERROR(INDEX(SENTENCES!$T$3:$T$1802,MATCH($F23,SENTENCES!$A$3:$A$1802,0)),"")</f>
        <v>⚠ TRỄ HỌC</v>
      </c>
    </row>
    <row r="24" customFormat="false" ht="15" hidden="false" customHeight="false" outlineLevel="0" collapsed="false">
      <c r="A24" s="31" t="n">
        <v>22</v>
      </c>
      <c r="B24" s="43" t="s">
        <v>10722</v>
      </c>
      <c r="C24" s="34" t="s">
        <v>10723</v>
      </c>
      <c r="D24" s="44" t="s">
        <v>10724</v>
      </c>
      <c r="E24" s="31"/>
      <c r="F24" s="31" t="s">
        <v>231</v>
      </c>
      <c r="G24" s="31" t="n">
        <v>1</v>
      </c>
      <c r="H24" s="31" t="s">
        <v>154</v>
      </c>
      <c r="I24" s="44" t="s">
        <v>155</v>
      </c>
      <c r="J24" s="45" t="s">
        <v>233</v>
      </c>
      <c r="K24" s="45" t="s">
        <v>235</v>
      </c>
      <c r="L24" s="31" t="n">
        <f aca="false">COUNTIF($B$3:$B$2205,$B24)</f>
        <v>1</v>
      </c>
      <c r="M24" s="44" t="str">
        <f aca="false">IFERROR(INDEX(SENTENCES!$T$3:$T$1802,MATCH($F24,SENTENCES!$A$3:$A$1802,0)),"")</f>
        <v>⚠ TRỄ HỌC</v>
      </c>
    </row>
    <row r="25" customFormat="false" ht="15" hidden="false" customHeight="false" outlineLevel="0" collapsed="false">
      <c r="A25" s="31" t="n">
        <v>23</v>
      </c>
      <c r="B25" s="43" t="s">
        <v>10725</v>
      </c>
      <c r="C25" s="34" t="s">
        <v>10726</v>
      </c>
      <c r="D25" s="44" t="s">
        <v>10681</v>
      </c>
      <c r="E25" s="31"/>
      <c r="F25" s="31" t="s">
        <v>237</v>
      </c>
      <c r="G25" s="31" t="n">
        <v>1</v>
      </c>
      <c r="H25" s="31" t="s">
        <v>154</v>
      </c>
      <c r="I25" s="44" t="s">
        <v>155</v>
      </c>
      <c r="J25" s="45" t="s">
        <v>239</v>
      </c>
      <c r="K25" s="45" t="s">
        <v>241</v>
      </c>
      <c r="L25" s="31" t="n">
        <f aca="false">COUNTIF($B$3:$B$2205,$B25)</f>
        <v>3</v>
      </c>
      <c r="M25" s="44" t="str">
        <f aca="false">IFERROR(INDEX(SENTENCES!$T$3:$T$1802,MATCH($F25,SENTENCES!$A$3:$A$1802,0)),"")</f>
        <v>⚠ TRỄ HỌC</v>
      </c>
    </row>
    <row r="26" customFormat="false" ht="15" hidden="false" customHeight="false" outlineLevel="0" collapsed="false">
      <c r="A26" s="31" t="n">
        <v>24</v>
      </c>
      <c r="B26" s="43" t="s">
        <v>10727</v>
      </c>
      <c r="C26" s="34" t="s">
        <v>10728</v>
      </c>
      <c r="D26" s="44" t="s">
        <v>10681</v>
      </c>
      <c r="E26" s="31"/>
      <c r="F26" s="31" t="s">
        <v>243</v>
      </c>
      <c r="G26" s="31" t="n">
        <v>1</v>
      </c>
      <c r="H26" s="31" t="s">
        <v>154</v>
      </c>
      <c r="I26" s="44" t="s">
        <v>155</v>
      </c>
      <c r="J26" s="45" t="s">
        <v>245</v>
      </c>
      <c r="K26" s="45" t="s">
        <v>247</v>
      </c>
      <c r="L26" s="31" t="n">
        <f aca="false">COUNTIF($B$3:$B$2205,$B26)</f>
        <v>3</v>
      </c>
      <c r="M26" s="44" t="str">
        <f aca="false">IFERROR(INDEX(SENTENCES!$T$3:$T$1802,MATCH($F26,SENTENCES!$A$3:$A$1802,0)),"")</f>
        <v>⚠ TRỄ HỌC</v>
      </c>
    </row>
    <row r="27" customFormat="false" ht="15" hidden="false" customHeight="false" outlineLevel="0" collapsed="false">
      <c r="A27" s="31" t="n">
        <v>25</v>
      </c>
      <c r="B27" s="43" t="s">
        <v>10729</v>
      </c>
      <c r="C27" s="34" t="s">
        <v>10730</v>
      </c>
      <c r="D27" s="44" t="s">
        <v>10681</v>
      </c>
      <c r="E27" s="31"/>
      <c r="F27" s="31" t="s">
        <v>243</v>
      </c>
      <c r="G27" s="31" t="n">
        <v>1</v>
      </c>
      <c r="H27" s="31" t="s">
        <v>154</v>
      </c>
      <c r="I27" s="44" t="s">
        <v>155</v>
      </c>
      <c r="J27" s="45" t="s">
        <v>245</v>
      </c>
      <c r="K27" s="45" t="s">
        <v>247</v>
      </c>
      <c r="L27" s="31" t="n">
        <f aca="false">COUNTIF($B$3:$B$2205,$B27)</f>
        <v>3</v>
      </c>
      <c r="M27" s="44" t="str">
        <f aca="false">IFERROR(INDEX(SENTENCES!$T$3:$T$1802,MATCH($F27,SENTENCES!$A$3:$A$1802,0)),"")</f>
        <v>⚠ TRỄ HỌC</v>
      </c>
    </row>
    <row r="28" customFormat="false" ht="15" hidden="false" customHeight="false" outlineLevel="0" collapsed="false">
      <c r="A28" s="31" t="n">
        <v>26</v>
      </c>
      <c r="B28" s="43" t="s">
        <v>10731</v>
      </c>
      <c r="C28" s="34" t="s">
        <v>10732</v>
      </c>
      <c r="D28" s="44" t="s">
        <v>10681</v>
      </c>
      <c r="E28" s="31"/>
      <c r="F28" s="31" t="s">
        <v>243</v>
      </c>
      <c r="G28" s="31" t="n">
        <v>1</v>
      </c>
      <c r="H28" s="31" t="s">
        <v>154</v>
      </c>
      <c r="I28" s="44" t="s">
        <v>155</v>
      </c>
      <c r="J28" s="45" t="s">
        <v>245</v>
      </c>
      <c r="K28" s="45" t="s">
        <v>247</v>
      </c>
      <c r="L28" s="31" t="n">
        <f aca="false">COUNTIF($B$3:$B$2205,$B28)</f>
        <v>3</v>
      </c>
      <c r="M28" s="44" t="str">
        <f aca="false">IFERROR(INDEX(SENTENCES!$T$3:$T$1802,MATCH($F28,SENTENCES!$A$3:$A$1802,0)),"")</f>
        <v>⚠ TRỄ HỌC</v>
      </c>
    </row>
    <row r="29" customFormat="false" ht="15" hidden="false" customHeight="false" outlineLevel="0" collapsed="false">
      <c r="A29" s="31" t="n">
        <v>27</v>
      </c>
      <c r="B29" s="43" t="s">
        <v>10733</v>
      </c>
      <c r="C29" s="34" t="s">
        <v>10734</v>
      </c>
      <c r="D29" s="44" t="s">
        <v>10681</v>
      </c>
      <c r="E29" s="31"/>
      <c r="F29" s="31" t="s">
        <v>249</v>
      </c>
      <c r="G29" s="31" t="n">
        <v>1</v>
      </c>
      <c r="H29" s="31" t="s">
        <v>154</v>
      </c>
      <c r="I29" s="44" t="s">
        <v>155</v>
      </c>
      <c r="J29" s="45" t="s">
        <v>250</v>
      </c>
      <c r="K29" s="45" t="s">
        <v>252</v>
      </c>
      <c r="L29" s="31" t="n">
        <f aca="false">COUNTIF($B$3:$B$2205,$B29)</f>
        <v>1</v>
      </c>
      <c r="M29" s="44" t="str">
        <f aca="false">IFERROR(INDEX(SENTENCES!$T$3:$T$1802,MATCH($F29,SENTENCES!$A$3:$A$1802,0)),"")</f>
        <v>⚠ TRỄ HỌC</v>
      </c>
    </row>
    <row r="30" customFormat="false" ht="15" hidden="false" customHeight="false" outlineLevel="0" collapsed="false">
      <c r="A30" s="31" t="n">
        <v>28</v>
      </c>
      <c r="B30" s="43" t="s">
        <v>10735</v>
      </c>
      <c r="C30" s="34" t="s">
        <v>10736</v>
      </c>
      <c r="D30" s="44" t="s">
        <v>10677</v>
      </c>
      <c r="E30" s="31" t="s">
        <v>10707</v>
      </c>
      <c r="F30" s="31" t="s">
        <v>254</v>
      </c>
      <c r="G30" s="31" t="n">
        <v>1</v>
      </c>
      <c r="H30" s="31" t="s">
        <v>154</v>
      </c>
      <c r="I30" s="44" t="s">
        <v>155</v>
      </c>
      <c r="J30" s="45" t="s">
        <v>256</v>
      </c>
      <c r="K30" s="45" t="s">
        <v>258</v>
      </c>
      <c r="L30" s="31" t="n">
        <f aca="false">COUNTIF($B$3:$B$2205,$B30)</f>
        <v>1</v>
      </c>
      <c r="M30" s="44" t="str">
        <f aca="false">IFERROR(INDEX(SENTENCES!$T$3:$T$1802,MATCH($F30,SENTENCES!$A$3:$A$1802,0)),"")</f>
        <v>⚠ TRỄ HỌC</v>
      </c>
    </row>
    <row r="31" customFormat="false" ht="15" hidden="false" customHeight="false" outlineLevel="0" collapsed="false">
      <c r="A31" s="31" t="n">
        <v>29</v>
      </c>
      <c r="B31" s="43" t="s">
        <v>10737</v>
      </c>
      <c r="C31" s="34" t="s">
        <v>10738</v>
      </c>
      <c r="D31" s="44" t="s">
        <v>10686</v>
      </c>
      <c r="E31" s="31"/>
      <c r="F31" s="31" t="s">
        <v>254</v>
      </c>
      <c r="G31" s="31" t="n">
        <v>1</v>
      </c>
      <c r="H31" s="31" t="s">
        <v>154</v>
      </c>
      <c r="I31" s="44" t="s">
        <v>155</v>
      </c>
      <c r="J31" s="45" t="s">
        <v>256</v>
      </c>
      <c r="K31" s="45" t="s">
        <v>258</v>
      </c>
      <c r="L31" s="31" t="n">
        <f aca="false">COUNTIF($B$3:$B$2205,$B31)</f>
        <v>2</v>
      </c>
      <c r="M31" s="44" t="str">
        <f aca="false">IFERROR(INDEX(SENTENCES!$T$3:$T$1802,MATCH($F31,SENTENCES!$A$3:$A$1802,0)),"")</f>
        <v>⚠ TRỄ HỌC</v>
      </c>
    </row>
    <row r="32" customFormat="false" ht="15" hidden="false" customHeight="false" outlineLevel="0" collapsed="false">
      <c r="A32" s="31" t="n">
        <v>30</v>
      </c>
      <c r="B32" s="43" t="s">
        <v>10739</v>
      </c>
      <c r="C32" s="34" t="s">
        <v>10740</v>
      </c>
      <c r="D32" s="44" t="s">
        <v>10686</v>
      </c>
      <c r="E32" s="31"/>
      <c r="F32" s="31" t="s">
        <v>254</v>
      </c>
      <c r="G32" s="31" t="n">
        <v>1</v>
      </c>
      <c r="H32" s="31" t="s">
        <v>154</v>
      </c>
      <c r="I32" s="44" t="s">
        <v>155</v>
      </c>
      <c r="J32" s="45" t="s">
        <v>256</v>
      </c>
      <c r="K32" s="45" t="s">
        <v>258</v>
      </c>
      <c r="L32" s="31" t="n">
        <f aca="false">COUNTIF($B$3:$B$2205,$B32)</f>
        <v>1</v>
      </c>
      <c r="M32" s="44" t="str">
        <f aca="false">IFERROR(INDEX(SENTENCES!$T$3:$T$1802,MATCH($F32,SENTENCES!$A$3:$A$1802,0)),"")</f>
        <v>⚠ TRỄ HỌC</v>
      </c>
    </row>
    <row r="33" customFormat="false" ht="15" hidden="false" customHeight="false" outlineLevel="0" collapsed="false">
      <c r="A33" s="31" t="n">
        <v>31</v>
      </c>
      <c r="B33" s="43" t="s">
        <v>10741</v>
      </c>
      <c r="C33" s="34" t="s">
        <v>10742</v>
      </c>
      <c r="D33" s="44" t="s">
        <v>10681</v>
      </c>
      <c r="E33" s="31"/>
      <c r="F33" s="31" t="s">
        <v>254</v>
      </c>
      <c r="G33" s="31" t="n">
        <v>1</v>
      </c>
      <c r="H33" s="31" t="s">
        <v>154</v>
      </c>
      <c r="I33" s="44" t="s">
        <v>155</v>
      </c>
      <c r="J33" s="45" t="s">
        <v>256</v>
      </c>
      <c r="K33" s="45" t="s">
        <v>258</v>
      </c>
      <c r="L33" s="31" t="n">
        <f aca="false">COUNTIF($B$3:$B$2205,$B33)</f>
        <v>3</v>
      </c>
      <c r="M33" s="44" t="str">
        <f aca="false">IFERROR(INDEX(SENTENCES!$T$3:$T$1802,MATCH($F33,SENTENCES!$A$3:$A$1802,0)),"")</f>
        <v>⚠ TRỄ HỌC</v>
      </c>
    </row>
    <row r="34" customFormat="false" ht="15" hidden="false" customHeight="false" outlineLevel="0" collapsed="false">
      <c r="A34" s="31" t="n">
        <v>32</v>
      </c>
      <c r="B34" s="43" t="s">
        <v>10743</v>
      </c>
      <c r="C34" s="34" t="s">
        <v>10744</v>
      </c>
      <c r="D34" s="44" t="s">
        <v>10681</v>
      </c>
      <c r="E34" s="31"/>
      <c r="F34" s="31" t="s">
        <v>260</v>
      </c>
      <c r="G34" s="31" t="n">
        <v>1</v>
      </c>
      <c r="H34" s="31" t="s">
        <v>154</v>
      </c>
      <c r="I34" s="44" t="s">
        <v>155</v>
      </c>
      <c r="J34" s="45" t="s">
        <v>262</v>
      </c>
      <c r="K34" s="45" t="s">
        <v>264</v>
      </c>
      <c r="L34" s="31" t="n">
        <f aca="false">COUNTIF($B$3:$B$2205,$B34)</f>
        <v>2</v>
      </c>
      <c r="M34" s="44" t="str">
        <f aca="false">IFERROR(INDEX(SENTENCES!$T$3:$T$1802,MATCH($F34,SENTENCES!$A$3:$A$1802,0)),"")</f>
        <v>⚠ TRỄ HỌC</v>
      </c>
    </row>
    <row r="35" customFormat="false" ht="15" hidden="false" customHeight="false" outlineLevel="0" collapsed="false">
      <c r="A35" s="31" t="n">
        <v>33</v>
      </c>
      <c r="B35" s="43" t="s">
        <v>10745</v>
      </c>
      <c r="C35" s="34" t="s">
        <v>10746</v>
      </c>
      <c r="D35" s="44" t="s">
        <v>10677</v>
      </c>
      <c r="E35" s="31" t="s">
        <v>10747</v>
      </c>
      <c r="F35" s="31" t="s">
        <v>266</v>
      </c>
      <c r="G35" s="31" t="n">
        <v>1</v>
      </c>
      <c r="H35" s="31" t="s">
        <v>154</v>
      </c>
      <c r="I35" s="44" t="s">
        <v>155</v>
      </c>
      <c r="J35" s="45" t="s">
        <v>268</v>
      </c>
      <c r="K35" s="45" t="s">
        <v>270</v>
      </c>
      <c r="L35" s="31" t="n">
        <f aca="false">COUNTIF($B$3:$B$2205,$B35)</f>
        <v>1</v>
      </c>
      <c r="M35" s="44" t="str">
        <f aca="false">IFERROR(INDEX(SENTENCES!$T$3:$T$1802,MATCH($F35,SENTENCES!$A$3:$A$1802,0)),"")</f>
        <v>⚠ TRỄ HỌC</v>
      </c>
    </row>
    <row r="36" customFormat="false" ht="15" hidden="false" customHeight="false" outlineLevel="0" collapsed="false">
      <c r="A36" s="31" t="n">
        <v>34</v>
      </c>
      <c r="B36" s="43" t="s">
        <v>10748</v>
      </c>
      <c r="C36" s="34" t="s">
        <v>10749</v>
      </c>
      <c r="D36" s="44" t="s">
        <v>10681</v>
      </c>
      <c r="E36" s="31"/>
      <c r="F36" s="31" t="s">
        <v>266</v>
      </c>
      <c r="G36" s="31" t="n">
        <v>1</v>
      </c>
      <c r="H36" s="31" t="s">
        <v>154</v>
      </c>
      <c r="I36" s="44" t="s">
        <v>155</v>
      </c>
      <c r="J36" s="45" t="s">
        <v>268</v>
      </c>
      <c r="K36" s="45" t="s">
        <v>270</v>
      </c>
      <c r="L36" s="31" t="n">
        <f aca="false">COUNTIF($B$3:$B$2205,$B36)</f>
        <v>1</v>
      </c>
      <c r="M36" s="44" t="str">
        <f aca="false">IFERROR(INDEX(SENTENCES!$T$3:$T$1802,MATCH($F36,SENTENCES!$A$3:$A$1802,0)),"")</f>
        <v>⚠ TRỄ HỌC</v>
      </c>
    </row>
    <row r="37" customFormat="false" ht="15" hidden="false" customHeight="false" outlineLevel="0" collapsed="false">
      <c r="A37" s="31" t="n">
        <v>35</v>
      </c>
      <c r="B37" s="43" t="s">
        <v>10750</v>
      </c>
      <c r="C37" s="34" t="s">
        <v>10751</v>
      </c>
      <c r="D37" s="44" t="s">
        <v>10686</v>
      </c>
      <c r="E37" s="31"/>
      <c r="F37" s="31" t="s">
        <v>272</v>
      </c>
      <c r="G37" s="31" t="n">
        <v>1</v>
      </c>
      <c r="H37" s="31" t="s">
        <v>154</v>
      </c>
      <c r="I37" s="44" t="s">
        <v>155</v>
      </c>
      <c r="J37" s="45" t="s">
        <v>274</v>
      </c>
      <c r="K37" s="45" t="s">
        <v>276</v>
      </c>
      <c r="L37" s="31" t="n">
        <f aca="false">COUNTIF($B$3:$B$2205,$B37)</f>
        <v>2</v>
      </c>
      <c r="M37" s="44" t="str">
        <f aca="false">IFERROR(INDEX(SENTENCES!$T$3:$T$1802,MATCH($F37,SENTENCES!$A$3:$A$1802,0)),"")</f>
        <v>⚠ TRỄ HỌC</v>
      </c>
    </row>
    <row r="38" customFormat="false" ht="15" hidden="false" customHeight="false" outlineLevel="0" collapsed="false">
      <c r="A38" s="31" t="n">
        <v>36</v>
      </c>
      <c r="B38" s="43" t="s">
        <v>10752</v>
      </c>
      <c r="C38" s="34" t="s">
        <v>10753</v>
      </c>
      <c r="D38" s="44" t="s">
        <v>10754</v>
      </c>
      <c r="E38" s="31"/>
      <c r="F38" s="31" t="s">
        <v>272</v>
      </c>
      <c r="G38" s="31" t="n">
        <v>1</v>
      </c>
      <c r="H38" s="31" t="s">
        <v>154</v>
      </c>
      <c r="I38" s="44" t="s">
        <v>155</v>
      </c>
      <c r="J38" s="45" t="s">
        <v>274</v>
      </c>
      <c r="K38" s="45" t="s">
        <v>276</v>
      </c>
      <c r="L38" s="31" t="n">
        <f aca="false">COUNTIF($B$3:$B$2205,$B38)</f>
        <v>2</v>
      </c>
      <c r="M38" s="44" t="str">
        <f aca="false">IFERROR(INDEX(SENTENCES!$T$3:$T$1802,MATCH($F38,SENTENCES!$A$3:$A$1802,0)),"")</f>
        <v>⚠ TRỄ HỌC</v>
      </c>
    </row>
    <row r="39" customFormat="false" ht="15" hidden="false" customHeight="false" outlineLevel="0" collapsed="false">
      <c r="A39" s="31" t="n">
        <v>37</v>
      </c>
      <c r="B39" s="43" t="s">
        <v>10755</v>
      </c>
      <c r="C39" s="34" t="s">
        <v>10756</v>
      </c>
      <c r="D39" s="44" t="s">
        <v>10686</v>
      </c>
      <c r="E39" s="31"/>
      <c r="F39" s="31" t="s">
        <v>278</v>
      </c>
      <c r="G39" s="31" t="n">
        <v>2</v>
      </c>
      <c r="H39" s="31" t="s">
        <v>154</v>
      </c>
      <c r="I39" s="44" t="s">
        <v>279</v>
      </c>
      <c r="J39" s="45" t="s">
        <v>282</v>
      </c>
      <c r="K39" s="45" t="s">
        <v>284</v>
      </c>
      <c r="L39" s="31" t="n">
        <f aca="false">COUNTIF($B$3:$B$2205,$B39)</f>
        <v>1</v>
      </c>
      <c r="M39" s="44" t="str">
        <f aca="false">IFERROR(INDEX(SENTENCES!$T$3:$T$1802,MATCH($F39,SENTENCES!$A$3:$A$1802,0)),"")</f>
        <v>★ HỌC HÔM NAY</v>
      </c>
    </row>
    <row r="40" customFormat="false" ht="15" hidden="false" customHeight="false" outlineLevel="0" collapsed="false">
      <c r="A40" s="31" t="n">
        <v>38</v>
      </c>
      <c r="B40" s="43" t="s">
        <v>10757</v>
      </c>
      <c r="C40" s="34" t="s">
        <v>10758</v>
      </c>
      <c r="D40" s="44" t="s">
        <v>10681</v>
      </c>
      <c r="E40" s="31"/>
      <c r="F40" s="31" t="s">
        <v>286</v>
      </c>
      <c r="G40" s="31" t="n">
        <v>2</v>
      </c>
      <c r="H40" s="31" t="s">
        <v>154</v>
      </c>
      <c r="I40" s="44" t="s">
        <v>279</v>
      </c>
      <c r="J40" s="45" t="s">
        <v>288</v>
      </c>
      <c r="K40" s="45" t="s">
        <v>290</v>
      </c>
      <c r="L40" s="31" t="n">
        <f aca="false">COUNTIF($B$3:$B$2205,$B40)</f>
        <v>1</v>
      </c>
      <c r="M40" s="44" t="str">
        <f aca="false">IFERROR(INDEX(SENTENCES!$T$3:$T$1802,MATCH($F40,SENTENCES!$A$3:$A$1802,0)),"")</f>
        <v>★ HỌC HÔM NAY</v>
      </c>
    </row>
    <row r="41" customFormat="false" ht="15" hidden="false" customHeight="false" outlineLevel="0" collapsed="false">
      <c r="A41" s="31" t="n">
        <v>39</v>
      </c>
      <c r="B41" s="43" t="s">
        <v>10759</v>
      </c>
      <c r="C41" s="34" t="s">
        <v>10760</v>
      </c>
      <c r="D41" s="44" t="s">
        <v>10677</v>
      </c>
      <c r="E41" s="31" t="s">
        <v>10678</v>
      </c>
      <c r="F41" s="31" t="s">
        <v>292</v>
      </c>
      <c r="G41" s="31" t="n">
        <v>2</v>
      </c>
      <c r="H41" s="31" t="s">
        <v>154</v>
      </c>
      <c r="I41" s="44" t="s">
        <v>279</v>
      </c>
      <c r="J41" s="45" t="s">
        <v>294</v>
      </c>
      <c r="K41" s="45" t="s">
        <v>296</v>
      </c>
      <c r="L41" s="31" t="n">
        <f aca="false">COUNTIF($B$3:$B$2205,$B41)</f>
        <v>1</v>
      </c>
      <c r="M41" s="44" t="str">
        <f aca="false">IFERROR(INDEX(SENTENCES!$T$3:$T$1802,MATCH($F41,SENTENCES!$A$3:$A$1802,0)),"")</f>
        <v>★ HỌC HÔM NAY</v>
      </c>
    </row>
    <row r="42" customFormat="false" ht="15" hidden="false" customHeight="false" outlineLevel="0" collapsed="false">
      <c r="A42" s="31" t="n">
        <v>40</v>
      </c>
      <c r="B42" s="43" t="s">
        <v>10761</v>
      </c>
      <c r="C42" s="34" t="s">
        <v>10762</v>
      </c>
      <c r="D42" s="44" t="s">
        <v>10681</v>
      </c>
      <c r="E42" s="31"/>
      <c r="F42" s="31" t="s">
        <v>292</v>
      </c>
      <c r="G42" s="31" t="n">
        <v>2</v>
      </c>
      <c r="H42" s="31" t="s">
        <v>154</v>
      </c>
      <c r="I42" s="44" t="s">
        <v>279</v>
      </c>
      <c r="J42" s="45" t="s">
        <v>294</v>
      </c>
      <c r="K42" s="45" t="s">
        <v>296</v>
      </c>
      <c r="L42" s="31" t="n">
        <f aca="false">COUNTIF($B$3:$B$2205,$B42)</f>
        <v>1</v>
      </c>
      <c r="M42" s="44" t="str">
        <f aca="false">IFERROR(INDEX(SENTENCES!$T$3:$T$1802,MATCH($F42,SENTENCES!$A$3:$A$1802,0)),"")</f>
        <v>★ HỌC HÔM NAY</v>
      </c>
    </row>
    <row r="43" customFormat="false" ht="15" hidden="false" customHeight="false" outlineLevel="0" collapsed="false">
      <c r="A43" s="31" t="n">
        <v>41</v>
      </c>
      <c r="B43" s="43" t="s">
        <v>10763</v>
      </c>
      <c r="C43" s="34" t="s">
        <v>10764</v>
      </c>
      <c r="D43" s="44" t="s">
        <v>10677</v>
      </c>
      <c r="E43" s="31" t="s">
        <v>10747</v>
      </c>
      <c r="F43" s="31" t="s">
        <v>298</v>
      </c>
      <c r="G43" s="31" t="n">
        <v>2</v>
      </c>
      <c r="H43" s="31" t="s">
        <v>154</v>
      </c>
      <c r="I43" s="44" t="s">
        <v>279</v>
      </c>
      <c r="J43" s="45" t="s">
        <v>300</v>
      </c>
      <c r="K43" s="45" t="s">
        <v>302</v>
      </c>
      <c r="L43" s="31" t="n">
        <f aca="false">COUNTIF($B$3:$B$2205,$B43)</f>
        <v>2</v>
      </c>
      <c r="M43" s="44" t="str">
        <f aca="false">IFERROR(INDEX(SENTENCES!$T$3:$T$1802,MATCH($F43,SENTENCES!$A$3:$A$1802,0)),"")</f>
        <v>★ HỌC HÔM NAY</v>
      </c>
    </row>
    <row r="44" customFormat="false" ht="15" hidden="false" customHeight="false" outlineLevel="0" collapsed="false">
      <c r="A44" s="31" t="n">
        <v>42</v>
      </c>
      <c r="B44" s="43" t="s">
        <v>10765</v>
      </c>
      <c r="C44" s="34" t="s">
        <v>10766</v>
      </c>
      <c r="D44" s="44" t="s">
        <v>10681</v>
      </c>
      <c r="E44" s="31"/>
      <c r="F44" s="31" t="s">
        <v>298</v>
      </c>
      <c r="G44" s="31" t="n">
        <v>2</v>
      </c>
      <c r="H44" s="31" t="s">
        <v>154</v>
      </c>
      <c r="I44" s="44" t="s">
        <v>279</v>
      </c>
      <c r="J44" s="45" t="s">
        <v>300</v>
      </c>
      <c r="K44" s="45" t="s">
        <v>302</v>
      </c>
      <c r="L44" s="31" t="n">
        <f aca="false">COUNTIF($B$3:$B$2205,$B44)</f>
        <v>2</v>
      </c>
      <c r="M44" s="44" t="str">
        <f aca="false">IFERROR(INDEX(SENTENCES!$T$3:$T$1802,MATCH($F44,SENTENCES!$A$3:$A$1802,0)),"")</f>
        <v>★ HỌC HÔM NAY</v>
      </c>
    </row>
    <row r="45" customFormat="false" ht="15" hidden="false" customHeight="false" outlineLevel="0" collapsed="false">
      <c r="A45" s="31" t="n">
        <v>43</v>
      </c>
      <c r="B45" s="43" t="s">
        <v>10767</v>
      </c>
      <c r="C45" s="34" t="s">
        <v>10768</v>
      </c>
      <c r="D45" s="44" t="s">
        <v>10681</v>
      </c>
      <c r="E45" s="31"/>
      <c r="F45" s="31" t="s">
        <v>304</v>
      </c>
      <c r="G45" s="31" t="n">
        <v>2</v>
      </c>
      <c r="H45" s="31" t="s">
        <v>154</v>
      </c>
      <c r="I45" s="44" t="s">
        <v>279</v>
      </c>
      <c r="J45" s="45" t="s">
        <v>306</v>
      </c>
      <c r="K45" s="45" t="s">
        <v>308</v>
      </c>
      <c r="L45" s="31" t="n">
        <f aca="false">COUNTIF($B$3:$B$2205,$B45)</f>
        <v>1</v>
      </c>
      <c r="M45" s="44" t="str">
        <f aca="false">IFERROR(INDEX(SENTENCES!$T$3:$T$1802,MATCH($F45,SENTENCES!$A$3:$A$1802,0)),"")</f>
        <v>★ HỌC HÔM NAY</v>
      </c>
    </row>
    <row r="46" customFormat="false" ht="15" hidden="false" customHeight="false" outlineLevel="0" collapsed="false">
      <c r="A46" s="31" t="n">
        <v>44</v>
      </c>
      <c r="B46" s="43" t="s">
        <v>10769</v>
      </c>
      <c r="C46" s="34" t="s">
        <v>10770</v>
      </c>
      <c r="D46" s="44" t="s">
        <v>10686</v>
      </c>
      <c r="E46" s="31"/>
      <c r="F46" s="31" t="s">
        <v>310</v>
      </c>
      <c r="G46" s="31" t="n">
        <v>2</v>
      </c>
      <c r="H46" s="31" t="s">
        <v>154</v>
      </c>
      <c r="I46" s="44" t="s">
        <v>279</v>
      </c>
      <c r="J46" s="45" t="s">
        <v>312</v>
      </c>
      <c r="K46" s="45" t="s">
        <v>314</v>
      </c>
      <c r="L46" s="31" t="n">
        <f aca="false">COUNTIF($B$3:$B$2205,$B46)</f>
        <v>3</v>
      </c>
      <c r="M46" s="44" t="str">
        <f aca="false">IFERROR(INDEX(SENTENCES!$T$3:$T$1802,MATCH($F46,SENTENCES!$A$3:$A$1802,0)),"")</f>
        <v>★ HỌC HÔM NAY</v>
      </c>
    </row>
    <row r="47" customFormat="false" ht="15" hidden="false" customHeight="false" outlineLevel="0" collapsed="false">
      <c r="A47" s="31" t="n">
        <v>45</v>
      </c>
      <c r="B47" s="43" t="s">
        <v>10771</v>
      </c>
      <c r="C47" s="34" t="s">
        <v>10772</v>
      </c>
      <c r="D47" s="44" t="s">
        <v>10681</v>
      </c>
      <c r="E47" s="31"/>
      <c r="F47" s="31" t="s">
        <v>310</v>
      </c>
      <c r="G47" s="31" t="n">
        <v>2</v>
      </c>
      <c r="H47" s="31" t="s">
        <v>154</v>
      </c>
      <c r="I47" s="44" t="s">
        <v>279</v>
      </c>
      <c r="J47" s="45" t="s">
        <v>312</v>
      </c>
      <c r="K47" s="45" t="s">
        <v>314</v>
      </c>
      <c r="L47" s="31" t="n">
        <f aca="false">COUNTIF($B$3:$B$2205,$B47)</f>
        <v>1</v>
      </c>
      <c r="M47" s="44" t="str">
        <f aca="false">IFERROR(INDEX(SENTENCES!$T$3:$T$1802,MATCH($F47,SENTENCES!$A$3:$A$1802,0)),"")</f>
        <v>★ HỌC HÔM NAY</v>
      </c>
    </row>
    <row r="48" customFormat="false" ht="15" hidden="false" customHeight="false" outlineLevel="0" collapsed="false">
      <c r="A48" s="31" t="n">
        <v>46</v>
      </c>
      <c r="B48" s="43" t="s">
        <v>10773</v>
      </c>
      <c r="C48" s="34" t="s">
        <v>10774</v>
      </c>
      <c r="D48" s="44" t="s">
        <v>10686</v>
      </c>
      <c r="E48" s="31"/>
      <c r="F48" s="31" t="s">
        <v>316</v>
      </c>
      <c r="G48" s="31" t="n">
        <v>2</v>
      </c>
      <c r="H48" s="31" t="s">
        <v>154</v>
      </c>
      <c r="I48" s="44" t="s">
        <v>279</v>
      </c>
      <c r="J48" s="45" t="s">
        <v>318</v>
      </c>
      <c r="K48" s="45" t="s">
        <v>320</v>
      </c>
      <c r="L48" s="31" t="n">
        <f aca="false">COUNTIF($B$3:$B$2205,$B48)</f>
        <v>2</v>
      </c>
      <c r="M48" s="44" t="str">
        <f aca="false">IFERROR(INDEX(SENTENCES!$T$3:$T$1802,MATCH($F48,SENTENCES!$A$3:$A$1802,0)),"")</f>
        <v>★ HỌC HÔM NAY</v>
      </c>
    </row>
    <row r="49" customFormat="false" ht="15" hidden="false" customHeight="false" outlineLevel="0" collapsed="false">
      <c r="A49" s="31" t="n">
        <v>47</v>
      </c>
      <c r="B49" s="43" t="s">
        <v>10775</v>
      </c>
      <c r="C49" s="34" t="s">
        <v>10776</v>
      </c>
      <c r="D49" s="44" t="s">
        <v>10681</v>
      </c>
      <c r="E49" s="31"/>
      <c r="F49" s="31" t="s">
        <v>316</v>
      </c>
      <c r="G49" s="31" t="n">
        <v>2</v>
      </c>
      <c r="H49" s="31" t="s">
        <v>154</v>
      </c>
      <c r="I49" s="44" t="s">
        <v>279</v>
      </c>
      <c r="J49" s="45" t="s">
        <v>318</v>
      </c>
      <c r="K49" s="45" t="s">
        <v>320</v>
      </c>
      <c r="L49" s="31" t="n">
        <f aca="false">COUNTIF($B$3:$B$2205,$B49)</f>
        <v>1</v>
      </c>
      <c r="M49" s="44" t="str">
        <f aca="false">IFERROR(INDEX(SENTENCES!$T$3:$T$1802,MATCH($F49,SENTENCES!$A$3:$A$1802,0)),"")</f>
        <v>★ HỌC HÔM NAY</v>
      </c>
    </row>
    <row r="50" customFormat="false" ht="15" hidden="false" customHeight="false" outlineLevel="0" collapsed="false">
      <c r="A50" s="31" t="n">
        <v>48</v>
      </c>
      <c r="B50" s="43" t="s">
        <v>10777</v>
      </c>
      <c r="C50" s="34" t="s">
        <v>10778</v>
      </c>
      <c r="D50" s="44" t="s">
        <v>10754</v>
      </c>
      <c r="E50" s="31"/>
      <c r="F50" s="31" t="s">
        <v>322</v>
      </c>
      <c r="G50" s="31" t="n">
        <v>2</v>
      </c>
      <c r="H50" s="31" t="s">
        <v>154</v>
      </c>
      <c r="I50" s="44" t="s">
        <v>279</v>
      </c>
      <c r="J50" s="45" t="s">
        <v>324</v>
      </c>
      <c r="K50" s="45" t="s">
        <v>326</v>
      </c>
      <c r="L50" s="31" t="n">
        <f aca="false">COUNTIF($B$3:$B$2205,$B50)</f>
        <v>2</v>
      </c>
      <c r="M50" s="44" t="str">
        <f aca="false">IFERROR(INDEX(SENTENCES!$T$3:$T$1802,MATCH($F50,SENTENCES!$A$3:$A$1802,0)),"")</f>
        <v>★ HỌC HÔM NAY</v>
      </c>
    </row>
    <row r="51" customFormat="false" ht="15" hidden="false" customHeight="false" outlineLevel="0" collapsed="false">
      <c r="A51" s="31" t="n">
        <v>49</v>
      </c>
      <c r="B51" s="43" t="s">
        <v>10779</v>
      </c>
      <c r="C51" s="34" t="s">
        <v>10780</v>
      </c>
      <c r="D51" s="44" t="s">
        <v>10677</v>
      </c>
      <c r="E51" s="31" t="s">
        <v>10678</v>
      </c>
      <c r="F51" s="31" t="s">
        <v>328</v>
      </c>
      <c r="G51" s="31" t="n">
        <v>2</v>
      </c>
      <c r="H51" s="31" t="s">
        <v>154</v>
      </c>
      <c r="I51" s="44" t="s">
        <v>279</v>
      </c>
      <c r="J51" s="45" t="s">
        <v>330</v>
      </c>
      <c r="K51" s="45" t="s">
        <v>332</v>
      </c>
      <c r="L51" s="31" t="n">
        <f aca="false">COUNTIF($B$3:$B$2205,$B51)</f>
        <v>1</v>
      </c>
      <c r="M51" s="44" t="str">
        <f aca="false">IFERROR(INDEX(SENTENCES!$T$3:$T$1802,MATCH($F51,SENTENCES!$A$3:$A$1802,0)),"")</f>
        <v>★ HỌC HÔM NAY</v>
      </c>
    </row>
    <row r="52" customFormat="false" ht="15" hidden="false" customHeight="false" outlineLevel="0" collapsed="false">
      <c r="A52" s="31" t="n">
        <v>50</v>
      </c>
      <c r="B52" s="43" t="s">
        <v>10781</v>
      </c>
      <c r="C52" s="34" t="s">
        <v>10782</v>
      </c>
      <c r="D52" s="44" t="s">
        <v>10677</v>
      </c>
      <c r="E52" s="31" t="s">
        <v>10747</v>
      </c>
      <c r="F52" s="31" t="s">
        <v>328</v>
      </c>
      <c r="G52" s="31" t="n">
        <v>2</v>
      </c>
      <c r="H52" s="31" t="s">
        <v>154</v>
      </c>
      <c r="I52" s="44" t="s">
        <v>279</v>
      </c>
      <c r="J52" s="45" t="s">
        <v>330</v>
      </c>
      <c r="K52" s="45" t="s">
        <v>332</v>
      </c>
      <c r="L52" s="31" t="n">
        <f aca="false">COUNTIF($B$3:$B$2205,$B52)</f>
        <v>1</v>
      </c>
      <c r="M52" s="44" t="str">
        <f aca="false">IFERROR(INDEX(SENTENCES!$T$3:$T$1802,MATCH($F52,SENTENCES!$A$3:$A$1802,0)),"")</f>
        <v>★ HỌC HÔM NAY</v>
      </c>
    </row>
    <row r="53" customFormat="false" ht="15" hidden="false" customHeight="false" outlineLevel="0" collapsed="false">
      <c r="A53" s="31" t="n">
        <v>51</v>
      </c>
      <c r="B53" s="43" t="s">
        <v>10783</v>
      </c>
      <c r="C53" s="34" t="s">
        <v>10784</v>
      </c>
      <c r="D53" s="44" t="s">
        <v>10677</v>
      </c>
      <c r="E53" s="31" t="s">
        <v>10678</v>
      </c>
      <c r="F53" s="31" t="s">
        <v>334</v>
      </c>
      <c r="G53" s="31" t="n">
        <v>2</v>
      </c>
      <c r="H53" s="31" t="s">
        <v>154</v>
      </c>
      <c r="I53" s="44" t="s">
        <v>279</v>
      </c>
      <c r="J53" s="45" t="s">
        <v>336</v>
      </c>
      <c r="K53" s="45" t="s">
        <v>338</v>
      </c>
      <c r="L53" s="31" t="n">
        <f aca="false">COUNTIF($B$3:$B$2205,$B53)</f>
        <v>1</v>
      </c>
      <c r="M53" s="44" t="str">
        <f aca="false">IFERROR(INDEX(SENTENCES!$T$3:$T$1802,MATCH($F53,SENTENCES!$A$3:$A$1802,0)),"")</f>
        <v>★ HỌC HÔM NAY</v>
      </c>
    </row>
    <row r="54" customFormat="false" ht="15" hidden="false" customHeight="false" outlineLevel="0" collapsed="false">
      <c r="A54" s="31" t="n">
        <v>52</v>
      </c>
      <c r="B54" s="43" t="s">
        <v>10785</v>
      </c>
      <c r="C54" s="34" t="s">
        <v>10786</v>
      </c>
      <c r="D54" s="44" t="s">
        <v>10677</v>
      </c>
      <c r="E54" s="31" t="s">
        <v>10707</v>
      </c>
      <c r="F54" s="31" t="s">
        <v>334</v>
      </c>
      <c r="G54" s="31" t="n">
        <v>2</v>
      </c>
      <c r="H54" s="31" t="s">
        <v>154</v>
      </c>
      <c r="I54" s="44" t="s">
        <v>279</v>
      </c>
      <c r="J54" s="45" t="s">
        <v>336</v>
      </c>
      <c r="K54" s="45" t="s">
        <v>338</v>
      </c>
      <c r="L54" s="31" t="n">
        <f aca="false">COUNTIF($B$3:$B$2205,$B54)</f>
        <v>1</v>
      </c>
      <c r="M54" s="44" t="str">
        <f aca="false">IFERROR(INDEX(SENTENCES!$T$3:$T$1802,MATCH($F54,SENTENCES!$A$3:$A$1802,0)),"")</f>
        <v>★ HỌC HÔM NAY</v>
      </c>
    </row>
    <row r="55" customFormat="false" ht="15" hidden="false" customHeight="false" outlineLevel="0" collapsed="false">
      <c r="A55" s="31" t="n">
        <v>53</v>
      </c>
      <c r="B55" s="43" t="s">
        <v>10787</v>
      </c>
      <c r="C55" s="34" t="s">
        <v>10788</v>
      </c>
      <c r="D55" s="44" t="s">
        <v>10686</v>
      </c>
      <c r="E55" s="31"/>
      <c r="F55" s="31" t="s">
        <v>340</v>
      </c>
      <c r="G55" s="31" t="n">
        <v>2</v>
      </c>
      <c r="H55" s="31" t="s">
        <v>154</v>
      </c>
      <c r="I55" s="44" t="s">
        <v>279</v>
      </c>
      <c r="J55" s="45" t="s">
        <v>342</v>
      </c>
      <c r="K55" s="45" t="s">
        <v>344</v>
      </c>
      <c r="L55" s="31" t="n">
        <f aca="false">COUNTIF($B$3:$B$2205,$B55)</f>
        <v>2</v>
      </c>
      <c r="M55" s="44" t="str">
        <f aca="false">IFERROR(INDEX(SENTENCES!$T$3:$T$1802,MATCH($F55,SENTENCES!$A$3:$A$1802,0)),"")</f>
        <v>★ HỌC HÔM NAY</v>
      </c>
    </row>
    <row r="56" customFormat="false" ht="15" hidden="false" customHeight="false" outlineLevel="0" collapsed="false">
      <c r="A56" s="31" t="n">
        <v>54</v>
      </c>
      <c r="B56" s="43" t="s">
        <v>10789</v>
      </c>
      <c r="C56" s="34" t="s">
        <v>10790</v>
      </c>
      <c r="D56" s="44" t="s">
        <v>10681</v>
      </c>
      <c r="E56" s="31"/>
      <c r="F56" s="31" t="s">
        <v>340</v>
      </c>
      <c r="G56" s="31" t="n">
        <v>2</v>
      </c>
      <c r="H56" s="31" t="s">
        <v>154</v>
      </c>
      <c r="I56" s="44" t="s">
        <v>279</v>
      </c>
      <c r="J56" s="45" t="s">
        <v>342</v>
      </c>
      <c r="K56" s="45" t="s">
        <v>344</v>
      </c>
      <c r="L56" s="31" t="n">
        <f aca="false">COUNTIF($B$3:$B$2205,$B56)</f>
        <v>1</v>
      </c>
      <c r="M56" s="44" t="str">
        <f aca="false">IFERROR(INDEX(SENTENCES!$T$3:$T$1802,MATCH($F56,SENTENCES!$A$3:$A$1802,0)),"")</f>
        <v>★ HỌC HÔM NAY</v>
      </c>
    </row>
    <row r="57" customFormat="false" ht="15" hidden="false" customHeight="false" outlineLevel="0" collapsed="false">
      <c r="A57" s="31" t="n">
        <v>55</v>
      </c>
      <c r="B57" s="43" t="s">
        <v>10791</v>
      </c>
      <c r="C57" s="34" t="s">
        <v>10792</v>
      </c>
      <c r="D57" s="44" t="s">
        <v>10686</v>
      </c>
      <c r="E57" s="31"/>
      <c r="F57" s="31" t="s">
        <v>346</v>
      </c>
      <c r="G57" s="31" t="n">
        <v>2</v>
      </c>
      <c r="H57" s="31" t="s">
        <v>154</v>
      </c>
      <c r="I57" s="44" t="s">
        <v>279</v>
      </c>
      <c r="J57" s="45" t="s">
        <v>348</v>
      </c>
      <c r="K57" s="45" t="s">
        <v>350</v>
      </c>
      <c r="L57" s="31" t="n">
        <f aca="false">COUNTIF($B$3:$B$2205,$B57)</f>
        <v>3</v>
      </c>
      <c r="M57" s="44" t="str">
        <f aca="false">IFERROR(INDEX(SENTENCES!$T$3:$T$1802,MATCH($F57,SENTENCES!$A$3:$A$1802,0)),"")</f>
        <v>★ HỌC HÔM NAY</v>
      </c>
    </row>
    <row r="58" customFormat="false" ht="15" hidden="false" customHeight="false" outlineLevel="0" collapsed="false">
      <c r="A58" s="31" t="n">
        <v>56</v>
      </c>
      <c r="B58" s="43" t="s">
        <v>10793</v>
      </c>
      <c r="C58" s="34" t="s">
        <v>10742</v>
      </c>
      <c r="D58" s="44" t="s">
        <v>10794</v>
      </c>
      <c r="E58" s="31"/>
      <c r="F58" s="31" t="s">
        <v>346</v>
      </c>
      <c r="G58" s="31" t="n">
        <v>2</v>
      </c>
      <c r="H58" s="31" t="s">
        <v>154</v>
      </c>
      <c r="I58" s="44" t="s">
        <v>279</v>
      </c>
      <c r="J58" s="45" t="s">
        <v>348</v>
      </c>
      <c r="K58" s="45" t="s">
        <v>350</v>
      </c>
      <c r="L58" s="31" t="n">
        <f aca="false">COUNTIF($B$3:$B$2205,$B58)</f>
        <v>1</v>
      </c>
      <c r="M58" s="44" t="str">
        <f aca="false">IFERROR(INDEX(SENTENCES!$T$3:$T$1802,MATCH($F58,SENTENCES!$A$3:$A$1802,0)),"")</f>
        <v>★ HỌC HÔM NAY</v>
      </c>
    </row>
    <row r="59" customFormat="false" ht="15" hidden="false" customHeight="false" outlineLevel="0" collapsed="false">
      <c r="A59" s="31" t="n">
        <v>57</v>
      </c>
      <c r="B59" s="43" t="s">
        <v>10795</v>
      </c>
      <c r="C59" s="34" t="s">
        <v>10796</v>
      </c>
      <c r="D59" s="44" t="s">
        <v>10677</v>
      </c>
      <c r="E59" s="31" t="s">
        <v>10707</v>
      </c>
      <c r="F59" s="31" t="s">
        <v>352</v>
      </c>
      <c r="G59" s="31" t="n">
        <v>2</v>
      </c>
      <c r="H59" s="31" t="s">
        <v>154</v>
      </c>
      <c r="I59" s="44" t="s">
        <v>279</v>
      </c>
      <c r="J59" s="45" t="s">
        <v>354</v>
      </c>
      <c r="K59" s="45" t="s">
        <v>356</v>
      </c>
      <c r="L59" s="31" t="n">
        <f aca="false">COUNTIF($B$3:$B$2205,$B59)</f>
        <v>1</v>
      </c>
      <c r="M59" s="44" t="str">
        <f aca="false">IFERROR(INDEX(SENTENCES!$T$3:$T$1802,MATCH($F59,SENTENCES!$A$3:$A$1802,0)),"")</f>
        <v>★ HỌC HÔM NAY</v>
      </c>
    </row>
    <row r="60" customFormat="false" ht="15" hidden="false" customHeight="false" outlineLevel="0" collapsed="false">
      <c r="A60" s="31" t="n">
        <v>58</v>
      </c>
      <c r="B60" s="43" t="s">
        <v>10797</v>
      </c>
      <c r="C60" s="34" t="s">
        <v>10798</v>
      </c>
      <c r="D60" s="44" t="s">
        <v>10681</v>
      </c>
      <c r="E60" s="31"/>
      <c r="F60" s="31" t="s">
        <v>358</v>
      </c>
      <c r="G60" s="31" t="n">
        <v>2</v>
      </c>
      <c r="H60" s="31" t="s">
        <v>154</v>
      </c>
      <c r="I60" s="44" t="s">
        <v>279</v>
      </c>
      <c r="J60" s="45" t="s">
        <v>360</v>
      </c>
      <c r="K60" s="45" t="s">
        <v>362</v>
      </c>
      <c r="L60" s="31" t="n">
        <f aca="false">COUNTIF($B$3:$B$2205,$B60)</f>
        <v>1</v>
      </c>
      <c r="M60" s="44" t="str">
        <f aca="false">IFERROR(INDEX(SENTENCES!$T$3:$T$1802,MATCH($F60,SENTENCES!$A$3:$A$1802,0)),"")</f>
        <v>★ HỌC HÔM NAY</v>
      </c>
    </row>
    <row r="61" customFormat="false" ht="15" hidden="false" customHeight="false" outlineLevel="0" collapsed="false">
      <c r="A61" s="31" t="n">
        <v>59</v>
      </c>
      <c r="B61" s="43" t="s">
        <v>10725</v>
      </c>
      <c r="C61" s="34" t="s">
        <v>10799</v>
      </c>
      <c r="D61" s="44" t="s">
        <v>10681</v>
      </c>
      <c r="E61" s="31"/>
      <c r="F61" s="31" t="s">
        <v>364</v>
      </c>
      <c r="G61" s="31" t="n">
        <v>2</v>
      </c>
      <c r="H61" s="31" t="s">
        <v>154</v>
      </c>
      <c r="I61" s="44" t="s">
        <v>279</v>
      </c>
      <c r="J61" s="45" t="s">
        <v>366</v>
      </c>
      <c r="K61" s="45" t="s">
        <v>368</v>
      </c>
      <c r="L61" s="31" t="n">
        <f aca="false">COUNTIF($B$3:$B$2205,$B61)</f>
        <v>3</v>
      </c>
      <c r="M61" s="44" t="str">
        <f aca="false">IFERROR(INDEX(SENTENCES!$T$3:$T$1802,MATCH($F61,SENTENCES!$A$3:$A$1802,0)),"")</f>
        <v>★ HỌC HÔM NAY</v>
      </c>
    </row>
    <row r="62" customFormat="false" ht="15" hidden="false" customHeight="false" outlineLevel="0" collapsed="false">
      <c r="A62" s="31" t="n">
        <v>60</v>
      </c>
      <c r="B62" s="43" t="s">
        <v>10800</v>
      </c>
      <c r="C62" s="34" t="s">
        <v>10801</v>
      </c>
      <c r="D62" s="44" t="s">
        <v>10681</v>
      </c>
      <c r="E62" s="31"/>
      <c r="F62" s="31" t="s">
        <v>369</v>
      </c>
      <c r="G62" s="31" t="n">
        <v>2</v>
      </c>
      <c r="H62" s="31" t="s">
        <v>154</v>
      </c>
      <c r="I62" s="44" t="s">
        <v>279</v>
      </c>
      <c r="J62" s="45" t="s">
        <v>371</v>
      </c>
      <c r="K62" s="45" t="s">
        <v>373</v>
      </c>
      <c r="L62" s="31" t="n">
        <f aca="false">COUNTIF($B$3:$B$2205,$B62)</f>
        <v>1</v>
      </c>
      <c r="M62" s="44" t="str">
        <f aca="false">IFERROR(INDEX(SENTENCES!$T$3:$T$1802,MATCH($F62,SENTENCES!$A$3:$A$1802,0)),"")</f>
        <v>★ HỌC HÔM NAY</v>
      </c>
    </row>
    <row r="63" customFormat="false" ht="15" hidden="false" customHeight="false" outlineLevel="0" collapsed="false">
      <c r="A63" s="31" t="n">
        <v>61</v>
      </c>
      <c r="B63" s="43" t="s">
        <v>10802</v>
      </c>
      <c r="C63" s="34" t="s">
        <v>10803</v>
      </c>
      <c r="D63" s="44" t="s">
        <v>10681</v>
      </c>
      <c r="E63" s="31"/>
      <c r="F63" s="31" t="s">
        <v>369</v>
      </c>
      <c r="G63" s="31" t="n">
        <v>2</v>
      </c>
      <c r="H63" s="31" t="s">
        <v>154</v>
      </c>
      <c r="I63" s="44" t="s">
        <v>279</v>
      </c>
      <c r="J63" s="45" t="s">
        <v>371</v>
      </c>
      <c r="K63" s="45" t="s">
        <v>373</v>
      </c>
      <c r="L63" s="31" t="n">
        <f aca="false">COUNTIF($B$3:$B$2205,$B63)</f>
        <v>2</v>
      </c>
      <c r="M63" s="44" t="str">
        <f aca="false">IFERROR(INDEX(SENTENCES!$T$3:$T$1802,MATCH($F63,SENTENCES!$A$3:$A$1802,0)),"")</f>
        <v>★ HỌC HÔM NAY</v>
      </c>
    </row>
    <row r="64" customFormat="false" ht="15" hidden="false" customHeight="false" outlineLevel="0" collapsed="false">
      <c r="A64" s="31" t="n">
        <v>62</v>
      </c>
      <c r="B64" s="43" t="s">
        <v>10804</v>
      </c>
      <c r="C64" s="34" t="s">
        <v>10805</v>
      </c>
      <c r="D64" s="44" t="s">
        <v>10686</v>
      </c>
      <c r="E64" s="31"/>
      <c r="F64" s="31" t="s">
        <v>375</v>
      </c>
      <c r="G64" s="31" t="n">
        <v>2</v>
      </c>
      <c r="H64" s="31" t="s">
        <v>154</v>
      </c>
      <c r="I64" s="44" t="s">
        <v>279</v>
      </c>
      <c r="J64" s="45" t="s">
        <v>377</v>
      </c>
      <c r="K64" s="45" t="s">
        <v>379</v>
      </c>
      <c r="L64" s="31" t="n">
        <f aca="false">COUNTIF($B$3:$B$2205,$B64)</f>
        <v>2</v>
      </c>
      <c r="M64" s="44" t="str">
        <f aca="false">IFERROR(INDEX(SENTENCES!$T$3:$T$1802,MATCH($F64,SENTENCES!$A$3:$A$1802,0)),"")</f>
        <v>★ HỌC HÔM NAY</v>
      </c>
    </row>
    <row r="65" customFormat="false" ht="15" hidden="false" customHeight="false" outlineLevel="0" collapsed="false">
      <c r="A65" s="31" t="n">
        <v>63</v>
      </c>
      <c r="B65" s="43" t="s">
        <v>10806</v>
      </c>
      <c r="C65" s="34" t="s">
        <v>10807</v>
      </c>
      <c r="D65" s="44" t="s">
        <v>10681</v>
      </c>
      <c r="E65" s="31"/>
      <c r="F65" s="31" t="s">
        <v>375</v>
      </c>
      <c r="G65" s="31" t="n">
        <v>2</v>
      </c>
      <c r="H65" s="31" t="s">
        <v>154</v>
      </c>
      <c r="I65" s="44" t="s">
        <v>279</v>
      </c>
      <c r="J65" s="45" t="s">
        <v>377</v>
      </c>
      <c r="K65" s="45" t="s">
        <v>379</v>
      </c>
      <c r="L65" s="31" t="n">
        <f aca="false">COUNTIF($B$3:$B$2205,$B65)</f>
        <v>4</v>
      </c>
      <c r="M65" s="44" t="str">
        <f aca="false">IFERROR(INDEX(SENTENCES!$T$3:$T$1802,MATCH($F65,SENTENCES!$A$3:$A$1802,0)),"")</f>
        <v>★ HỌC HÔM NAY</v>
      </c>
    </row>
    <row r="66" customFormat="false" ht="15" hidden="false" customHeight="false" outlineLevel="0" collapsed="false">
      <c r="A66" s="31" t="n">
        <v>64</v>
      </c>
      <c r="B66" s="43" t="s">
        <v>10808</v>
      </c>
      <c r="C66" s="34" t="s">
        <v>10809</v>
      </c>
      <c r="D66" s="44" t="s">
        <v>10681</v>
      </c>
      <c r="E66" s="31"/>
      <c r="F66" s="31" t="s">
        <v>375</v>
      </c>
      <c r="G66" s="31" t="n">
        <v>2</v>
      </c>
      <c r="H66" s="31" t="s">
        <v>154</v>
      </c>
      <c r="I66" s="44" t="s">
        <v>279</v>
      </c>
      <c r="J66" s="45" t="s">
        <v>377</v>
      </c>
      <c r="K66" s="45" t="s">
        <v>379</v>
      </c>
      <c r="L66" s="31" t="n">
        <f aca="false">COUNTIF($B$3:$B$2205,$B66)</f>
        <v>1</v>
      </c>
      <c r="M66" s="44" t="str">
        <f aca="false">IFERROR(INDEX(SENTENCES!$T$3:$T$1802,MATCH($F66,SENTENCES!$A$3:$A$1802,0)),"")</f>
        <v>★ HỌC HÔM NAY</v>
      </c>
    </row>
    <row r="67" customFormat="false" ht="15" hidden="false" customHeight="false" outlineLevel="0" collapsed="false">
      <c r="A67" s="31" t="n">
        <v>65</v>
      </c>
      <c r="B67" s="43" t="s">
        <v>10810</v>
      </c>
      <c r="C67" s="34" t="s">
        <v>10811</v>
      </c>
      <c r="D67" s="44" t="s">
        <v>10686</v>
      </c>
      <c r="E67" s="31"/>
      <c r="F67" s="31" t="s">
        <v>381</v>
      </c>
      <c r="G67" s="31" t="n">
        <v>2</v>
      </c>
      <c r="H67" s="31" t="s">
        <v>154</v>
      </c>
      <c r="I67" s="44" t="s">
        <v>279</v>
      </c>
      <c r="J67" s="45" t="s">
        <v>383</v>
      </c>
      <c r="K67" s="45" t="s">
        <v>385</v>
      </c>
      <c r="L67" s="31" t="n">
        <f aca="false">COUNTIF($B$3:$B$2205,$B67)</f>
        <v>3</v>
      </c>
      <c r="M67" s="44" t="str">
        <f aca="false">IFERROR(INDEX(SENTENCES!$T$3:$T$1802,MATCH($F67,SENTENCES!$A$3:$A$1802,0)),"")</f>
        <v>★ HỌC HÔM NAY</v>
      </c>
    </row>
    <row r="68" customFormat="false" ht="15" hidden="false" customHeight="false" outlineLevel="0" collapsed="false">
      <c r="A68" s="31" t="n">
        <v>66</v>
      </c>
      <c r="B68" s="43" t="s">
        <v>10812</v>
      </c>
      <c r="C68" s="34" t="s">
        <v>10813</v>
      </c>
      <c r="D68" s="44" t="s">
        <v>10686</v>
      </c>
      <c r="E68" s="31"/>
      <c r="F68" s="31" t="s">
        <v>387</v>
      </c>
      <c r="G68" s="31" t="n">
        <v>2</v>
      </c>
      <c r="H68" s="31" t="s">
        <v>154</v>
      </c>
      <c r="I68" s="44" t="s">
        <v>279</v>
      </c>
      <c r="J68" s="45" t="s">
        <v>389</v>
      </c>
      <c r="K68" s="45" t="s">
        <v>391</v>
      </c>
      <c r="L68" s="31" t="n">
        <f aca="false">COUNTIF($B$3:$B$2205,$B68)</f>
        <v>3</v>
      </c>
      <c r="M68" s="44" t="str">
        <f aca="false">IFERROR(INDEX(SENTENCES!$T$3:$T$1802,MATCH($F68,SENTENCES!$A$3:$A$1802,0)),"")</f>
        <v>★ HỌC HÔM NAY</v>
      </c>
    </row>
    <row r="69" customFormat="false" ht="15" hidden="false" customHeight="false" outlineLevel="0" collapsed="false">
      <c r="A69" s="31" t="n">
        <v>67</v>
      </c>
      <c r="B69" s="43" t="s">
        <v>10814</v>
      </c>
      <c r="C69" s="34" t="s">
        <v>10815</v>
      </c>
      <c r="D69" s="44" t="s">
        <v>10677</v>
      </c>
      <c r="E69" s="31" t="s">
        <v>10707</v>
      </c>
      <c r="F69" s="31" t="s">
        <v>387</v>
      </c>
      <c r="G69" s="31" t="n">
        <v>2</v>
      </c>
      <c r="H69" s="31" t="s">
        <v>154</v>
      </c>
      <c r="I69" s="44" t="s">
        <v>279</v>
      </c>
      <c r="J69" s="45" t="s">
        <v>389</v>
      </c>
      <c r="K69" s="45" t="s">
        <v>391</v>
      </c>
      <c r="L69" s="31" t="n">
        <f aca="false">COUNTIF($B$3:$B$2205,$B69)</f>
        <v>1</v>
      </c>
      <c r="M69" s="44" t="str">
        <f aca="false">IFERROR(INDEX(SENTENCES!$T$3:$T$1802,MATCH($F69,SENTENCES!$A$3:$A$1802,0)),"")</f>
        <v>★ HỌC HÔM NAY</v>
      </c>
    </row>
    <row r="70" customFormat="false" ht="15" hidden="false" customHeight="false" outlineLevel="0" collapsed="false">
      <c r="A70" s="31" t="n">
        <v>68</v>
      </c>
      <c r="B70" s="43" t="s">
        <v>10816</v>
      </c>
      <c r="C70" s="34" t="s">
        <v>10817</v>
      </c>
      <c r="D70" s="44" t="s">
        <v>10681</v>
      </c>
      <c r="E70" s="31"/>
      <c r="F70" s="31" t="s">
        <v>387</v>
      </c>
      <c r="G70" s="31" t="n">
        <v>2</v>
      </c>
      <c r="H70" s="31" t="s">
        <v>154</v>
      </c>
      <c r="I70" s="44" t="s">
        <v>279</v>
      </c>
      <c r="J70" s="45" t="s">
        <v>389</v>
      </c>
      <c r="K70" s="45" t="s">
        <v>391</v>
      </c>
      <c r="L70" s="31" t="n">
        <f aca="false">COUNTIF($B$3:$B$2205,$B70)</f>
        <v>2</v>
      </c>
      <c r="M70" s="44" t="str">
        <f aca="false">IFERROR(INDEX(SENTENCES!$T$3:$T$1802,MATCH($F70,SENTENCES!$A$3:$A$1802,0)),"")</f>
        <v>★ HỌC HÔM NAY</v>
      </c>
    </row>
    <row r="71" customFormat="false" ht="15" hidden="false" customHeight="false" outlineLevel="0" collapsed="false">
      <c r="A71" s="31" t="n">
        <v>69</v>
      </c>
      <c r="B71" s="43" t="s">
        <v>10818</v>
      </c>
      <c r="C71" s="34" t="s">
        <v>10819</v>
      </c>
      <c r="D71" s="44" t="s">
        <v>10686</v>
      </c>
      <c r="E71" s="31"/>
      <c r="F71" s="31" t="s">
        <v>393</v>
      </c>
      <c r="G71" s="31" t="n">
        <v>2</v>
      </c>
      <c r="H71" s="31" t="s">
        <v>154</v>
      </c>
      <c r="I71" s="44" t="s">
        <v>279</v>
      </c>
      <c r="J71" s="45" t="s">
        <v>395</v>
      </c>
      <c r="K71" s="45" t="s">
        <v>397</v>
      </c>
      <c r="L71" s="31" t="n">
        <f aca="false">COUNTIF($B$3:$B$2205,$B71)</f>
        <v>4</v>
      </c>
      <c r="M71" s="44" t="str">
        <f aca="false">IFERROR(INDEX(SENTENCES!$T$3:$T$1802,MATCH($F71,SENTENCES!$A$3:$A$1802,0)),"")</f>
        <v>★ HỌC HÔM NAY</v>
      </c>
    </row>
    <row r="72" customFormat="false" ht="15" hidden="false" customHeight="false" outlineLevel="0" collapsed="false">
      <c r="A72" s="31" t="n">
        <v>70</v>
      </c>
      <c r="B72" s="43" t="s">
        <v>10820</v>
      </c>
      <c r="C72" s="34" t="s">
        <v>10821</v>
      </c>
      <c r="D72" s="44" t="s">
        <v>10681</v>
      </c>
      <c r="E72" s="31"/>
      <c r="F72" s="31" t="s">
        <v>393</v>
      </c>
      <c r="G72" s="31" t="n">
        <v>2</v>
      </c>
      <c r="H72" s="31" t="s">
        <v>154</v>
      </c>
      <c r="I72" s="44" t="s">
        <v>279</v>
      </c>
      <c r="J72" s="45" t="s">
        <v>395</v>
      </c>
      <c r="K72" s="45" t="s">
        <v>397</v>
      </c>
      <c r="L72" s="31" t="n">
        <f aca="false">COUNTIF($B$3:$B$2205,$B72)</f>
        <v>1</v>
      </c>
      <c r="M72" s="44" t="str">
        <f aca="false">IFERROR(INDEX(SENTENCES!$T$3:$T$1802,MATCH($F72,SENTENCES!$A$3:$A$1802,0)),"")</f>
        <v>★ HỌC HÔM NAY</v>
      </c>
    </row>
    <row r="73" customFormat="false" ht="15" hidden="false" customHeight="false" outlineLevel="0" collapsed="false">
      <c r="A73" s="31" t="n">
        <v>71</v>
      </c>
      <c r="B73" s="43" t="s">
        <v>10822</v>
      </c>
      <c r="C73" s="34" t="s">
        <v>10823</v>
      </c>
      <c r="D73" s="44" t="s">
        <v>10681</v>
      </c>
      <c r="E73" s="31"/>
      <c r="F73" s="31" t="s">
        <v>399</v>
      </c>
      <c r="G73" s="31" t="n">
        <v>3</v>
      </c>
      <c r="H73" s="31" t="s">
        <v>154</v>
      </c>
      <c r="I73" s="44" t="s">
        <v>400</v>
      </c>
      <c r="J73" s="45" t="s">
        <v>402</v>
      </c>
      <c r="K73" s="45" t="s">
        <v>404</v>
      </c>
      <c r="L73" s="31" t="n">
        <f aca="false">COUNTIF($B$3:$B$2205,$B73)</f>
        <v>1</v>
      </c>
      <c r="M73" s="44" t="str">
        <f aca="false">IFERROR(INDEX(SENTENCES!$T$3:$T$1802,MATCH($F73,SENTENCES!$A$3:$A$1802,0)),"")</f>
        <v>• Chưa tới</v>
      </c>
    </row>
    <row r="74" customFormat="false" ht="15" hidden="false" customHeight="false" outlineLevel="0" collapsed="false">
      <c r="A74" s="31" t="n">
        <v>72</v>
      </c>
      <c r="B74" s="43" t="s">
        <v>10824</v>
      </c>
      <c r="C74" s="34" t="s">
        <v>10825</v>
      </c>
      <c r="D74" s="44" t="s">
        <v>10677</v>
      </c>
      <c r="E74" s="31" t="s">
        <v>10678</v>
      </c>
      <c r="F74" s="31" t="s">
        <v>406</v>
      </c>
      <c r="G74" s="31" t="n">
        <v>3</v>
      </c>
      <c r="H74" s="31" t="s">
        <v>154</v>
      </c>
      <c r="I74" s="44" t="s">
        <v>400</v>
      </c>
      <c r="J74" s="45" t="s">
        <v>408</v>
      </c>
      <c r="K74" s="45" t="s">
        <v>410</v>
      </c>
      <c r="L74" s="31" t="n">
        <f aca="false">COUNTIF($B$3:$B$2205,$B74)</f>
        <v>1</v>
      </c>
      <c r="M74" s="44" t="str">
        <f aca="false">IFERROR(INDEX(SENTENCES!$T$3:$T$1802,MATCH($F74,SENTENCES!$A$3:$A$1802,0)),"")</f>
        <v>• Chưa tới</v>
      </c>
    </row>
    <row r="75" customFormat="false" ht="15" hidden="false" customHeight="false" outlineLevel="0" collapsed="false">
      <c r="A75" s="31" t="n">
        <v>73</v>
      </c>
      <c r="B75" s="43" t="s">
        <v>10826</v>
      </c>
      <c r="C75" s="34" t="s">
        <v>10827</v>
      </c>
      <c r="D75" s="44" t="s">
        <v>10677</v>
      </c>
      <c r="E75" s="31" t="s">
        <v>10707</v>
      </c>
      <c r="F75" s="31" t="s">
        <v>412</v>
      </c>
      <c r="G75" s="31" t="n">
        <v>3</v>
      </c>
      <c r="H75" s="31" t="s">
        <v>154</v>
      </c>
      <c r="I75" s="44" t="s">
        <v>400</v>
      </c>
      <c r="J75" s="45" t="s">
        <v>414</v>
      </c>
      <c r="K75" s="45" t="s">
        <v>416</v>
      </c>
      <c r="L75" s="31" t="n">
        <f aca="false">COUNTIF($B$3:$B$2205,$B75)</f>
        <v>1</v>
      </c>
      <c r="M75" s="44" t="str">
        <f aca="false">IFERROR(INDEX(SENTENCES!$T$3:$T$1802,MATCH($F75,SENTENCES!$A$3:$A$1802,0)),"")</f>
        <v>• Chưa tới</v>
      </c>
    </row>
    <row r="76" customFormat="false" ht="15" hidden="false" customHeight="false" outlineLevel="0" collapsed="false">
      <c r="A76" s="31" t="n">
        <v>74</v>
      </c>
      <c r="B76" s="43" t="s">
        <v>10828</v>
      </c>
      <c r="C76" s="34" t="s">
        <v>10829</v>
      </c>
      <c r="D76" s="44" t="s">
        <v>10681</v>
      </c>
      <c r="E76" s="31"/>
      <c r="F76" s="31" t="s">
        <v>418</v>
      </c>
      <c r="G76" s="31" t="n">
        <v>3</v>
      </c>
      <c r="H76" s="31" t="s">
        <v>154</v>
      </c>
      <c r="I76" s="44" t="s">
        <v>400</v>
      </c>
      <c r="J76" s="45" t="s">
        <v>420</v>
      </c>
      <c r="K76" s="45" t="s">
        <v>422</v>
      </c>
      <c r="L76" s="31" t="n">
        <f aca="false">COUNTIF($B$3:$B$2205,$B76)</f>
        <v>1</v>
      </c>
      <c r="M76" s="44" t="str">
        <f aca="false">IFERROR(INDEX(SENTENCES!$T$3:$T$1802,MATCH($F76,SENTENCES!$A$3:$A$1802,0)),"")</f>
        <v>• Chưa tới</v>
      </c>
    </row>
    <row r="77" customFormat="false" ht="15" hidden="false" customHeight="false" outlineLevel="0" collapsed="false">
      <c r="A77" s="31" t="n">
        <v>75</v>
      </c>
      <c r="B77" s="43" t="s">
        <v>10830</v>
      </c>
      <c r="C77" s="34" t="s">
        <v>10831</v>
      </c>
      <c r="D77" s="44" t="s">
        <v>10677</v>
      </c>
      <c r="E77" s="31" t="s">
        <v>10707</v>
      </c>
      <c r="F77" s="31" t="s">
        <v>418</v>
      </c>
      <c r="G77" s="31" t="n">
        <v>3</v>
      </c>
      <c r="H77" s="31" t="s">
        <v>154</v>
      </c>
      <c r="I77" s="44" t="s">
        <v>400</v>
      </c>
      <c r="J77" s="45" t="s">
        <v>420</v>
      </c>
      <c r="K77" s="45" t="s">
        <v>422</v>
      </c>
      <c r="L77" s="31" t="n">
        <f aca="false">COUNTIF($B$3:$B$2205,$B77)</f>
        <v>1</v>
      </c>
      <c r="M77" s="44" t="str">
        <f aca="false">IFERROR(INDEX(SENTENCES!$T$3:$T$1802,MATCH($F77,SENTENCES!$A$3:$A$1802,0)),"")</f>
        <v>• Chưa tới</v>
      </c>
    </row>
    <row r="78" customFormat="false" ht="15" hidden="false" customHeight="false" outlineLevel="0" collapsed="false">
      <c r="A78" s="31" t="n">
        <v>76</v>
      </c>
      <c r="B78" s="43" t="s">
        <v>10832</v>
      </c>
      <c r="C78" s="34" t="s">
        <v>10833</v>
      </c>
      <c r="D78" s="44" t="s">
        <v>10724</v>
      </c>
      <c r="E78" s="31"/>
      <c r="F78" s="31" t="s">
        <v>424</v>
      </c>
      <c r="G78" s="31" t="n">
        <v>3</v>
      </c>
      <c r="H78" s="31" t="s">
        <v>154</v>
      </c>
      <c r="I78" s="44" t="s">
        <v>400</v>
      </c>
      <c r="J78" s="45" t="s">
        <v>426</v>
      </c>
      <c r="K78" s="45" t="s">
        <v>428</v>
      </c>
      <c r="L78" s="31" t="n">
        <f aca="false">COUNTIF($B$3:$B$2205,$B78)</f>
        <v>1</v>
      </c>
      <c r="M78" s="44" t="str">
        <f aca="false">IFERROR(INDEX(SENTENCES!$T$3:$T$1802,MATCH($F78,SENTENCES!$A$3:$A$1802,0)),"")</f>
        <v>• Chưa tới</v>
      </c>
    </row>
    <row r="79" customFormat="false" ht="15" hidden="false" customHeight="false" outlineLevel="0" collapsed="false">
      <c r="A79" s="31" t="n">
        <v>77</v>
      </c>
      <c r="B79" s="43" t="s">
        <v>10834</v>
      </c>
      <c r="C79" s="34" t="s">
        <v>10835</v>
      </c>
      <c r="D79" s="44" t="s">
        <v>10794</v>
      </c>
      <c r="E79" s="31"/>
      <c r="F79" s="31" t="s">
        <v>430</v>
      </c>
      <c r="G79" s="31" t="n">
        <v>3</v>
      </c>
      <c r="H79" s="31" t="s">
        <v>154</v>
      </c>
      <c r="I79" s="44" t="s">
        <v>400</v>
      </c>
      <c r="J79" s="45" t="s">
        <v>432</v>
      </c>
      <c r="K79" s="45" t="s">
        <v>434</v>
      </c>
      <c r="L79" s="31" t="n">
        <f aca="false">COUNTIF($B$3:$B$2205,$B79)</f>
        <v>1</v>
      </c>
      <c r="M79" s="44" t="str">
        <f aca="false">IFERROR(INDEX(SENTENCES!$T$3:$T$1802,MATCH($F79,SENTENCES!$A$3:$A$1802,0)),"")</f>
        <v>• Chưa tới</v>
      </c>
    </row>
    <row r="80" customFormat="false" ht="15" hidden="false" customHeight="false" outlineLevel="0" collapsed="false">
      <c r="A80" s="31" t="n">
        <v>78</v>
      </c>
      <c r="B80" s="43" t="s">
        <v>10836</v>
      </c>
      <c r="C80" s="34" t="s">
        <v>10837</v>
      </c>
      <c r="D80" s="44" t="s">
        <v>10681</v>
      </c>
      <c r="E80" s="31"/>
      <c r="F80" s="31" t="s">
        <v>435</v>
      </c>
      <c r="G80" s="31" t="n">
        <v>3</v>
      </c>
      <c r="H80" s="31" t="s">
        <v>154</v>
      </c>
      <c r="I80" s="44" t="s">
        <v>400</v>
      </c>
      <c r="J80" s="45" t="s">
        <v>437</v>
      </c>
      <c r="K80" s="45" t="s">
        <v>439</v>
      </c>
      <c r="L80" s="31" t="n">
        <f aca="false">COUNTIF($B$3:$B$2205,$B80)</f>
        <v>1</v>
      </c>
      <c r="M80" s="44" t="str">
        <f aca="false">IFERROR(INDEX(SENTENCES!$T$3:$T$1802,MATCH($F80,SENTENCES!$A$3:$A$1802,0)),"")</f>
        <v>• Chưa tới</v>
      </c>
    </row>
    <row r="81" customFormat="false" ht="15" hidden="false" customHeight="false" outlineLevel="0" collapsed="false">
      <c r="A81" s="31" t="n">
        <v>79</v>
      </c>
      <c r="B81" s="43" t="s">
        <v>10838</v>
      </c>
      <c r="C81" s="34" t="s">
        <v>10839</v>
      </c>
      <c r="D81" s="44" t="s">
        <v>10681</v>
      </c>
      <c r="E81" s="31"/>
      <c r="F81" s="31" t="s">
        <v>435</v>
      </c>
      <c r="G81" s="31" t="n">
        <v>3</v>
      </c>
      <c r="H81" s="31" t="s">
        <v>154</v>
      </c>
      <c r="I81" s="44" t="s">
        <v>400</v>
      </c>
      <c r="J81" s="45" t="s">
        <v>437</v>
      </c>
      <c r="K81" s="45" t="s">
        <v>439</v>
      </c>
      <c r="L81" s="31" t="n">
        <f aca="false">COUNTIF($B$3:$B$2205,$B81)</f>
        <v>1</v>
      </c>
      <c r="M81" s="44" t="str">
        <f aca="false">IFERROR(INDEX(SENTENCES!$T$3:$T$1802,MATCH($F81,SENTENCES!$A$3:$A$1802,0)),"")</f>
        <v>• Chưa tới</v>
      </c>
    </row>
    <row r="82" customFormat="false" ht="15" hidden="false" customHeight="false" outlineLevel="0" collapsed="false">
      <c r="A82" s="31" t="n">
        <v>80</v>
      </c>
      <c r="B82" s="43" t="s">
        <v>10840</v>
      </c>
      <c r="C82" s="34" t="s">
        <v>10841</v>
      </c>
      <c r="D82" s="44" t="s">
        <v>10686</v>
      </c>
      <c r="E82" s="31"/>
      <c r="F82" s="31" t="s">
        <v>441</v>
      </c>
      <c r="G82" s="31" t="n">
        <v>3</v>
      </c>
      <c r="H82" s="31" t="s">
        <v>154</v>
      </c>
      <c r="I82" s="44" t="s">
        <v>400</v>
      </c>
      <c r="J82" s="45" t="s">
        <v>443</v>
      </c>
      <c r="K82" s="45" t="s">
        <v>445</v>
      </c>
      <c r="L82" s="31" t="n">
        <f aca="false">COUNTIF($B$3:$B$2205,$B82)</f>
        <v>1</v>
      </c>
      <c r="M82" s="44" t="str">
        <f aca="false">IFERROR(INDEX(SENTENCES!$T$3:$T$1802,MATCH($F82,SENTENCES!$A$3:$A$1802,0)),"")</f>
        <v>• Chưa tới</v>
      </c>
    </row>
    <row r="83" customFormat="false" ht="15" hidden="false" customHeight="false" outlineLevel="0" collapsed="false">
      <c r="A83" s="31" t="n">
        <v>81</v>
      </c>
      <c r="B83" s="43" t="s">
        <v>10842</v>
      </c>
      <c r="C83" s="34" t="s">
        <v>10843</v>
      </c>
      <c r="D83" s="44" t="s">
        <v>10686</v>
      </c>
      <c r="E83" s="31"/>
      <c r="F83" s="31" t="s">
        <v>447</v>
      </c>
      <c r="G83" s="31" t="n">
        <v>3</v>
      </c>
      <c r="H83" s="31" t="s">
        <v>154</v>
      </c>
      <c r="I83" s="44" t="s">
        <v>400</v>
      </c>
      <c r="J83" s="45" t="s">
        <v>449</v>
      </c>
      <c r="K83" s="45" t="s">
        <v>451</v>
      </c>
      <c r="L83" s="31" t="n">
        <f aca="false">COUNTIF($B$3:$B$2205,$B83)</f>
        <v>2</v>
      </c>
      <c r="M83" s="44" t="str">
        <f aca="false">IFERROR(INDEX(SENTENCES!$T$3:$T$1802,MATCH($F83,SENTENCES!$A$3:$A$1802,0)),"")</f>
        <v>• Chưa tới</v>
      </c>
    </row>
    <row r="84" customFormat="false" ht="15" hidden="false" customHeight="false" outlineLevel="0" collapsed="false">
      <c r="A84" s="31" t="n">
        <v>82</v>
      </c>
      <c r="B84" s="43" t="s">
        <v>10844</v>
      </c>
      <c r="C84" s="34" t="s">
        <v>10772</v>
      </c>
      <c r="D84" s="44" t="s">
        <v>10677</v>
      </c>
      <c r="E84" s="31" t="s">
        <v>10747</v>
      </c>
      <c r="F84" s="31" t="s">
        <v>447</v>
      </c>
      <c r="G84" s="31" t="n">
        <v>3</v>
      </c>
      <c r="H84" s="31" t="s">
        <v>154</v>
      </c>
      <c r="I84" s="44" t="s">
        <v>400</v>
      </c>
      <c r="J84" s="45" t="s">
        <v>449</v>
      </c>
      <c r="K84" s="45" t="s">
        <v>451</v>
      </c>
      <c r="L84" s="31" t="n">
        <f aca="false">COUNTIF($B$3:$B$2205,$B84)</f>
        <v>2</v>
      </c>
      <c r="M84" s="44" t="str">
        <f aca="false">IFERROR(INDEX(SENTENCES!$T$3:$T$1802,MATCH($F84,SENTENCES!$A$3:$A$1802,0)),"")</f>
        <v>• Chưa tới</v>
      </c>
    </row>
    <row r="85" customFormat="false" ht="15" hidden="false" customHeight="false" outlineLevel="0" collapsed="false">
      <c r="A85" s="31" t="n">
        <v>83</v>
      </c>
      <c r="B85" s="43" t="s">
        <v>10845</v>
      </c>
      <c r="C85" s="34" t="s">
        <v>10846</v>
      </c>
      <c r="D85" s="44" t="s">
        <v>10681</v>
      </c>
      <c r="E85" s="31"/>
      <c r="F85" s="31" t="s">
        <v>453</v>
      </c>
      <c r="G85" s="31" t="n">
        <v>3</v>
      </c>
      <c r="H85" s="31" t="s">
        <v>154</v>
      </c>
      <c r="I85" s="44" t="s">
        <v>400</v>
      </c>
      <c r="J85" s="45" t="s">
        <v>455</v>
      </c>
      <c r="K85" s="45" t="s">
        <v>457</v>
      </c>
      <c r="L85" s="31" t="n">
        <f aca="false">COUNTIF($B$3:$B$2205,$B85)</f>
        <v>1</v>
      </c>
      <c r="M85" s="44" t="str">
        <f aca="false">IFERROR(INDEX(SENTENCES!$T$3:$T$1802,MATCH($F85,SENTENCES!$A$3:$A$1802,0)),"")</f>
        <v>• Chưa tới</v>
      </c>
    </row>
    <row r="86" customFormat="false" ht="15" hidden="false" customHeight="false" outlineLevel="0" collapsed="false">
      <c r="A86" s="31" t="n">
        <v>84</v>
      </c>
      <c r="B86" s="43" t="s">
        <v>10847</v>
      </c>
      <c r="C86" s="34" t="s">
        <v>10792</v>
      </c>
      <c r="D86" s="44" t="s">
        <v>10686</v>
      </c>
      <c r="E86" s="31"/>
      <c r="F86" s="31" t="s">
        <v>453</v>
      </c>
      <c r="G86" s="31" t="n">
        <v>3</v>
      </c>
      <c r="H86" s="31" t="s">
        <v>154</v>
      </c>
      <c r="I86" s="44" t="s">
        <v>400</v>
      </c>
      <c r="J86" s="45" t="s">
        <v>455</v>
      </c>
      <c r="K86" s="45" t="s">
        <v>457</v>
      </c>
      <c r="L86" s="31" t="n">
        <f aca="false">COUNTIF($B$3:$B$2205,$B86)</f>
        <v>3</v>
      </c>
      <c r="M86" s="44" t="str">
        <f aca="false">IFERROR(INDEX(SENTENCES!$T$3:$T$1802,MATCH($F86,SENTENCES!$A$3:$A$1802,0)),"")</f>
        <v>• Chưa tới</v>
      </c>
    </row>
    <row r="87" customFormat="false" ht="15" hidden="false" customHeight="false" outlineLevel="0" collapsed="false">
      <c r="A87" s="31" t="n">
        <v>85</v>
      </c>
      <c r="B87" s="43" t="s">
        <v>10810</v>
      </c>
      <c r="C87" s="34" t="s">
        <v>10848</v>
      </c>
      <c r="D87" s="44" t="s">
        <v>10686</v>
      </c>
      <c r="E87" s="31"/>
      <c r="F87" s="31" t="s">
        <v>459</v>
      </c>
      <c r="G87" s="31" t="n">
        <v>3</v>
      </c>
      <c r="H87" s="31" t="s">
        <v>154</v>
      </c>
      <c r="I87" s="44" t="s">
        <v>400</v>
      </c>
      <c r="J87" s="45" t="s">
        <v>461</v>
      </c>
      <c r="K87" s="45" t="s">
        <v>463</v>
      </c>
      <c r="L87" s="31" t="n">
        <f aca="false">COUNTIF($B$3:$B$2205,$B87)</f>
        <v>3</v>
      </c>
      <c r="M87" s="44" t="str">
        <f aca="false">IFERROR(INDEX(SENTENCES!$T$3:$T$1802,MATCH($F87,SENTENCES!$A$3:$A$1802,0)),"")</f>
        <v>• Chưa tới</v>
      </c>
    </row>
    <row r="88" customFormat="false" ht="15" hidden="false" customHeight="false" outlineLevel="0" collapsed="false">
      <c r="A88" s="31" t="n">
        <v>86</v>
      </c>
      <c r="B88" s="43" t="s">
        <v>10849</v>
      </c>
      <c r="C88" s="34" t="s">
        <v>10850</v>
      </c>
      <c r="D88" s="44" t="s">
        <v>10686</v>
      </c>
      <c r="E88" s="31"/>
      <c r="F88" s="31" t="s">
        <v>465</v>
      </c>
      <c r="G88" s="31" t="n">
        <v>3</v>
      </c>
      <c r="H88" s="31" t="s">
        <v>154</v>
      </c>
      <c r="I88" s="44" t="s">
        <v>400</v>
      </c>
      <c r="J88" s="45" t="s">
        <v>467</v>
      </c>
      <c r="K88" s="45" t="s">
        <v>469</v>
      </c>
      <c r="L88" s="31" t="n">
        <f aca="false">COUNTIF($B$3:$B$2205,$B88)</f>
        <v>4</v>
      </c>
      <c r="M88" s="44" t="str">
        <f aca="false">IFERROR(INDEX(SENTENCES!$T$3:$T$1802,MATCH($F88,SENTENCES!$A$3:$A$1802,0)),"")</f>
        <v>• Chưa tới</v>
      </c>
    </row>
    <row r="89" customFormat="false" ht="15" hidden="false" customHeight="false" outlineLevel="0" collapsed="false">
      <c r="A89" s="31" t="n">
        <v>87</v>
      </c>
      <c r="B89" s="43" t="s">
        <v>10851</v>
      </c>
      <c r="C89" s="34" t="s">
        <v>10852</v>
      </c>
      <c r="D89" s="44" t="s">
        <v>10677</v>
      </c>
      <c r="E89" s="31" t="s">
        <v>10678</v>
      </c>
      <c r="F89" s="31" t="s">
        <v>465</v>
      </c>
      <c r="G89" s="31" t="n">
        <v>3</v>
      </c>
      <c r="H89" s="31" t="s">
        <v>154</v>
      </c>
      <c r="I89" s="44" t="s">
        <v>400</v>
      </c>
      <c r="J89" s="45" t="s">
        <v>467</v>
      </c>
      <c r="K89" s="45" t="s">
        <v>469</v>
      </c>
      <c r="L89" s="31" t="n">
        <f aca="false">COUNTIF($B$3:$B$2205,$B89)</f>
        <v>2</v>
      </c>
      <c r="M89" s="44" t="str">
        <f aca="false">IFERROR(INDEX(SENTENCES!$T$3:$T$1802,MATCH($F89,SENTENCES!$A$3:$A$1802,0)),"")</f>
        <v>• Chưa tới</v>
      </c>
    </row>
    <row r="90" customFormat="false" ht="15" hidden="false" customHeight="false" outlineLevel="0" collapsed="false">
      <c r="A90" s="31" t="n">
        <v>88</v>
      </c>
      <c r="B90" s="43" t="s">
        <v>10853</v>
      </c>
      <c r="C90" s="34" t="s">
        <v>10854</v>
      </c>
      <c r="D90" s="44" t="s">
        <v>10681</v>
      </c>
      <c r="E90" s="31"/>
      <c r="F90" s="31" t="s">
        <v>471</v>
      </c>
      <c r="G90" s="31" t="n">
        <v>3</v>
      </c>
      <c r="H90" s="31" t="s">
        <v>154</v>
      </c>
      <c r="I90" s="44" t="s">
        <v>400</v>
      </c>
      <c r="J90" s="45" t="s">
        <v>474</v>
      </c>
      <c r="K90" s="45" t="s">
        <v>476</v>
      </c>
      <c r="L90" s="31" t="n">
        <f aca="false">COUNTIF($B$3:$B$2205,$B90)</f>
        <v>1</v>
      </c>
      <c r="M90" s="44" t="str">
        <f aca="false">IFERROR(INDEX(SENTENCES!$T$3:$T$1802,MATCH($F90,SENTENCES!$A$3:$A$1802,0)),"")</f>
        <v>• Chưa tới</v>
      </c>
    </row>
    <row r="91" customFormat="false" ht="15" hidden="false" customHeight="false" outlineLevel="0" collapsed="false">
      <c r="A91" s="31" t="n">
        <v>89</v>
      </c>
      <c r="B91" s="43" t="s">
        <v>10855</v>
      </c>
      <c r="C91" s="34" t="s">
        <v>10856</v>
      </c>
      <c r="D91" s="44" t="s">
        <v>10681</v>
      </c>
      <c r="E91" s="31"/>
      <c r="F91" s="31" t="s">
        <v>471</v>
      </c>
      <c r="G91" s="31" t="n">
        <v>3</v>
      </c>
      <c r="H91" s="31" t="s">
        <v>154</v>
      </c>
      <c r="I91" s="44" t="s">
        <v>400</v>
      </c>
      <c r="J91" s="45" t="s">
        <v>474</v>
      </c>
      <c r="K91" s="45" t="s">
        <v>476</v>
      </c>
      <c r="L91" s="31" t="n">
        <f aca="false">COUNTIF($B$3:$B$2205,$B91)</f>
        <v>2</v>
      </c>
      <c r="M91" s="44" t="str">
        <f aca="false">IFERROR(INDEX(SENTENCES!$T$3:$T$1802,MATCH($F91,SENTENCES!$A$3:$A$1802,0)),"")</f>
        <v>• Chưa tới</v>
      </c>
    </row>
    <row r="92" customFormat="false" ht="15" hidden="false" customHeight="false" outlineLevel="0" collapsed="false">
      <c r="A92" s="31" t="n">
        <v>90</v>
      </c>
      <c r="B92" s="43" t="s">
        <v>10857</v>
      </c>
      <c r="C92" s="34" t="s">
        <v>10858</v>
      </c>
      <c r="D92" s="44" t="s">
        <v>10681</v>
      </c>
      <c r="E92" s="31"/>
      <c r="F92" s="31" t="s">
        <v>471</v>
      </c>
      <c r="G92" s="31" t="n">
        <v>3</v>
      </c>
      <c r="H92" s="31" t="s">
        <v>154</v>
      </c>
      <c r="I92" s="44" t="s">
        <v>400</v>
      </c>
      <c r="J92" s="45" t="s">
        <v>474</v>
      </c>
      <c r="K92" s="45" t="s">
        <v>476</v>
      </c>
      <c r="L92" s="31" t="n">
        <f aca="false">COUNTIF($B$3:$B$2205,$B92)</f>
        <v>2</v>
      </c>
      <c r="M92" s="44" t="str">
        <f aca="false">IFERROR(INDEX(SENTENCES!$T$3:$T$1802,MATCH($F92,SENTENCES!$A$3:$A$1802,0)),"")</f>
        <v>• Chưa tới</v>
      </c>
    </row>
    <row r="93" customFormat="false" ht="15" hidden="false" customHeight="false" outlineLevel="0" collapsed="false">
      <c r="A93" s="31" t="n">
        <v>91</v>
      </c>
      <c r="B93" s="43" t="s">
        <v>10859</v>
      </c>
      <c r="C93" s="34" t="s">
        <v>10860</v>
      </c>
      <c r="D93" s="44" t="s">
        <v>10677</v>
      </c>
      <c r="E93" s="31" t="s">
        <v>10707</v>
      </c>
      <c r="F93" s="31" t="s">
        <v>478</v>
      </c>
      <c r="G93" s="31" t="n">
        <v>3</v>
      </c>
      <c r="H93" s="31" t="s">
        <v>154</v>
      </c>
      <c r="I93" s="44" t="s">
        <v>400</v>
      </c>
      <c r="J93" s="45" t="s">
        <v>480</v>
      </c>
      <c r="K93" s="45" t="s">
        <v>482</v>
      </c>
      <c r="L93" s="31" t="n">
        <f aca="false">COUNTIF($B$3:$B$2205,$B93)</f>
        <v>1</v>
      </c>
      <c r="M93" s="44" t="str">
        <f aca="false">IFERROR(INDEX(SENTENCES!$T$3:$T$1802,MATCH($F93,SENTENCES!$A$3:$A$1802,0)),"")</f>
        <v>• Chưa tới</v>
      </c>
    </row>
    <row r="94" customFormat="false" ht="15" hidden="false" customHeight="false" outlineLevel="0" collapsed="false">
      <c r="A94" s="31" t="n">
        <v>92</v>
      </c>
      <c r="B94" s="43" t="s">
        <v>10861</v>
      </c>
      <c r="C94" s="34" t="s">
        <v>10862</v>
      </c>
      <c r="D94" s="44" t="s">
        <v>10686</v>
      </c>
      <c r="E94" s="31"/>
      <c r="F94" s="31" t="s">
        <v>478</v>
      </c>
      <c r="G94" s="31" t="n">
        <v>3</v>
      </c>
      <c r="H94" s="31" t="s">
        <v>154</v>
      </c>
      <c r="I94" s="44" t="s">
        <v>400</v>
      </c>
      <c r="J94" s="45" t="s">
        <v>480</v>
      </c>
      <c r="K94" s="45" t="s">
        <v>482</v>
      </c>
      <c r="L94" s="31" t="n">
        <f aca="false">COUNTIF($B$3:$B$2205,$B94)</f>
        <v>3</v>
      </c>
      <c r="M94" s="44" t="str">
        <f aca="false">IFERROR(INDEX(SENTENCES!$T$3:$T$1802,MATCH($F94,SENTENCES!$A$3:$A$1802,0)),"")</f>
        <v>• Chưa tới</v>
      </c>
    </row>
    <row r="95" customFormat="false" ht="15" hidden="false" customHeight="false" outlineLevel="0" collapsed="false">
      <c r="A95" s="31" t="n">
        <v>93</v>
      </c>
      <c r="B95" s="43" t="s">
        <v>10863</v>
      </c>
      <c r="C95" s="34" t="s">
        <v>10864</v>
      </c>
      <c r="D95" s="44" t="s">
        <v>10677</v>
      </c>
      <c r="E95" s="31" t="s">
        <v>10707</v>
      </c>
      <c r="F95" s="31" t="s">
        <v>484</v>
      </c>
      <c r="G95" s="31" t="n">
        <v>3</v>
      </c>
      <c r="H95" s="31" t="s">
        <v>154</v>
      </c>
      <c r="I95" s="44" t="s">
        <v>400</v>
      </c>
      <c r="J95" s="45" t="s">
        <v>486</v>
      </c>
      <c r="K95" s="45" t="s">
        <v>488</v>
      </c>
      <c r="L95" s="31" t="n">
        <f aca="false">COUNTIF($B$3:$B$2205,$B95)</f>
        <v>1</v>
      </c>
      <c r="M95" s="44" t="str">
        <f aca="false">IFERROR(INDEX(SENTENCES!$T$3:$T$1802,MATCH($F95,SENTENCES!$A$3:$A$1802,0)),"")</f>
        <v>• Chưa tới</v>
      </c>
    </row>
    <row r="96" customFormat="false" ht="15" hidden="false" customHeight="false" outlineLevel="0" collapsed="false">
      <c r="A96" s="31" t="n">
        <v>94</v>
      </c>
      <c r="B96" s="43" t="s">
        <v>10865</v>
      </c>
      <c r="C96" s="34" t="s">
        <v>10866</v>
      </c>
      <c r="D96" s="44" t="s">
        <v>10686</v>
      </c>
      <c r="E96" s="31"/>
      <c r="F96" s="31" t="s">
        <v>490</v>
      </c>
      <c r="G96" s="31" t="n">
        <v>3</v>
      </c>
      <c r="H96" s="31" t="s">
        <v>154</v>
      </c>
      <c r="I96" s="44" t="s">
        <v>400</v>
      </c>
      <c r="J96" s="45" t="s">
        <v>492</v>
      </c>
      <c r="K96" s="45" t="s">
        <v>494</v>
      </c>
      <c r="L96" s="31" t="n">
        <f aca="false">COUNTIF($B$3:$B$2205,$B96)</f>
        <v>3</v>
      </c>
      <c r="M96" s="44" t="str">
        <f aca="false">IFERROR(INDEX(SENTENCES!$T$3:$T$1802,MATCH($F96,SENTENCES!$A$3:$A$1802,0)),"")</f>
        <v>• Chưa tới</v>
      </c>
    </row>
    <row r="97" customFormat="false" ht="15" hidden="false" customHeight="false" outlineLevel="0" collapsed="false">
      <c r="A97" s="31" t="n">
        <v>95</v>
      </c>
      <c r="B97" s="43" t="s">
        <v>10867</v>
      </c>
      <c r="C97" s="34" t="s">
        <v>10868</v>
      </c>
      <c r="D97" s="44" t="s">
        <v>10686</v>
      </c>
      <c r="E97" s="31"/>
      <c r="F97" s="31" t="s">
        <v>490</v>
      </c>
      <c r="G97" s="31" t="n">
        <v>3</v>
      </c>
      <c r="H97" s="31" t="s">
        <v>154</v>
      </c>
      <c r="I97" s="44" t="s">
        <v>400</v>
      </c>
      <c r="J97" s="45" t="s">
        <v>492</v>
      </c>
      <c r="K97" s="45" t="s">
        <v>494</v>
      </c>
      <c r="L97" s="31" t="n">
        <f aca="false">COUNTIF($B$3:$B$2205,$B97)</f>
        <v>1</v>
      </c>
      <c r="M97" s="44" t="str">
        <f aca="false">IFERROR(INDEX(SENTENCES!$T$3:$T$1802,MATCH($F97,SENTENCES!$A$3:$A$1802,0)),"")</f>
        <v>• Chưa tới</v>
      </c>
    </row>
    <row r="98" customFormat="false" ht="15" hidden="false" customHeight="false" outlineLevel="0" collapsed="false">
      <c r="A98" s="31" t="n">
        <v>96</v>
      </c>
      <c r="B98" s="43" t="s">
        <v>10869</v>
      </c>
      <c r="C98" s="34" t="s">
        <v>10870</v>
      </c>
      <c r="D98" s="44" t="s">
        <v>10681</v>
      </c>
      <c r="E98" s="31"/>
      <c r="F98" s="31" t="s">
        <v>496</v>
      </c>
      <c r="G98" s="31" t="n">
        <v>3</v>
      </c>
      <c r="H98" s="31" t="s">
        <v>154</v>
      </c>
      <c r="I98" s="44" t="s">
        <v>400</v>
      </c>
      <c r="J98" s="45" t="s">
        <v>499</v>
      </c>
      <c r="K98" s="45" t="s">
        <v>501</v>
      </c>
      <c r="L98" s="31" t="n">
        <f aca="false">COUNTIF($B$3:$B$2205,$B98)</f>
        <v>1</v>
      </c>
      <c r="M98" s="44" t="str">
        <f aca="false">IFERROR(INDEX(SENTENCES!$T$3:$T$1802,MATCH($F98,SENTENCES!$A$3:$A$1802,0)),"")</f>
        <v>• Chưa tới</v>
      </c>
    </row>
    <row r="99" customFormat="false" ht="15" hidden="false" customHeight="false" outlineLevel="0" collapsed="false">
      <c r="A99" s="31" t="n">
        <v>97</v>
      </c>
      <c r="B99" s="43" t="s">
        <v>10871</v>
      </c>
      <c r="C99" s="34" t="s">
        <v>10872</v>
      </c>
      <c r="D99" s="44" t="s">
        <v>10724</v>
      </c>
      <c r="E99" s="31"/>
      <c r="F99" s="31" t="s">
        <v>496</v>
      </c>
      <c r="G99" s="31" t="n">
        <v>3</v>
      </c>
      <c r="H99" s="31" t="s">
        <v>154</v>
      </c>
      <c r="I99" s="44" t="s">
        <v>400</v>
      </c>
      <c r="J99" s="45" t="s">
        <v>499</v>
      </c>
      <c r="K99" s="45" t="s">
        <v>501</v>
      </c>
      <c r="L99" s="31" t="n">
        <f aca="false">COUNTIF($B$3:$B$2205,$B99)</f>
        <v>1</v>
      </c>
      <c r="M99" s="44" t="str">
        <f aca="false">IFERROR(INDEX(SENTENCES!$T$3:$T$1802,MATCH($F99,SENTENCES!$A$3:$A$1802,0)),"")</f>
        <v>• Chưa tới</v>
      </c>
    </row>
    <row r="100" customFormat="false" ht="15" hidden="false" customHeight="false" outlineLevel="0" collapsed="false">
      <c r="A100" s="31" t="n">
        <v>98</v>
      </c>
      <c r="B100" s="43" t="s">
        <v>10873</v>
      </c>
      <c r="C100" s="34" t="s">
        <v>10874</v>
      </c>
      <c r="D100" s="44" t="s">
        <v>10681</v>
      </c>
      <c r="E100" s="31"/>
      <c r="F100" s="31" t="s">
        <v>503</v>
      </c>
      <c r="G100" s="31" t="n">
        <v>3</v>
      </c>
      <c r="H100" s="31" t="s">
        <v>154</v>
      </c>
      <c r="I100" s="44" t="s">
        <v>400</v>
      </c>
      <c r="J100" s="45" t="s">
        <v>505</v>
      </c>
      <c r="K100" s="45" t="s">
        <v>507</v>
      </c>
      <c r="L100" s="31" t="n">
        <f aca="false">COUNTIF($B$3:$B$2205,$B100)</f>
        <v>2</v>
      </c>
      <c r="M100" s="44" t="str">
        <f aca="false">IFERROR(INDEX(SENTENCES!$T$3:$T$1802,MATCH($F100,SENTENCES!$A$3:$A$1802,0)),"")</f>
        <v>• Chưa tới</v>
      </c>
    </row>
    <row r="101" customFormat="false" ht="15" hidden="false" customHeight="false" outlineLevel="0" collapsed="false">
      <c r="A101" s="31" t="n">
        <v>99</v>
      </c>
      <c r="B101" s="43" t="s">
        <v>10875</v>
      </c>
      <c r="C101" s="34" t="s">
        <v>10876</v>
      </c>
      <c r="D101" s="44" t="s">
        <v>10686</v>
      </c>
      <c r="E101" s="31"/>
      <c r="F101" s="31" t="s">
        <v>509</v>
      </c>
      <c r="G101" s="31" t="n">
        <v>3</v>
      </c>
      <c r="H101" s="31" t="s">
        <v>154</v>
      </c>
      <c r="I101" s="44" t="s">
        <v>400</v>
      </c>
      <c r="J101" s="45" t="s">
        <v>511</v>
      </c>
      <c r="K101" s="45" t="s">
        <v>513</v>
      </c>
      <c r="L101" s="31" t="n">
        <f aca="false">COUNTIF($B$3:$B$2205,$B101)</f>
        <v>1</v>
      </c>
      <c r="M101" s="44" t="str">
        <f aca="false">IFERROR(INDEX(SENTENCES!$T$3:$T$1802,MATCH($F101,SENTENCES!$A$3:$A$1802,0)),"")</f>
        <v>• Chưa tới</v>
      </c>
    </row>
    <row r="102" customFormat="false" ht="15" hidden="false" customHeight="false" outlineLevel="0" collapsed="false">
      <c r="A102" s="31" t="n">
        <v>100</v>
      </c>
      <c r="B102" s="43" t="s">
        <v>10877</v>
      </c>
      <c r="C102" s="34" t="s">
        <v>10878</v>
      </c>
      <c r="D102" s="44" t="s">
        <v>10794</v>
      </c>
      <c r="E102" s="31"/>
      <c r="F102" s="31" t="s">
        <v>509</v>
      </c>
      <c r="G102" s="31" t="n">
        <v>3</v>
      </c>
      <c r="H102" s="31" t="s">
        <v>154</v>
      </c>
      <c r="I102" s="44" t="s">
        <v>400</v>
      </c>
      <c r="J102" s="45" t="s">
        <v>511</v>
      </c>
      <c r="K102" s="45" t="s">
        <v>513</v>
      </c>
      <c r="L102" s="31" t="n">
        <f aca="false">COUNTIF($B$3:$B$2205,$B102)</f>
        <v>1</v>
      </c>
      <c r="M102" s="44" t="str">
        <f aca="false">IFERROR(INDEX(SENTENCES!$T$3:$T$1802,MATCH($F102,SENTENCES!$A$3:$A$1802,0)),"")</f>
        <v>• Chưa tới</v>
      </c>
    </row>
    <row r="103" customFormat="false" ht="15" hidden="false" customHeight="false" outlineLevel="0" collapsed="false">
      <c r="A103" s="31" t="n">
        <v>101</v>
      </c>
      <c r="B103" s="43" t="s">
        <v>10879</v>
      </c>
      <c r="C103" s="34" t="s">
        <v>10880</v>
      </c>
      <c r="D103" s="44" t="s">
        <v>10681</v>
      </c>
      <c r="E103" s="31"/>
      <c r="F103" s="31" t="s">
        <v>515</v>
      </c>
      <c r="G103" s="31" t="n">
        <v>3</v>
      </c>
      <c r="H103" s="31" t="s">
        <v>154</v>
      </c>
      <c r="I103" s="44" t="s">
        <v>400</v>
      </c>
      <c r="J103" s="45" t="s">
        <v>517</v>
      </c>
      <c r="K103" s="45" t="s">
        <v>519</v>
      </c>
      <c r="L103" s="31" t="n">
        <f aca="false">COUNTIF($B$3:$B$2205,$B103)</f>
        <v>2</v>
      </c>
      <c r="M103" s="44" t="str">
        <f aca="false">IFERROR(INDEX(SENTENCES!$T$3:$T$1802,MATCH($F103,SENTENCES!$A$3:$A$1802,0)),"")</f>
        <v>• Chưa tới</v>
      </c>
    </row>
    <row r="104" customFormat="false" ht="15" hidden="false" customHeight="false" outlineLevel="0" collapsed="false">
      <c r="A104" s="31" t="n">
        <v>102</v>
      </c>
      <c r="B104" s="43" t="s">
        <v>10881</v>
      </c>
      <c r="C104" s="34" t="s">
        <v>10882</v>
      </c>
      <c r="D104" s="44" t="s">
        <v>10681</v>
      </c>
      <c r="E104" s="31"/>
      <c r="F104" s="31" t="s">
        <v>521</v>
      </c>
      <c r="G104" s="31" t="n">
        <v>4</v>
      </c>
      <c r="H104" s="31" t="s">
        <v>154</v>
      </c>
      <c r="I104" s="44" t="s">
        <v>522</v>
      </c>
      <c r="J104" s="45" t="s">
        <v>525</v>
      </c>
      <c r="K104" s="45" t="s">
        <v>527</v>
      </c>
      <c r="L104" s="31" t="n">
        <f aca="false">COUNTIF($B$3:$B$2205,$B104)</f>
        <v>1</v>
      </c>
      <c r="M104" s="44" t="str">
        <f aca="false">IFERROR(INDEX(SENTENCES!$T$3:$T$1802,MATCH($F104,SENTENCES!$A$3:$A$1802,0)),"")</f>
        <v>• Chưa tới</v>
      </c>
    </row>
    <row r="105" customFormat="false" ht="15" hidden="false" customHeight="false" outlineLevel="0" collapsed="false">
      <c r="A105" s="31" t="n">
        <v>103</v>
      </c>
      <c r="B105" s="43" t="s">
        <v>10883</v>
      </c>
      <c r="C105" s="34" t="s">
        <v>10884</v>
      </c>
      <c r="D105" s="44" t="s">
        <v>10681</v>
      </c>
      <c r="E105" s="31"/>
      <c r="F105" s="31" t="s">
        <v>529</v>
      </c>
      <c r="G105" s="31" t="n">
        <v>4</v>
      </c>
      <c r="H105" s="31" t="s">
        <v>154</v>
      </c>
      <c r="I105" s="44" t="s">
        <v>522</v>
      </c>
      <c r="J105" s="45" t="s">
        <v>531</v>
      </c>
      <c r="K105" s="45" t="s">
        <v>533</v>
      </c>
      <c r="L105" s="31" t="n">
        <f aca="false">COUNTIF($B$3:$B$2205,$B105)</f>
        <v>1</v>
      </c>
      <c r="M105" s="44" t="str">
        <f aca="false">IFERROR(INDEX(SENTENCES!$T$3:$T$1802,MATCH($F105,SENTENCES!$A$3:$A$1802,0)),"")</f>
        <v>• Chưa tới</v>
      </c>
    </row>
    <row r="106" customFormat="false" ht="15" hidden="false" customHeight="false" outlineLevel="0" collapsed="false">
      <c r="A106" s="31" t="n">
        <v>104</v>
      </c>
      <c r="B106" s="43" t="s">
        <v>10885</v>
      </c>
      <c r="C106" s="34" t="s">
        <v>10886</v>
      </c>
      <c r="D106" s="44" t="s">
        <v>10686</v>
      </c>
      <c r="E106" s="31"/>
      <c r="F106" s="31" t="s">
        <v>535</v>
      </c>
      <c r="G106" s="31" t="n">
        <v>4</v>
      </c>
      <c r="H106" s="31" t="s">
        <v>154</v>
      </c>
      <c r="I106" s="44" t="s">
        <v>522</v>
      </c>
      <c r="J106" s="45" t="s">
        <v>537</v>
      </c>
      <c r="K106" s="45" t="s">
        <v>539</v>
      </c>
      <c r="L106" s="31" t="n">
        <f aca="false">COUNTIF($B$3:$B$2205,$B106)</f>
        <v>2</v>
      </c>
      <c r="M106" s="44" t="str">
        <f aca="false">IFERROR(INDEX(SENTENCES!$T$3:$T$1802,MATCH($F106,SENTENCES!$A$3:$A$1802,0)),"")</f>
        <v>• Chưa tới</v>
      </c>
    </row>
    <row r="107" customFormat="false" ht="15" hidden="false" customHeight="false" outlineLevel="0" collapsed="false">
      <c r="A107" s="31" t="n">
        <v>105</v>
      </c>
      <c r="B107" s="43" t="s">
        <v>10887</v>
      </c>
      <c r="C107" s="34" t="s">
        <v>10888</v>
      </c>
      <c r="D107" s="44" t="s">
        <v>10677</v>
      </c>
      <c r="E107" s="31" t="s">
        <v>10747</v>
      </c>
      <c r="F107" s="31" t="s">
        <v>535</v>
      </c>
      <c r="G107" s="31" t="n">
        <v>4</v>
      </c>
      <c r="H107" s="31" t="s">
        <v>154</v>
      </c>
      <c r="I107" s="44" t="s">
        <v>522</v>
      </c>
      <c r="J107" s="45" t="s">
        <v>537</v>
      </c>
      <c r="K107" s="45" t="s">
        <v>539</v>
      </c>
      <c r="L107" s="31" t="n">
        <f aca="false">COUNTIF($B$3:$B$2205,$B107)</f>
        <v>1</v>
      </c>
      <c r="M107" s="44" t="str">
        <f aca="false">IFERROR(INDEX(SENTENCES!$T$3:$T$1802,MATCH($F107,SENTENCES!$A$3:$A$1802,0)),"")</f>
        <v>• Chưa tới</v>
      </c>
    </row>
    <row r="108" customFormat="false" ht="15" hidden="false" customHeight="false" outlineLevel="0" collapsed="false">
      <c r="A108" s="31" t="n">
        <v>106</v>
      </c>
      <c r="B108" s="43" t="s">
        <v>10889</v>
      </c>
      <c r="C108" s="34" t="s">
        <v>10890</v>
      </c>
      <c r="D108" s="44" t="s">
        <v>10686</v>
      </c>
      <c r="E108" s="31"/>
      <c r="F108" s="31" t="s">
        <v>541</v>
      </c>
      <c r="G108" s="31" t="n">
        <v>4</v>
      </c>
      <c r="H108" s="31" t="s">
        <v>154</v>
      </c>
      <c r="I108" s="44" t="s">
        <v>522</v>
      </c>
      <c r="J108" s="45" t="s">
        <v>543</v>
      </c>
      <c r="K108" s="45" t="s">
        <v>545</v>
      </c>
      <c r="L108" s="31" t="n">
        <f aca="false">COUNTIF($B$3:$B$2205,$B108)</f>
        <v>1</v>
      </c>
      <c r="M108" s="44" t="str">
        <f aca="false">IFERROR(INDEX(SENTENCES!$T$3:$T$1802,MATCH($F108,SENTENCES!$A$3:$A$1802,0)),"")</f>
        <v>• Chưa tới</v>
      </c>
    </row>
    <row r="109" customFormat="false" ht="15" hidden="false" customHeight="false" outlineLevel="0" collapsed="false">
      <c r="A109" s="31" t="n">
        <v>107</v>
      </c>
      <c r="B109" s="43" t="s">
        <v>10891</v>
      </c>
      <c r="C109" s="34" t="s">
        <v>10892</v>
      </c>
      <c r="D109" s="44" t="s">
        <v>10794</v>
      </c>
      <c r="E109" s="31"/>
      <c r="F109" s="31" t="s">
        <v>541</v>
      </c>
      <c r="G109" s="31" t="n">
        <v>4</v>
      </c>
      <c r="H109" s="31" t="s">
        <v>154</v>
      </c>
      <c r="I109" s="44" t="s">
        <v>522</v>
      </c>
      <c r="J109" s="45" t="s">
        <v>543</v>
      </c>
      <c r="K109" s="45" t="s">
        <v>545</v>
      </c>
      <c r="L109" s="31" t="n">
        <f aca="false">COUNTIF($B$3:$B$2205,$B109)</f>
        <v>1</v>
      </c>
      <c r="M109" s="44" t="str">
        <f aca="false">IFERROR(INDEX(SENTENCES!$T$3:$T$1802,MATCH($F109,SENTENCES!$A$3:$A$1802,0)),"")</f>
        <v>• Chưa tới</v>
      </c>
    </row>
    <row r="110" customFormat="false" ht="15" hidden="false" customHeight="false" outlineLevel="0" collapsed="false">
      <c r="A110" s="31" t="n">
        <v>108</v>
      </c>
      <c r="B110" s="43" t="s">
        <v>10893</v>
      </c>
      <c r="C110" s="34" t="s">
        <v>10894</v>
      </c>
      <c r="D110" s="44" t="s">
        <v>10681</v>
      </c>
      <c r="E110" s="31"/>
      <c r="F110" s="31" t="s">
        <v>547</v>
      </c>
      <c r="G110" s="31" t="n">
        <v>4</v>
      </c>
      <c r="H110" s="31" t="s">
        <v>154</v>
      </c>
      <c r="I110" s="44" t="s">
        <v>522</v>
      </c>
      <c r="J110" s="45" t="s">
        <v>549</v>
      </c>
      <c r="K110" s="45" t="s">
        <v>551</v>
      </c>
      <c r="L110" s="31" t="n">
        <f aca="false">COUNTIF($B$3:$B$2205,$B110)</f>
        <v>1</v>
      </c>
      <c r="M110" s="44" t="str">
        <f aca="false">IFERROR(INDEX(SENTENCES!$T$3:$T$1802,MATCH($F110,SENTENCES!$A$3:$A$1802,0)),"")</f>
        <v>• Chưa tới</v>
      </c>
    </row>
    <row r="111" customFormat="false" ht="15" hidden="false" customHeight="false" outlineLevel="0" collapsed="false">
      <c r="A111" s="31" t="n">
        <v>109</v>
      </c>
      <c r="B111" s="43" t="s">
        <v>10895</v>
      </c>
      <c r="C111" s="34" t="s">
        <v>10896</v>
      </c>
      <c r="D111" s="44" t="s">
        <v>10677</v>
      </c>
      <c r="E111" s="31" t="s">
        <v>10678</v>
      </c>
      <c r="F111" s="31" t="s">
        <v>547</v>
      </c>
      <c r="G111" s="31" t="n">
        <v>4</v>
      </c>
      <c r="H111" s="31" t="s">
        <v>154</v>
      </c>
      <c r="I111" s="44" t="s">
        <v>522</v>
      </c>
      <c r="J111" s="45" t="s">
        <v>549</v>
      </c>
      <c r="K111" s="45" t="s">
        <v>551</v>
      </c>
      <c r="L111" s="31" t="n">
        <f aca="false">COUNTIF($B$3:$B$2205,$B111)</f>
        <v>1</v>
      </c>
      <c r="M111" s="44" t="str">
        <f aca="false">IFERROR(INDEX(SENTENCES!$T$3:$T$1802,MATCH($F111,SENTENCES!$A$3:$A$1802,0)),"")</f>
        <v>• Chưa tới</v>
      </c>
    </row>
    <row r="112" customFormat="false" ht="15" hidden="false" customHeight="false" outlineLevel="0" collapsed="false">
      <c r="A112" s="31" t="n">
        <v>110</v>
      </c>
      <c r="B112" s="43" t="s">
        <v>10897</v>
      </c>
      <c r="C112" s="34" t="s">
        <v>10898</v>
      </c>
      <c r="D112" s="44" t="s">
        <v>10677</v>
      </c>
      <c r="E112" s="31" t="s">
        <v>10707</v>
      </c>
      <c r="F112" s="31" t="s">
        <v>553</v>
      </c>
      <c r="G112" s="31" t="n">
        <v>4</v>
      </c>
      <c r="H112" s="31" t="s">
        <v>154</v>
      </c>
      <c r="I112" s="44" t="s">
        <v>522</v>
      </c>
      <c r="J112" s="45" t="s">
        <v>555</v>
      </c>
      <c r="K112" s="45" t="s">
        <v>557</v>
      </c>
      <c r="L112" s="31" t="n">
        <f aca="false">COUNTIF($B$3:$B$2205,$B112)</f>
        <v>1</v>
      </c>
      <c r="M112" s="44" t="str">
        <f aca="false">IFERROR(INDEX(SENTENCES!$T$3:$T$1802,MATCH($F112,SENTENCES!$A$3:$A$1802,0)),"")</f>
        <v>• Chưa tới</v>
      </c>
    </row>
    <row r="113" customFormat="false" ht="15" hidden="false" customHeight="false" outlineLevel="0" collapsed="false">
      <c r="A113" s="31" t="n">
        <v>111</v>
      </c>
      <c r="B113" s="43" t="s">
        <v>10899</v>
      </c>
      <c r="C113" s="34" t="s">
        <v>10900</v>
      </c>
      <c r="D113" s="44" t="s">
        <v>10677</v>
      </c>
      <c r="E113" s="31" t="s">
        <v>10707</v>
      </c>
      <c r="F113" s="31" t="s">
        <v>553</v>
      </c>
      <c r="G113" s="31" t="n">
        <v>4</v>
      </c>
      <c r="H113" s="31" t="s">
        <v>154</v>
      </c>
      <c r="I113" s="44" t="s">
        <v>522</v>
      </c>
      <c r="J113" s="45" t="s">
        <v>555</v>
      </c>
      <c r="K113" s="45" t="s">
        <v>557</v>
      </c>
      <c r="L113" s="31" t="n">
        <f aca="false">COUNTIF($B$3:$B$2205,$B113)</f>
        <v>1</v>
      </c>
      <c r="M113" s="44" t="str">
        <f aca="false">IFERROR(INDEX(SENTENCES!$T$3:$T$1802,MATCH($F113,SENTENCES!$A$3:$A$1802,0)),"")</f>
        <v>• Chưa tới</v>
      </c>
    </row>
    <row r="114" customFormat="false" ht="15" hidden="false" customHeight="false" outlineLevel="0" collapsed="false">
      <c r="A114" s="31" t="n">
        <v>112</v>
      </c>
      <c r="B114" s="43" t="s">
        <v>10901</v>
      </c>
      <c r="C114" s="34" t="s">
        <v>10902</v>
      </c>
      <c r="D114" s="44" t="s">
        <v>10677</v>
      </c>
      <c r="E114" s="31" t="s">
        <v>10707</v>
      </c>
      <c r="F114" s="31" t="s">
        <v>559</v>
      </c>
      <c r="G114" s="31" t="n">
        <v>4</v>
      </c>
      <c r="H114" s="31" t="s">
        <v>154</v>
      </c>
      <c r="I114" s="44" t="s">
        <v>522</v>
      </c>
      <c r="J114" s="45" t="s">
        <v>561</v>
      </c>
      <c r="K114" s="45" t="s">
        <v>563</v>
      </c>
      <c r="L114" s="31" t="n">
        <f aca="false">COUNTIF($B$3:$B$2205,$B114)</f>
        <v>1</v>
      </c>
      <c r="M114" s="44" t="str">
        <f aca="false">IFERROR(INDEX(SENTENCES!$T$3:$T$1802,MATCH($F114,SENTENCES!$A$3:$A$1802,0)),"")</f>
        <v>• Chưa tới</v>
      </c>
    </row>
    <row r="115" customFormat="false" ht="15" hidden="false" customHeight="false" outlineLevel="0" collapsed="false">
      <c r="A115" s="31" t="n">
        <v>113</v>
      </c>
      <c r="B115" s="43" t="s">
        <v>10903</v>
      </c>
      <c r="C115" s="34" t="s">
        <v>10904</v>
      </c>
      <c r="D115" s="44" t="s">
        <v>10686</v>
      </c>
      <c r="E115" s="31"/>
      <c r="F115" s="31" t="s">
        <v>565</v>
      </c>
      <c r="G115" s="31" t="n">
        <v>4</v>
      </c>
      <c r="H115" s="31" t="s">
        <v>154</v>
      </c>
      <c r="I115" s="44" t="s">
        <v>522</v>
      </c>
      <c r="J115" s="45" t="s">
        <v>567</v>
      </c>
      <c r="K115" s="45" t="s">
        <v>569</v>
      </c>
      <c r="L115" s="31" t="n">
        <f aca="false">COUNTIF($B$3:$B$2205,$B115)</f>
        <v>1</v>
      </c>
      <c r="M115" s="44" t="str">
        <f aca="false">IFERROR(INDEX(SENTENCES!$T$3:$T$1802,MATCH($F115,SENTENCES!$A$3:$A$1802,0)),"")</f>
        <v>• Chưa tới</v>
      </c>
    </row>
    <row r="116" customFormat="false" ht="15" hidden="false" customHeight="false" outlineLevel="0" collapsed="false">
      <c r="A116" s="31" t="n">
        <v>114</v>
      </c>
      <c r="B116" s="43" t="s">
        <v>10763</v>
      </c>
      <c r="C116" s="34" t="s">
        <v>10764</v>
      </c>
      <c r="D116" s="44" t="s">
        <v>10677</v>
      </c>
      <c r="E116" s="31" t="s">
        <v>10747</v>
      </c>
      <c r="F116" s="31" t="s">
        <v>571</v>
      </c>
      <c r="G116" s="31" t="n">
        <v>4</v>
      </c>
      <c r="H116" s="31" t="s">
        <v>154</v>
      </c>
      <c r="I116" s="44" t="s">
        <v>522</v>
      </c>
      <c r="J116" s="45" t="s">
        <v>573</v>
      </c>
      <c r="K116" s="45" t="s">
        <v>575</v>
      </c>
      <c r="L116" s="31" t="n">
        <f aca="false">COUNTIF($B$3:$B$2205,$B116)</f>
        <v>2</v>
      </c>
      <c r="M116" s="44" t="str">
        <f aca="false">IFERROR(INDEX(SENTENCES!$T$3:$T$1802,MATCH($F116,SENTENCES!$A$3:$A$1802,0)),"")</f>
        <v>• Chưa tới</v>
      </c>
    </row>
    <row r="117" customFormat="false" ht="15" hidden="false" customHeight="false" outlineLevel="0" collapsed="false">
      <c r="A117" s="31" t="n">
        <v>115</v>
      </c>
      <c r="B117" s="43" t="s">
        <v>10905</v>
      </c>
      <c r="C117" s="34" t="s">
        <v>10906</v>
      </c>
      <c r="D117" s="44" t="s">
        <v>10677</v>
      </c>
      <c r="E117" s="31" t="s">
        <v>10707</v>
      </c>
      <c r="F117" s="31" t="s">
        <v>577</v>
      </c>
      <c r="G117" s="31" t="n">
        <v>4</v>
      </c>
      <c r="H117" s="31" t="s">
        <v>154</v>
      </c>
      <c r="I117" s="44" t="s">
        <v>522</v>
      </c>
      <c r="J117" s="45" t="s">
        <v>579</v>
      </c>
      <c r="K117" s="45" t="s">
        <v>581</v>
      </c>
      <c r="L117" s="31" t="n">
        <f aca="false">COUNTIF($B$3:$B$2205,$B117)</f>
        <v>1</v>
      </c>
      <c r="M117" s="44" t="str">
        <f aca="false">IFERROR(INDEX(SENTENCES!$T$3:$T$1802,MATCH($F117,SENTENCES!$A$3:$A$1802,0)),"")</f>
        <v>• Chưa tới</v>
      </c>
    </row>
    <row r="118" customFormat="false" ht="15" hidden="false" customHeight="false" outlineLevel="0" collapsed="false">
      <c r="A118" s="31" t="n">
        <v>116</v>
      </c>
      <c r="B118" s="43" t="s">
        <v>10907</v>
      </c>
      <c r="C118" s="34" t="s">
        <v>10908</v>
      </c>
      <c r="D118" s="44" t="s">
        <v>10681</v>
      </c>
      <c r="E118" s="31"/>
      <c r="F118" s="31" t="s">
        <v>577</v>
      </c>
      <c r="G118" s="31" t="n">
        <v>4</v>
      </c>
      <c r="H118" s="31" t="s">
        <v>154</v>
      </c>
      <c r="I118" s="44" t="s">
        <v>522</v>
      </c>
      <c r="J118" s="45" t="s">
        <v>579</v>
      </c>
      <c r="K118" s="45" t="s">
        <v>581</v>
      </c>
      <c r="L118" s="31" t="n">
        <f aca="false">COUNTIF($B$3:$B$2205,$B118)</f>
        <v>1</v>
      </c>
      <c r="M118" s="44" t="str">
        <f aca="false">IFERROR(INDEX(SENTENCES!$T$3:$T$1802,MATCH($F118,SENTENCES!$A$3:$A$1802,0)),"")</f>
        <v>• Chưa tới</v>
      </c>
    </row>
    <row r="119" customFormat="false" ht="15" hidden="false" customHeight="false" outlineLevel="0" collapsed="false">
      <c r="A119" s="31" t="n">
        <v>117</v>
      </c>
      <c r="B119" s="43" t="s">
        <v>10909</v>
      </c>
      <c r="C119" s="34" t="s">
        <v>10910</v>
      </c>
      <c r="D119" s="44" t="s">
        <v>10681</v>
      </c>
      <c r="E119" s="31"/>
      <c r="F119" s="31" t="s">
        <v>583</v>
      </c>
      <c r="G119" s="31" t="n">
        <v>4</v>
      </c>
      <c r="H119" s="31" t="s">
        <v>154</v>
      </c>
      <c r="I119" s="44" t="s">
        <v>522</v>
      </c>
      <c r="J119" s="45" t="s">
        <v>585</v>
      </c>
      <c r="K119" s="45" t="s">
        <v>587</v>
      </c>
      <c r="L119" s="31" t="n">
        <f aca="false">COUNTIF($B$3:$B$2205,$B119)</f>
        <v>1</v>
      </c>
      <c r="M119" s="44" t="str">
        <f aca="false">IFERROR(INDEX(SENTENCES!$T$3:$T$1802,MATCH($F119,SENTENCES!$A$3:$A$1802,0)),"")</f>
        <v>• Chưa tới</v>
      </c>
    </row>
    <row r="120" customFormat="false" ht="15" hidden="false" customHeight="false" outlineLevel="0" collapsed="false">
      <c r="A120" s="31" t="n">
        <v>118</v>
      </c>
      <c r="B120" s="43" t="s">
        <v>10911</v>
      </c>
      <c r="C120" s="34" t="s">
        <v>10912</v>
      </c>
      <c r="D120" s="44" t="s">
        <v>10677</v>
      </c>
      <c r="E120" s="31" t="s">
        <v>10707</v>
      </c>
      <c r="F120" s="31" t="s">
        <v>589</v>
      </c>
      <c r="G120" s="31" t="n">
        <v>4</v>
      </c>
      <c r="H120" s="31" t="s">
        <v>154</v>
      </c>
      <c r="I120" s="44" t="s">
        <v>522</v>
      </c>
      <c r="J120" s="45" t="s">
        <v>591</v>
      </c>
      <c r="K120" s="45" t="s">
        <v>593</v>
      </c>
      <c r="L120" s="31" t="n">
        <f aca="false">COUNTIF($B$3:$B$2205,$B120)</f>
        <v>1</v>
      </c>
      <c r="M120" s="44" t="str">
        <f aca="false">IFERROR(INDEX(SENTENCES!$T$3:$T$1802,MATCH($F120,SENTENCES!$A$3:$A$1802,0)),"")</f>
        <v>• Chưa tới</v>
      </c>
    </row>
    <row r="121" customFormat="false" ht="15" hidden="false" customHeight="false" outlineLevel="0" collapsed="false">
      <c r="A121" s="31" t="n">
        <v>119</v>
      </c>
      <c r="B121" s="43" t="s">
        <v>10913</v>
      </c>
      <c r="C121" s="34" t="s">
        <v>10914</v>
      </c>
      <c r="D121" s="44" t="s">
        <v>10681</v>
      </c>
      <c r="E121" s="31"/>
      <c r="F121" s="31" t="s">
        <v>589</v>
      </c>
      <c r="G121" s="31" t="n">
        <v>4</v>
      </c>
      <c r="H121" s="31" t="s">
        <v>154</v>
      </c>
      <c r="I121" s="44" t="s">
        <v>522</v>
      </c>
      <c r="J121" s="45" t="s">
        <v>591</v>
      </c>
      <c r="K121" s="45" t="s">
        <v>593</v>
      </c>
      <c r="L121" s="31" t="n">
        <f aca="false">COUNTIF($B$3:$B$2205,$B121)</f>
        <v>2</v>
      </c>
      <c r="M121" s="44" t="str">
        <f aca="false">IFERROR(INDEX(SENTENCES!$T$3:$T$1802,MATCH($F121,SENTENCES!$A$3:$A$1802,0)),"")</f>
        <v>• Chưa tới</v>
      </c>
    </row>
    <row r="122" customFormat="false" ht="15" hidden="false" customHeight="false" outlineLevel="0" collapsed="false">
      <c r="A122" s="31" t="n">
        <v>120</v>
      </c>
      <c r="B122" s="43" t="s">
        <v>10915</v>
      </c>
      <c r="C122" s="34" t="s">
        <v>10916</v>
      </c>
      <c r="D122" s="44" t="s">
        <v>10686</v>
      </c>
      <c r="E122" s="31"/>
      <c r="F122" s="31" t="s">
        <v>595</v>
      </c>
      <c r="G122" s="31" t="n">
        <v>4</v>
      </c>
      <c r="H122" s="31" t="s">
        <v>154</v>
      </c>
      <c r="I122" s="44" t="s">
        <v>522</v>
      </c>
      <c r="J122" s="45" t="s">
        <v>597</v>
      </c>
      <c r="K122" s="45" t="s">
        <v>599</v>
      </c>
      <c r="L122" s="31" t="n">
        <f aca="false">COUNTIF($B$3:$B$2205,$B122)</f>
        <v>3</v>
      </c>
      <c r="M122" s="44" t="str">
        <f aca="false">IFERROR(INDEX(SENTENCES!$T$3:$T$1802,MATCH($F122,SENTENCES!$A$3:$A$1802,0)),"")</f>
        <v>• Chưa tới</v>
      </c>
    </row>
    <row r="123" customFormat="false" ht="15" hidden="false" customHeight="false" outlineLevel="0" collapsed="false">
      <c r="A123" s="31" t="n">
        <v>121</v>
      </c>
      <c r="B123" s="43" t="s">
        <v>10917</v>
      </c>
      <c r="C123" s="34" t="s">
        <v>10918</v>
      </c>
      <c r="D123" s="44" t="s">
        <v>10686</v>
      </c>
      <c r="E123" s="31"/>
      <c r="F123" s="31" t="s">
        <v>601</v>
      </c>
      <c r="G123" s="31" t="n">
        <v>4</v>
      </c>
      <c r="H123" s="31" t="s">
        <v>154</v>
      </c>
      <c r="I123" s="44" t="s">
        <v>522</v>
      </c>
      <c r="J123" s="45" t="s">
        <v>603</v>
      </c>
      <c r="K123" s="45" t="s">
        <v>605</v>
      </c>
      <c r="L123" s="31" t="n">
        <f aca="false">COUNTIF($B$3:$B$2205,$B123)</f>
        <v>1</v>
      </c>
      <c r="M123" s="44" t="str">
        <f aca="false">IFERROR(INDEX(SENTENCES!$T$3:$T$1802,MATCH($F123,SENTENCES!$A$3:$A$1802,0)),"")</f>
        <v>• Chưa tới</v>
      </c>
    </row>
    <row r="124" customFormat="false" ht="15" hidden="false" customHeight="false" outlineLevel="0" collapsed="false">
      <c r="A124" s="31" t="n">
        <v>122</v>
      </c>
      <c r="B124" s="43" t="s">
        <v>10919</v>
      </c>
      <c r="C124" s="34" t="s">
        <v>10920</v>
      </c>
      <c r="D124" s="44" t="s">
        <v>10677</v>
      </c>
      <c r="E124" s="31" t="s">
        <v>10707</v>
      </c>
      <c r="F124" s="31" t="s">
        <v>601</v>
      </c>
      <c r="G124" s="31" t="n">
        <v>4</v>
      </c>
      <c r="H124" s="31" t="s">
        <v>154</v>
      </c>
      <c r="I124" s="44" t="s">
        <v>522</v>
      </c>
      <c r="J124" s="45" t="s">
        <v>603</v>
      </c>
      <c r="K124" s="45" t="s">
        <v>605</v>
      </c>
      <c r="L124" s="31" t="n">
        <f aca="false">COUNTIF($B$3:$B$2205,$B124)</f>
        <v>1</v>
      </c>
      <c r="M124" s="44" t="str">
        <f aca="false">IFERROR(INDEX(SENTENCES!$T$3:$T$1802,MATCH($F124,SENTENCES!$A$3:$A$1802,0)),"")</f>
        <v>• Chưa tới</v>
      </c>
    </row>
    <row r="125" customFormat="false" ht="15" hidden="false" customHeight="false" outlineLevel="0" collapsed="false">
      <c r="A125" s="31" t="n">
        <v>123</v>
      </c>
      <c r="B125" s="43" t="s">
        <v>10885</v>
      </c>
      <c r="C125" s="34" t="s">
        <v>10886</v>
      </c>
      <c r="D125" s="44" t="s">
        <v>10686</v>
      </c>
      <c r="E125" s="31"/>
      <c r="F125" s="31" t="s">
        <v>607</v>
      </c>
      <c r="G125" s="31" t="n">
        <v>4</v>
      </c>
      <c r="H125" s="31" t="s">
        <v>154</v>
      </c>
      <c r="I125" s="44" t="s">
        <v>522</v>
      </c>
      <c r="J125" s="45" t="s">
        <v>609</v>
      </c>
      <c r="K125" s="45" t="s">
        <v>611</v>
      </c>
      <c r="L125" s="31" t="n">
        <f aca="false">COUNTIF($B$3:$B$2205,$B125)</f>
        <v>2</v>
      </c>
      <c r="M125" s="44" t="str">
        <f aca="false">IFERROR(INDEX(SENTENCES!$T$3:$T$1802,MATCH($F125,SENTENCES!$A$3:$A$1802,0)),"")</f>
        <v>• Chưa tới</v>
      </c>
    </row>
    <row r="126" customFormat="false" ht="15" hidden="false" customHeight="false" outlineLevel="0" collapsed="false">
      <c r="A126" s="31" t="n">
        <v>124</v>
      </c>
      <c r="B126" s="43" t="s">
        <v>10921</v>
      </c>
      <c r="C126" s="34" t="s">
        <v>10922</v>
      </c>
      <c r="D126" s="44" t="s">
        <v>10677</v>
      </c>
      <c r="E126" s="31" t="s">
        <v>10678</v>
      </c>
      <c r="F126" s="31" t="s">
        <v>613</v>
      </c>
      <c r="G126" s="31" t="n">
        <v>4</v>
      </c>
      <c r="H126" s="31" t="s">
        <v>154</v>
      </c>
      <c r="I126" s="44" t="s">
        <v>522</v>
      </c>
      <c r="J126" s="45" t="s">
        <v>615</v>
      </c>
      <c r="K126" s="45" t="s">
        <v>617</v>
      </c>
      <c r="L126" s="31" t="n">
        <f aca="false">COUNTIF($B$3:$B$2205,$B126)</f>
        <v>2</v>
      </c>
      <c r="M126" s="44" t="str">
        <f aca="false">IFERROR(INDEX(SENTENCES!$T$3:$T$1802,MATCH($F126,SENTENCES!$A$3:$A$1802,0)),"")</f>
        <v>• Chưa tới</v>
      </c>
    </row>
    <row r="127" customFormat="false" ht="15" hidden="false" customHeight="false" outlineLevel="0" collapsed="false">
      <c r="A127" s="31" t="n">
        <v>125</v>
      </c>
      <c r="B127" s="43" t="s">
        <v>10923</v>
      </c>
      <c r="C127" s="34" t="s">
        <v>10924</v>
      </c>
      <c r="D127" s="44" t="s">
        <v>10677</v>
      </c>
      <c r="E127" s="31" t="s">
        <v>10678</v>
      </c>
      <c r="F127" s="31" t="s">
        <v>613</v>
      </c>
      <c r="G127" s="31" t="n">
        <v>4</v>
      </c>
      <c r="H127" s="31" t="s">
        <v>154</v>
      </c>
      <c r="I127" s="44" t="s">
        <v>522</v>
      </c>
      <c r="J127" s="45" t="s">
        <v>615</v>
      </c>
      <c r="K127" s="45" t="s">
        <v>617</v>
      </c>
      <c r="L127" s="31" t="n">
        <f aca="false">COUNTIF($B$3:$B$2205,$B127)</f>
        <v>1</v>
      </c>
      <c r="M127" s="44" t="str">
        <f aca="false">IFERROR(INDEX(SENTENCES!$T$3:$T$1802,MATCH($F127,SENTENCES!$A$3:$A$1802,0)),"")</f>
        <v>• Chưa tới</v>
      </c>
    </row>
    <row r="128" customFormat="false" ht="15" hidden="false" customHeight="false" outlineLevel="0" collapsed="false">
      <c r="A128" s="31" t="n">
        <v>126</v>
      </c>
      <c r="B128" s="43" t="s">
        <v>10925</v>
      </c>
      <c r="C128" s="34" t="s">
        <v>10926</v>
      </c>
      <c r="D128" s="44" t="s">
        <v>10681</v>
      </c>
      <c r="E128" s="31"/>
      <c r="F128" s="31" t="s">
        <v>619</v>
      </c>
      <c r="G128" s="31" t="n">
        <v>4</v>
      </c>
      <c r="H128" s="31" t="s">
        <v>154</v>
      </c>
      <c r="I128" s="44" t="s">
        <v>522</v>
      </c>
      <c r="J128" s="45" t="s">
        <v>621</v>
      </c>
      <c r="K128" s="45" t="s">
        <v>623</v>
      </c>
      <c r="L128" s="31" t="n">
        <f aca="false">COUNTIF($B$3:$B$2205,$B128)</f>
        <v>2</v>
      </c>
      <c r="M128" s="44" t="str">
        <f aca="false">IFERROR(INDEX(SENTENCES!$T$3:$T$1802,MATCH($F128,SENTENCES!$A$3:$A$1802,0)),"")</f>
        <v>• Chưa tới</v>
      </c>
    </row>
    <row r="129" customFormat="false" ht="15" hidden="false" customHeight="false" outlineLevel="0" collapsed="false">
      <c r="A129" s="31" t="n">
        <v>127</v>
      </c>
      <c r="B129" s="43" t="s">
        <v>10927</v>
      </c>
      <c r="C129" s="34" t="s">
        <v>10928</v>
      </c>
      <c r="D129" s="44" t="s">
        <v>10681</v>
      </c>
      <c r="E129" s="31"/>
      <c r="F129" s="31" t="s">
        <v>625</v>
      </c>
      <c r="G129" s="31" t="n">
        <v>4</v>
      </c>
      <c r="H129" s="31" t="s">
        <v>154</v>
      </c>
      <c r="I129" s="44" t="s">
        <v>522</v>
      </c>
      <c r="J129" s="45" t="s">
        <v>627</v>
      </c>
      <c r="K129" s="45" t="s">
        <v>629</v>
      </c>
      <c r="L129" s="31" t="n">
        <f aca="false">COUNTIF($B$3:$B$2205,$B129)</f>
        <v>1</v>
      </c>
      <c r="M129" s="44" t="str">
        <f aca="false">IFERROR(INDEX(SENTENCES!$T$3:$T$1802,MATCH($F129,SENTENCES!$A$3:$A$1802,0)),"")</f>
        <v>• Chưa tới</v>
      </c>
    </row>
    <row r="130" customFormat="false" ht="15" hidden="false" customHeight="false" outlineLevel="0" collapsed="false">
      <c r="A130" s="31" t="n">
        <v>128</v>
      </c>
      <c r="B130" s="43" t="s">
        <v>10929</v>
      </c>
      <c r="C130" s="34" t="s">
        <v>10930</v>
      </c>
      <c r="D130" s="44" t="s">
        <v>10677</v>
      </c>
      <c r="E130" s="31" t="s">
        <v>10678</v>
      </c>
      <c r="F130" s="31" t="s">
        <v>631</v>
      </c>
      <c r="G130" s="31" t="n">
        <v>4</v>
      </c>
      <c r="H130" s="31" t="s">
        <v>154</v>
      </c>
      <c r="I130" s="44" t="s">
        <v>522</v>
      </c>
      <c r="J130" s="45" t="s">
        <v>633</v>
      </c>
      <c r="K130" s="45" t="s">
        <v>635</v>
      </c>
      <c r="L130" s="31" t="n">
        <f aca="false">COUNTIF($B$3:$B$2205,$B130)</f>
        <v>1</v>
      </c>
      <c r="M130" s="44" t="str">
        <f aca="false">IFERROR(INDEX(SENTENCES!$T$3:$T$1802,MATCH($F130,SENTENCES!$A$3:$A$1802,0)),"")</f>
        <v>• Chưa tới</v>
      </c>
    </row>
    <row r="131" customFormat="false" ht="15" hidden="false" customHeight="false" outlineLevel="0" collapsed="false">
      <c r="A131" s="31" t="n">
        <v>129</v>
      </c>
      <c r="B131" s="43" t="s">
        <v>10931</v>
      </c>
      <c r="C131" s="34" t="s">
        <v>10932</v>
      </c>
      <c r="D131" s="44" t="s">
        <v>10686</v>
      </c>
      <c r="E131" s="31"/>
      <c r="F131" s="31" t="s">
        <v>631</v>
      </c>
      <c r="G131" s="31" t="n">
        <v>4</v>
      </c>
      <c r="H131" s="31" t="s">
        <v>154</v>
      </c>
      <c r="I131" s="44" t="s">
        <v>522</v>
      </c>
      <c r="J131" s="45" t="s">
        <v>633</v>
      </c>
      <c r="K131" s="45" t="s">
        <v>635</v>
      </c>
      <c r="L131" s="31" t="n">
        <f aca="false">COUNTIF($B$3:$B$2205,$B131)</f>
        <v>1</v>
      </c>
      <c r="M131" s="44" t="str">
        <f aca="false">IFERROR(INDEX(SENTENCES!$T$3:$T$1802,MATCH($F131,SENTENCES!$A$3:$A$1802,0)),"")</f>
        <v>• Chưa tới</v>
      </c>
    </row>
    <row r="132" customFormat="false" ht="15" hidden="false" customHeight="false" outlineLevel="0" collapsed="false">
      <c r="A132" s="31" t="n">
        <v>130</v>
      </c>
      <c r="B132" s="43" t="s">
        <v>10933</v>
      </c>
      <c r="C132" s="34" t="s">
        <v>10934</v>
      </c>
      <c r="D132" s="44" t="s">
        <v>10677</v>
      </c>
      <c r="E132" s="31" t="s">
        <v>10707</v>
      </c>
      <c r="F132" s="31" t="s">
        <v>631</v>
      </c>
      <c r="G132" s="31" t="n">
        <v>4</v>
      </c>
      <c r="H132" s="31" t="s">
        <v>154</v>
      </c>
      <c r="I132" s="44" t="s">
        <v>522</v>
      </c>
      <c r="J132" s="45" t="s">
        <v>633</v>
      </c>
      <c r="K132" s="45" t="s">
        <v>635</v>
      </c>
      <c r="L132" s="31" t="n">
        <f aca="false">COUNTIF($B$3:$B$2205,$B132)</f>
        <v>2</v>
      </c>
      <c r="M132" s="44" t="str">
        <f aca="false">IFERROR(INDEX(SENTENCES!$T$3:$T$1802,MATCH($F132,SENTENCES!$A$3:$A$1802,0)),"")</f>
        <v>• Chưa tới</v>
      </c>
    </row>
    <row r="133" customFormat="false" ht="15" hidden="false" customHeight="false" outlineLevel="0" collapsed="false">
      <c r="A133" s="31" t="n">
        <v>131</v>
      </c>
      <c r="B133" s="43" t="s">
        <v>10935</v>
      </c>
      <c r="C133" s="34" t="s">
        <v>10936</v>
      </c>
      <c r="D133" s="44" t="s">
        <v>10681</v>
      </c>
      <c r="E133" s="31"/>
      <c r="F133" s="31" t="s">
        <v>637</v>
      </c>
      <c r="G133" s="31" t="n">
        <v>4</v>
      </c>
      <c r="H133" s="31" t="s">
        <v>154</v>
      </c>
      <c r="I133" s="44" t="s">
        <v>522</v>
      </c>
      <c r="J133" s="45" t="s">
        <v>639</v>
      </c>
      <c r="K133" s="45" t="s">
        <v>641</v>
      </c>
      <c r="L133" s="31" t="n">
        <f aca="false">COUNTIF($B$3:$B$2205,$B133)</f>
        <v>1</v>
      </c>
      <c r="M133" s="44" t="str">
        <f aca="false">IFERROR(INDEX(SENTENCES!$T$3:$T$1802,MATCH($F133,SENTENCES!$A$3:$A$1802,0)),"")</f>
        <v>• Chưa tới</v>
      </c>
    </row>
    <row r="134" customFormat="false" ht="15" hidden="false" customHeight="false" outlineLevel="0" collapsed="false">
      <c r="A134" s="31" t="n">
        <v>132</v>
      </c>
      <c r="B134" s="43" t="s">
        <v>10937</v>
      </c>
      <c r="C134" s="34" t="s">
        <v>10938</v>
      </c>
      <c r="D134" s="44" t="s">
        <v>10681</v>
      </c>
      <c r="E134" s="31"/>
      <c r="F134" s="31" t="s">
        <v>637</v>
      </c>
      <c r="G134" s="31" t="n">
        <v>4</v>
      </c>
      <c r="H134" s="31" t="s">
        <v>154</v>
      </c>
      <c r="I134" s="44" t="s">
        <v>522</v>
      </c>
      <c r="J134" s="45" t="s">
        <v>639</v>
      </c>
      <c r="K134" s="45" t="s">
        <v>641</v>
      </c>
      <c r="L134" s="31" t="n">
        <f aca="false">COUNTIF($B$3:$B$2205,$B134)</f>
        <v>1</v>
      </c>
      <c r="M134" s="44" t="str">
        <f aca="false">IFERROR(INDEX(SENTENCES!$T$3:$T$1802,MATCH($F134,SENTENCES!$A$3:$A$1802,0)),"")</f>
        <v>• Chưa tới</v>
      </c>
    </row>
    <row r="135" customFormat="false" ht="15" hidden="false" customHeight="false" outlineLevel="0" collapsed="false">
      <c r="A135" s="31" t="n">
        <v>133</v>
      </c>
      <c r="B135" s="43" t="s">
        <v>10939</v>
      </c>
      <c r="C135" s="34" t="s">
        <v>10940</v>
      </c>
      <c r="D135" s="44" t="s">
        <v>10681</v>
      </c>
      <c r="E135" s="31"/>
      <c r="F135" s="31" t="s">
        <v>643</v>
      </c>
      <c r="G135" s="31" t="n">
        <v>5</v>
      </c>
      <c r="H135" s="31" t="s">
        <v>154</v>
      </c>
      <c r="I135" s="44" t="s">
        <v>644</v>
      </c>
      <c r="J135" s="45" t="s">
        <v>646</v>
      </c>
      <c r="K135" s="45" t="s">
        <v>648</v>
      </c>
      <c r="L135" s="31" t="n">
        <f aca="false">COUNTIF($B$3:$B$2205,$B135)</f>
        <v>1</v>
      </c>
      <c r="M135" s="44" t="str">
        <f aca="false">IFERROR(INDEX(SENTENCES!$T$3:$T$1802,MATCH($F135,SENTENCES!$A$3:$A$1802,0)),"")</f>
        <v>• Chưa tới</v>
      </c>
    </row>
    <row r="136" customFormat="false" ht="15" hidden="false" customHeight="false" outlineLevel="0" collapsed="false">
      <c r="A136" s="31" t="n">
        <v>134</v>
      </c>
      <c r="B136" s="43" t="s">
        <v>10941</v>
      </c>
      <c r="C136" s="34" t="s">
        <v>10942</v>
      </c>
      <c r="D136" s="44" t="s">
        <v>10681</v>
      </c>
      <c r="E136" s="31"/>
      <c r="F136" s="31" t="s">
        <v>650</v>
      </c>
      <c r="G136" s="31" t="n">
        <v>5</v>
      </c>
      <c r="H136" s="31" t="s">
        <v>154</v>
      </c>
      <c r="I136" s="44" t="s">
        <v>644</v>
      </c>
      <c r="J136" s="45" t="s">
        <v>652</v>
      </c>
      <c r="K136" s="45" t="s">
        <v>654</v>
      </c>
      <c r="L136" s="31" t="n">
        <f aca="false">COUNTIF($B$3:$B$2205,$B136)</f>
        <v>1</v>
      </c>
      <c r="M136" s="44" t="str">
        <f aca="false">IFERROR(INDEX(SENTENCES!$T$3:$T$1802,MATCH($F136,SENTENCES!$A$3:$A$1802,0)),"")</f>
        <v>• Chưa tới</v>
      </c>
    </row>
    <row r="137" customFormat="false" ht="15" hidden="false" customHeight="false" outlineLevel="0" collapsed="false">
      <c r="A137" s="31" t="n">
        <v>135</v>
      </c>
      <c r="B137" s="43" t="s">
        <v>10943</v>
      </c>
      <c r="C137" s="34" t="s">
        <v>10944</v>
      </c>
      <c r="D137" s="44" t="s">
        <v>10677</v>
      </c>
      <c r="E137" s="31" t="s">
        <v>10678</v>
      </c>
      <c r="F137" s="31" t="s">
        <v>656</v>
      </c>
      <c r="G137" s="31" t="n">
        <v>5</v>
      </c>
      <c r="H137" s="31" t="s">
        <v>154</v>
      </c>
      <c r="I137" s="44" t="s">
        <v>644</v>
      </c>
      <c r="J137" s="45" t="s">
        <v>658</v>
      </c>
      <c r="K137" s="45" t="s">
        <v>660</v>
      </c>
      <c r="L137" s="31" t="n">
        <f aca="false">COUNTIF($B$3:$B$2205,$B137)</f>
        <v>1</v>
      </c>
      <c r="M137" s="44" t="str">
        <f aca="false">IFERROR(INDEX(SENTENCES!$T$3:$T$1802,MATCH($F137,SENTENCES!$A$3:$A$1802,0)),"")</f>
        <v>• Chưa tới</v>
      </c>
    </row>
    <row r="138" customFormat="false" ht="15" hidden="false" customHeight="false" outlineLevel="0" collapsed="false">
      <c r="A138" s="31" t="n">
        <v>136</v>
      </c>
      <c r="B138" s="43" t="s">
        <v>10945</v>
      </c>
      <c r="C138" s="34" t="s">
        <v>10946</v>
      </c>
      <c r="D138" s="44" t="s">
        <v>10681</v>
      </c>
      <c r="E138" s="31"/>
      <c r="F138" s="31" t="s">
        <v>662</v>
      </c>
      <c r="G138" s="31" t="n">
        <v>5</v>
      </c>
      <c r="H138" s="31" t="s">
        <v>154</v>
      </c>
      <c r="I138" s="44" t="s">
        <v>644</v>
      </c>
      <c r="J138" s="45" t="s">
        <v>664</v>
      </c>
      <c r="K138" s="45" t="s">
        <v>666</v>
      </c>
      <c r="L138" s="31" t="n">
        <f aca="false">COUNTIF($B$3:$B$2205,$B138)</f>
        <v>1</v>
      </c>
      <c r="M138" s="44" t="str">
        <f aca="false">IFERROR(INDEX(SENTENCES!$T$3:$T$1802,MATCH($F138,SENTENCES!$A$3:$A$1802,0)),"")</f>
        <v>• Chưa tới</v>
      </c>
    </row>
    <row r="139" customFormat="false" ht="15" hidden="false" customHeight="false" outlineLevel="0" collapsed="false">
      <c r="A139" s="31" t="n">
        <v>137</v>
      </c>
      <c r="B139" s="43" t="s">
        <v>10947</v>
      </c>
      <c r="C139" s="34" t="s">
        <v>10948</v>
      </c>
      <c r="D139" s="44" t="s">
        <v>10681</v>
      </c>
      <c r="E139" s="31"/>
      <c r="F139" s="31" t="s">
        <v>662</v>
      </c>
      <c r="G139" s="31" t="n">
        <v>5</v>
      </c>
      <c r="H139" s="31" t="s">
        <v>154</v>
      </c>
      <c r="I139" s="44" t="s">
        <v>644</v>
      </c>
      <c r="J139" s="45" t="s">
        <v>664</v>
      </c>
      <c r="K139" s="45" t="s">
        <v>666</v>
      </c>
      <c r="L139" s="31" t="n">
        <f aca="false">COUNTIF($B$3:$B$2205,$B139)</f>
        <v>1</v>
      </c>
      <c r="M139" s="44" t="str">
        <f aca="false">IFERROR(INDEX(SENTENCES!$T$3:$T$1802,MATCH($F139,SENTENCES!$A$3:$A$1802,0)),"")</f>
        <v>• Chưa tới</v>
      </c>
    </row>
    <row r="140" customFormat="false" ht="15" hidden="false" customHeight="false" outlineLevel="0" collapsed="false">
      <c r="A140" s="31" t="n">
        <v>138</v>
      </c>
      <c r="B140" s="43" t="s">
        <v>10949</v>
      </c>
      <c r="C140" s="34" t="s">
        <v>10950</v>
      </c>
      <c r="D140" s="44" t="s">
        <v>10794</v>
      </c>
      <c r="E140" s="31"/>
      <c r="F140" s="31" t="s">
        <v>668</v>
      </c>
      <c r="G140" s="31" t="n">
        <v>5</v>
      </c>
      <c r="H140" s="31" t="s">
        <v>154</v>
      </c>
      <c r="I140" s="44" t="s">
        <v>644</v>
      </c>
      <c r="J140" s="45" t="s">
        <v>670</v>
      </c>
      <c r="K140" s="45" t="s">
        <v>672</v>
      </c>
      <c r="L140" s="31" t="n">
        <f aca="false">COUNTIF($B$3:$B$2205,$B140)</f>
        <v>1</v>
      </c>
      <c r="M140" s="44" t="str">
        <f aca="false">IFERROR(INDEX(SENTENCES!$T$3:$T$1802,MATCH($F140,SENTENCES!$A$3:$A$1802,0)),"")</f>
        <v>• Chưa tới</v>
      </c>
    </row>
    <row r="141" customFormat="false" ht="15" hidden="false" customHeight="false" outlineLevel="0" collapsed="false">
      <c r="A141" s="31" t="n">
        <v>139</v>
      </c>
      <c r="B141" s="43" t="s">
        <v>10951</v>
      </c>
      <c r="C141" s="34" t="s">
        <v>10952</v>
      </c>
      <c r="D141" s="44" t="s">
        <v>10681</v>
      </c>
      <c r="E141" s="31"/>
      <c r="F141" s="31" t="s">
        <v>674</v>
      </c>
      <c r="G141" s="31" t="n">
        <v>5</v>
      </c>
      <c r="H141" s="31" t="s">
        <v>154</v>
      </c>
      <c r="I141" s="44" t="s">
        <v>644</v>
      </c>
      <c r="J141" s="45" t="s">
        <v>676</v>
      </c>
      <c r="K141" s="45" t="s">
        <v>678</v>
      </c>
      <c r="L141" s="31" t="n">
        <f aca="false">COUNTIF($B$3:$B$2205,$B141)</f>
        <v>2</v>
      </c>
      <c r="M141" s="44" t="str">
        <f aca="false">IFERROR(INDEX(SENTENCES!$T$3:$T$1802,MATCH($F141,SENTENCES!$A$3:$A$1802,0)),"")</f>
        <v>• Chưa tới</v>
      </c>
    </row>
    <row r="142" customFormat="false" ht="15" hidden="false" customHeight="false" outlineLevel="0" collapsed="false">
      <c r="A142" s="31" t="n">
        <v>140</v>
      </c>
      <c r="B142" s="43" t="s">
        <v>10953</v>
      </c>
      <c r="C142" s="34" t="s">
        <v>10954</v>
      </c>
      <c r="D142" s="44" t="s">
        <v>10681</v>
      </c>
      <c r="E142" s="31"/>
      <c r="F142" s="31" t="s">
        <v>680</v>
      </c>
      <c r="G142" s="31" t="n">
        <v>5</v>
      </c>
      <c r="H142" s="31" t="s">
        <v>154</v>
      </c>
      <c r="I142" s="44" t="s">
        <v>644</v>
      </c>
      <c r="J142" s="45" t="s">
        <v>682</v>
      </c>
      <c r="K142" s="45" t="s">
        <v>684</v>
      </c>
      <c r="L142" s="31" t="n">
        <f aca="false">COUNTIF($B$3:$B$2205,$B142)</f>
        <v>1</v>
      </c>
      <c r="M142" s="44" t="str">
        <f aca="false">IFERROR(INDEX(SENTENCES!$T$3:$T$1802,MATCH($F142,SENTENCES!$A$3:$A$1802,0)),"")</f>
        <v>• Chưa tới</v>
      </c>
    </row>
    <row r="143" customFormat="false" ht="15" hidden="false" customHeight="false" outlineLevel="0" collapsed="false">
      <c r="A143" s="31" t="n">
        <v>141</v>
      </c>
      <c r="B143" s="43" t="s">
        <v>10955</v>
      </c>
      <c r="C143" s="34" t="s">
        <v>10956</v>
      </c>
      <c r="D143" s="44" t="s">
        <v>10681</v>
      </c>
      <c r="E143" s="31"/>
      <c r="F143" s="31" t="s">
        <v>686</v>
      </c>
      <c r="G143" s="31" t="n">
        <v>5</v>
      </c>
      <c r="H143" s="31" t="s">
        <v>154</v>
      </c>
      <c r="I143" s="44" t="s">
        <v>644</v>
      </c>
      <c r="J143" s="45" t="s">
        <v>688</v>
      </c>
      <c r="K143" s="45" t="s">
        <v>690</v>
      </c>
      <c r="L143" s="31" t="n">
        <f aca="false">COUNTIF($B$3:$B$2205,$B143)</f>
        <v>1</v>
      </c>
      <c r="M143" s="44" t="str">
        <f aca="false">IFERROR(INDEX(SENTENCES!$T$3:$T$1802,MATCH($F143,SENTENCES!$A$3:$A$1802,0)),"")</f>
        <v>• Chưa tới</v>
      </c>
    </row>
    <row r="144" customFormat="false" ht="15" hidden="false" customHeight="false" outlineLevel="0" collapsed="false">
      <c r="A144" s="31" t="n">
        <v>142</v>
      </c>
      <c r="B144" s="43" t="s">
        <v>10957</v>
      </c>
      <c r="C144" s="34" t="s">
        <v>10958</v>
      </c>
      <c r="D144" s="44" t="s">
        <v>10677</v>
      </c>
      <c r="E144" s="31" t="s">
        <v>10707</v>
      </c>
      <c r="F144" s="31" t="s">
        <v>692</v>
      </c>
      <c r="G144" s="31" t="n">
        <v>5</v>
      </c>
      <c r="H144" s="31" t="s">
        <v>154</v>
      </c>
      <c r="I144" s="44" t="s">
        <v>644</v>
      </c>
      <c r="J144" s="45" t="s">
        <v>694</v>
      </c>
      <c r="K144" s="45" t="s">
        <v>696</v>
      </c>
      <c r="L144" s="31" t="n">
        <f aca="false">COUNTIF($B$3:$B$2205,$B144)</f>
        <v>1</v>
      </c>
      <c r="M144" s="44" t="str">
        <f aca="false">IFERROR(INDEX(SENTENCES!$T$3:$T$1802,MATCH($F144,SENTENCES!$A$3:$A$1802,0)),"")</f>
        <v>• Chưa tới</v>
      </c>
    </row>
    <row r="145" customFormat="false" ht="15" hidden="false" customHeight="false" outlineLevel="0" collapsed="false">
      <c r="A145" s="31" t="n">
        <v>143</v>
      </c>
      <c r="B145" s="43" t="s">
        <v>10959</v>
      </c>
      <c r="C145" s="34" t="s">
        <v>10960</v>
      </c>
      <c r="D145" s="44" t="s">
        <v>10677</v>
      </c>
      <c r="E145" s="31" t="s">
        <v>10678</v>
      </c>
      <c r="F145" s="31" t="s">
        <v>698</v>
      </c>
      <c r="G145" s="31" t="n">
        <v>5</v>
      </c>
      <c r="H145" s="31" t="s">
        <v>154</v>
      </c>
      <c r="I145" s="44" t="s">
        <v>644</v>
      </c>
      <c r="J145" s="45" t="s">
        <v>700</v>
      </c>
      <c r="K145" s="45" t="s">
        <v>702</v>
      </c>
      <c r="L145" s="31" t="n">
        <f aca="false">COUNTIF($B$3:$B$2205,$B145)</f>
        <v>2</v>
      </c>
      <c r="M145" s="44" t="str">
        <f aca="false">IFERROR(INDEX(SENTENCES!$T$3:$T$1802,MATCH($F145,SENTENCES!$A$3:$A$1802,0)),"")</f>
        <v>• Chưa tới</v>
      </c>
    </row>
    <row r="146" customFormat="false" ht="15" hidden="false" customHeight="false" outlineLevel="0" collapsed="false">
      <c r="A146" s="31" t="n">
        <v>144</v>
      </c>
      <c r="B146" s="43" t="s">
        <v>10961</v>
      </c>
      <c r="C146" s="34" t="s">
        <v>10962</v>
      </c>
      <c r="D146" s="44" t="s">
        <v>10677</v>
      </c>
      <c r="E146" s="31" t="s">
        <v>10678</v>
      </c>
      <c r="F146" s="31" t="s">
        <v>704</v>
      </c>
      <c r="G146" s="31" t="n">
        <v>5</v>
      </c>
      <c r="H146" s="31" t="s">
        <v>154</v>
      </c>
      <c r="I146" s="44" t="s">
        <v>644</v>
      </c>
      <c r="J146" s="45" t="s">
        <v>706</v>
      </c>
      <c r="K146" s="45" t="s">
        <v>708</v>
      </c>
      <c r="L146" s="31" t="n">
        <f aca="false">COUNTIF($B$3:$B$2205,$B146)</f>
        <v>1</v>
      </c>
      <c r="M146" s="44" t="str">
        <f aca="false">IFERROR(INDEX(SENTENCES!$T$3:$T$1802,MATCH($F146,SENTENCES!$A$3:$A$1802,0)),"")</f>
        <v>• Chưa tới</v>
      </c>
    </row>
    <row r="147" customFormat="false" ht="15" hidden="false" customHeight="false" outlineLevel="0" collapsed="false">
      <c r="A147" s="31" t="n">
        <v>145</v>
      </c>
      <c r="B147" s="43" t="s">
        <v>10963</v>
      </c>
      <c r="C147" s="34" t="s">
        <v>10964</v>
      </c>
      <c r="D147" s="44" t="s">
        <v>10681</v>
      </c>
      <c r="E147" s="31"/>
      <c r="F147" s="31" t="s">
        <v>704</v>
      </c>
      <c r="G147" s="31" t="n">
        <v>5</v>
      </c>
      <c r="H147" s="31" t="s">
        <v>154</v>
      </c>
      <c r="I147" s="44" t="s">
        <v>644</v>
      </c>
      <c r="J147" s="45" t="s">
        <v>706</v>
      </c>
      <c r="K147" s="45" t="s">
        <v>708</v>
      </c>
      <c r="L147" s="31" t="n">
        <f aca="false">COUNTIF($B$3:$B$2205,$B147)</f>
        <v>1</v>
      </c>
      <c r="M147" s="44" t="str">
        <f aca="false">IFERROR(INDEX(SENTENCES!$T$3:$T$1802,MATCH($F147,SENTENCES!$A$3:$A$1802,0)),"")</f>
        <v>• Chưa tới</v>
      </c>
    </row>
    <row r="148" customFormat="false" ht="15" hidden="false" customHeight="false" outlineLevel="0" collapsed="false">
      <c r="A148" s="31" t="n">
        <v>146</v>
      </c>
      <c r="B148" s="43" t="s">
        <v>10965</v>
      </c>
      <c r="C148" s="34" t="s">
        <v>10788</v>
      </c>
      <c r="D148" s="44" t="s">
        <v>10681</v>
      </c>
      <c r="E148" s="31"/>
      <c r="F148" s="31" t="s">
        <v>710</v>
      </c>
      <c r="G148" s="31" t="n">
        <v>5</v>
      </c>
      <c r="H148" s="31" t="s">
        <v>154</v>
      </c>
      <c r="I148" s="44" t="s">
        <v>644</v>
      </c>
      <c r="J148" s="45" t="s">
        <v>712</v>
      </c>
      <c r="K148" s="45" t="s">
        <v>714</v>
      </c>
      <c r="L148" s="31" t="n">
        <f aca="false">COUNTIF($B$3:$B$2205,$B148)</f>
        <v>1</v>
      </c>
      <c r="M148" s="44" t="str">
        <f aca="false">IFERROR(INDEX(SENTENCES!$T$3:$T$1802,MATCH($F148,SENTENCES!$A$3:$A$1802,0)),"")</f>
        <v>• Chưa tới</v>
      </c>
    </row>
    <row r="149" customFormat="false" ht="15" hidden="false" customHeight="false" outlineLevel="0" collapsed="false">
      <c r="A149" s="31" t="n">
        <v>147</v>
      </c>
      <c r="B149" s="43" t="s">
        <v>10966</v>
      </c>
      <c r="C149" s="34" t="s">
        <v>10967</v>
      </c>
      <c r="D149" s="44" t="s">
        <v>10677</v>
      </c>
      <c r="E149" s="31" t="s">
        <v>10678</v>
      </c>
      <c r="F149" s="31" t="s">
        <v>716</v>
      </c>
      <c r="G149" s="31" t="n">
        <v>5</v>
      </c>
      <c r="H149" s="31" t="s">
        <v>154</v>
      </c>
      <c r="I149" s="44" t="s">
        <v>644</v>
      </c>
      <c r="J149" s="45" t="s">
        <v>718</v>
      </c>
      <c r="K149" s="45" t="s">
        <v>720</v>
      </c>
      <c r="L149" s="31" t="n">
        <f aca="false">COUNTIF($B$3:$B$2205,$B149)</f>
        <v>1</v>
      </c>
      <c r="M149" s="44" t="str">
        <f aca="false">IFERROR(INDEX(SENTENCES!$T$3:$T$1802,MATCH($F149,SENTENCES!$A$3:$A$1802,0)),"")</f>
        <v>• Chưa tới</v>
      </c>
    </row>
    <row r="150" customFormat="false" ht="15" hidden="false" customHeight="false" outlineLevel="0" collapsed="false">
      <c r="A150" s="31" t="n">
        <v>148</v>
      </c>
      <c r="B150" s="43" t="s">
        <v>10968</v>
      </c>
      <c r="C150" s="34" t="s">
        <v>10969</v>
      </c>
      <c r="D150" s="44" t="s">
        <v>10677</v>
      </c>
      <c r="E150" s="31" t="s">
        <v>10678</v>
      </c>
      <c r="F150" s="31" t="s">
        <v>722</v>
      </c>
      <c r="G150" s="31" t="n">
        <v>5</v>
      </c>
      <c r="H150" s="31" t="s">
        <v>154</v>
      </c>
      <c r="I150" s="44" t="s">
        <v>644</v>
      </c>
      <c r="J150" s="45" t="s">
        <v>724</v>
      </c>
      <c r="K150" s="45" t="s">
        <v>726</v>
      </c>
      <c r="L150" s="31" t="n">
        <f aca="false">COUNTIF($B$3:$B$2205,$B150)</f>
        <v>1</v>
      </c>
      <c r="M150" s="44" t="str">
        <f aca="false">IFERROR(INDEX(SENTENCES!$T$3:$T$1802,MATCH($F150,SENTENCES!$A$3:$A$1802,0)),"")</f>
        <v>• Chưa tới</v>
      </c>
    </row>
    <row r="151" customFormat="false" ht="15" hidden="false" customHeight="false" outlineLevel="0" collapsed="false">
      <c r="A151" s="31" t="n">
        <v>149</v>
      </c>
      <c r="B151" s="43" t="s">
        <v>10970</v>
      </c>
      <c r="C151" s="34" t="s">
        <v>10971</v>
      </c>
      <c r="D151" s="44" t="s">
        <v>10677</v>
      </c>
      <c r="E151" s="31" t="s">
        <v>10707</v>
      </c>
      <c r="F151" s="31" t="s">
        <v>728</v>
      </c>
      <c r="G151" s="31" t="n">
        <v>5</v>
      </c>
      <c r="H151" s="31" t="s">
        <v>154</v>
      </c>
      <c r="I151" s="44" t="s">
        <v>644</v>
      </c>
      <c r="J151" s="45" t="s">
        <v>730</v>
      </c>
      <c r="K151" s="45" t="s">
        <v>732</v>
      </c>
      <c r="L151" s="31" t="n">
        <f aca="false">COUNTIF($B$3:$B$2205,$B151)</f>
        <v>1</v>
      </c>
      <c r="M151" s="44" t="str">
        <f aca="false">IFERROR(INDEX(SENTENCES!$T$3:$T$1802,MATCH($F151,SENTENCES!$A$3:$A$1802,0)),"")</f>
        <v>• Chưa tới</v>
      </c>
    </row>
    <row r="152" customFormat="false" ht="15" hidden="false" customHeight="false" outlineLevel="0" collapsed="false">
      <c r="A152" s="31" t="n">
        <v>150</v>
      </c>
      <c r="B152" s="43" t="s">
        <v>10972</v>
      </c>
      <c r="C152" s="34" t="s">
        <v>10973</v>
      </c>
      <c r="D152" s="44" t="s">
        <v>10677</v>
      </c>
      <c r="E152" s="31" t="s">
        <v>10678</v>
      </c>
      <c r="F152" s="31" t="s">
        <v>728</v>
      </c>
      <c r="G152" s="31" t="n">
        <v>5</v>
      </c>
      <c r="H152" s="31" t="s">
        <v>154</v>
      </c>
      <c r="I152" s="44" t="s">
        <v>644</v>
      </c>
      <c r="J152" s="45" t="s">
        <v>730</v>
      </c>
      <c r="K152" s="45" t="s">
        <v>732</v>
      </c>
      <c r="L152" s="31" t="n">
        <f aca="false">COUNTIF($B$3:$B$2205,$B152)</f>
        <v>1</v>
      </c>
      <c r="M152" s="44" t="str">
        <f aca="false">IFERROR(INDEX(SENTENCES!$T$3:$T$1802,MATCH($F152,SENTENCES!$A$3:$A$1802,0)),"")</f>
        <v>• Chưa tới</v>
      </c>
    </row>
    <row r="153" customFormat="false" ht="15" hidden="false" customHeight="false" outlineLevel="0" collapsed="false">
      <c r="A153" s="31" t="n">
        <v>151</v>
      </c>
      <c r="B153" s="43" t="s">
        <v>10974</v>
      </c>
      <c r="C153" s="34" t="s">
        <v>10975</v>
      </c>
      <c r="D153" s="44" t="s">
        <v>10681</v>
      </c>
      <c r="E153" s="31"/>
      <c r="F153" s="31" t="s">
        <v>734</v>
      </c>
      <c r="G153" s="31" t="n">
        <v>5</v>
      </c>
      <c r="H153" s="31" t="s">
        <v>154</v>
      </c>
      <c r="I153" s="44" t="s">
        <v>644</v>
      </c>
      <c r="J153" s="45" t="s">
        <v>736</v>
      </c>
      <c r="K153" s="45" t="s">
        <v>738</v>
      </c>
      <c r="L153" s="31" t="n">
        <f aca="false">COUNTIF($B$3:$B$2205,$B153)</f>
        <v>3</v>
      </c>
      <c r="M153" s="44" t="str">
        <f aca="false">IFERROR(INDEX(SENTENCES!$T$3:$T$1802,MATCH($F153,SENTENCES!$A$3:$A$1802,0)),"")</f>
        <v>• Chưa tới</v>
      </c>
    </row>
    <row r="154" customFormat="false" ht="15" hidden="false" customHeight="false" outlineLevel="0" collapsed="false">
      <c r="A154" s="31" t="n">
        <v>152</v>
      </c>
      <c r="B154" s="43" t="s">
        <v>10976</v>
      </c>
      <c r="C154" s="34" t="s">
        <v>10977</v>
      </c>
      <c r="D154" s="44" t="s">
        <v>10681</v>
      </c>
      <c r="E154" s="31"/>
      <c r="F154" s="31" t="s">
        <v>740</v>
      </c>
      <c r="G154" s="31" t="n">
        <v>5</v>
      </c>
      <c r="H154" s="31" t="s">
        <v>154</v>
      </c>
      <c r="I154" s="44" t="s">
        <v>644</v>
      </c>
      <c r="J154" s="45" t="s">
        <v>742</v>
      </c>
      <c r="K154" s="45" t="s">
        <v>744</v>
      </c>
      <c r="L154" s="31" t="n">
        <f aca="false">COUNTIF($B$3:$B$2205,$B154)</f>
        <v>2</v>
      </c>
      <c r="M154" s="44" t="str">
        <f aca="false">IFERROR(INDEX(SENTENCES!$T$3:$T$1802,MATCH($F154,SENTENCES!$A$3:$A$1802,0)),"")</f>
        <v>• Chưa tới</v>
      </c>
    </row>
    <row r="155" customFormat="false" ht="15" hidden="false" customHeight="false" outlineLevel="0" collapsed="false">
      <c r="A155" s="31" t="n">
        <v>153</v>
      </c>
      <c r="B155" s="43" t="s">
        <v>10978</v>
      </c>
      <c r="C155" s="34" t="s">
        <v>10979</v>
      </c>
      <c r="D155" s="44" t="s">
        <v>10686</v>
      </c>
      <c r="E155" s="31"/>
      <c r="F155" s="31" t="s">
        <v>740</v>
      </c>
      <c r="G155" s="31" t="n">
        <v>5</v>
      </c>
      <c r="H155" s="31" t="s">
        <v>154</v>
      </c>
      <c r="I155" s="44" t="s">
        <v>644</v>
      </c>
      <c r="J155" s="45" t="s">
        <v>742</v>
      </c>
      <c r="K155" s="45" t="s">
        <v>744</v>
      </c>
      <c r="L155" s="31" t="n">
        <f aca="false">COUNTIF($B$3:$B$2205,$B155)</f>
        <v>3</v>
      </c>
      <c r="M155" s="44" t="str">
        <f aca="false">IFERROR(INDEX(SENTENCES!$T$3:$T$1802,MATCH($F155,SENTENCES!$A$3:$A$1802,0)),"")</f>
        <v>• Chưa tới</v>
      </c>
    </row>
    <row r="156" customFormat="false" ht="15" hidden="false" customHeight="false" outlineLevel="0" collapsed="false">
      <c r="A156" s="31" t="n">
        <v>154</v>
      </c>
      <c r="B156" s="43" t="s">
        <v>10980</v>
      </c>
      <c r="C156" s="34" t="s">
        <v>10981</v>
      </c>
      <c r="D156" s="44" t="s">
        <v>10677</v>
      </c>
      <c r="E156" s="31" t="s">
        <v>10707</v>
      </c>
      <c r="F156" s="31" t="s">
        <v>746</v>
      </c>
      <c r="G156" s="31" t="n">
        <v>5</v>
      </c>
      <c r="H156" s="31" t="s">
        <v>154</v>
      </c>
      <c r="I156" s="44" t="s">
        <v>644</v>
      </c>
      <c r="J156" s="45" t="s">
        <v>748</v>
      </c>
      <c r="K156" s="45" t="s">
        <v>750</v>
      </c>
      <c r="L156" s="31" t="n">
        <f aca="false">COUNTIF($B$3:$B$2205,$B156)</f>
        <v>2</v>
      </c>
      <c r="M156" s="44" t="str">
        <f aca="false">IFERROR(INDEX(SENTENCES!$T$3:$T$1802,MATCH($F156,SENTENCES!$A$3:$A$1802,0)),"")</f>
        <v>• Chưa tới</v>
      </c>
    </row>
    <row r="157" customFormat="false" ht="15" hidden="false" customHeight="false" outlineLevel="0" collapsed="false">
      <c r="A157" s="31" t="n">
        <v>155</v>
      </c>
      <c r="B157" s="43" t="s">
        <v>10982</v>
      </c>
      <c r="C157" s="34" t="s">
        <v>10983</v>
      </c>
      <c r="D157" s="44" t="s">
        <v>10681</v>
      </c>
      <c r="E157" s="31"/>
      <c r="F157" s="31" t="s">
        <v>752</v>
      </c>
      <c r="G157" s="31" t="n">
        <v>5</v>
      </c>
      <c r="H157" s="31" t="s">
        <v>154</v>
      </c>
      <c r="I157" s="44" t="s">
        <v>644</v>
      </c>
      <c r="J157" s="45" t="s">
        <v>754</v>
      </c>
      <c r="K157" s="45" t="s">
        <v>756</v>
      </c>
      <c r="L157" s="31" t="n">
        <f aca="false">COUNTIF($B$3:$B$2205,$B157)</f>
        <v>1</v>
      </c>
      <c r="M157" s="44" t="str">
        <f aca="false">IFERROR(INDEX(SENTENCES!$T$3:$T$1802,MATCH($F157,SENTENCES!$A$3:$A$1802,0)),"")</f>
        <v>• Chưa tới</v>
      </c>
    </row>
    <row r="158" customFormat="false" ht="15" hidden="false" customHeight="false" outlineLevel="0" collapsed="false">
      <c r="A158" s="31" t="n">
        <v>156</v>
      </c>
      <c r="B158" s="43" t="s">
        <v>10984</v>
      </c>
      <c r="C158" s="34" t="s">
        <v>10985</v>
      </c>
      <c r="D158" s="44" t="s">
        <v>10794</v>
      </c>
      <c r="E158" s="31"/>
      <c r="F158" s="31" t="s">
        <v>758</v>
      </c>
      <c r="G158" s="31" t="n">
        <v>5</v>
      </c>
      <c r="H158" s="31" t="s">
        <v>154</v>
      </c>
      <c r="I158" s="44" t="s">
        <v>644</v>
      </c>
      <c r="J158" s="45" t="s">
        <v>760</v>
      </c>
      <c r="K158" s="45" t="s">
        <v>762</v>
      </c>
      <c r="L158" s="31" t="n">
        <f aca="false">COUNTIF($B$3:$B$2205,$B158)</f>
        <v>2</v>
      </c>
      <c r="M158" s="44" t="str">
        <f aca="false">IFERROR(INDEX(SENTENCES!$T$3:$T$1802,MATCH($F158,SENTENCES!$A$3:$A$1802,0)),"")</f>
        <v>• Chưa tới</v>
      </c>
    </row>
    <row r="159" customFormat="false" ht="15" hidden="false" customHeight="false" outlineLevel="0" collapsed="false">
      <c r="A159" s="31" t="n">
        <v>157</v>
      </c>
      <c r="B159" s="43" t="s">
        <v>10986</v>
      </c>
      <c r="C159" s="34" t="s">
        <v>10987</v>
      </c>
      <c r="D159" s="44" t="s">
        <v>10677</v>
      </c>
      <c r="E159" s="31" t="s">
        <v>10707</v>
      </c>
      <c r="F159" s="31" t="s">
        <v>764</v>
      </c>
      <c r="G159" s="31" t="n">
        <v>6</v>
      </c>
      <c r="H159" s="31" t="s">
        <v>154</v>
      </c>
      <c r="I159" s="44" t="s">
        <v>765</v>
      </c>
      <c r="J159" s="45" t="s">
        <v>766</v>
      </c>
      <c r="K159" s="45" t="s">
        <v>768</v>
      </c>
      <c r="L159" s="31" t="n">
        <f aca="false">COUNTIF($B$3:$B$2205,$B159)</f>
        <v>1</v>
      </c>
      <c r="M159" s="44" t="str">
        <f aca="false">IFERROR(INDEX(SENTENCES!$T$3:$T$1802,MATCH($F159,SENTENCES!$A$3:$A$1802,0)),"")</f>
        <v>• Chưa tới</v>
      </c>
    </row>
    <row r="160" customFormat="false" ht="15" hidden="false" customHeight="false" outlineLevel="0" collapsed="false">
      <c r="A160" s="31" t="n">
        <v>158</v>
      </c>
      <c r="B160" s="43" t="s">
        <v>10988</v>
      </c>
      <c r="C160" s="34" t="s">
        <v>10989</v>
      </c>
      <c r="D160" s="44" t="s">
        <v>10681</v>
      </c>
      <c r="E160" s="31"/>
      <c r="F160" s="31" t="s">
        <v>770</v>
      </c>
      <c r="G160" s="31" t="n">
        <v>6</v>
      </c>
      <c r="H160" s="31" t="s">
        <v>154</v>
      </c>
      <c r="I160" s="44" t="s">
        <v>765</v>
      </c>
      <c r="J160" s="45" t="s">
        <v>772</v>
      </c>
      <c r="K160" s="45" t="s">
        <v>774</v>
      </c>
      <c r="L160" s="31" t="n">
        <f aca="false">COUNTIF($B$3:$B$2205,$B160)</f>
        <v>1</v>
      </c>
      <c r="M160" s="44" t="str">
        <f aca="false">IFERROR(INDEX(SENTENCES!$T$3:$T$1802,MATCH($F160,SENTENCES!$A$3:$A$1802,0)),"")</f>
        <v>• Chưa tới</v>
      </c>
    </row>
    <row r="161" customFormat="false" ht="15" hidden="false" customHeight="false" outlineLevel="0" collapsed="false">
      <c r="A161" s="31" t="n">
        <v>159</v>
      </c>
      <c r="B161" s="43" t="s">
        <v>10990</v>
      </c>
      <c r="C161" s="34" t="s">
        <v>10991</v>
      </c>
      <c r="D161" s="44" t="s">
        <v>10677</v>
      </c>
      <c r="E161" s="31" t="s">
        <v>10707</v>
      </c>
      <c r="F161" s="31" t="s">
        <v>776</v>
      </c>
      <c r="G161" s="31" t="n">
        <v>6</v>
      </c>
      <c r="H161" s="31" t="s">
        <v>154</v>
      </c>
      <c r="I161" s="44" t="s">
        <v>765</v>
      </c>
      <c r="J161" s="45" t="s">
        <v>778</v>
      </c>
      <c r="K161" s="45" t="s">
        <v>780</v>
      </c>
      <c r="L161" s="31" t="n">
        <f aca="false">COUNTIF($B$3:$B$2205,$B161)</f>
        <v>1</v>
      </c>
      <c r="M161" s="44" t="str">
        <f aca="false">IFERROR(INDEX(SENTENCES!$T$3:$T$1802,MATCH($F161,SENTENCES!$A$3:$A$1802,0)),"")</f>
        <v>• Chưa tới</v>
      </c>
    </row>
    <row r="162" customFormat="false" ht="15" hidden="false" customHeight="false" outlineLevel="0" collapsed="false">
      <c r="A162" s="31" t="n">
        <v>160</v>
      </c>
      <c r="B162" s="43" t="s">
        <v>10992</v>
      </c>
      <c r="C162" s="34" t="s">
        <v>10993</v>
      </c>
      <c r="D162" s="44" t="s">
        <v>10686</v>
      </c>
      <c r="E162" s="31"/>
      <c r="F162" s="31" t="s">
        <v>776</v>
      </c>
      <c r="G162" s="31" t="n">
        <v>6</v>
      </c>
      <c r="H162" s="31" t="s">
        <v>154</v>
      </c>
      <c r="I162" s="44" t="s">
        <v>765</v>
      </c>
      <c r="J162" s="45" t="s">
        <v>778</v>
      </c>
      <c r="K162" s="45" t="s">
        <v>780</v>
      </c>
      <c r="L162" s="31" t="n">
        <f aca="false">COUNTIF($B$3:$B$2205,$B162)</f>
        <v>2</v>
      </c>
      <c r="M162" s="44" t="str">
        <f aca="false">IFERROR(INDEX(SENTENCES!$T$3:$T$1802,MATCH($F162,SENTENCES!$A$3:$A$1802,0)),"")</f>
        <v>• Chưa tới</v>
      </c>
    </row>
    <row r="163" customFormat="false" ht="15" hidden="false" customHeight="false" outlineLevel="0" collapsed="false">
      <c r="A163" s="31" t="n">
        <v>161</v>
      </c>
      <c r="B163" s="43" t="s">
        <v>10994</v>
      </c>
      <c r="C163" s="34" t="s">
        <v>10995</v>
      </c>
      <c r="D163" s="44" t="s">
        <v>10677</v>
      </c>
      <c r="E163" s="31" t="s">
        <v>10678</v>
      </c>
      <c r="F163" s="31" t="s">
        <v>782</v>
      </c>
      <c r="G163" s="31" t="n">
        <v>6</v>
      </c>
      <c r="H163" s="31" t="s">
        <v>154</v>
      </c>
      <c r="I163" s="44" t="s">
        <v>765</v>
      </c>
      <c r="J163" s="45" t="s">
        <v>784</v>
      </c>
      <c r="K163" s="45" t="s">
        <v>786</v>
      </c>
      <c r="L163" s="31" t="n">
        <f aca="false">COUNTIF($B$3:$B$2205,$B163)</f>
        <v>2</v>
      </c>
      <c r="M163" s="44" t="str">
        <f aca="false">IFERROR(INDEX(SENTENCES!$T$3:$T$1802,MATCH($F163,SENTENCES!$A$3:$A$1802,0)),"")</f>
        <v>• Chưa tới</v>
      </c>
    </row>
    <row r="164" customFormat="false" ht="15" hidden="false" customHeight="false" outlineLevel="0" collapsed="false">
      <c r="A164" s="31" t="n">
        <v>162</v>
      </c>
      <c r="B164" s="43" t="s">
        <v>10996</v>
      </c>
      <c r="C164" s="34" t="s">
        <v>10997</v>
      </c>
      <c r="D164" s="44" t="s">
        <v>10681</v>
      </c>
      <c r="E164" s="31"/>
      <c r="F164" s="31" t="s">
        <v>782</v>
      </c>
      <c r="G164" s="31" t="n">
        <v>6</v>
      </c>
      <c r="H164" s="31" t="s">
        <v>154</v>
      </c>
      <c r="I164" s="44" t="s">
        <v>765</v>
      </c>
      <c r="J164" s="45" t="s">
        <v>784</v>
      </c>
      <c r="K164" s="45" t="s">
        <v>786</v>
      </c>
      <c r="L164" s="31" t="n">
        <f aca="false">COUNTIF($B$3:$B$2205,$B164)</f>
        <v>2</v>
      </c>
      <c r="M164" s="44" t="str">
        <f aca="false">IFERROR(INDEX(SENTENCES!$T$3:$T$1802,MATCH($F164,SENTENCES!$A$3:$A$1802,0)),"")</f>
        <v>• Chưa tới</v>
      </c>
    </row>
    <row r="165" customFormat="false" ht="15" hidden="false" customHeight="false" outlineLevel="0" collapsed="false">
      <c r="A165" s="31" t="n">
        <v>163</v>
      </c>
      <c r="B165" s="43" t="s">
        <v>10998</v>
      </c>
      <c r="C165" s="34" t="s">
        <v>10999</v>
      </c>
      <c r="D165" s="44" t="s">
        <v>10677</v>
      </c>
      <c r="E165" s="31" t="s">
        <v>10707</v>
      </c>
      <c r="F165" s="31" t="s">
        <v>788</v>
      </c>
      <c r="G165" s="31" t="n">
        <v>6</v>
      </c>
      <c r="H165" s="31" t="s">
        <v>154</v>
      </c>
      <c r="I165" s="44" t="s">
        <v>765</v>
      </c>
      <c r="J165" s="45" t="s">
        <v>790</v>
      </c>
      <c r="K165" s="45" t="s">
        <v>792</v>
      </c>
      <c r="L165" s="31" t="n">
        <f aca="false">COUNTIF($B$3:$B$2205,$B165)</f>
        <v>1</v>
      </c>
      <c r="M165" s="44" t="str">
        <f aca="false">IFERROR(INDEX(SENTENCES!$T$3:$T$1802,MATCH($F165,SENTENCES!$A$3:$A$1802,0)),"")</f>
        <v>• Chưa tới</v>
      </c>
    </row>
    <row r="166" customFormat="false" ht="15" hidden="false" customHeight="false" outlineLevel="0" collapsed="false">
      <c r="A166" s="31" t="n">
        <v>164</v>
      </c>
      <c r="B166" s="43" t="s">
        <v>11000</v>
      </c>
      <c r="C166" s="34" t="s">
        <v>11001</v>
      </c>
      <c r="D166" s="44" t="s">
        <v>10677</v>
      </c>
      <c r="E166" s="31" t="s">
        <v>10707</v>
      </c>
      <c r="F166" s="31" t="s">
        <v>788</v>
      </c>
      <c r="G166" s="31" t="n">
        <v>6</v>
      </c>
      <c r="H166" s="31" t="s">
        <v>154</v>
      </c>
      <c r="I166" s="44" t="s">
        <v>765</v>
      </c>
      <c r="J166" s="45" t="s">
        <v>790</v>
      </c>
      <c r="K166" s="45" t="s">
        <v>792</v>
      </c>
      <c r="L166" s="31" t="n">
        <f aca="false">COUNTIF($B$3:$B$2205,$B166)</f>
        <v>1</v>
      </c>
      <c r="M166" s="44" t="str">
        <f aca="false">IFERROR(INDEX(SENTENCES!$T$3:$T$1802,MATCH($F166,SENTENCES!$A$3:$A$1802,0)),"")</f>
        <v>• Chưa tới</v>
      </c>
    </row>
    <row r="167" customFormat="false" ht="15" hidden="false" customHeight="false" outlineLevel="0" collapsed="false">
      <c r="A167" s="31" t="n">
        <v>165</v>
      </c>
      <c r="B167" s="43" t="s">
        <v>11002</v>
      </c>
      <c r="C167" s="34" t="s">
        <v>11003</v>
      </c>
      <c r="D167" s="44" t="s">
        <v>10677</v>
      </c>
      <c r="E167" s="31" t="s">
        <v>10707</v>
      </c>
      <c r="F167" s="31" t="s">
        <v>794</v>
      </c>
      <c r="G167" s="31" t="n">
        <v>6</v>
      </c>
      <c r="H167" s="31" t="s">
        <v>154</v>
      </c>
      <c r="I167" s="44" t="s">
        <v>765</v>
      </c>
      <c r="J167" s="45" t="s">
        <v>796</v>
      </c>
      <c r="K167" s="45" t="s">
        <v>798</v>
      </c>
      <c r="L167" s="31" t="n">
        <f aca="false">COUNTIF($B$3:$B$2205,$B167)</f>
        <v>1</v>
      </c>
      <c r="M167" s="44" t="str">
        <f aca="false">IFERROR(INDEX(SENTENCES!$T$3:$T$1802,MATCH($F167,SENTENCES!$A$3:$A$1802,0)),"")</f>
        <v>• Chưa tới</v>
      </c>
    </row>
    <row r="168" customFormat="false" ht="15" hidden="false" customHeight="false" outlineLevel="0" collapsed="false">
      <c r="A168" s="31" t="n">
        <v>166</v>
      </c>
      <c r="B168" s="43" t="s">
        <v>11004</v>
      </c>
      <c r="C168" s="34" t="s">
        <v>11005</v>
      </c>
      <c r="D168" s="44" t="s">
        <v>10677</v>
      </c>
      <c r="E168" s="31" t="s">
        <v>10747</v>
      </c>
      <c r="F168" s="31" t="s">
        <v>800</v>
      </c>
      <c r="G168" s="31" t="n">
        <v>6</v>
      </c>
      <c r="H168" s="31" t="s">
        <v>154</v>
      </c>
      <c r="I168" s="44" t="s">
        <v>765</v>
      </c>
      <c r="J168" s="45" t="s">
        <v>802</v>
      </c>
      <c r="K168" s="45" t="s">
        <v>804</v>
      </c>
      <c r="L168" s="31" t="n">
        <f aca="false">COUNTIF($B$3:$B$2205,$B168)</f>
        <v>1</v>
      </c>
      <c r="M168" s="44" t="str">
        <f aca="false">IFERROR(INDEX(SENTENCES!$T$3:$T$1802,MATCH($F168,SENTENCES!$A$3:$A$1802,0)),"")</f>
        <v>• Chưa tới</v>
      </c>
    </row>
    <row r="169" customFormat="false" ht="15" hidden="false" customHeight="false" outlineLevel="0" collapsed="false">
      <c r="A169" s="31" t="n">
        <v>167</v>
      </c>
      <c r="B169" s="43" t="s">
        <v>11006</v>
      </c>
      <c r="C169" s="34" t="s">
        <v>11007</v>
      </c>
      <c r="D169" s="44" t="s">
        <v>10677</v>
      </c>
      <c r="E169" s="31" t="s">
        <v>10707</v>
      </c>
      <c r="F169" s="31" t="s">
        <v>806</v>
      </c>
      <c r="G169" s="31" t="n">
        <v>6</v>
      </c>
      <c r="H169" s="31" t="s">
        <v>154</v>
      </c>
      <c r="I169" s="44" t="s">
        <v>765</v>
      </c>
      <c r="J169" s="45" t="s">
        <v>808</v>
      </c>
      <c r="K169" s="45" t="s">
        <v>810</v>
      </c>
      <c r="L169" s="31" t="n">
        <f aca="false">COUNTIF($B$3:$B$2205,$B169)</f>
        <v>1</v>
      </c>
      <c r="M169" s="44" t="str">
        <f aca="false">IFERROR(INDEX(SENTENCES!$T$3:$T$1802,MATCH($F169,SENTENCES!$A$3:$A$1802,0)),"")</f>
        <v>• Chưa tới</v>
      </c>
    </row>
    <row r="170" customFormat="false" ht="15" hidden="false" customHeight="false" outlineLevel="0" collapsed="false">
      <c r="A170" s="31" t="n">
        <v>168</v>
      </c>
      <c r="B170" s="43" t="s">
        <v>11008</v>
      </c>
      <c r="C170" s="34" t="s">
        <v>11009</v>
      </c>
      <c r="D170" s="44" t="s">
        <v>10677</v>
      </c>
      <c r="E170" s="31" t="s">
        <v>10747</v>
      </c>
      <c r="F170" s="31" t="s">
        <v>806</v>
      </c>
      <c r="G170" s="31" t="n">
        <v>6</v>
      </c>
      <c r="H170" s="31" t="s">
        <v>154</v>
      </c>
      <c r="I170" s="44" t="s">
        <v>765</v>
      </c>
      <c r="J170" s="45" t="s">
        <v>808</v>
      </c>
      <c r="K170" s="45" t="s">
        <v>810</v>
      </c>
      <c r="L170" s="31" t="n">
        <f aca="false">COUNTIF($B$3:$B$2205,$B170)</f>
        <v>2</v>
      </c>
      <c r="M170" s="44" t="str">
        <f aca="false">IFERROR(INDEX(SENTENCES!$T$3:$T$1802,MATCH($F170,SENTENCES!$A$3:$A$1802,0)),"")</f>
        <v>• Chưa tới</v>
      </c>
    </row>
    <row r="171" customFormat="false" ht="15" hidden="false" customHeight="false" outlineLevel="0" collapsed="false">
      <c r="A171" s="31" t="n">
        <v>169</v>
      </c>
      <c r="B171" s="43" t="s">
        <v>11010</v>
      </c>
      <c r="C171" s="34" t="s">
        <v>11011</v>
      </c>
      <c r="D171" s="44" t="s">
        <v>10677</v>
      </c>
      <c r="E171" s="31" t="s">
        <v>10678</v>
      </c>
      <c r="F171" s="31" t="s">
        <v>812</v>
      </c>
      <c r="G171" s="31" t="n">
        <v>6</v>
      </c>
      <c r="H171" s="31" t="s">
        <v>154</v>
      </c>
      <c r="I171" s="44" t="s">
        <v>765</v>
      </c>
      <c r="J171" s="45" t="s">
        <v>814</v>
      </c>
      <c r="K171" s="45" t="s">
        <v>816</v>
      </c>
      <c r="L171" s="31" t="n">
        <f aca="false">COUNTIF($B$3:$B$2205,$B171)</f>
        <v>1</v>
      </c>
      <c r="M171" s="44" t="str">
        <f aca="false">IFERROR(INDEX(SENTENCES!$T$3:$T$1802,MATCH($F171,SENTENCES!$A$3:$A$1802,0)),"")</f>
        <v>• Chưa tới</v>
      </c>
    </row>
    <row r="172" customFormat="false" ht="15" hidden="false" customHeight="false" outlineLevel="0" collapsed="false">
      <c r="A172" s="31" t="n">
        <v>170</v>
      </c>
      <c r="B172" s="43" t="s">
        <v>11012</v>
      </c>
      <c r="C172" s="34" t="s">
        <v>11013</v>
      </c>
      <c r="D172" s="44" t="s">
        <v>10677</v>
      </c>
      <c r="E172" s="31" t="s">
        <v>10678</v>
      </c>
      <c r="F172" s="31" t="s">
        <v>812</v>
      </c>
      <c r="G172" s="31" t="n">
        <v>6</v>
      </c>
      <c r="H172" s="31" t="s">
        <v>154</v>
      </c>
      <c r="I172" s="44" t="s">
        <v>765</v>
      </c>
      <c r="J172" s="45" t="s">
        <v>814</v>
      </c>
      <c r="K172" s="45" t="s">
        <v>816</v>
      </c>
      <c r="L172" s="31" t="n">
        <f aca="false">COUNTIF($B$3:$B$2205,$B172)</f>
        <v>1</v>
      </c>
      <c r="M172" s="44" t="str">
        <f aca="false">IFERROR(INDEX(SENTENCES!$T$3:$T$1802,MATCH($F172,SENTENCES!$A$3:$A$1802,0)),"")</f>
        <v>• Chưa tới</v>
      </c>
    </row>
    <row r="173" customFormat="false" ht="15" hidden="false" customHeight="false" outlineLevel="0" collapsed="false">
      <c r="A173" s="31" t="n">
        <v>171</v>
      </c>
      <c r="B173" s="43" t="s">
        <v>11014</v>
      </c>
      <c r="C173" s="34" t="s">
        <v>11015</v>
      </c>
      <c r="D173" s="44" t="s">
        <v>10677</v>
      </c>
      <c r="E173" s="31" t="s">
        <v>10707</v>
      </c>
      <c r="F173" s="31" t="s">
        <v>818</v>
      </c>
      <c r="G173" s="31" t="n">
        <v>6</v>
      </c>
      <c r="H173" s="31" t="s">
        <v>154</v>
      </c>
      <c r="I173" s="44" t="s">
        <v>765</v>
      </c>
      <c r="J173" s="45" t="s">
        <v>820</v>
      </c>
      <c r="K173" s="45" t="s">
        <v>822</v>
      </c>
      <c r="L173" s="31" t="n">
        <f aca="false">COUNTIF($B$3:$B$2205,$B173)</f>
        <v>1</v>
      </c>
      <c r="M173" s="44" t="str">
        <f aca="false">IFERROR(INDEX(SENTENCES!$T$3:$T$1802,MATCH($F173,SENTENCES!$A$3:$A$1802,0)),"")</f>
        <v>• Chưa tới</v>
      </c>
    </row>
    <row r="174" customFormat="false" ht="15" hidden="false" customHeight="false" outlineLevel="0" collapsed="false">
      <c r="A174" s="31" t="n">
        <v>172</v>
      </c>
      <c r="B174" s="43" t="s">
        <v>11016</v>
      </c>
      <c r="C174" s="34" t="s">
        <v>11017</v>
      </c>
      <c r="D174" s="44" t="s">
        <v>10686</v>
      </c>
      <c r="E174" s="31"/>
      <c r="F174" s="31" t="s">
        <v>824</v>
      </c>
      <c r="G174" s="31" t="n">
        <v>6</v>
      </c>
      <c r="H174" s="31" t="s">
        <v>154</v>
      </c>
      <c r="I174" s="44" t="s">
        <v>765</v>
      </c>
      <c r="J174" s="45" t="s">
        <v>826</v>
      </c>
      <c r="K174" s="45" t="s">
        <v>828</v>
      </c>
      <c r="L174" s="31" t="n">
        <f aca="false">COUNTIF($B$3:$B$2205,$B174)</f>
        <v>3</v>
      </c>
      <c r="M174" s="44" t="str">
        <f aca="false">IFERROR(INDEX(SENTENCES!$T$3:$T$1802,MATCH($F174,SENTENCES!$A$3:$A$1802,0)),"")</f>
        <v>• Chưa tới</v>
      </c>
    </row>
    <row r="175" customFormat="false" ht="15" hidden="false" customHeight="false" outlineLevel="0" collapsed="false">
      <c r="A175" s="31" t="n">
        <v>173</v>
      </c>
      <c r="B175" s="43" t="s">
        <v>11018</v>
      </c>
      <c r="C175" s="34" t="s">
        <v>11019</v>
      </c>
      <c r="D175" s="44" t="s">
        <v>10677</v>
      </c>
      <c r="E175" s="31" t="s">
        <v>10707</v>
      </c>
      <c r="F175" s="31" t="s">
        <v>824</v>
      </c>
      <c r="G175" s="31" t="n">
        <v>6</v>
      </c>
      <c r="H175" s="31" t="s">
        <v>154</v>
      </c>
      <c r="I175" s="44" t="s">
        <v>765</v>
      </c>
      <c r="J175" s="45" t="s">
        <v>826</v>
      </c>
      <c r="K175" s="45" t="s">
        <v>828</v>
      </c>
      <c r="L175" s="31" t="n">
        <f aca="false">COUNTIF($B$3:$B$2205,$B175)</f>
        <v>2</v>
      </c>
      <c r="M175" s="44" t="str">
        <f aca="false">IFERROR(INDEX(SENTENCES!$T$3:$T$1802,MATCH($F175,SENTENCES!$A$3:$A$1802,0)),"")</f>
        <v>• Chưa tới</v>
      </c>
    </row>
    <row r="176" customFormat="false" ht="15" hidden="false" customHeight="false" outlineLevel="0" collapsed="false">
      <c r="A176" s="31" t="n">
        <v>174</v>
      </c>
      <c r="B176" s="43" t="s">
        <v>11020</v>
      </c>
      <c r="C176" s="34" t="s">
        <v>11021</v>
      </c>
      <c r="D176" s="44" t="s">
        <v>10681</v>
      </c>
      <c r="E176" s="31"/>
      <c r="F176" s="31" t="s">
        <v>824</v>
      </c>
      <c r="G176" s="31" t="n">
        <v>6</v>
      </c>
      <c r="H176" s="31" t="s">
        <v>154</v>
      </c>
      <c r="I176" s="44" t="s">
        <v>765</v>
      </c>
      <c r="J176" s="45" t="s">
        <v>826</v>
      </c>
      <c r="K176" s="45" t="s">
        <v>828</v>
      </c>
      <c r="L176" s="31" t="n">
        <f aca="false">COUNTIF($B$3:$B$2205,$B176)</f>
        <v>1</v>
      </c>
      <c r="M176" s="44" t="str">
        <f aca="false">IFERROR(INDEX(SENTENCES!$T$3:$T$1802,MATCH($F176,SENTENCES!$A$3:$A$1802,0)),"")</f>
        <v>• Chưa tới</v>
      </c>
    </row>
    <row r="177" customFormat="false" ht="15" hidden="false" customHeight="false" outlineLevel="0" collapsed="false">
      <c r="A177" s="31" t="n">
        <v>175</v>
      </c>
      <c r="B177" s="43" t="s">
        <v>11022</v>
      </c>
      <c r="C177" s="34" t="s">
        <v>11023</v>
      </c>
      <c r="D177" s="44" t="s">
        <v>10677</v>
      </c>
      <c r="E177" s="31" t="s">
        <v>10678</v>
      </c>
      <c r="F177" s="31" t="s">
        <v>830</v>
      </c>
      <c r="G177" s="31" t="n">
        <v>6</v>
      </c>
      <c r="H177" s="31" t="s">
        <v>154</v>
      </c>
      <c r="I177" s="44" t="s">
        <v>765</v>
      </c>
      <c r="J177" s="45" t="s">
        <v>832</v>
      </c>
      <c r="K177" s="45" t="s">
        <v>834</v>
      </c>
      <c r="L177" s="31" t="n">
        <f aca="false">COUNTIF($B$3:$B$2205,$B177)</f>
        <v>1</v>
      </c>
      <c r="M177" s="44" t="str">
        <f aca="false">IFERROR(INDEX(SENTENCES!$T$3:$T$1802,MATCH($F177,SENTENCES!$A$3:$A$1802,0)),"")</f>
        <v>• Chưa tới</v>
      </c>
    </row>
    <row r="178" customFormat="false" ht="15" hidden="false" customHeight="false" outlineLevel="0" collapsed="false">
      <c r="A178" s="31" t="n">
        <v>176</v>
      </c>
      <c r="B178" s="43" t="s">
        <v>11024</v>
      </c>
      <c r="C178" s="34" t="s">
        <v>11025</v>
      </c>
      <c r="D178" s="44" t="s">
        <v>10686</v>
      </c>
      <c r="E178" s="31"/>
      <c r="F178" s="31" t="s">
        <v>830</v>
      </c>
      <c r="G178" s="31" t="n">
        <v>6</v>
      </c>
      <c r="H178" s="31" t="s">
        <v>154</v>
      </c>
      <c r="I178" s="44" t="s">
        <v>765</v>
      </c>
      <c r="J178" s="45" t="s">
        <v>832</v>
      </c>
      <c r="K178" s="45" t="s">
        <v>834</v>
      </c>
      <c r="L178" s="31" t="n">
        <f aca="false">COUNTIF($B$3:$B$2205,$B178)</f>
        <v>1</v>
      </c>
      <c r="M178" s="44" t="str">
        <f aca="false">IFERROR(INDEX(SENTENCES!$T$3:$T$1802,MATCH($F178,SENTENCES!$A$3:$A$1802,0)),"")</f>
        <v>• Chưa tới</v>
      </c>
    </row>
    <row r="179" customFormat="false" ht="15" hidden="false" customHeight="false" outlineLevel="0" collapsed="false">
      <c r="A179" s="31" t="n">
        <v>177</v>
      </c>
      <c r="B179" s="43" t="s">
        <v>11026</v>
      </c>
      <c r="C179" s="34" t="s">
        <v>11027</v>
      </c>
      <c r="D179" s="44" t="s">
        <v>10677</v>
      </c>
      <c r="E179" s="31" t="s">
        <v>10707</v>
      </c>
      <c r="F179" s="31" t="s">
        <v>836</v>
      </c>
      <c r="G179" s="31" t="n">
        <v>6</v>
      </c>
      <c r="H179" s="31" t="s">
        <v>154</v>
      </c>
      <c r="I179" s="44" t="s">
        <v>765</v>
      </c>
      <c r="J179" s="45" t="s">
        <v>838</v>
      </c>
      <c r="K179" s="45" t="s">
        <v>840</v>
      </c>
      <c r="L179" s="31" t="n">
        <f aca="false">COUNTIF($B$3:$B$2205,$B179)</f>
        <v>1</v>
      </c>
      <c r="M179" s="44" t="str">
        <f aca="false">IFERROR(INDEX(SENTENCES!$T$3:$T$1802,MATCH($F179,SENTENCES!$A$3:$A$1802,0)),"")</f>
        <v>• Chưa tới</v>
      </c>
    </row>
    <row r="180" customFormat="false" ht="15" hidden="false" customHeight="false" outlineLevel="0" collapsed="false">
      <c r="A180" s="31" t="n">
        <v>178</v>
      </c>
      <c r="B180" s="43" t="s">
        <v>11028</v>
      </c>
      <c r="C180" s="34" t="s">
        <v>11029</v>
      </c>
      <c r="D180" s="44" t="s">
        <v>10677</v>
      </c>
      <c r="E180" s="31" t="s">
        <v>10747</v>
      </c>
      <c r="F180" s="31" t="s">
        <v>836</v>
      </c>
      <c r="G180" s="31" t="n">
        <v>6</v>
      </c>
      <c r="H180" s="31" t="s">
        <v>154</v>
      </c>
      <c r="I180" s="44" t="s">
        <v>765</v>
      </c>
      <c r="J180" s="45" t="s">
        <v>838</v>
      </c>
      <c r="K180" s="45" t="s">
        <v>840</v>
      </c>
      <c r="L180" s="31" t="n">
        <f aca="false">COUNTIF($B$3:$B$2205,$B180)</f>
        <v>2</v>
      </c>
      <c r="M180" s="44" t="str">
        <f aca="false">IFERROR(INDEX(SENTENCES!$T$3:$T$1802,MATCH($F180,SENTENCES!$A$3:$A$1802,0)),"")</f>
        <v>• Chưa tới</v>
      </c>
    </row>
    <row r="181" customFormat="false" ht="15" hidden="false" customHeight="false" outlineLevel="0" collapsed="false">
      <c r="A181" s="31" t="n">
        <v>179</v>
      </c>
      <c r="B181" s="43" t="s">
        <v>10363</v>
      </c>
      <c r="C181" s="34" t="s">
        <v>11030</v>
      </c>
      <c r="D181" s="44" t="s">
        <v>10754</v>
      </c>
      <c r="E181" s="31"/>
      <c r="F181" s="31" t="s">
        <v>842</v>
      </c>
      <c r="G181" s="31" t="n">
        <v>6</v>
      </c>
      <c r="H181" s="31" t="s">
        <v>154</v>
      </c>
      <c r="I181" s="44" t="s">
        <v>765</v>
      </c>
      <c r="J181" s="45" t="s">
        <v>844</v>
      </c>
      <c r="K181" s="45" t="s">
        <v>846</v>
      </c>
      <c r="L181" s="31" t="n">
        <f aca="false">COUNTIF($B$3:$B$2205,$B181)</f>
        <v>2</v>
      </c>
      <c r="M181" s="44" t="str">
        <f aca="false">IFERROR(INDEX(SENTENCES!$T$3:$T$1802,MATCH($F181,SENTENCES!$A$3:$A$1802,0)),"")</f>
        <v>• Chưa tới</v>
      </c>
    </row>
    <row r="182" customFormat="false" ht="15" hidden="false" customHeight="false" outlineLevel="0" collapsed="false">
      <c r="A182" s="31" t="n">
        <v>180</v>
      </c>
      <c r="B182" s="43" t="s">
        <v>11031</v>
      </c>
      <c r="C182" s="34" t="s">
        <v>11032</v>
      </c>
      <c r="D182" s="44" t="s">
        <v>10681</v>
      </c>
      <c r="E182" s="31"/>
      <c r="F182" s="31" t="s">
        <v>848</v>
      </c>
      <c r="G182" s="31" t="n">
        <v>6</v>
      </c>
      <c r="H182" s="31" t="s">
        <v>154</v>
      </c>
      <c r="I182" s="44" t="s">
        <v>765</v>
      </c>
      <c r="J182" s="45" t="s">
        <v>850</v>
      </c>
      <c r="K182" s="45" t="s">
        <v>852</v>
      </c>
      <c r="L182" s="31" t="n">
        <f aca="false">COUNTIF($B$3:$B$2205,$B182)</f>
        <v>1</v>
      </c>
      <c r="M182" s="44" t="str">
        <f aca="false">IFERROR(INDEX(SENTENCES!$T$3:$T$1802,MATCH($F182,SENTENCES!$A$3:$A$1802,0)),"")</f>
        <v>• Chưa tới</v>
      </c>
    </row>
    <row r="183" customFormat="false" ht="15" hidden="false" customHeight="false" outlineLevel="0" collapsed="false">
      <c r="A183" s="31" t="n">
        <v>181</v>
      </c>
      <c r="B183" s="43" t="s">
        <v>11033</v>
      </c>
      <c r="C183" s="34" t="s">
        <v>11034</v>
      </c>
      <c r="D183" s="44" t="s">
        <v>10677</v>
      </c>
      <c r="E183" s="31" t="s">
        <v>10747</v>
      </c>
      <c r="F183" s="31" t="s">
        <v>854</v>
      </c>
      <c r="G183" s="31" t="n">
        <v>6</v>
      </c>
      <c r="H183" s="31" t="s">
        <v>154</v>
      </c>
      <c r="I183" s="44" t="s">
        <v>765</v>
      </c>
      <c r="J183" s="45" t="s">
        <v>856</v>
      </c>
      <c r="K183" s="45" t="s">
        <v>858</v>
      </c>
      <c r="L183" s="31" t="n">
        <f aca="false">COUNTIF($B$3:$B$2205,$B183)</f>
        <v>1</v>
      </c>
      <c r="M183" s="44" t="str">
        <f aca="false">IFERROR(INDEX(SENTENCES!$T$3:$T$1802,MATCH($F183,SENTENCES!$A$3:$A$1802,0)),"")</f>
        <v>• Chưa tới</v>
      </c>
    </row>
    <row r="184" customFormat="false" ht="15" hidden="false" customHeight="false" outlineLevel="0" collapsed="false">
      <c r="A184" s="31" t="n">
        <v>182</v>
      </c>
      <c r="B184" s="43" t="s">
        <v>11035</v>
      </c>
      <c r="C184" s="34" t="s">
        <v>11036</v>
      </c>
      <c r="D184" s="44" t="s">
        <v>10677</v>
      </c>
      <c r="E184" s="31" t="s">
        <v>10707</v>
      </c>
      <c r="F184" s="31" t="s">
        <v>860</v>
      </c>
      <c r="G184" s="31" t="n">
        <v>6</v>
      </c>
      <c r="H184" s="31" t="s">
        <v>154</v>
      </c>
      <c r="I184" s="44" t="s">
        <v>765</v>
      </c>
      <c r="J184" s="45" t="s">
        <v>862</v>
      </c>
      <c r="K184" s="45" t="s">
        <v>864</v>
      </c>
      <c r="L184" s="31" t="n">
        <f aca="false">COUNTIF($B$3:$B$2205,$B184)</f>
        <v>1</v>
      </c>
      <c r="M184" s="44" t="str">
        <f aca="false">IFERROR(INDEX(SENTENCES!$T$3:$T$1802,MATCH($F184,SENTENCES!$A$3:$A$1802,0)),"")</f>
        <v>• Chưa tới</v>
      </c>
    </row>
    <row r="185" customFormat="false" ht="15" hidden="false" customHeight="false" outlineLevel="0" collapsed="false">
      <c r="A185" s="31" t="n">
        <v>183</v>
      </c>
      <c r="B185" s="43" t="s">
        <v>11037</v>
      </c>
      <c r="C185" s="34" t="s">
        <v>11038</v>
      </c>
      <c r="D185" s="44" t="s">
        <v>10677</v>
      </c>
      <c r="E185" s="31" t="s">
        <v>10678</v>
      </c>
      <c r="F185" s="31" t="s">
        <v>866</v>
      </c>
      <c r="G185" s="31" t="n">
        <v>6</v>
      </c>
      <c r="H185" s="31" t="s">
        <v>154</v>
      </c>
      <c r="I185" s="44" t="s">
        <v>765</v>
      </c>
      <c r="J185" s="45" t="s">
        <v>868</v>
      </c>
      <c r="K185" s="45" t="s">
        <v>870</v>
      </c>
      <c r="L185" s="31" t="n">
        <f aca="false">COUNTIF($B$3:$B$2205,$B185)</f>
        <v>1</v>
      </c>
      <c r="M185" s="44" t="str">
        <f aca="false">IFERROR(INDEX(SENTENCES!$T$3:$T$1802,MATCH($F185,SENTENCES!$A$3:$A$1802,0)),"")</f>
        <v>• Chưa tới</v>
      </c>
    </row>
    <row r="186" customFormat="false" ht="15" hidden="false" customHeight="false" outlineLevel="0" collapsed="false">
      <c r="A186" s="31" t="n">
        <v>184</v>
      </c>
      <c r="B186" s="43" t="s">
        <v>11039</v>
      </c>
      <c r="C186" s="34" t="s">
        <v>11040</v>
      </c>
      <c r="D186" s="44" t="s">
        <v>10677</v>
      </c>
      <c r="E186" s="31" t="s">
        <v>10707</v>
      </c>
      <c r="F186" s="31" t="s">
        <v>872</v>
      </c>
      <c r="G186" s="31" t="n">
        <v>6</v>
      </c>
      <c r="H186" s="31" t="s">
        <v>154</v>
      </c>
      <c r="I186" s="44" t="s">
        <v>765</v>
      </c>
      <c r="J186" s="45" t="s">
        <v>874</v>
      </c>
      <c r="K186" s="45" t="s">
        <v>876</v>
      </c>
      <c r="L186" s="31" t="n">
        <f aca="false">COUNTIF($B$3:$B$2205,$B186)</f>
        <v>1</v>
      </c>
      <c r="M186" s="44" t="str">
        <f aca="false">IFERROR(INDEX(SENTENCES!$T$3:$T$1802,MATCH($F186,SENTENCES!$A$3:$A$1802,0)),"")</f>
        <v>• Chưa tới</v>
      </c>
    </row>
    <row r="187" customFormat="false" ht="15" hidden="false" customHeight="false" outlineLevel="0" collapsed="false">
      <c r="A187" s="31" t="n">
        <v>185</v>
      </c>
      <c r="B187" s="43" t="s">
        <v>11041</v>
      </c>
      <c r="C187" s="34" t="s">
        <v>11042</v>
      </c>
      <c r="D187" s="44" t="s">
        <v>10681</v>
      </c>
      <c r="E187" s="31"/>
      <c r="F187" s="31" t="s">
        <v>872</v>
      </c>
      <c r="G187" s="31" t="n">
        <v>6</v>
      </c>
      <c r="H187" s="31" t="s">
        <v>154</v>
      </c>
      <c r="I187" s="44" t="s">
        <v>765</v>
      </c>
      <c r="J187" s="45" t="s">
        <v>874</v>
      </c>
      <c r="K187" s="45" t="s">
        <v>876</v>
      </c>
      <c r="L187" s="31" t="n">
        <f aca="false">COUNTIF($B$3:$B$2205,$B187)</f>
        <v>3</v>
      </c>
      <c r="M187" s="44" t="str">
        <f aca="false">IFERROR(INDEX(SENTENCES!$T$3:$T$1802,MATCH($F187,SENTENCES!$A$3:$A$1802,0)),"")</f>
        <v>• Chưa tới</v>
      </c>
    </row>
    <row r="188" customFormat="false" ht="15" hidden="false" customHeight="false" outlineLevel="0" collapsed="false">
      <c r="A188" s="31" t="n">
        <v>186</v>
      </c>
      <c r="B188" s="43" t="s">
        <v>11043</v>
      </c>
      <c r="C188" s="34" t="s">
        <v>11044</v>
      </c>
      <c r="D188" s="44" t="s">
        <v>10677</v>
      </c>
      <c r="E188" s="31" t="s">
        <v>10678</v>
      </c>
      <c r="F188" s="31" t="s">
        <v>878</v>
      </c>
      <c r="G188" s="31" t="n">
        <v>6</v>
      </c>
      <c r="H188" s="31" t="s">
        <v>154</v>
      </c>
      <c r="I188" s="44" t="s">
        <v>765</v>
      </c>
      <c r="J188" s="45" t="s">
        <v>880</v>
      </c>
      <c r="K188" s="45" t="s">
        <v>882</v>
      </c>
      <c r="L188" s="31" t="n">
        <f aca="false">COUNTIF($B$3:$B$2205,$B188)</f>
        <v>1</v>
      </c>
      <c r="M188" s="44" t="str">
        <f aca="false">IFERROR(INDEX(SENTENCES!$T$3:$T$1802,MATCH($F188,SENTENCES!$A$3:$A$1802,0)),"")</f>
        <v>• Chưa tới</v>
      </c>
    </row>
    <row r="189" customFormat="false" ht="15" hidden="false" customHeight="false" outlineLevel="0" collapsed="false">
      <c r="A189" s="31" t="n">
        <v>187</v>
      </c>
      <c r="B189" s="43" t="s">
        <v>11045</v>
      </c>
      <c r="C189" s="34" t="s">
        <v>11046</v>
      </c>
      <c r="D189" s="44" t="s">
        <v>10681</v>
      </c>
      <c r="E189" s="31"/>
      <c r="F189" s="31" t="s">
        <v>884</v>
      </c>
      <c r="G189" s="31" t="n">
        <v>7</v>
      </c>
      <c r="H189" s="31" t="s">
        <v>154</v>
      </c>
      <c r="I189" s="44" t="s">
        <v>885</v>
      </c>
      <c r="J189" s="45" t="s">
        <v>887</v>
      </c>
      <c r="K189" s="45" t="s">
        <v>889</v>
      </c>
      <c r="L189" s="31" t="n">
        <f aca="false">COUNTIF($B$3:$B$2205,$B189)</f>
        <v>1</v>
      </c>
      <c r="M189" s="44" t="str">
        <f aca="false">IFERROR(INDEX(SENTENCES!$T$3:$T$1802,MATCH($F189,SENTENCES!$A$3:$A$1802,0)),"")</f>
        <v>• Chưa tới</v>
      </c>
    </row>
    <row r="190" customFormat="false" ht="15" hidden="false" customHeight="false" outlineLevel="0" collapsed="false">
      <c r="A190" s="31" t="n">
        <v>188</v>
      </c>
      <c r="B190" s="43" t="s">
        <v>11047</v>
      </c>
      <c r="C190" s="34" t="s">
        <v>11048</v>
      </c>
      <c r="D190" s="44" t="s">
        <v>10681</v>
      </c>
      <c r="E190" s="31"/>
      <c r="F190" s="31" t="s">
        <v>891</v>
      </c>
      <c r="G190" s="31" t="n">
        <v>7</v>
      </c>
      <c r="H190" s="31" t="s">
        <v>154</v>
      </c>
      <c r="I190" s="44" t="s">
        <v>885</v>
      </c>
      <c r="J190" s="45" t="s">
        <v>893</v>
      </c>
      <c r="K190" s="45" t="s">
        <v>895</v>
      </c>
      <c r="L190" s="31" t="n">
        <f aca="false">COUNTIF($B$3:$B$2205,$B190)</f>
        <v>1</v>
      </c>
      <c r="M190" s="44" t="str">
        <f aca="false">IFERROR(INDEX(SENTENCES!$T$3:$T$1802,MATCH($F190,SENTENCES!$A$3:$A$1802,0)),"")</f>
        <v>• Chưa tới</v>
      </c>
    </row>
    <row r="191" customFormat="false" ht="15" hidden="false" customHeight="false" outlineLevel="0" collapsed="false">
      <c r="A191" s="31" t="n">
        <v>189</v>
      </c>
      <c r="B191" s="43" t="s">
        <v>11049</v>
      </c>
      <c r="C191" s="34" t="s">
        <v>11050</v>
      </c>
      <c r="D191" s="44" t="s">
        <v>10681</v>
      </c>
      <c r="E191" s="31"/>
      <c r="F191" s="31" t="s">
        <v>891</v>
      </c>
      <c r="G191" s="31" t="n">
        <v>7</v>
      </c>
      <c r="H191" s="31" t="s">
        <v>154</v>
      </c>
      <c r="I191" s="44" t="s">
        <v>885</v>
      </c>
      <c r="J191" s="45" t="s">
        <v>893</v>
      </c>
      <c r="K191" s="45" t="s">
        <v>895</v>
      </c>
      <c r="L191" s="31" t="n">
        <f aca="false">COUNTIF($B$3:$B$2205,$B191)</f>
        <v>1</v>
      </c>
      <c r="M191" s="44" t="str">
        <f aca="false">IFERROR(INDEX(SENTENCES!$T$3:$T$1802,MATCH($F191,SENTENCES!$A$3:$A$1802,0)),"")</f>
        <v>• Chưa tới</v>
      </c>
    </row>
    <row r="192" customFormat="false" ht="15" hidden="false" customHeight="false" outlineLevel="0" collapsed="false">
      <c r="A192" s="31" t="n">
        <v>190</v>
      </c>
      <c r="B192" s="43" t="s">
        <v>11051</v>
      </c>
      <c r="C192" s="34" t="s">
        <v>11052</v>
      </c>
      <c r="D192" s="44" t="s">
        <v>10677</v>
      </c>
      <c r="E192" s="31" t="s">
        <v>10707</v>
      </c>
      <c r="F192" s="31" t="s">
        <v>897</v>
      </c>
      <c r="G192" s="31" t="n">
        <v>7</v>
      </c>
      <c r="H192" s="31" t="s">
        <v>154</v>
      </c>
      <c r="I192" s="44" t="s">
        <v>885</v>
      </c>
      <c r="J192" s="45" t="s">
        <v>899</v>
      </c>
      <c r="K192" s="45" t="s">
        <v>901</v>
      </c>
      <c r="L192" s="31" t="n">
        <f aca="false">COUNTIF($B$3:$B$2205,$B192)</f>
        <v>2</v>
      </c>
      <c r="M192" s="44" t="str">
        <f aca="false">IFERROR(INDEX(SENTENCES!$T$3:$T$1802,MATCH($F192,SENTENCES!$A$3:$A$1802,0)),"")</f>
        <v>• Chưa tới</v>
      </c>
    </row>
    <row r="193" customFormat="false" ht="15" hidden="false" customHeight="false" outlineLevel="0" collapsed="false">
      <c r="A193" s="31" t="n">
        <v>191</v>
      </c>
      <c r="B193" s="43" t="s">
        <v>11053</v>
      </c>
      <c r="C193" s="34" t="s">
        <v>11054</v>
      </c>
      <c r="D193" s="44" t="s">
        <v>10681</v>
      </c>
      <c r="E193" s="31"/>
      <c r="F193" s="31" t="s">
        <v>903</v>
      </c>
      <c r="G193" s="31" t="n">
        <v>7</v>
      </c>
      <c r="H193" s="31" t="s">
        <v>154</v>
      </c>
      <c r="I193" s="44" t="s">
        <v>885</v>
      </c>
      <c r="J193" s="45" t="s">
        <v>905</v>
      </c>
      <c r="K193" s="45" t="s">
        <v>907</v>
      </c>
      <c r="L193" s="31" t="n">
        <f aca="false">COUNTIF($B$3:$B$2205,$B193)</f>
        <v>1</v>
      </c>
      <c r="M193" s="44" t="str">
        <f aca="false">IFERROR(INDEX(SENTENCES!$T$3:$T$1802,MATCH($F193,SENTENCES!$A$3:$A$1802,0)),"")</f>
        <v>• Chưa tới</v>
      </c>
    </row>
    <row r="194" customFormat="false" ht="15" hidden="false" customHeight="false" outlineLevel="0" collapsed="false">
      <c r="A194" s="31" t="n">
        <v>192</v>
      </c>
      <c r="B194" s="43" t="s">
        <v>11055</v>
      </c>
      <c r="C194" s="34" t="s">
        <v>11056</v>
      </c>
      <c r="D194" s="44" t="s">
        <v>10681</v>
      </c>
      <c r="E194" s="31"/>
      <c r="F194" s="31" t="s">
        <v>909</v>
      </c>
      <c r="G194" s="31" t="n">
        <v>7</v>
      </c>
      <c r="H194" s="31" t="s">
        <v>154</v>
      </c>
      <c r="I194" s="44" t="s">
        <v>885</v>
      </c>
      <c r="J194" s="45" t="s">
        <v>911</v>
      </c>
      <c r="K194" s="45" t="s">
        <v>913</v>
      </c>
      <c r="L194" s="31" t="n">
        <f aca="false">COUNTIF($B$3:$B$2205,$B194)</f>
        <v>1</v>
      </c>
      <c r="M194" s="44" t="str">
        <f aca="false">IFERROR(INDEX(SENTENCES!$T$3:$T$1802,MATCH($F194,SENTENCES!$A$3:$A$1802,0)),"")</f>
        <v>• Chưa tới</v>
      </c>
    </row>
    <row r="195" customFormat="false" ht="15" hidden="false" customHeight="false" outlineLevel="0" collapsed="false">
      <c r="A195" s="31" t="n">
        <v>193</v>
      </c>
      <c r="B195" s="43" t="s">
        <v>11057</v>
      </c>
      <c r="C195" s="34" t="s">
        <v>11058</v>
      </c>
      <c r="D195" s="44" t="s">
        <v>10677</v>
      </c>
      <c r="E195" s="31" t="s">
        <v>10678</v>
      </c>
      <c r="F195" s="31" t="s">
        <v>909</v>
      </c>
      <c r="G195" s="31" t="n">
        <v>7</v>
      </c>
      <c r="H195" s="31" t="s">
        <v>154</v>
      </c>
      <c r="I195" s="44" t="s">
        <v>885</v>
      </c>
      <c r="J195" s="45" t="s">
        <v>911</v>
      </c>
      <c r="K195" s="45" t="s">
        <v>913</v>
      </c>
      <c r="L195" s="31" t="n">
        <f aca="false">COUNTIF($B$3:$B$2205,$B195)</f>
        <v>1</v>
      </c>
      <c r="M195" s="44" t="str">
        <f aca="false">IFERROR(INDEX(SENTENCES!$T$3:$T$1802,MATCH($F195,SENTENCES!$A$3:$A$1802,0)),"")</f>
        <v>• Chưa tới</v>
      </c>
    </row>
    <row r="196" customFormat="false" ht="15" hidden="false" customHeight="false" outlineLevel="0" collapsed="false">
      <c r="A196" s="31" t="n">
        <v>194</v>
      </c>
      <c r="B196" s="43" t="s">
        <v>11059</v>
      </c>
      <c r="C196" s="34" t="s">
        <v>11060</v>
      </c>
      <c r="D196" s="44" t="s">
        <v>10681</v>
      </c>
      <c r="E196" s="31"/>
      <c r="F196" s="31" t="s">
        <v>915</v>
      </c>
      <c r="G196" s="31" t="n">
        <v>7</v>
      </c>
      <c r="H196" s="31" t="s">
        <v>154</v>
      </c>
      <c r="I196" s="44" t="s">
        <v>885</v>
      </c>
      <c r="J196" s="45" t="s">
        <v>917</v>
      </c>
      <c r="K196" s="45" t="s">
        <v>919</v>
      </c>
      <c r="L196" s="31" t="n">
        <f aca="false">COUNTIF($B$3:$B$2205,$B196)</f>
        <v>1</v>
      </c>
      <c r="M196" s="44" t="str">
        <f aca="false">IFERROR(INDEX(SENTENCES!$T$3:$T$1802,MATCH($F196,SENTENCES!$A$3:$A$1802,0)),"")</f>
        <v>• Chưa tới</v>
      </c>
    </row>
    <row r="197" customFormat="false" ht="15" hidden="false" customHeight="false" outlineLevel="0" collapsed="false">
      <c r="A197" s="31" t="n">
        <v>195</v>
      </c>
      <c r="B197" s="43" t="s">
        <v>11061</v>
      </c>
      <c r="C197" s="34" t="s">
        <v>11062</v>
      </c>
      <c r="D197" s="44" t="s">
        <v>10681</v>
      </c>
      <c r="E197" s="31"/>
      <c r="F197" s="31" t="s">
        <v>915</v>
      </c>
      <c r="G197" s="31" t="n">
        <v>7</v>
      </c>
      <c r="H197" s="31" t="s">
        <v>154</v>
      </c>
      <c r="I197" s="44" t="s">
        <v>885</v>
      </c>
      <c r="J197" s="45" t="s">
        <v>917</v>
      </c>
      <c r="K197" s="45" t="s">
        <v>919</v>
      </c>
      <c r="L197" s="31" t="n">
        <f aca="false">COUNTIF($B$3:$B$2205,$B197)</f>
        <v>1</v>
      </c>
      <c r="M197" s="44" t="str">
        <f aca="false">IFERROR(INDEX(SENTENCES!$T$3:$T$1802,MATCH($F197,SENTENCES!$A$3:$A$1802,0)),"")</f>
        <v>• Chưa tới</v>
      </c>
    </row>
    <row r="198" customFormat="false" ht="15" hidden="false" customHeight="false" outlineLevel="0" collapsed="false">
      <c r="A198" s="31" t="n">
        <v>196</v>
      </c>
      <c r="B198" s="43" t="s">
        <v>11063</v>
      </c>
      <c r="C198" s="34" t="s">
        <v>11064</v>
      </c>
      <c r="D198" s="44" t="s">
        <v>10686</v>
      </c>
      <c r="E198" s="31"/>
      <c r="F198" s="31" t="s">
        <v>921</v>
      </c>
      <c r="G198" s="31" t="n">
        <v>7</v>
      </c>
      <c r="H198" s="31" t="s">
        <v>154</v>
      </c>
      <c r="I198" s="44" t="s">
        <v>885</v>
      </c>
      <c r="J198" s="45" t="s">
        <v>923</v>
      </c>
      <c r="K198" s="45" t="s">
        <v>925</v>
      </c>
      <c r="L198" s="31" t="n">
        <f aca="false">COUNTIF($B$3:$B$2205,$B198)</f>
        <v>1</v>
      </c>
      <c r="M198" s="44" t="str">
        <f aca="false">IFERROR(INDEX(SENTENCES!$T$3:$T$1802,MATCH($F198,SENTENCES!$A$3:$A$1802,0)),"")</f>
        <v>• Chưa tới</v>
      </c>
    </row>
    <row r="199" customFormat="false" ht="15" hidden="false" customHeight="false" outlineLevel="0" collapsed="false">
      <c r="A199" s="31" t="n">
        <v>197</v>
      </c>
      <c r="B199" s="43" t="s">
        <v>11065</v>
      </c>
      <c r="C199" s="34" t="s">
        <v>11066</v>
      </c>
      <c r="D199" s="44" t="s">
        <v>10677</v>
      </c>
      <c r="E199" s="31" t="s">
        <v>10707</v>
      </c>
      <c r="F199" s="31" t="s">
        <v>921</v>
      </c>
      <c r="G199" s="31" t="n">
        <v>7</v>
      </c>
      <c r="H199" s="31" t="s">
        <v>154</v>
      </c>
      <c r="I199" s="44" t="s">
        <v>885</v>
      </c>
      <c r="J199" s="45" t="s">
        <v>923</v>
      </c>
      <c r="K199" s="45" t="s">
        <v>925</v>
      </c>
      <c r="L199" s="31" t="n">
        <f aca="false">COUNTIF($B$3:$B$2205,$B199)</f>
        <v>1</v>
      </c>
      <c r="M199" s="44" t="str">
        <f aca="false">IFERROR(INDEX(SENTENCES!$T$3:$T$1802,MATCH($F199,SENTENCES!$A$3:$A$1802,0)),"")</f>
        <v>• Chưa tới</v>
      </c>
    </row>
    <row r="200" customFormat="false" ht="15" hidden="false" customHeight="false" outlineLevel="0" collapsed="false">
      <c r="A200" s="31" t="n">
        <v>198</v>
      </c>
      <c r="B200" s="43" t="s">
        <v>11067</v>
      </c>
      <c r="C200" s="34" t="s">
        <v>11068</v>
      </c>
      <c r="D200" s="44" t="s">
        <v>10686</v>
      </c>
      <c r="E200" s="31"/>
      <c r="F200" s="31" t="s">
        <v>927</v>
      </c>
      <c r="G200" s="31" t="n">
        <v>7</v>
      </c>
      <c r="H200" s="31" t="s">
        <v>154</v>
      </c>
      <c r="I200" s="44" t="s">
        <v>885</v>
      </c>
      <c r="J200" s="45" t="s">
        <v>929</v>
      </c>
      <c r="K200" s="45" t="s">
        <v>931</v>
      </c>
      <c r="L200" s="31" t="n">
        <f aca="false">COUNTIF($B$3:$B$2205,$B200)</f>
        <v>4</v>
      </c>
      <c r="M200" s="44" t="str">
        <f aca="false">IFERROR(INDEX(SENTENCES!$T$3:$T$1802,MATCH($F200,SENTENCES!$A$3:$A$1802,0)),"")</f>
        <v>• Chưa tới</v>
      </c>
    </row>
    <row r="201" customFormat="false" ht="15" hidden="false" customHeight="false" outlineLevel="0" collapsed="false">
      <c r="A201" s="31" t="n">
        <v>199</v>
      </c>
      <c r="B201" s="43" t="s">
        <v>11069</v>
      </c>
      <c r="C201" s="34" t="s">
        <v>11070</v>
      </c>
      <c r="D201" s="44" t="s">
        <v>10794</v>
      </c>
      <c r="E201" s="31"/>
      <c r="F201" s="31" t="s">
        <v>927</v>
      </c>
      <c r="G201" s="31" t="n">
        <v>7</v>
      </c>
      <c r="H201" s="31" t="s">
        <v>154</v>
      </c>
      <c r="I201" s="44" t="s">
        <v>885</v>
      </c>
      <c r="J201" s="45" t="s">
        <v>929</v>
      </c>
      <c r="K201" s="45" t="s">
        <v>931</v>
      </c>
      <c r="L201" s="31" t="n">
        <f aca="false">COUNTIF($B$3:$B$2205,$B201)</f>
        <v>2</v>
      </c>
      <c r="M201" s="44" t="str">
        <f aca="false">IFERROR(INDEX(SENTENCES!$T$3:$T$1802,MATCH($F201,SENTENCES!$A$3:$A$1802,0)),"")</f>
        <v>• Chưa tới</v>
      </c>
    </row>
    <row r="202" customFormat="false" ht="15" hidden="false" customHeight="false" outlineLevel="0" collapsed="false">
      <c r="A202" s="31" t="n">
        <v>200</v>
      </c>
      <c r="B202" s="43" t="s">
        <v>11071</v>
      </c>
      <c r="C202" s="34" t="s">
        <v>10829</v>
      </c>
      <c r="D202" s="44" t="s">
        <v>10681</v>
      </c>
      <c r="E202" s="31"/>
      <c r="F202" s="31" t="s">
        <v>933</v>
      </c>
      <c r="G202" s="31" t="n">
        <v>7</v>
      </c>
      <c r="H202" s="31" t="s">
        <v>154</v>
      </c>
      <c r="I202" s="44" t="s">
        <v>885</v>
      </c>
      <c r="J202" s="45" t="s">
        <v>935</v>
      </c>
      <c r="K202" s="45" t="s">
        <v>937</v>
      </c>
      <c r="L202" s="31" t="n">
        <f aca="false">COUNTIF($B$3:$B$2205,$B202)</f>
        <v>1</v>
      </c>
      <c r="M202" s="44" t="str">
        <f aca="false">IFERROR(INDEX(SENTENCES!$T$3:$T$1802,MATCH($F202,SENTENCES!$A$3:$A$1802,0)),"")</f>
        <v>• Chưa tới</v>
      </c>
    </row>
    <row r="203" customFormat="false" ht="15" hidden="false" customHeight="false" outlineLevel="0" collapsed="false">
      <c r="A203" s="31" t="n">
        <v>201</v>
      </c>
      <c r="B203" s="43" t="s">
        <v>11072</v>
      </c>
      <c r="C203" s="34" t="s">
        <v>11073</v>
      </c>
      <c r="D203" s="44" t="s">
        <v>10677</v>
      </c>
      <c r="E203" s="31" t="s">
        <v>10747</v>
      </c>
      <c r="F203" s="31" t="s">
        <v>933</v>
      </c>
      <c r="G203" s="31" t="n">
        <v>7</v>
      </c>
      <c r="H203" s="31" t="s">
        <v>154</v>
      </c>
      <c r="I203" s="44" t="s">
        <v>885</v>
      </c>
      <c r="J203" s="45" t="s">
        <v>935</v>
      </c>
      <c r="K203" s="45" t="s">
        <v>937</v>
      </c>
      <c r="L203" s="31" t="n">
        <f aca="false">COUNTIF($B$3:$B$2205,$B203)</f>
        <v>1</v>
      </c>
      <c r="M203" s="44" t="str">
        <f aca="false">IFERROR(INDEX(SENTENCES!$T$3:$T$1802,MATCH($F203,SENTENCES!$A$3:$A$1802,0)),"")</f>
        <v>• Chưa tới</v>
      </c>
    </row>
    <row r="204" customFormat="false" ht="15" hidden="false" customHeight="false" outlineLevel="0" collapsed="false">
      <c r="A204" s="31" t="n">
        <v>202</v>
      </c>
      <c r="B204" s="43" t="s">
        <v>11074</v>
      </c>
      <c r="C204" s="34" t="s">
        <v>11075</v>
      </c>
      <c r="D204" s="44" t="s">
        <v>10686</v>
      </c>
      <c r="E204" s="31"/>
      <c r="F204" s="31" t="s">
        <v>933</v>
      </c>
      <c r="G204" s="31" t="n">
        <v>7</v>
      </c>
      <c r="H204" s="31" t="s">
        <v>154</v>
      </c>
      <c r="I204" s="44" t="s">
        <v>885</v>
      </c>
      <c r="J204" s="45" t="s">
        <v>935</v>
      </c>
      <c r="K204" s="45" t="s">
        <v>937</v>
      </c>
      <c r="L204" s="31" t="n">
        <f aca="false">COUNTIF($B$3:$B$2205,$B204)</f>
        <v>2</v>
      </c>
      <c r="M204" s="44" t="str">
        <f aca="false">IFERROR(INDEX(SENTENCES!$T$3:$T$1802,MATCH($F204,SENTENCES!$A$3:$A$1802,0)),"")</f>
        <v>• Chưa tới</v>
      </c>
    </row>
    <row r="205" customFormat="false" ht="15" hidden="false" customHeight="false" outlineLevel="0" collapsed="false">
      <c r="A205" s="31" t="n">
        <v>203</v>
      </c>
      <c r="B205" s="43" t="s">
        <v>11076</v>
      </c>
      <c r="C205" s="34" t="s">
        <v>11077</v>
      </c>
      <c r="D205" s="44" t="s">
        <v>10681</v>
      </c>
      <c r="E205" s="31"/>
      <c r="F205" s="31" t="s">
        <v>939</v>
      </c>
      <c r="G205" s="31" t="n">
        <v>7</v>
      </c>
      <c r="H205" s="31" t="s">
        <v>154</v>
      </c>
      <c r="I205" s="44" t="s">
        <v>885</v>
      </c>
      <c r="J205" s="45" t="s">
        <v>941</v>
      </c>
      <c r="K205" s="45" t="s">
        <v>943</v>
      </c>
      <c r="L205" s="31" t="n">
        <f aca="false">COUNTIF($B$3:$B$2205,$B205)</f>
        <v>2</v>
      </c>
      <c r="M205" s="44" t="str">
        <f aca="false">IFERROR(INDEX(SENTENCES!$T$3:$T$1802,MATCH($F205,SENTENCES!$A$3:$A$1802,0)),"")</f>
        <v>• Chưa tới</v>
      </c>
    </row>
    <row r="206" customFormat="false" ht="15" hidden="false" customHeight="false" outlineLevel="0" collapsed="false">
      <c r="A206" s="31" t="n">
        <v>204</v>
      </c>
      <c r="B206" s="43" t="s">
        <v>11078</v>
      </c>
      <c r="C206" s="34" t="s">
        <v>11079</v>
      </c>
      <c r="D206" s="44" t="s">
        <v>10686</v>
      </c>
      <c r="E206" s="31"/>
      <c r="F206" s="31" t="s">
        <v>939</v>
      </c>
      <c r="G206" s="31" t="n">
        <v>7</v>
      </c>
      <c r="H206" s="31" t="s">
        <v>154</v>
      </c>
      <c r="I206" s="44" t="s">
        <v>885</v>
      </c>
      <c r="J206" s="45" t="s">
        <v>941</v>
      </c>
      <c r="K206" s="45" t="s">
        <v>943</v>
      </c>
      <c r="L206" s="31" t="n">
        <f aca="false">COUNTIF($B$3:$B$2205,$B206)</f>
        <v>3</v>
      </c>
      <c r="M206" s="44" t="str">
        <f aca="false">IFERROR(INDEX(SENTENCES!$T$3:$T$1802,MATCH($F206,SENTENCES!$A$3:$A$1802,0)),"")</f>
        <v>• Chưa tới</v>
      </c>
    </row>
    <row r="207" customFormat="false" ht="15" hidden="false" customHeight="false" outlineLevel="0" collapsed="false">
      <c r="A207" s="31" t="n">
        <v>205</v>
      </c>
      <c r="B207" s="43" t="s">
        <v>11080</v>
      </c>
      <c r="C207" s="34" t="s">
        <v>11081</v>
      </c>
      <c r="D207" s="44" t="s">
        <v>10677</v>
      </c>
      <c r="E207" s="31" t="s">
        <v>10707</v>
      </c>
      <c r="F207" s="31" t="s">
        <v>939</v>
      </c>
      <c r="G207" s="31" t="n">
        <v>7</v>
      </c>
      <c r="H207" s="31" t="s">
        <v>154</v>
      </c>
      <c r="I207" s="44" t="s">
        <v>885</v>
      </c>
      <c r="J207" s="45" t="s">
        <v>941</v>
      </c>
      <c r="K207" s="45" t="s">
        <v>943</v>
      </c>
      <c r="L207" s="31" t="n">
        <f aca="false">COUNTIF($B$3:$B$2205,$B207)</f>
        <v>1</v>
      </c>
      <c r="M207" s="44" t="str">
        <f aca="false">IFERROR(INDEX(SENTENCES!$T$3:$T$1802,MATCH($F207,SENTENCES!$A$3:$A$1802,0)),"")</f>
        <v>• Chưa tới</v>
      </c>
    </row>
    <row r="208" customFormat="false" ht="15" hidden="false" customHeight="false" outlineLevel="0" collapsed="false">
      <c r="A208" s="31" t="n">
        <v>206</v>
      </c>
      <c r="B208" s="43" t="s">
        <v>11082</v>
      </c>
      <c r="C208" s="34" t="s">
        <v>11083</v>
      </c>
      <c r="D208" s="44" t="s">
        <v>10686</v>
      </c>
      <c r="E208" s="31"/>
      <c r="F208" s="31" t="s">
        <v>945</v>
      </c>
      <c r="G208" s="31" t="n">
        <v>7</v>
      </c>
      <c r="H208" s="31" t="s">
        <v>154</v>
      </c>
      <c r="I208" s="44" t="s">
        <v>885</v>
      </c>
      <c r="J208" s="45" t="s">
        <v>947</v>
      </c>
      <c r="K208" s="45" t="s">
        <v>949</v>
      </c>
      <c r="L208" s="31" t="n">
        <f aca="false">COUNTIF($B$3:$B$2205,$B208)</f>
        <v>1</v>
      </c>
      <c r="M208" s="44" t="str">
        <f aca="false">IFERROR(INDEX(SENTENCES!$T$3:$T$1802,MATCH($F208,SENTENCES!$A$3:$A$1802,0)),"")</f>
        <v>• Chưa tới</v>
      </c>
    </row>
    <row r="209" customFormat="false" ht="15" hidden="false" customHeight="false" outlineLevel="0" collapsed="false">
      <c r="A209" s="31" t="n">
        <v>207</v>
      </c>
      <c r="B209" s="43" t="s">
        <v>11084</v>
      </c>
      <c r="C209" s="34" t="s">
        <v>11085</v>
      </c>
      <c r="D209" s="44" t="s">
        <v>10686</v>
      </c>
      <c r="E209" s="31"/>
      <c r="F209" s="31" t="s">
        <v>950</v>
      </c>
      <c r="G209" s="31" t="n">
        <v>7</v>
      </c>
      <c r="H209" s="31" t="s">
        <v>154</v>
      </c>
      <c r="I209" s="44" t="s">
        <v>885</v>
      </c>
      <c r="J209" s="45" t="s">
        <v>952</v>
      </c>
      <c r="K209" s="45" t="s">
        <v>954</v>
      </c>
      <c r="L209" s="31" t="n">
        <f aca="false">COUNTIF($B$3:$B$2205,$B209)</f>
        <v>4</v>
      </c>
      <c r="M209" s="44" t="str">
        <f aca="false">IFERROR(INDEX(SENTENCES!$T$3:$T$1802,MATCH($F209,SENTENCES!$A$3:$A$1802,0)),"")</f>
        <v>• Chưa tới</v>
      </c>
    </row>
    <row r="210" customFormat="false" ht="15" hidden="false" customHeight="false" outlineLevel="0" collapsed="false">
      <c r="A210" s="31" t="n">
        <v>208</v>
      </c>
      <c r="B210" s="43" t="s">
        <v>11086</v>
      </c>
      <c r="C210" s="34" t="s">
        <v>11087</v>
      </c>
      <c r="D210" s="44" t="s">
        <v>10681</v>
      </c>
      <c r="E210" s="31"/>
      <c r="F210" s="31" t="s">
        <v>956</v>
      </c>
      <c r="G210" s="31" t="n">
        <v>7</v>
      </c>
      <c r="H210" s="31" t="s">
        <v>154</v>
      </c>
      <c r="I210" s="44" t="s">
        <v>885</v>
      </c>
      <c r="J210" s="45" t="s">
        <v>958</v>
      </c>
      <c r="K210" s="45" t="s">
        <v>960</v>
      </c>
      <c r="L210" s="31" t="n">
        <f aca="false">COUNTIF($B$3:$B$2205,$B210)</f>
        <v>1</v>
      </c>
      <c r="M210" s="44" t="str">
        <f aca="false">IFERROR(INDEX(SENTENCES!$T$3:$T$1802,MATCH($F210,SENTENCES!$A$3:$A$1802,0)),"")</f>
        <v>• Chưa tới</v>
      </c>
    </row>
    <row r="211" customFormat="false" ht="15" hidden="false" customHeight="false" outlineLevel="0" collapsed="false">
      <c r="A211" s="31" t="n">
        <v>209</v>
      </c>
      <c r="B211" s="43" t="s">
        <v>11088</v>
      </c>
      <c r="C211" s="34" t="s">
        <v>11089</v>
      </c>
      <c r="D211" s="44" t="s">
        <v>10686</v>
      </c>
      <c r="E211" s="31"/>
      <c r="F211" s="31" t="s">
        <v>962</v>
      </c>
      <c r="G211" s="31" t="n">
        <v>7</v>
      </c>
      <c r="H211" s="31" t="s">
        <v>154</v>
      </c>
      <c r="I211" s="44" t="s">
        <v>885</v>
      </c>
      <c r="J211" s="45" t="s">
        <v>964</v>
      </c>
      <c r="K211" s="45" t="s">
        <v>966</v>
      </c>
      <c r="L211" s="31" t="n">
        <f aca="false">COUNTIF($B$3:$B$2205,$B211)</f>
        <v>2</v>
      </c>
      <c r="M211" s="44" t="str">
        <f aca="false">IFERROR(INDEX(SENTENCES!$T$3:$T$1802,MATCH($F211,SENTENCES!$A$3:$A$1802,0)),"")</f>
        <v>• Chưa tới</v>
      </c>
    </row>
    <row r="212" customFormat="false" ht="15" hidden="false" customHeight="false" outlineLevel="0" collapsed="false">
      <c r="A212" s="31" t="n">
        <v>210</v>
      </c>
      <c r="B212" s="43" t="s">
        <v>11090</v>
      </c>
      <c r="C212" s="34" t="s">
        <v>11091</v>
      </c>
      <c r="D212" s="44" t="s">
        <v>10681</v>
      </c>
      <c r="E212" s="31"/>
      <c r="F212" s="31" t="s">
        <v>962</v>
      </c>
      <c r="G212" s="31" t="n">
        <v>7</v>
      </c>
      <c r="H212" s="31" t="s">
        <v>154</v>
      </c>
      <c r="I212" s="44" t="s">
        <v>885</v>
      </c>
      <c r="J212" s="45" t="s">
        <v>964</v>
      </c>
      <c r="K212" s="45" t="s">
        <v>966</v>
      </c>
      <c r="L212" s="31" t="n">
        <f aca="false">COUNTIF($B$3:$B$2205,$B212)</f>
        <v>3</v>
      </c>
      <c r="M212" s="44" t="str">
        <f aca="false">IFERROR(INDEX(SENTENCES!$T$3:$T$1802,MATCH($F212,SENTENCES!$A$3:$A$1802,0)),"")</f>
        <v>• Chưa tới</v>
      </c>
    </row>
    <row r="213" customFormat="false" ht="15" hidden="false" customHeight="false" outlineLevel="0" collapsed="false">
      <c r="A213" s="31" t="n">
        <v>211</v>
      </c>
      <c r="B213" s="43" t="s">
        <v>11092</v>
      </c>
      <c r="C213" s="34" t="s">
        <v>11093</v>
      </c>
      <c r="D213" s="44" t="s">
        <v>10677</v>
      </c>
      <c r="E213" s="31" t="s">
        <v>10747</v>
      </c>
      <c r="F213" s="31" t="s">
        <v>968</v>
      </c>
      <c r="G213" s="31" t="n">
        <v>7</v>
      </c>
      <c r="H213" s="31" t="s">
        <v>154</v>
      </c>
      <c r="I213" s="44" t="s">
        <v>885</v>
      </c>
      <c r="J213" s="45" t="s">
        <v>970</v>
      </c>
      <c r="K213" s="45" t="s">
        <v>972</v>
      </c>
      <c r="L213" s="31" t="n">
        <f aca="false">COUNTIF($B$3:$B$2205,$B213)</f>
        <v>2</v>
      </c>
      <c r="M213" s="44" t="str">
        <f aca="false">IFERROR(INDEX(SENTENCES!$T$3:$T$1802,MATCH($F213,SENTENCES!$A$3:$A$1802,0)),"")</f>
        <v>• Chưa tới</v>
      </c>
    </row>
    <row r="214" customFormat="false" ht="15" hidden="false" customHeight="false" outlineLevel="0" collapsed="false">
      <c r="A214" s="31" t="n">
        <v>212</v>
      </c>
      <c r="B214" s="43" t="s">
        <v>10933</v>
      </c>
      <c r="C214" s="34" t="s">
        <v>11094</v>
      </c>
      <c r="D214" s="44" t="s">
        <v>10677</v>
      </c>
      <c r="E214" s="31" t="s">
        <v>10707</v>
      </c>
      <c r="F214" s="31" t="s">
        <v>974</v>
      </c>
      <c r="G214" s="31" t="n">
        <v>7</v>
      </c>
      <c r="H214" s="31" t="s">
        <v>154</v>
      </c>
      <c r="I214" s="44" t="s">
        <v>885</v>
      </c>
      <c r="J214" s="45" t="s">
        <v>976</v>
      </c>
      <c r="K214" s="45" t="s">
        <v>978</v>
      </c>
      <c r="L214" s="31" t="n">
        <f aca="false">COUNTIF($B$3:$B$2205,$B214)</f>
        <v>2</v>
      </c>
      <c r="M214" s="44" t="str">
        <f aca="false">IFERROR(INDEX(SENTENCES!$T$3:$T$1802,MATCH($F214,SENTENCES!$A$3:$A$1802,0)),"")</f>
        <v>• Chưa tới</v>
      </c>
    </row>
    <row r="215" customFormat="false" ht="15" hidden="false" customHeight="false" outlineLevel="0" collapsed="false">
      <c r="A215" s="31" t="n">
        <v>213</v>
      </c>
      <c r="B215" s="43" t="s">
        <v>10812</v>
      </c>
      <c r="C215" s="34" t="s">
        <v>10813</v>
      </c>
      <c r="D215" s="44" t="s">
        <v>10686</v>
      </c>
      <c r="E215" s="31"/>
      <c r="F215" s="31" t="s">
        <v>980</v>
      </c>
      <c r="G215" s="31" t="n">
        <v>7</v>
      </c>
      <c r="H215" s="31" t="s">
        <v>154</v>
      </c>
      <c r="I215" s="44" t="s">
        <v>885</v>
      </c>
      <c r="J215" s="45" t="s">
        <v>982</v>
      </c>
      <c r="K215" s="45" t="s">
        <v>984</v>
      </c>
      <c r="L215" s="31" t="n">
        <f aca="false">COUNTIF($B$3:$B$2205,$B215)</f>
        <v>3</v>
      </c>
      <c r="M215" s="44" t="str">
        <f aca="false">IFERROR(INDEX(SENTENCES!$T$3:$T$1802,MATCH($F215,SENTENCES!$A$3:$A$1802,0)),"")</f>
        <v>• Chưa tới</v>
      </c>
    </row>
    <row r="216" customFormat="false" ht="15" hidden="false" customHeight="false" outlineLevel="0" collapsed="false">
      <c r="A216" s="31" t="n">
        <v>214</v>
      </c>
      <c r="B216" s="43" t="s">
        <v>10921</v>
      </c>
      <c r="C216" s="34" t="s">
        <v>10922</v>
      </c>
      <c r="D216" s="44" t="s">
        <v>10677</v>
      </c>
      <c r="E216" s="31" t="s">
        <v>10678</v>
      </c>
      <c r="F216" s="31" t="s">
        <v>986</v>
      </c>
      <c r="G216" s="31" t="n">
        <v>7</v>
      </c>
      <c r="H216" s="31" t="s">
        <v>154</v>
      </c>
      <c r="I216" s="44" t="s">
        <v>885</v>
      </c>
      <c r="J216" s="45" t="s">
        <v>988</v>
      </c>
      <c r="K216" s="45" t="s">
        <v>990</v>
      </c>
      <c r="L216" s="31" t="n">
        <f aca="false">COUNTIF($B$3:$B$2205,$B216)</f>
        <v>2</v>
      </c>
      <c r="M216" s="44" t="str">
        <f aca="false">IFERROR(INDEX(SENTENCES!$T$3:$T$1802,MATCH($F216,SENTENCES!$A$3:$A$1802,0)),"")</f>
        <v>• Chưa tới</v>
      </c>
    </row>
    <row r="217" customFormat="false" ht="15" hidden="false" customHeight="false" outlineLevel="0" collapsed="false">
      <c r="A217" s="31" t="n">
        <v>215</v>
      </c>
      <c r="B217" s="43" t="s">
        <v>10849</v>
      </c>
      <c r="C217" s="34" t="s">
        <v>10850</v>
      </c>
      <c r="D217" s="44" t="s">
        <v>10686</v>
      </c>
      <c r="E217" s="31"/>
      <c r="F217" s="31" t="s">
        <v>992</v>
      </c>
      <c r="G217" s="31" t="n">
        <v>7</v>
      </c>
      <c r="H217" s="31" t="s">
        <v>154</v>
      </c>
      <c r="I217" s="44" t="s">
        <v>885</v>
      </c>
      <c r="J217" s="45" t="s">
        <v>994</v>
      </c>
      <c r="K217" s="45" t="s">
        <v>996</v>
      </c>
      <c r="L217" s="31" t="n">
        <f aca="false">COUNTIF($B$3:$B$2205,$B217)</f>
        <v>4</v>
      </c>
      <c r="M217" s="44" t="str">
        <f aca="false">IFERROR(INDEX(SENTENCES!$T$3:$T$1802,MATCH($F217,SENTENCES!$A$3:$A$1802,0)),"")</f>
        <v>• Chưa tới</v>
      </c>
    </row>
    <row r="218" customFormat="false" ht="15" hidden="false" customHeight="false" outlineLevel="0" collapsed="false">
      <c r="A218" s="31" t="n">
        <v>216</v>
      </c>
      <c r="B218" s="43" t="s">
        <v>11095</v>
      </c>
      <c r="C218" s="34" t="s">
        <v>11096</v>
      </c>
      <c r="D218" s="44" t="s">
        <v>10681</v>
      </c>
      <c r="E218" s="31"/>
      <c r="F218" s="31" t="s">
        <v>998</v>
      </c>
      <c r="G218" s="31" t="n">
        <v>7</v>
      </c>
      <c r="H218" s="31" t="s">
        <v>154</v>
      </c>
      <c r="I218" s="44" t="s">
        <v>885</v>
      </c>
      <c r="J218" s="45" t="s">
        <v>1001</v>
      </c>
      <c r="K218" s="45" t="s">
        <v>1003</v>
      </c>
      <c r="L218" s="31" t="n">
        <f aca="false">COUNTIF($B$3:$B$2205,$B218)</f>
        <v>3</v>
      </c>
      <c r="M218" s="44" t="str">
        <f aca="false">IFERROR(INDEX(SENTENCES!$T$3:$T$1802,MATCH($F218,SENTENCES!$A$3:$A$1802,0)),"")</f>
        <v>• Chưa tới</v>
      </c>
    </row>
    <row r="219" customFormat="false" ht="15" hidden="false" customHeight="false" outlineLevel="0" collapsed="false">
      <c r="A219" s="31" t="n">
        <v>217</v>
      </c>
      <c r="B219" s="43" t="s">
        <v>11097</v>
      </c>
      <c r="C219" s="34" t="s">
        <v>11098</v>
      </c>
      <c r="D219" s="44" t="s">
        <v>10677</v>
      </c>
      <c r="E219" s="31" t="s">
        <v>10678</v>
      </c>
      <c r="F219" s="31" t="s">
        <v>1005</v>
      </c>
      <c r="G219" s="31" t="n">
        <v>8</v>
      </c>
      <c r="H219" s="31" t="s">
        <v>154</v>
      </c>
      <c r="I219" s="44" t="s">
        <v>1006</v>
      </c>
      <c r="J219" s="45" t="s">
        <v>1008</v>
      </c>
      <c r="K219" s="45" t="s">
        <v>1010</v>
      </c>
      <c r="L219" s="31" t="n">
        <f aca="false">COUNTIF($B$3:$B$2205,$B219)</f>
        <v>1</v>
      </c>
      <c r="M219" s="44" t="str">
        <f aca="false">IFERROR(INDEX(SENTENCES!$T$3:$T$1802,MATCH($F219,SENTENCES!$A$3:$A$1802,0)),"")</f>
        <v>• Chưa tới</v>
      </c>
    </row>
    <row r="220" customFormat="false" ht="15" hidden="false" customHeight="false" outlineLevel="0" collapsed="false">
      <c r="A220" s="31" t="n">
        <v>218</v>
      </c>
      <c r="B220" s="43" t="s">
        <v>11099</v>
      </c>
      <c r="C220" s="34" t="s">
        <v>11100</v>
      </c>
      <c r="D220" s="44" t="s">
        <v>10677</v>
      </c>
      <c r="E220" s="31" t="s">
        <v>10678</v>
      </c>
      <c r="F220" s="31" t="s">
        <v>1012</v>
      </c>
      <c r="G220" s="31" t="n">
        <v>8</v>
      </c>
      <c r="H220" s="31" t="s">
        <v>154</v>
      </c>
      <c r="I220" s="44" t="s">
        <v>1006</v>
      </c>
      <c r="J220" s="45" t="s">
        <v>1013</v>
      </c>
      <c r="K220" s="45" t="s">
        <v>1015</v>
      </c>
      <c r="L220" s="31" t="n">
        <f aca="false">COUNTIF($B$3:$B$2205,$B220)</f>
        <v>1</v>
      </c>
      <c r="M220" s="44" t="str">
        <f aca="false">IFERROR(INDEX(SENTENCES!$T$3:$T$1802,MATCH($F220,SENTENCES!$A$3:$A$1802,0)),"")</f>
        <v>• Chưa tới</v>
      </c>
    </row>
    <row r="221" customFormat="false" ht="15" hidden="false" customHeight="false" outlineLevel="0" collapsed="false">
      <c r="A221" s="31" t="n">
        <v>219</v>
      </c>
      <c r="B221" s="43" t="s">
        <v>11101</v>
      </c>
      <c r="C221" s="34" t="s">
        <v>10934</v>
      </c>
      <c r="D221" s="44" t="s">
        <v>10677</v>
      </c>
      <c r="E221" s="31" t="s">
        <v>10707</v>
      </c>
      <c r="F221" s="31" t="s">
        <v>1017</v>
      </c>
      <c r="G221" s="31" t="n">
        <v>8</v>
      </c>
      <c r="H221" s="31" t="s">
        <v>154</v>
      </c>
      <c r="I221" s="44" t="s">
        <v>1006</v>
      </c>
      <c r="J221" s="45" t="s">
        <v>1019</v>
      </c>
      <c r="K221" s="45" t="s">
        <v>1021</v>
      </c>
      <c r="L221" s="31" t="n">
        <f aca="false">COUNTIF($B$3:$B$2205,$B221)</f>
        <v>2</v>
      </c>
      <c r="M221" s="44" t="str">
        <f aca="false">IFERROR(INDEX(SENTENCES!$T$3:$T$1802,MATCH($F221,SENTENCES!$A$3:$A$1802,0)),"")</f>
        <v>• Chưa tới</v>
      </c>
    </row>
    <row r="222" customFormat="false" ht="15" hidden="false" customHeight="false" outlineLevel="0" collapsed="false">
      <c r="A222" s="31" t="n">
        <v>220</v>
      </c>
      <c r="B222" s="43" t="s">
        <v>11102</v>
      </c>
      <c r="C222" s="34" t="s">
        <v>11103</v>
      </c>
      <c r="D222" s="44" t="s">
        <v>10677</v>
      </c>
      <c r="E222" s="31" t="s">
        <v>10707</v>
      </c>
      <c r="F222" s="31" t="s">
        <v>1017</v>
      </c>
      <c r="G222" s="31" t="n">
        <v>8</v>
      </c>
      <c r="H222" s="31" t="s">
        <v>154</v>
      </c>
      <c r="I222" s="44" t="s">
        <v>1006</v>
      </c>
      <c r="J222" s="45" t="s">
        <v>1019</v>
      </c>
      <c r="K222" s="45" t="s">
        <v>1021</v>
      </c>
      <c r="L222" s="31" t="n">
        <f aca="false">COUNTIF($B$3:$B$2205,$B222)</f>
        <v>1</v>
      </c>
      <c r="M222" s="44" t="str">
        <f aca="false">IFERROR(INDEX(SENTENCES!$T$3:$T$1802,MATCH($F222,SENTENCES!$A$3:$A$1802,0)),"")</f>
        <v>• Chưa tới</v>
      </c>
    </row>
    <row r="223" customFormat="false" ht="15" hidden="false" customHeight="false" outlineLevel="0" collapsed="false">
      <c r="A223" s="31" t="n">
        <v>221</v>
      </c>
      <c r="B223" s="43" t="s">
        <v>11104</v>
      </c>
      <c r="C223" s="34" t="s">
        <v>11105</v>
      </c>
      <c r="D223" s="44" t="s">
        <v>10686</v>
      </c>
      <c r="E223" s="31"/>
      <c r="F223" s="31" t="s">
        <v>1023</v>
      </c>
      <c r="G223" s="31" t="n">
        <v>8</v>
      </c>
      <c r="H223" s="31" t="s">
        <v>154</v>
      </c>
      <c r="I223" s="44" t="s">
        <v>1006</v>
      </c>
      <c r="J223" s="45" t="s">
        <v>1025</v>
      </c>
      <c r="K223" s="45" t="s">
        <v>1027</v>
      </c>
      <c r="L223" s="31" t="n">
        <f aca="false">COUNTIF($B$3:$B$2205,$B223)</f>
        <v>5</v>
      </c>
      <c r="M223" s="44" t="str">
        <f aca="false">IFERROR(INDEX(SENTENCES!$T$3:$T$1802,MATCH($F223,SENTENCES!$A$3:$A$1802,0)),"")</f>
        <v>• Chưa tới</v>
      </c>
    </row>
    <row r="224" customFormat="false" ht="15" hidden="false" customHeight="false" outlineLevel="0" collapsed="false">
      <c r="A224" s="31" t="n">
        <v>222</v>
      </c>
      <c r="B224" s="43" t="s">
        <v>11106</v>
      </c>
      <c r="C224" s="34" t="s">
        <v>10962</v>
      </c>
      <c r="D224" s="44" t="s">
        <v>10677</v>
      </c>
      <c r="E224" s="31" t="s">
        <v>10707</v>
      </c>
      <c r="F224" s="31" t="s">
        <v>1023</v>
      </c>
      <c r="G224" s="31" t="n">
        <v>8</v>
      </c>
      <c r="H224" s="31" t="s">
        <v>154</v>
      </c>
      <c r="I224" s="44" t="s">
        <v>1006</v>
      </c>
      <c r="J224" s="45" t="s">
        <v>1025</v>
      </c>
      <c r="K224" s="45" t="s">
        <v>1027</v>
      </c>
      <c r="L224" s="31" t="n">
        <f aca="false">COUNTIF($B$3:$B$2205,$B224)</f>
        <v>1</v>
      </c>
      <c r="M224" s="44" t="str">
        <f aca="false">IFERROR(INDEX(SENTENCES!$T$3:$T$1802,MATCH($F224,SENTENCES!$A$3:$A$1802,0)),"")</f>
        <v>• Chưa tới</v>
      </c>
    </row>
    <row r="225" customFormat="false" ht="15" hidden="false" customHeight="false" outlineLevel="0" collapsed="false">
      <c r="A225" s="31" t="n">
        <v>223</v>
      </c>
      <c r="B225" s="43" t="s">
        <v>11107</v>
      </c>
      <c r="C225" s="34" t="s">
        <v>11108</v>
      </c>
      <c r="D225" s="44" t="s">
        <v>10677</v>
      </c>
      <c r="E225" s="31" t="s">
        <v>10678</v>
      </c>
      <c r="F225" s="31" t="s">
        <v>1029</v>
      </c>
      <c r="G225" s="31" t="n">
        <v>8</v>
      </c>
      <c r="H225" s="31" t="s">
        <v>154</v>
      </c>
      <c r="I225" s="44" t="s">
        <v>1006</v>
      </c>
      <c r="J225" s="45" t="s">
        <v>1031</v>
      </c>
      <c r="K225" s="45" t="s">
        <v>1033</v>
      </c>
      <c r="L225" s="31" t="n">
        <f aca="false">COUNTIF($B$3:$B$2205,$B225)</f>
        <v>1</v>
      </c>
      <c r="M225" s="44" t="str">
        <f aca="false">IFERROR(INDEX(SENTENCES!$T$3:$T$1802,MATCH($F225,SENTENCES!$A$3:$A$1802,0)),"")</f>
        <v>• Chưa tới</v>
      </c>
    </row>
    <row r="226" customFormat="false" ht="15" hidden="false" customHeight="false" outlineLevel="0" collapsed="false">
      <c r="A226" s="31" t="n">
        <v>224</v>
      </c>
      <c r="B226" s="43" t="s">
        <v>11109</v>
      </c>
      <c r="C226" s="34" t="s">
        <v>11110</v>
      </c>
      <c r="D226" s="44" t="s">
        <v>10686</v>
      </c>
      <c r="E226" s="31"/>
      <c r="F226" s="31" t="s">
        <v>1035</v>
      </c>
      <c r="G226" s="31" t="n">
        <v>8</v>
      </c>
      <c r="H226" s="31" t="s">
        <v>154</v>
      </c>
      <c r="I226" s="44" t="s">
        <v>1006</v>
      </c>
      <c r="J226" s="45" t="s">
        <v>1037</v>
      </c>
      <c r="K226" s="45" t="s">
        <v>1039</v>
      </c>
      <c r="L226" s="31" t="n">
        <f aca="false">COUNTIF($B$3:$B$2205,$B226)</f>
        <v>2</v>
      </c>
      <c r="M226" s="44" t="str">
        <f aca="false">IFERROR(INDEX(SENTENCES!$T$3:$T$1802,MATCH($F226,SENTENCES!$A$3:$A$1802,0)),"")</f>
        <v>• Chưa tới</v>
      </c>
    </row>
    <row r="227" customFormat="false" ht="15" hidden="false" customHeight="false" outlineLevel="0" collapsed="false">
      <c r="A227" s="31" t="n">
        <v>225</v>
      </c>
      <c r="B227" s="43" t="s">
        <v>11111</v>
      </c>
      <c r="C227" s="34" t="s">
        <v>11112</v>
      </c>
      <c r="D227" s="44" t="s">
        <v>10677</v>
      </c>
      <c r="E227" s="31" t="s">
        <v>10707</v>
      </c>
      <c r="F227" s="31" t="s">
        <v>1041</v>
      </c>
      <c r="G227" s="31" t="n">
        <v>8</v>
      </c>
      <c r="H227" s="31" t="s">
        <v>154</v>
      </c>
      <c r="I227" s="44" t="s">
        <v>1006</v>
      </c>
      <c r="J227" s="45" t="s">
        <v>1043</v>
      </c>
      <c r="K227" s="45" t="s">
        <v>1045</v>
      </c>
      <c r="L227" s="31" t="n">
        <f aca="false">COUNTIF($B$3:$B$2205,$B227)</f>
        <v>1</v>
      </c>
      <c r="M227" s="44" t="str">
        <f aca="false">IFERROR(INDEX(SENTENCES!$T$3:$T$1802,MATCH($F227,SENTENCES!$A$3:$A$1802,0)),"")</f>
        <v>• Chưa tới</v>
      </c>
    </row>
    <row r="228" customFormat="false" ht="15" hidden="false" customHeight="false" outlineLevel="0" collapsed="false">
      <c r="A228" s="31" t="n">
        <v>226</v>
      </c>
      <c r="B228" s="43" t="s">
        <v>11113</v>
      </c>
      <c r="C228" s="34" t="s">
        <v>11114</v>
      </c>
      <c r="D228" s="44" t="s">
        <v>10677</v>
      </c>
      <c r="E228" s="31" t="s">
        <v>10747</v>
      </c>
      <c r="F228" s="31" t="s">
        <v>1047</v>
      </c>
      <c r="G228" s="31" t="n">
        <v>8</v>
      </c>
      <c r="H228" s="31" t="s">
        <v>154</v>
      </c>
      <c r="I228" s="44" t="s">
        <v>1006</v>
      </c>
      <c r="J228" s="45" t="s">
        <v>1049</v>
      </c>
      <c r="K228" s="45" t="s">
        <v>1051</v>
      </c>
      <c r="L228" s="31" t="n">
        <f aca="false">COUNTIF($B$3:$B$2205,$B228)</f>
        <v>1</v>
      </c>
      <c r="M228" s="44" t="str">
        <f aca="false">IFERROR(INDEX(SENTENCES!$T$3:$T$1802,MATCH($F228,SENTENCES!$A$3:$A$1802,0)),"")</f>
        <v>• Chưa tới</v>
      </c>
    </row>
    <row r="229" customFormat="false" ht="15" hidden="false" customHeight="false" outlineLevel="0" collapsed="false">
      <c r="A229" s="31" t="n">
        <v>227</v>
      </c>
      <c r="B229" s="43" t="s">
        <v>11115</v>
      </c>
      <c r="C229" s="34" t="s">
        <v>11116</v>
      </c>
      <c r="D229" s="44" t="s">
        <v>10677</v>
      </c>
      <c r="E229" s="31" t="s">
        <v>10678</v>
      </c>
      <c r="F229" s="31" t="s">
        <v>1053</v>
      </c>
      <c r="G229" s="31" t="n">
        <v>8</v>
      </c>
      <c r="H229" s="31" t="s">
        <v>154</v>
      </c>
      <c r="I229" s="44" t="s">
        <v>1006</v>
      </c>
      <c r="J229" s="45" t="s">
        <v>1054</v>
      </c>
      <c r="K229" s="45" t="s">
        <v>1056</v>
      </c>
      <c r="L229" s="31" t="n">
        <f aca="false">COUNTIF($B$3:$B$2205,$B229)</f>
        <v>2</v>
      </c>
      <c r="M229" s="44" t="str">
        <f aca="false">IFERROR(INDEX(SENTENCES!$T$3:$T$1802,MATCH($F229,SENTENCES!$A$3:$A$1802,0)),"")</f>
        <v>• Chưa tới</v>
      </c>
    </row>
    <row r="230" customFormat="false" ht="15" hidden="false" customHeight="false" outlineLevel="0" collapsed="false">
      <c r="A230" s="31" t="n">
        <v>228</v>
      </c>
      <c r="B230" s="43" t="s">
        <v>11117</v>
      </c>
      <c r="C230" s="34" t="s">
        <v>11118</v>
      </c>
      <c r="D230" s="44" t="s">
        <v>10681</v>
      </c>
      <c r="E230" s="31"/>
      <c r="F230" s="31" t="s">
        <v>1053</v>
      </c>
      <c r="G230" s="31" t="n">
        <v>8</v>
      </c>
      <c r="H230" s="31" t="s">
        <v>154</v>
      </c>
      <c r="I230" s="44" t="s">
        <v>1006</v>
      </c>
      <c r="J230" s="45" t="s">
        <v>1054</v>
      </c>
      <c r="K230" s="45" t="s">
        <v>1056</v>
      </c>
      <c r="L230" s="31" t="n">
        <f aca="false">COUNTIF($B$3:$B$2205,$B230)</f>
        <v>3</v>
      </c>
      <c r="M230" s="44" t="str">
        <f aca="false">IFERROR(INDEX(SENTENCES!$T$3:$T$1802,MATCH($F230,SENTENCES!$A$3:$A$1802,0)),"")</f>
        <v>• Chưa tới</v>
      </c>
    </row>
    <row r="231" customFormat="false" ht="15" hidden="false" customHeight="false" outlineLevel="0" collapsed="false">
      <c r="A231" s="31" t="n">
        <v>229</v>
      </c>
      <c r="B231" s="43" t="s">
        <v>11119</v>
      </c>
      <c r="C231" s="34" t="s">
        <v>11120</v>
      </c>
      <c r="D231" s="44" t="s">
        <v>10677</v>
      </c>
      <c r="E231" s="31" t="s">
        <v>10747</v>
      </c>
      <c r="F231" s="31" t="s">
        <v>1058</v>
      </c>
      <c r="G231" s="31" t="n">
        <v>8</v>
      </c>
      <c r="H231" s="31" t="s">
        <v>154</v>
      </c>
      <c r="I231" s="44" t="s">
        <v>1006</v>
      </c>
      <c r="J231" s="45" t="s">
        <v>1060</v>
      </c>
      <c r="K231" s="45" t="s">
        <v>1062</v>
      </c>
      <c r="L231" s="31" t="n">
        <f aca="false">COUNTIF($B$3:$B$2205,$B231)</f>
        <v>2</v>
      </c>
      <c r="M231" s="44" t="str">
        <f aca="false">IFERROR(INDEX(SENTENCES!$T$3:$T$1802,MATCH($F231,SENTENCES!$A$3:$A$1802,0)),"")</f>
        <v>• Chưa tới</v>
      </c>
    </row>
    <row r="232" customFormat="false" ht="15" hidden="false" customHeight="false" outlineLevel="0" collapsed="false">
      <c r="A232" s="31" t="n">
        <v>230</v>
      </c>
      <c r="B232" s="43" t="s">
        <v>11121</v>
      </c>
      <c r="C232" s="34" t="s">
        <v>11122</v>
      </c>
      <c r="D232" s="44" t="s">
        <v>10677</v>
      </c>
      <c r="E232" s="31" t="s">
        <v>10678</v>
      </c>
      <c r="F232" s="31" t="s">
        <v>1064</v>
      </c>
      <c r="G232" s="31" t="n">
        <v>8</v>
      </c>
      <c r="H232" s="31" t="s">
        <v>154</v>
      </c>
      <c r="I232" s="44" t="s">
        <v>1006</v>
      </c>
      <c r="J232" s="45" t="s">
        <v>1065</v>
      </c>
      <c r="K232" s="45" t="s">
        <v>1067</v>
      </c>
      <c r="L232" s="31" t="n">
        <f aca="false">COUNTIF($B$3:$B$2205,$B232)</f>
        <v>4</v>
      </c>
      <c r="M232" s="44" t="str">
        <f aca="false">IFERROR(INDEX(SENTENCES!$T$3:$T$1802,MATCH($F232,SENTENCES!$A$3:$A$1802,0)),"")</f>
        <v>• Chưa tới</v>
      </c>
    </row>
    <row r="233" customFormat="false" ht="15" hidden="false" customHeight="false" outlineLevel="0" collapsed="false">
      <c r="A233" s="31" t="n">
        <v>231</v>
      </c>
      <c r="B233" s="43" t="s">
        <v>11123</v>
      </c>
      <c r="C233" s="34" t="s">
        <v>11124</v>
      </c>
      <c r="D233" s="44" t="s">
        <v>10686</v>
      </c>
      <c r="E233" s="31"/>
      <c r="F233" s="31" t="s">
        <v>1064</v>
      </c>
      <c r="G233" s="31" t="n">
        <v>8</v>
      </c>
      <c r="H233" s="31" t="s">
        <v>154</v>
      </c>
      <c r="I233" s="44" t="s">
        <v>1006</v>
      </c>
      <c r="J233" s="45" t="s">
        <v>1065</v>
      </c>
      <c r="K233" s="45" t="s">
        <v>1067</v>
      </c>
      <c r="L233" s="31" t="n">
        <f aca="false">COUNTIF($B$3:$B$2205,$B233)</f>
        <v>3</v>
      </c>
      <c r="M233" s="44" t="str">
        <f aca="false">IFERROR(INDEX(SENTENCES!$T$3:$T$1802,MATCH($F233,SENTENCES!$A$3:$A$1802,0)),"")</f>
        <v>• Chưa tới</v>
      </c>
    </row>
    <row r="234" customFormat="false" ht="15" hidden="false" customHeight="false" outlineLevel="0" collapsed="false">
      <c r="A234" s="31" t="n">
        <v>232</v>
      </c>
      <c r="B234" s="43" t="s">
        <v>11125</v>
      </c>
      <c r="C234" s="34" t="s">
        <v>11126</v>
      </c>
      <c r="D234" s="44" t="s">
        <v>10677</v>
      </c>
      <c r="E234" s="31" t="s">
        <v>10707</v>
      </c>
      <c r="F234" s="31" t="s">
        <v>1069</v>
      </c>
      <c r="G234" s="31" t="n">
        <v>8</v>
      </c>
      <c r="H234" s="31" t="s">
        <v>154</v>
      </c>
      <c r="I234" s="44" t="s">
        <v>1006</v>
      </c>
      <c r="J234" s="45" t="s">
        <v>1070</v>
      </c>
      <c r="K234" s="45" t="s">
        <v>1072</v>
      </c>
      <c r="L234" s="31" t="n">
        <f aca="false">COUNTIF($B$3:$B$2205,$B234)</f>
        <v>1</v>
      </c>
      <c r="M234" s="44" t="str">
        <f aca="false">IFERROR(INDEX(SENTENCES!$T$3:$T$1802,MATCH($F234,SENTENCES!$A$3:$A$1802,0)),"")</f>
        <v>• Chưa tới</v>
      </c>
    </row>
    <row r="235" customFormat="false" ht="15" hidden="false" customHeight="false" outlineLevel="0" collapsed="false">
      <c r="A235" s="31" t="n">
        <v>233</v>
      </c>
      <c r="B235" s="43" t="s">
        <v>11127</v>
      </c>
      <c r="C235" s="34" t="s">
        <v>11128</v>
      </c>
      <c r="D235" s="44" t="s">
        <v>10677</v>
      </c>
      <c r="E235" s="31" t="s">
        <v>10747</v>
      </c>
      <c r="F235" s="31" t="s">
        <v>1074</v>
      </c>
      <c r="G235" s="31" t="n">
        <v>8</v>
      </c>
      <c r="H235" s="31" t="s">
        <v>154</v>
      </c>
      <c r="I235" s="44" t="s">
        <v>1006</v>
      </c>
      <c r="J235" s="45" t="s">
        <v>1075</v>
      </c>
      <c r="K235" s="45" t="s">
        <v>1077</v>
      </c>
      <c r="L235" s="31" t="n">
        <f aca="false">COUNTIF($B$3:$B$2205,$B235)</f>
        <v>2</v>
      </c>
      <c r="M235" s="44" t="str">
        <f aca="false">IFERROR(INDEX(SENTENCES!$T$3:$T$1802,MATCH($F235,SENTENCES!$A$3:$A$1802,0)),"")</f>
        <v>• Chưa tới</v>
      </c>
    </row>
    <row r="236" customFormat="false" ht="15" hidden="false" customHeight="false" outlineLevel="0" collapsed="false">
      <c r="A236" s="31" t="n">
        <v>234</v>
      </c>
      <c r="B236" s="43" t="s">
        <v>11129</v>
      </c>
      <c r="C236" s="34" t="s">
        <v>11130</v>
      </c>
      <c r="D236" s="44" t="s">
        <v>10681</v>
      </c>
      <c r="E236" s="31"/>
      <c r="F236" s="31" t="s">
        <v>1074</v>
      </c>
      <c r="G236" s="31" t="n">
        <v>8</v>
      </c>
      <c r="H236" s="31" t="s">
        <v>154</v>
      </c>
      <c r="I236" s="44" t="s">
        <v>1006</v>
      </c>
      <c r="J236" s="45" t="s">
        <v>1075</v>
      </c>
      <c r="K236" s="45" t="s">
        <v>1077</v>
      </c>
      <c r="L236" s="31" t="n">
        <f aca="false">COUNTIF($B$3:$B$2205,$B236)</f>
        <v>3</v>
      </c>
      <c r="M236" s="44" t="str">
        <f aca="false">IFERROR(INDEX(SENTENCES!$T$3:$T$1802,MATCH($F236,SENTENCES!$A$3:$A$1802,0)),"")</f>
        <v>• Chưa tới</v>
      </c>
    </row>
    <row r="237" customFormat="false" ht="15" hidden="false" customHeight="false" outlineLevel="0" collapsed="false">
      <c r="A237" s="31" t="n">
        <v>235</v>
      </c>
      <c r="B237" s="43" t="s">
        <v>11131</v>
      </c>
      <c r="C237" s="34" t="s">
        <v>11132</v>
      </c>
      <c r="D237" s="44" t="s">
        <v>10677</v>
      </c>
      <c r="E237" s="31" t="s">
        <v>10678</v>
      </c>
      <c r="F237" s="31" t="s">
        <v>1079</v>
      </c>
      <c r="G237" s="31" t="n">
        <v>8</v>
      </c>
      <c r="H237" s="31" t="s">
        <v>154</v>
      </c>
      <c r="I237" s="44" t="s">
        <v>1006</v>
      </c>
      <c r="J237" s="45" t="s">
        <v>1081</v>
      </c>
      <c r="K237" s="45" t="s">
        <v>1083</v>
      </c>
      <c r="L237" s="31" t="n">
        <f aca="false">COUNTIF($B$3:$B$2205,$B237)</f>
        <v>2</v>
      </c>
      <c r="M237" s="44" t="str">
        <f aca="false">IFERROR(INDEX(SENTENCES!$T$3:$T$1802,MATCH($F237,SENTENCES!$A$3:$A$1802,0)),"")</f>
        <v>• Chưa tới</v>
      </c>
    </row>
    <row r="238" customFormat="false" ht="15" hidden="false" customHeight="false" outlineLevel="0" collapsed="false">
      <c r="A238" s="31" t="n">
        <v>236</v>
      </c>
      <c r="B238" s="43" t="s">
        <v>11133</v>
      </c>
      <c r="C238" s="34" t="s">
        <v>11134</v>
      </c>
      <c r="D238" s="44" t="s">
        <v>10681</v>
      </c>
      <c r="E238" s="31"/>
      <c r="F238" s="31" t="s">
        <v>1079</v>
      </c>
      <c r="G238" s="31" t="n">
        <v>8</v>
      </c>
      <c r="H238" s="31" t="s">
        <v>154</v>
      </c>
      <c r="I238" s="44" t="s">
        <v>1006</v>
      </c>
      <c r="J238" s="45" t="s">
        <v>1081</v>
      </c>
      <c r="K238" s="45" t="s">
        <v>1083</v>
      </c>
      <c r="L238" s="31" t="n">
        <f aca="false">COUNTIF($B$3:$B$2205,$B238)</f>
        <v>1</v>
      </c>
      <c r="M238" s="44" t="str">
        <f aca="false">IFERROR(INDEX(SENTENCES!$T$3:$T$1802,MATCH($F238,SENTENCES!$A$3:$A$1802,0)),"")</f>
        <v>• Chưa tới</v>
      </c>
    </row>
    <row r="239" customFormat="false" ht="15" hidden="false" customHeight="false" outlineLevel="0" collapsed="false">
      <c r="A239" s="31" t="n">
        <v>237</v>
      </c>
      <c r="B239" s="43" t="s">
        <v>11135</v>
      </c>
      <c r="C239" s="34" t="s">
        <v>11136</v>
      </c>
      <c r="D239" s="44" t="s">
        <v>10686</v>
      </c>
      <c r="E239" s="31"/>
      <c r="F239" s="31" t="s">
        <v>1085</v>
      </c>
      <c r="G239" s="31" t="n">
        <v>8</v>
      </c>
      <c r="H239" s="31" t="s">
        <v>154</v>
      </c>
      <c r="I239" s="44" t="s">
        <v>1006</v>
      </c>
      <c r="J239" s="45" t="s">
        <v>1087</v>
      </c>
      <c r="K239" s="45" t="s">
        <v>1089</v>
      </c>
      <c r="L239" s="31" t="n">
        <f aca="false">COUNTIF($B$3:$B$2205,$B239)</f>
        <v>4</v>
      </c>
      <c r="M239" s="44" t="str">
        <f aca="false">IFERROR(INDEX(SENTENCES!$T$3:$T$1802,MATCH($F239,SENTENCES!$A$3:$A$1802,0)),"")</f>
        <v>• Chưa tới</v>
      </c>
    </row>
    <row r="240" customFormat="false" ht="15" hidden="false" customHeight="false" outlineLevel="0" collapsed="false">
      <c r="A240" s="31" t="n">
        <v>238</v>
      </c>
      <c r="B240" s="43" t="s">
        <v>11137</v>
      </c>
      <c r="C240" s="34" t="s">
        <v>11138</v>
      </c>
      <c r="D240" s="44" t="s">
        <v>10686</v>
      </c>
      <c r="E240" s="31"/>
      <c r="F240" s="31" t="s">
        <v>1091</v>
      </c>
      <c r="G240" s="31" t="n">
        <v>8</v>
      </c>
      <c r="H240" s="31" t="s">
        <v>154</v>
      </c>
      <c r="I240" s="44" t="s">
        <v>1006</v>
      </c>
      <c r="J240" s="45" t="s">
        <v>1093</v>
      </c>
      <c r="K240" s="45" t="s">
        <v>1095</v>
      </c>
      <c r="L240" s="31" t="n">
        <f aca="false">COUNTIF($B$3:$B$2205,$B240)</f>
        <v>2</v>
      </c>
      <c r="M240" s="44" t="str">
        <f aca="false">IFERROR(INDEX(SENTENCES!$T$3:$T$1802,MATCH($F240,SENTENCES!$A$3:$A$1802,0)),"")</f>
        <v>• Chưa tới</v>
      </c>
    </row>
    <row r="241" customFormat="false" ht="15" hidden="false" customHeight="false" outlineLevel="0" collapsed="false">
      <c r="A241" s="31" t="n">
        <v>239</v>
      </c>
      <c r="B241" s="43" t="s">
        <v>10727</v>
      </c>
      <c r="C241" s="34" t="s">
        <v>10728</v>
      </c>
      <c r="D241" s="44" t="s">
        <v>10681</v>
      </c>
      <c r="E241" s="31"/>
      <c r="F241" s="31" t="s">
        <v>1097</v>
      </c>
      <c r="G241" s="31" t="n">
        <v>8</v>
      </c>
      <c r="H241" s="31" t="s">
        <v>154</v>
      </c>
      <c r="I241" s="44" t="s">
        <v>1006</v>
      </c>
      <c r="J241" s="45" t="s">
        <v>1099</v>
      </c>
      <c r="K241" s="45" t="s">
        <v>1101</v>
      </c>
      <c r="L241" s="31" t="n">
        <f aca="false">COUNTIF($B$3:$B$2205,$B241)</f>
        <v>3</v>
      </c>
      <c r="M241" s="44" t="str">
        <f aca="false">IFERROR(INDEX(SENTENCES!$T$3:$T$1802,MATCH($F241,SENTENCES!$A$3:$A$1802,0)),"")</f>
        <v>• Chưa tới</v>
      </c>
    </row>
    <row r="242" customFormat="false" ht="15" hidden="false" customHeight="false" outlineLevel="0" collapsed="false">
      <c r="A242" s="31" t="n">
        <v>240</v>
      </c>
      <c r="B242" s="43" t="s">
        <v>11139</v>
      </c>
      <c r="C242" s="34" t="s">
        <v>11140</v>
      </c>
      <c r="D242" s="44" t="s">
        <v>10677</v>
      </c>
      <c r="E242" s="31" t="s">
        <v>10678</v>
      </c>
      <c r="F242" s="31" t="s">
        <v>1103</v>
      </c>
      <c r="G242" s="31" t="n">
        <v>8</v>
      </c>
      <c r="H242" s="31" t="s">
        <v>154</v>
      </c>
      <c r="I242" s="44" t="s">
        <v>1006</v>
      </c>
      <c r="J242" s="45" t="s">
        <v>1105</v>
      </c>
      <c r="K242" s="45" t="s">
        <v>1107</v>
      </c>
      <c r="L242" s="31" t="n">
        <f aca="false">COUNTIF($B$3:$B$2205,$B242)</f>
        <v>1</v>
      </c>
      <c r="M242" s="44" t="str">
        <f aca="false">IFERROR(INDEX(SENTENCES!$T$3:$T$1802,MATCH($F242,SENTENCES!$A$3:$A$1802,0)),"")</f>
        <v>• Chưa tới</v>
      </c>
    </row>
    <row r="243" customFormat="false" ht="15" hidden="false" customHeight="false" outlineLevel="0" collapsed="false">
      <c r="A243" s="31" t="n">
        <v>241</v>
      </c>
      <c r="B243" s="43" t="s">
        <v>11141</v>
      </c>
      <c r="C243" s="34" t="s">
        <v>11142</v>
      </c>
      <c r="D243" s="44" t="s">
        <v>10686</v>
      </c>
      <c r="E243" s="31"/>
      <c r="F243" s="31" t="s">
        <v>1109</v>
      </c>
      <c r="G243" s="31" t="n">
        <v>8</v>
      </c>
      <c r="H243" s="31" t="s">
        <v>154</v>
      </c>
      <c r="I243" s="44" t="s">
        <v>1006</v>
      </c>
      <c r="J243" s="45" t="s">
        <v>1111</v>
      </c>
      <c r="K243" s="45" t="s">
        <v>1113</v>
      </c>
      <c r="L243" s="31" t="n">
        <f aca="false">COUNTIF($B$3:$B$2205,$B243)</f>
        <v>2</v>
      </c>
      <c r="M243" s="44" t="str">
        <f aca="false">IFERROR(INDEX(SENTENCES!$T$3:$T$1802,MATCH($F243,SENTENCES!$A$3:$A$1802,0)),"")</f>
        <v>• Chưa tới</v>
      </c>
    </row>
    <row r="244" customFormat="false" ht="15" hidden="false" customHeight="false" outlineLevel="0" collapsed="false">
      <c r="A244" s="31" t="n">
        <v>242</v>
      </c>
      <c r="B244" s="43" t="s">
        <v>11143</v>
      </c>
      <c r="C244" s="34" t="s">
        <v>11144</v>
      </c>
      <c r="D244" s="44" t="s">
        <v>10681</v>
      </c>
      <c r="E244" s="31"/>
      <c r="F244" s="31" t="s">
        <v>1109</v>
      </c>
      <c r="G244" s="31" t="n">
        <v>8</v>
      </c>
      <c r="H244" s="31" t="s">
        <v>154</v>
      </c>
      <c r="I244" s="44" t="s">
        <v>1006</v>
      </c>
      <c r="J244" s="45" t="s">
        <v>1111</v>
      </c>
      <c r="K244" s="45" t="s">
        <v>1113</v>
      </c>
      <c r="L244" s="31" t="n">
        <f aca="false">COUNTIF($B$3:$B$2205,$B244)</f>
        <v>2</v>
      </c>
      <c r="M244" s="44" t="str">
        <f aca="false">IFERROR(INDEX(SENTENCES!$T$3:$T$1802,MATCH($F244,SENTENCES!$A$3:$A$1802,0)),"")</f>
        <v>• Chưa tới</v>
      </c>
    </row>
    <row r="245" customFormat="false" ht="15" hidden="false" customHeight="false" outlineLevel="0" collapsed="false">
      <c r="A245" s="31" t="n">
        <v>243</v>
      </c>
      <c r="B245" s="43" t="s">
        <v>11145</v>
      </c>
      <c r="C245" s="34" t="s">
        <v>11146</v>
      </c>
      <c r="D245" s="44" t="s">
        <v>10794</v>
      </c>
      <c r="E245" s="31"/>
      <c r="F245" s="31" t="s">
        <v>1115</v>
      </c>
      <c r="G245" s="31" t="n">
        <v>8</v>
      </c>
      <c r="H245" s="31" t="s">
        <v>154</v>
      </c>
      <c r="I245" s="44" t="s">
        <v>1006</v>
      </c>
      <c r="J245" s="45" t="s">
        <v>1117</v>
      </c>
      <c r="K245" s="45" t="s">
        <v>1119</v>
      </c>
      <c r="L245" s="31" t="n">
        <f aca="false">COUNTIF($B$3:$B$2205,$B245)</f>
        <v>1</v>
      </c>
      <c r="M245" s="44" t="str">
        <f aca="false">IFERROR(INDEX(SENTENCES!$T$3:$T$1802,MATCH($F245,SENTENCES!$A$3:$A$1802,0)),"")</f>
        <v>• Chưa tới</v>
      </c>
    </row>
    <row r="246" customFormat="false" ht="15" hidden="false" customHeight="false" outlineLevel="0" collapsed="false">
      <c r="A246" s="31" t="n">
        <v>244</v>
      </c>
      <c r="B246" s="43" t="s">
        <v>11147</v>
      </c>
      <c r="C246" s="34" t="s">
        <v>11148</v>
      </c>
      <c r="D246" s="44" t="s">
        <v>10677</v>
      </c>
      <c r="E246" s="31" t="s">
        <v>10678</v>
      </c>
      <c r="F246" s="31" t="s">
        <v>1115</v>
      </c>
      <c r="G246" s="31" t="n">
        <v>8</v>
      </c>
      <c r="H246" s="31" t="s">
        <v>154</v>
      </c>
      <c r="I246" s="44" t="s">
        <v>1006</v>
      </c>
      <c r="J246" s="45" t="s">
        <v>1117</v>
      </c>
      <c r="K246" s="45" t="s">
        <v>1119</v>
      </c>
      <c r="L246" s="31" t="n">
        <f aca="false">COUNTIF($B$3:$B$2205,$B246)</f>
        <v>1</v>
      </c>
      <c r="M246" s="44" t="str">
        <f aca="false">IFERROR(INDEX(SENTENCES!$T$3:$T$1802,MATCH($F246,SENTENCES!$A$3:$A$1802,0)),"")</f>
        <v>• Chưa tới</v>
      </c>
    </row>
    <row r="247" customFormat="false" ht="15" hidden="false" customHeight="false" outlineLevel="0" collapsed="false">
      <c r="A247" s="31" t="n">
        <v>245</v>
      </c>
      <c r="B247" s="43" t="s">
        <v>11149</v>
      </c>
      <c r="C247" s="34" t="s">
        <v>11150</v>
      </c>
      <c r="D247" s="44" t="s">
        <v>10794</v>
      </c>
      <c r="E247" s="31"/>
      <c r="F247" s="31" t="s">
        <v>1121</v>
      </c>
      <c r="G247" s="31" t="n">
        <v>9</v>
      </c>
      <c r="H247" s="31" t="s">
        <v>154</v>
      </c>
      <c r="I247" s="44" t="s">
        <v>1122</v>
      </c>
      <c r="J247" s="45" t="s">
        <v>1124</v>
      </c>
      <c r="K247" s="45" t="s">
        <v>1126</v>
      </c>
      <c r="L247" s="31" t="n">
        <f aca="false">COUNTIF($B$3:$B$2205,$B247)</f>
        <v>1</v>
      </c>
      <c r="M247" s="44" t="str">
        <f aca="false">IFERROR(INDEX(SENTENCES!$T$3:$T$1802,MATCH($F247,SENTENCES!$A$3:$A$1802,0)),"")</f>
        <v>• Chưa tới</v>
      </c>
    </row>
    <row r="248" customFormat="false" ht="15" hidden="false" customHeight="false" outlineLevel="0" collapsed="false">
      <c r="A248" s="31" t="n">
        <v>246</v>
      </c>
      <c r="B248" s="43" t="s">
        <v>10787</v>
      </c>
      <c r="C248" s="34" t="s">
        <v>10788</v>
      </c>
      <c r="D248" s="44" t="s">
        <v>10686</v>
      </c>
      <c r="E248" s="31"/>
      <c r="F248" s="31" t="s">
        <v>1128</v>
      </c>
      <c r="G248" s="31" t="n">
        <v>9</v>
      </c>
      <c r="H248" s="31" t="s">
        <v>154</v>
      </c>
      <c r="I248" s="44" t="s">
        <v>1122</v>
      </c>
      <c r="J248" s="45" t="s">
        <v>1130</v>
      </c>
      <c r="K248" s="45" t="s">
        <v>1132</v>
      </c>
      <c r="L248" s="31" t="n">
        <f aca="false">COUNTIF($B$3:$B$2205,$B248)</f>
        <v>2</v>
      </c>
      <c r="M248" s="44" t="str">
        <f aca="false">IFERROR(INDEX(SENTENCES!$T$3:$T$1802,MATCH($F248,SENTENCES!$A$3:$A$1802,0)),"")</f>
        <v>• Chưa tới</v>
      </c>
    </row>
    <row r="249" customFormat="false" ht="15" hidden="false" customHeight="false" outlineLevel="0" collapsed="false">
      <c r="A249" s="31" t="n">
        <v>247</v>
      </c>
      <c r="B249" s="43" t="s">
        <v>11151</v>
      </c>
      <c r="C249" s="34" t="s">
        <v>11152</v>
      </c>
      <c r="D249" s="44" t="s">
        <v>10686</v>
      </c>
      <c r="E249" s="31"/>
      <c r="F249" s="31" t="s">
        <v>1134</v>
      </c>
      <c r="G249" s="31" t="n">
        <v>9</v>
      </c>
      <c r="H249" s="31" t="s">
        <v>154</v>
      </c>
      <c r="I249" s="44" t="s">
        <v>1122</v>
      </c>
      <c r="J249" s="45" t="s">
        <v>1136</v>
      </c>
      <c r="K249" s="45" t="s">
        <v>1138</v>
      </c>
      <c r="L249" s="31" t="n">
        <f aca="false">COUNTIF($B$3:$B$2205,$B249)</f>
        <v>1</v>
      </c>
      <c r="M249" s="44" t="str">
        <f aca="false">IFERROR(INDEX(SENTENCES!$T$3:$T$1802,MATCH($F249,SENTENCES!$A$3:$A$1802,0)),"")</f>
        <v>• Chưa tới</v>
      </c>
    </row>
    <row r="250" customFormat="false" ht="15" hidden="false" customHeight="false" outlineLevel="0" collapsed="false">
      <c r="A250" s="31" t="n">
        <v>248</v>
      </c>
      <c r="B250" s="43" t="s">
        <v>11153</v>
      </c>
      <c r="C250" s="34" t="s">
        <v>11154</v>
      </c>
      <c r="D250" s="44" t="s">
        <v>10686</v>
      </c>
      <c r="E250" s="31"/>
      <c r="F250" s="31" t="s">
        <v>1134</v>
      </c>
      <c r="G250" s="31" t="n">
        <v>9</v>
      </c>
      <c r="H250" s="31" t="s">
        <v>154</v>
      </c>
      <c r="I250" s="44" t="s">
        <v>1122</v>
      </c>
      <c r="J250" s="45" t="s">
        <v>1136</v>
      </c>
      <c r="K250" s="45" t="s">
        <v>1138</v>
      </c>
      <c r="L250" s="31" t="n">
        <f aca="false">COUNTIF($B$3:$B$2205,$B250)</f>
        <v>1</v>
      </c>
      <c r="M250" s="44" t="str">
        <f aca="false">IFERROR(INDEX(SENTENCES!$T$3:$T$1802,MATCH($F250,SENTENCES!$A$3:$A$1802,0)),"")</f>
        <v>• Chưa tới</v>
      </c>
    </row>
    <row r="251" customFormat="false" ht="15" hidden="false" customHeight="false" outlineLevel="0" collapsed="false">
      <c r="A251" s="31" t="n">
        <v>249</v>
      </c>
      <c r="B251" s="43" t="s">
        <v>11155</v>
      </c>
      <c r="C251" s="34" t="s">
        <v>11156</v>
      </c>
      <c r="D251" s="44" t="s">
        <v>10677</v>
      </c>
      <c r="E251" s="31" t="s">
        <v>10678</v>
      </c>
      <c r="F251" s="31" t="s">
        <v>1134</v>
      </c>
      <c r="G251" s="31" t="n">
        <v>9</v>
      </c>
      <c r="H251" s="31" t="s">
        <v>154</v>
      </c>
      <c r="I251" s="44" t="s">
        <v>1122</v>
      </c>
      <c r="J251" s="45" t="s">
        <v>1136</v>
      </c>
      <c r="K251" s="45" t="s">
        <v>1138</v>
      </c>
      <c r="L251" s="31" t="n">
        <f aca="false">COUNTIF($B$3:$B$2205,$B251)</f>
        <v>1</v>
      </c>
      <c r="M251" s="44" t="str">
        <f aca="false">IFERROR(INDEX(SENTENCES!$T$3:$T$1802,MATCH($F251,SENTENCES!$A$3:$A$1802,0)),"")</f>
        <v>• Chưa tới</v>
      </c>
    </row>
    <row r="252" customFormat="false" ht="15" hidden="false" customHeight="false" outlineLevel="0" collapsed="false">
      <c r="A252" s="31" t="n">
        <v>250</v>
      </c>
      <c r="B252" s="43" t="s">
        <v>11157</v>
      </c>
      <c r="C252" s="34" t="s">
        <v>11158</v>
      </c>
      <c r="D252" s="44" t="s">
        <v>10686</v>
      </c>
      <c r="E252" s="31"/>
      <c r="F252" s="31" t="s">
        <v>1140</v>
      </c>
      <c r="G252" s="31" t="n">
        <v>9</v>
      </c>
      <c r="H252" s="31" t="s">
        <v>154</v>
      </c>
      <c r="I252" s="44" t="s">
        <v>1122</v>
      </c>
      <c r="J252" s="45" t="s">
        <v>1142</v>
      </c>
      <c r="K252" s="45" t="s">
        <v>1144</v>
      </c>
      <c r="L252" s="31" t="n">
        <f aca="false">COUNTIF($B$3:$B$2205,$B252)</f>
        <v>1</v>
      </c>
      <c r="M252" s="44" t="str">
        <f aca="false">IFERROR(INDEX(SENTENCES!$T$3:$T$1802,MATCH($F252,SENTENCES!$A$3:$A$1802,0)),"")</f>
        <v>• Chưa tới</v>
      </c>
    </row>
    <row r="253" customFormat="false" ht="15" hidden="false" customHeight="false" outlineLevel="0" collapsed="false">
      <c r="A253" s="31" t="n">
        <v>251</v>
      </c>
      <c r="B253" s="43" t="s">
        <v>11159</v>
      </c>
      <c r="C253" s="34" t="s">
        <v>11160</v>
      </c>
      <c r="D253" s="44" t="s">
        <v>10677</v>
      </c>
      <c r="E253" s="31" t="s">
        <v>10747</v>
      </c>
      <c r="F253" s="31" t="s">
        <v>1140</v>
      </c>
      <c r="G253" s="31" t="n">
        <v>9</v>
      </c>
      <c r="H253" s="31" t="s">
        <v>154</v>
      </c>
      <c r="I253" s="44" t="s">
        <v>1122</v>
      </c>
      <c r="J253" s="45" t="s">
        <v>1142</v>
      </c>
      <c r="K253" s="45" t="s">
        <v>1144</v>
      </c>
      <c r="L253" s="31" t="n">
        <f aca="false">COUNTIF($B$3:$B$2205,$B253)</f>
        <v>1</v>
      </c>
      <c r="M253" s="44" t="str">
        <f aca="false">IFERROR(INDEX(SENTENCES!$T$3:$T$1802,MATCH($F253,SENTENCES!$A$3:$A$1802,0)),"")</f>
        <v>• Chưa tới</v>
      </c>
    </row>
    <row r="254" customFormat="false" ht="15" hidden="false" customHeight="false" outlineLevel="0" collapsed="false">
      <c r="A254" s="31" t="n">
        <v>252</v>
      </c>
      <c r="B254" s="43" t="s">
        <v>11161</v>
      </c>
      <c r="C254" s="34" t="s">
        <v>11162</v>
      </c>
      <c r="D254" s="44" t="s">
        <v>10677</v>
      </c>
      <c r="E254" s="31" t="s">
        <v>10678</v>
      </c>
      <c r="F254" s="31" t="s">
        <v>1140</v>
      </c>
      <c r="G254" s="31" t="n">
        <v>9</v>
      </c>
      <c r="H254" s="31" t="s">
        <v>154</v>
      </c>
      <c r="I254" s="44" t="s">
        <v>1122</v>
      </c>
      <c r="J254" s="45" t="s">
        <v>1142</v>
      </c>
      <c r="K254" s="45" t="s">
        <v>1144</v>
      </c>
      <c r="L254" s="31" t="n">
        <f aca="false">COUNTIF($B$3:$B$2205,$B254)</f>
        <v>1</v>
      </c>
      <c r="M254" s="44" t="str">
        <f aca="false">IFERROR(INDEX(SENTENCES!$T$3:$T$1802,MATCH($F254,SENTENCES!$A$3:$A$1802,0)),"")</f>
        <v>• Chưa tới</v>
      </c>
    </row>
    <row r="255" customFormat="false" ht="15" hidden="false" customHeight="false" outlineLevel="0" collapsed="false">
      <c r="A255" s="31" t="n">
        <v>253</v>
      </c>
      <c r="B255" s="43" t="s">
        <v>10701</v>
      </c>
      <c r="C255" s="34" t="s">
        <v>11163</v>
      </c>
      <c r="D255" s="44" t="s">
        <v>10681</v>
      </c>
      <c r="E255" s="31"/>
      <c r="F255" s="31" t="s">
        <v>1146</v>
      </c>
      <c r="G255" s="31" t="n">
        <v>9</v>
      </c>
      <c r="H255" s="31" t="s">
        <v>154</v>
      </c>
      <c r="I255" s="44" t="s">
        <v>1122</v>
      </c>
      <c r="J255" s="45" t="s">
        <v>1148</v>
      </c>
      <c r="K255" s="45" t="s">
        <v>1150</v>
      </c>
      <c r="L255" s="31" t="n">
        <f aca="false">COUNTIF($B$3:$B$2205,$B255)</f>
        <v>3</v>
      </c>
      <c r="M255" s="44" t="str">
        <f aca="false">IFERROR(INDEX(SENTENCES!$T$3:$T$1802,MATCH($F255,SENTENCES!$A$3:$A$1802,0)),"")</f>
        <v>• Chưa tới</v>
      </c>
    </row>
    <row r="256" customFormat="false" ht="15" hidden="false" customHeight="false" outlineLevel="0" collapsed="false">
      <c r="A256" s="31" t="n">
        <v>254</v>
      </c>
      <c r="B256" s="43" t="s">
        <v>11164</v>
      </c>
      <c r="C256" s="34" t="s">
        <v>11165</v>
      </c>
      <c r="D256" s="44" t="s">
        <v>10681</v>
      </c>
      <c r="E256" s="31"/>
      <c r="F256" s="31" t="s">
        <v>1152</v>
      </c>
      <c r="G256" s="31" t="n">
        <v>9</v>
      </c>
      <c r="H256" s="31" t="s">
        <v>154</v>
      </c>
      <c r="I256" s="44" t="s">
        <v>1122</v>
      </c>
      <c r="J256" s="45" t="s">
        <v>1154</v>
      </c>
      <c r="K256" s="45" t="s">
        <v>1156</v>
      </c>
      <c r="L256" s="31" t="n">
        <f aca="false">COUNTIF($B$3:$B$2205,$B256)</f>
        <v>2</v>
      </c>
      <c r="M256" s="44" t="str">
        <f aca="false">IFERROR(INDEX(SENTENCES!$T$3:$T$1802,MATCH($F256,SENTENCES!$A$3:$A$1802,0)),"")</f>
        <v>• Chưa tới</v>
      </c>
    </row>
    <row r="257" customFormat="false" ht="15" hidden="false" customHeight="false" outlineLevel="0" collapsed="false">
      <c r="A257" s="31" t="n">
        <v>255</v>
      </c>
      <c r="B257" s="43" t="s">
        <v>11166</v>
      </c>
      <c r="C257" s="34" t="s">
        <v>11167</v>
      </c>
      <c r="D257" s="44" t="s">
        <v>10686</v>
      </c>
      <c r="E257" s="31"/>
      <c r="F257" s="31" t="s">
        <v>1158</v>
      </c>
      <c r="G257" s="31" t="n">
        <v>9</v>
      </c>
      <c r="H257" s="31" t="s">
        <v>154</v>
      </c>
      <c r="I257" s="44" t="s">
        <v>1122</v>
      </c>
      <c r="J257" s="45" t="s">
        <v>1160</v>
      </c>
      <c r="K257" s="45" t="s">
        <v>1162</v>
      </c>
      <c r="L257" s="31" t="n">
        <f aca="false">COUNTIF($B$3:$B$2205,$B257)</f>
        <v>1</v>
      </c>
      <c r="M257" s="44" t="str">
        <f aca="false">IFERROR(INDEX(SENTENCES!$T$3:$T$1802,MATCH($F257,SENTENCES!$A$3:$A$1802,0)),"")</f>
        <v>• Chưa tới</v>
      </c>
    </row>
    <row r="258" customFormat="false" ht="15" hidden="false" customHeight="false" outlineLevel="0" collapsed="false">
      <c r="A258" s="31" t="n">
        <v>256</v>
      </c>
      <c r="B258" s="43" t="s">
        <v>11168</v>
      </c>
      <c r="C258" s="34" t="s">
        <v>11169</v>
      </c>
      <c r="D258" s="44" t="s">
        <v>10677</v>
      </c>
      <c r="E258" s="31" t="s">
        <v>10707</v>
      </c>
      <c r="F258" s="31" t="s">
        <v>1158</v>
      </c>
      <c r="G258" s="31" t="n">
        <v>9</v>
      </c>
      <c r="H258" s="31" t="s">
        <v>154</v>
      </c>
      <c r="I258" s="44" t="s">
        <v>1122</v>
      </c>
      <c r="J258" s="45" t="s">
        <v>1160</v>
      </c>
      <c r="K258" s="45" t="s">
        <v>1162</v>
      </c>
      <c r="L258" s="31" t="n">
        <f aca="false">COUNTIF($B$3:$B$2205,$B258)</f>
        <v>1</v>
      </c>
      <c r="M258" s="44" t="str">
        <f aca="false">IFERROR(INDEX(SENTENCES!$T$3:$T$1802,MATCH($F258,SENTENCES!$A$3:$A$1802,0)),"")</f>
        <v>• Chưa tới</v>
      </c>
    </row>
    <row r="259" customFormat="false" ht="15" hidden="false" customHeight="false" outlineLevel="0" collapsed="false">
      <c r="A259" s="31" t="n">
        <v>257</v>
      </c>
      <c r="B259" s="43" t="s">
        <v>11170</v>
      </c>
      <c r="C259" s="34" t="s">
        <v>11171</v>
      </c>
      <c r="D259" s="44" t="s">
        <v>10681</v>
      </c>
      <c r="E259" s="31"/>
      <c r="F259" s="31" t="s">
        <v>1164</v>
      </c>
      <c r="G259" s="31" t="n">
        <v>9</v>
      </c>
      <c r="H259" s="31" t="s">
        <v>154</v>
      </c>
      <c r="I259" s="44" t="s">
        <v>1122</v>
      </c>
      <c r="J259" s="45" t="s">
        <v>1166</v>
      </c>
      <c r="K259" s="45" t="s">
        <v>1168</v>
      </c>
      <c r="L259" s="31" t="n">
        <f aca="false">COUNTIF($B$3:$B$2205,$B259)</f>
        <v>1</v>
      </c>
      <c r="M259" s="44" t="str">
        <f aca="false">IFERROR(INDEX(SENTENCES!$T$3:$T$1802,MATCH($F259,SENTENCES!$A$3:$A$1802,0)),"")</f>
        <v>• Chưa tới</v>
      </c>
    </row>
    <row r="260" customFormat="false" ht="15" hidden="false" customHeight="false" outlineLevel="0" collapsed="false">
      <c r="A260" s="31" t="n">
        <v>258</v>
      </c>
      <c r="B260" s="43" t="s">
        <v>11172</v>
      </c>
      <c r="C260" s="34" t="s">
        <v>11173</v>
      </c>
      <c r="D260" s="44" t="s">
        <v>10794</v>
      </c>
      <c r="E260" s="31"/>
      <c r="F260" s="31" t="s">
        <v>1164</v>
      </c>
      <c r="G260" s="31" t="n">
        <v>9</v>
      </c>
      <c r="H260" s="31" t="s">
        <v>154</v>
      </c>
      <c r="I260" s="44" t="s">
        <v>1122</v>
      </c>
      <c r="J260" s="45" t="s">
        <v>1166</v>
      </c>
      <c r="K260" s="45" t="s">
        <v>1168</v>
      </c>
      <c r="L260" s="31" t="n">
        <f aca="false">COUNTIF($B$3:$B$2205,$B260)</f>
        <v>1</v>
      </c>
      <c r="M260" s="44" t="str">
        <f aca="false">IFERROR(INDEX(SENTENCES!$T$3:$T$1802,MATCH($F260,SENTENCES!$A$3:$A$1802,0)),"")</f>
        <v>• Chưa tới</v>
      </c>
    </row>
    <row r="261" customFormat="false" ht="15" hidden="false" customHeight="false" outlineLevel="0" collapsed="false">
      <c r="A261" s="31" t="n">
        <v>259</v>
      </c>
      <c r="B261" s="43" t="s">
        <v>11174</v>
      </c>
      <c r="C261" s="34" t="s">
        <v>11175</v>
      </c>
      <c r="D261" s="44" t="s">
        <v>10686</v>
      </c>
      <c r="E261" s="31"/>
      <c r="F261" s="31" t="s">
        <v>1170</v>
      </c>
      <c r="G261" s="31" t="n">
        <v>9</v>
      </c>
      <c r="H261" s="31" t="s">
        <v>154</v>
      </c>
      <c r="I261" s="44" t="s">
        <v>1122</v>
      </c>
      <c r="J261" s="45" t="s">
        <v>1172</v>
      </c>
      <c r="K261" s="45" t="s">
        <v>1174</v>
      </c>
      <c r="L261" s="31" t="n">
        <f aca="false">COUNTIF($B$3:$B$2205,$B261)</f>
        <v>2</v>
      </c>
      <c r="M261" s="44" t="str">
        <f aca="false">IFERROR(INDEX(SENTENCES!$T$3:$T$1802,MATCH($F261,SENTENCES!$A$3:$A$1802,0)),"")</f>
        <v>• Chưa tới</v>
      </c>
    </row>
    <row r="262" customFormat="false" ht="15" hidden="false" customHeight="false" outlineLevel="0" collapsed="false">
      <c r="A262" s="31" t="n">
        <v>260</v>
      </c>
      <c r="B262" s="43" t="s">
        <v>11176</v>
      </c>
      <c r="C262" s="34" t="s">
        <v>11177</v>
      </c>
      <c r="D262" s="44" t="s">
        <v>10677</v>
      </c>
      <c r="E262" s="31" t="s">
        <v>10678</v>
      </c>
      <c r="F262" s="31" t="s">
        <v>1170</v>
      </c>
      <c r="G262" s="31" t="n">
        <v>9</v>
      </c>
      <c r="H262" s="31" t="s">
        <v>154</v>
      </c>
      <c r="I262" s="44" t="s">
        <v>1122</v>
      </c>
      <c r="J262" s="45" t="s">
        <v>1172</v>
      </c>
      <c r="K262" s="45" t="s">
        <v>1174</v>
      </c>
      <c r="L262" s="31" t="n">
        <f aca="false">COUNTIF($B$3:$B$2205,$B262)</f>
        <v>2</v>
      </c>
      <c r="M262" s="44" t="str">
        <f aca="false">IFERROR(INDEX(SENTENCES!$T$3:$T$1802,MATCH($F262,SENTENCES!$A$3:$A$1802,0)),"")</f>
        <v>• Chưa tới</v>
      </c>
    </row>
    <row r="263" customFormat="false" ht="15" hidden="false" customHeight="false" outlineLevel="0" collapsed="false">
      <c r="A263" s="31" t="n">
        <v>261</v>
      </c>
      <c r="B263" s="43" t="s">
        <v>11178</v>
      </c>
      <c r="C263" s="34" t="s">
        <v>11179</v>
      </c>
      <c r="D263" s="44" t="s">
        <v>10686</v>
      </c>
      <c r="E263" s="31"/>
      <c r="F263" s="31" t="s">
        <v>1176</v>
      </c>
      <c r="G263" s="31" t="n">
        <v>9</v>
      </c>
      <c r="H263" s="31" t="s">
        <v>154</v>
      </c>
      <c r="I263" s="44" t="s">
        <v>1122</v>
      </c>
      <c r="J263" s="45" t="s">
        <v>1178</v>
      </c>
      <c r="K263" s="45" t="s">
        <v>1180</v>
      </c>
      <c r="L263" s="31" t="n">
        <f aca="false">COUNTIF($B$3:$B$2205,$B263)</f>
        <v>1</v>
      </c>
      <c r="M263" s="44" t="str">
        <f aca="false">IFERROR(INDEX(SENTENCES!$T$3:$T$1802,MATCH($F263,SENTENCES!$A$3:$A$1802,0)),"")</f>
        <v>• Chưa tới</v>
      </c>
    </row>
    <row r="264" customFormat="false" ht="15" hidden="false" customHeight="false" outlineLevel="0" collapsed="false">
      <c r="A264" s="31" t="n">
        <v>262</v>
      </c>
      <c r="B264" s="43" t="s">
        <v>11180</v>
      </c>
      <c r="C264" s="34" t="s">
        <v>11181</v>
      </c>
      <c r="D264" s="44" t="s">
        <v>10677</v>
      </c>
      <c r="E264" s="31" t="s">
        <v>10678</v>
      </c>
      <c r="F264" s="31" t="s">
        <v>1176</v>
      </c>
      <c r="G264" s="31" t="n">
        <v>9</v>
      </c>
      <c r="H264" s="31" t="s">
        <v>154</v>
      </c>
      <c r="I264" s="44" t="s">
        <v>1122</v>
      </c>
      <c r="J264" s="45" t="s">
        <v>1178</v>
      </c>
      <c r="K264" s="45" t="s">
        <v>1180</v>
      </c>
      <c r="L264" s="31" t="n">
        <f aca="false">COUNTIF($B$3:$B$2205,$B264)</f>
        <v>1</v>
      </c>
      <c r="M264" s="44" t="str">
        <f aca="false">IFERROR(INDEX(SENTENCES!$T$3:$T$1802,MATCH($F264,SENTENCES!$A$3:$A$1802,0)),"")</f>
        <v>• Chưa tới</v>
      </c>
    </row>
    <row r="265" customFormat="false" ht="15" hidden="false" customHeight="false" outlineLevel="0" collapsed="false">
      <c r="A265" s="31" t="n">
        <v>263</v>
      </c>
      <c r="B265" s="43" t="s">
        <v>11182</v>
      </c>
      <c r="C265" s="34" t="s">
        <v>11183</v>
      </c>
      <c r="D265" s="44" t="s">
        <v>10686</v>
      </c>
      <c r="E265" s="31"/>
      <c r="F265" s="31" t="s">
        <v>1182</v>
      </c>
      <c r="G265" s="31" t="n">
        <v>9</v>
      </c>
      <c r="H265" s="31" t="s">
        <v>154</v>
      </c>
      <c r="I265" s="44" t="s">
        <v>1122</v>
      </c>
      <c r="J265" s="45" t="s">
        <v>1184</v>
      </c>
      <c r="K265" s="45" t="s">
        <v>1186</v>
      </c>
      <c r="L265" s="31" t="n">
        <f aca="false">COUNTIF($B$3:$B$2205,$B265)</f>
        <v>2</v>
      </c>
      <c r="M265" s="44" t="str">
        <f aca="false">IFERROR(INDEX(SENTENCES!$T$3:$T$1802,MATCH($F265,SENTENCES!$A$3:$A$1802,0)),"")</f>
        <v>• Chưa tới</v>
      </c>
    </row>
    <row r="266" customFormat="false" ht="15" hidden="false" customHeight="false" outlineLevel="0" collapsed="false">
      <c r="A266" s="31" t="n">
        <v>264</v>
      </c>
      <c r="B266" s="43" t="s">
        <v>11184</v>
      </c>
      <c r="C266" s="34" t="s">
        <v>11185</v>
      </c>
      <c r="D266" s="44" t="s">
        <v>10677</v>
      </c>
      <c r="E266" s="31" t="s">
        <v>10707</v>
      </c>
      <c r="F266" s="31" t="s">
        <v>1182</v>
      </c>
      <c r="G266" s="31" t="n">
        <v>9</v>
      </c>
      <c r="H266" s="31" t="s">
        <v>154</v>
      </c>
      <c r="I266" s="44" t="s">
        <v>1122</v>
      </c>
      <c r="J266" s="45" t="s">
        <v>1184</v>
      </c>
      <c r="K266" s="45" t="s">
        <v>1186</v>
      </c>
      <c r="L266" s="31" t="n">
        <f aca="false">COUNTIF($B$3:$B$2205,$B266)</f>
        <v>1</v>
      </c>
      <c r="M266" s="44" t="str">
        <f aca="false">IFERROR(INDEX(SENTENCES!$T$3:$T$1802,MATCH($F266,SENTENCES!$A$3:$A$1802,0)),"")</f>
        <v>• Chưa tới</v>
      </c>
    </row>
    <row r="267" customFormat="false" ht="15" hidden="false" customHeight="false" outlineLevel="0" collapsed="false">
      <c r="A267" s="31" t="n">
        <v>265</v>
      </c>
      <c r="B267" s="43" t="s">
        <v>11186</v>
      </c>
      <c r="C267" s="34" t="s">
        <v>11187</v>
      </c>
      <c r="D267" s="44" t="s">
        <v>10686</v>
      </c>
      <c r="E267" s="31"/>
      <c r="F267" s="31" t="s">
        <v>1188</v>
      </c>
      <c r="G267" s="31" t="n">
        <v>9</v>
      </c>
      <c r="H267" s="31" t="s">
        <v>154</v>
      </c>
      <c r="I267" s="44" t="s">
        <v>1122</v>
      </c>
      <c r="J267" s="45" t="s">
        <v>1190</v>
      </c>
      <c r="K267" s="45" t="s">
        <v>1192</v>
      </c>
      <c r="L267" s="31" t="n">
        <f aca="false">COUNTIF($B$3:$B$2205,$B267)</f>
        <v>4</v>
      </c>
      <c r="M267" s="44" t="str">
        <f aca="false">IFERROR(INDEX(SENTENCES!$T$3:$T$1802,MATCH($F267,SENTENCES!$A$3:$A$1802,0)),"")</f>
        <v>• Chưa tới</v>
      </c>
    </row>
    <row r="268" customFormat="false" ht="15" hidden="false" customHeight="false" outlineLevel="0" collapsed="false">
      <c r="A268" s="31" t="n">
        <v>266</v>
      </c>
      <c r="B268" s="43" t="s">
        <v>11188</v>
      </c>
      <c r="C268" s="34" t="s">
        <v>11189</v>
      </c>
      <c r="D268" s="44" t="s">
        <v>10677</v>
      </c>
      <c r="E268" s="31" t="s">
        <v>10707</v>
      </c>
      <c r="F268" s="31" t="s">
        <v>1188</v>
      </c>
      <c r="G268" s="31" t="n">
        <v>9</v>
      </c>
      <c r="H268" s="31" t="s">
        <v>154</v>
      </c>
      <c r="I268" s="44" t="s">
        <v>1122</v>
      </c>
      <c r="J268" s="45" t="s">
        <v>1190</v>
      </c>
      <c r="K268" s="45" t="s">
        <v>1192</v>
      </c>
      <c r="L268" s="31" t="n">
        <f aca="false">COUNTIF($B$3:$B$2205,$B268)</f>
        <v>1</v>
      </c>
      <c r="M268" s="44" t="str">
        <f aca="false">IFERROR(INDEX(SENTENCES!$T$3:$T$1802,MATCH($F268,SENTENCES!$A$3:$A$1802,0)),"")</f>
        <v>• Chưa tới</v>
      </c>
    </row>
    <row r="269" customFormat="false" ht="15" hidden="false" customHeight="false" outlineLevel="0" collapsed="false">
      <c r="A269" s="31" t="n">
        <v>267</v>
      </c>
      <c r="B269" s="43" t="s">
        <v>11190</v>
      </c>
      <c r="C269" s="34" t="s">
        <v>11191</v>
      </c>
      <c r="D269" s="44" t="s">
        <v>10686</v>
      </c>
      <c r="E269" s="31"/>
      <c r="F269" s="31" t="s">
        <v>1194</v>
      </c>
      <c r="G269" s="31" t="n">
        <v>9</v>
      </c>
      <c r="H269" s="31" t="s">
        <v>154</v>
      </c>
      <c r="I269" s="44" t="s">
        <v>1122</v>
      </c>
      <c r="J269" s="45" t="s">
        <v>1196</v>
      </c>
      <c r="K269" s="45" t="s">
        <v>1198</v>
      </c>
      <c r="L269" s="31" t="n">
        <f aca="false">COUNTIF($B$3:$B$2205,$B269)</f>
        <v>1</v>
      </c>
      <c r="M269" s="44" t="str">
        <f aca="false">IFERROR(INDEX(SENTENCES!$T$3:$T$1802,MATCH($F269,SENTENCES!$A$3:$A$1802,0)),"")</f>
        <v>• Chưa tới</v>
      </c>
    </row>
    <row r="270" customFormat="false" ht="15" hidden="false" customHeight="false" outlineLevel="0" collapsed="false">
      <c r="A270" s="31" t="n">
        <v>268</v>
      </c>
      <c r="B270" s="43" t="s">
        <v>11192</v>
      </c>
      <c r="C270" s="34" t="s">
        <v>11193</v>
      </c>
      <c r="D270" s="44" t="s">
        <v>10686</v>
      </c>
      <c r="E270" s="31"/>
      <c r="F270" s="31" t="s">
        <v>1200</v>
      </c>
      <c r="G270" s="31" t="n">
        <v>9</v>
      </c>
      <c r="H270" s="31" t="s">
        <v>154</v>
      </c>
      <c r="I270" s="44" t="s">
        <v>1122</v>
      </c>
      <c r="J270" s="45" t="s">
        <v>1202</v>
      </c>
      <c r="K270" s="45" t="s">
        <v>1204</v>
      </c>
      <c r="L270" s="31" t="n">
        <f aca="false">COUNTIF($B$3:$B$2205,$B270)</f>
        <v>1</v>
      </c>
      <c r="M270" s="44" t="str">
        <f aca="false">IFERROR(INDEX(SENTENCES!$T$3:$T$1802,MATCH($F270,SENTENCES!$A$3:$A$1802,0)),"")</f>
        <v>• Chưa tới</v>
      </c>
    </row>
    <row r="271" customFormat="false" ht="15" hidden="false" customHeight="false" outlineLevel="0" collapsed="false">
      <c r="A271" s="31" t="n">
        <v>269</v>
      </c>
      <c r="B271" s="43" t="s">
        <v>11194</v>
      </c>
      <c r="C271" s="34" t="s">
        <v>11195</v>
      </c>
      <c r="D271" s="44" t="s">
        <v>10681</v>
      </c>
      <c r="E271" s="31"/>
      <c r="F271" s="31" t="s">
        <v>1200</v>
      </c>
      <c r="G271" s="31" t="n">
        <v>9</v>
      </c>
      <c r="H271" s="31" t="s">
        <v>154</v>
      </c>
      <c r="I271" s="44" t="s">
        <v>1122</v>
      </c>
      <c r="J271" s="45" t="s">
        <v>1202</v>
      </c>
      <c r="K271" s="45" t="s">
        <v>1204</v>
      </c>
      <c r="L271" s="31" t="n">
        <f aca="false">COUNTIF($B$3:$B$2205,$B271)</f>
        <v>2</v>
      </c>
      <c r="M271" s="44" t="str">
        <f aca="false">IFERROR(INDEX(SENTENCES!$T$3:$T$1802,MATCH($F271,SENTENCES!$A$3:$A$1802,0)),"")</f>
        <v>• Chưa tới</v>
      </c>
    </row>
    <row r="272" customFormat="false" ht="15" hidden="false" customHeight="false" outlineLevel="0" collapsed="false">
      <c r="A272" s="31" t="n">
        <v>270</v>
      </c>
      <c r="B272" s="43" t="s">
        <v>11196</v>
      </c>
      <c r="C272" s="34" t="s">
        <v>11197</v>
      </c>
      <c r="D272" s="44" t="s">
        <v>10686</v>
      </c>
      <c r="E272" s="31"/>
      <c r="F272" s="31" t="s">
        <v>1206</v>
      </c>
      <c r="G272" s="31" t="n">
        <v>9</v>
      </c>
      <c r="H272" s="31" t="s">
        <v>154</v>
      </c>
      <c r="I272" s="44" t="s">
        <v>1122</v>
      </c>
      <c r="J272" s="45" t="s">
        <v>1208</v>
      </c>
      <c r="K272" s="45" t="s">
        <v>1210</v>
      </c>
      <c r="L272" s="31" t="n">
        <f aca="false">COUNTIF($B$3:$B$2205,$B272)</f>
        <v>1</v>
      </c>
      <c r="M272" s="44" t="str">
        <f aca="false">IFERROR(INDEX(SENTENCES!$T$3:$T$1802,MATCH($F272,SENTENCES!$A$3:$A$1802,0)),"")</f>
        <v>• Chưa tới</v>
      </c>
    </row>
    <row r="273" customFormat="false" ht="15" hidden="false" customHeight="false" outlineLevel="0" collapsed="false">
      <c r="A273" s="31" t="n">
        <v>271</v>
      </c>
      <c r="B273" s="43" t="s">
        <v>11198</v>
      </c>
      <c r="C273" s="34" t="s">
        <v>11199</v>
      </c>
      <c r="D273" s="44" t="s">
        <v>10677</v>
      </c>
      <c r="E273" s="31" t="s">
        <v>10707</v>
      </c>
      <c r="F273" s="31" t="s">
        <v>1206</v>
      </c>
      <c r="G273" s="31" t="n">
        <v>9</v>
      </c>
      <c r="H273" s="31" t="s">
        <v>154</v>
      </c>
      <c r="I273" s="44" t="s">
        <v>1122</v>
      </c>
      <c r="J273" s="45" t="s">
        <v>1208</v>
      </c>
      <c r="K273" s="45" t="s">
        <v>1210</v>
      </c>
      <c r="L273" s="31" t="n">
        <f aca="false">COUNTIF($B$3:$B$2205,$B273)</f>
        <v>4</v>
      </c>
      <c r="M273" s="44" t="str">
        <f aca="false">IFERROR(INDEX(SENTENCES!$T$3:$T$1802,MATCH($F273,SENTENCES!$A$3:$A$1802,0)),"")</f>
        <v>• Chưa tới</v>
      </c>
    </row>
    <row r="274" customFormat="false" ht="15" hidden="false" customHeight="false" outlineLevel="0" collapsed="false">
      <c r="A274" s="31" t="n">
        <v>272</v>
      </c>
      <c r="B274" s="43" t="s">
        <v>11200</v>
      </c>
      <c r="C274" s="34" t="s">
        <v>11201</v>
      </c>
      <c r="D274" s="44" t="s">
        <v>10686</v>
      </c>
      <c r="E274" s="31"/>
      <c r="F274" s="31" t="s">
        <v>1212</v>
      </c>
      <c r="G274" s="31" t="n">
        <v>9</v>
      </c>
      <c r="H274" s="31" t="s">
        <v>154</v>
      </c>
      <c r="I274" s="44" t="s">
        <v>1122</v>
      </c>
      <c r="J274" s="45" t="s">
        <v>1214</v>
      </c>
      <c r="K274" s="45" t="s">
        <v>1216</v>
      </c>
      <c r="L274" s="31" t="n">
        <f aca="false">COUNTIF($B$3:$B$2205,$B274)</f>
        <v>1</v>
      </c>
      <c r="M274" s="44" t="str">
        <f aca="false">IFERROR(INDEX(SENTENCES!$T$3:$T$1802,MATCH($F274,SENTENCES!$A$3:$A$1802,0)),"")</f>
        <v>• Chưa tới</v>
      </c>
    </row>
    <row r="275" customFormat="false" ht="15" hidden="false" customHeight="false" outlineLevel="0" collapsed="false">
      <c r="A275" s="31" t="n">
        <v>273</v>
      </c>
      <c r="B275" s="43" t="s">
        <v>11202</v>
      </c>
      <c r="C275" s="34" t="s">
        <v>11203</v>
      </c>
      <c r="D275" s="44" t="s">
        <v>10686</v>
      </c>
      <c r="E275" s="31"/>
      <c r="F275" s="31" t="s">
        <v>1218</v>
      </c>
      <c r="G275" s="31" t="n">
        <v>9</v>
      </c>
      <c r="H275" s="31" t="s">
        <v>154</v>
      </c>
      <c r="I275" s="44" t="s">
        <v>1122</v>
      </c>
      <c r="J275" s="45" t="s">
        <v>1220</v>
      </c>
      <c r="K275" s="45" t="s">
        <v>1222</v>
      </c>
      <c r="L275" s="31" t="n">
        <f aca="false">COUNTIF($B$3:$B$2205,$B275)</f>
        <v>2</v>
      </c>
      <c r="M275" s="44" t="str">
        <f aca="false">IFERROR(INDEX(SENTENCES!$T$3:$T$1802,MATCH($F275,SENTENCES!$A$3:$A$1802,0)),"")</f>
        <v>• Chưa tới</v>
      </c>
    </row>
    <row r="276" customFormat="false" ht="15" hidden="false" customHeight="false" outlineLevel="0" collapsed="false">
      <c r="A276" s="31" t="n">
        <v>274</v>
      </c>
      <c r="B276" s="43" t="s">
        <v>11204</v>
      </c>
      <c r="C276" s="34" t="s">
        <v>11205</v>
      </c>
      <c r="D276" s="44" t="s">
        <v>10677</v>
      </c>
      <c r="E276" s="31" t="s">
        <v>10707</v>
      </c>
      <c r="F276" s="31" t="s">
        <v>1218</v>
      </c>
      <c r="G276" s="31" t="n">
        <v>9</v>
      </c>
      <c r="H276" s="31" t="s">
        <v>154</v>
      </c>
      <c r="I276" s="44" t="s">
        <v>1122</v>
      </c>
      <c r="J276" s="45" t="s">
        <v>1220</v>
      </c>
      <c r="K276" s="45" t="s">
        <v>1222</v>
      </c>
      <c r="L276" s="31" t="n">
        <f aca="false">COUNTIF($B$3:$B$2205,$B276)</f>
        <v>1</v>
      </c>
      <c r="M276" s="44" t="str">
        <f aca="false">IFERROR(INDEX(SENTENCES!$T$3:$T$1802,MATCH($F276,SENTENCES!$A$3:$A$1802,0)),"")</f>
        <v>• Chưa tới</v>
      </c>
    </row>
    <row r="277" customFormat="false" ht="15" hidden="false" customHeight="false" outlineLevel="0" collapsed="false">
      <c r="A277" s="31" t="n">
        <v>275</v>
      </c>
      <c r="B277" s="43" t="s">
        <v>11206</v>
      </c>
      <c r="C277" s="34" t="s">
        <v>11207</v>
      </c>
      <c r="D277" s="44" t="s">
        <v>10686</v>
      </c>
      <c r="E277" s="31"/>
      <c r="F277" s="31" t="s">
        <v>1224</v>
      </c>
      <c r="G277" s="31" t="n">
        <v>9</v>
      </c>
      <c r="H277" s="31" t="s">
        <v>154</v>
      </c>
      <c r="I277" s="44" t="s">
        <v>1122</v>
      </c>
      <c r="J277" s="45" t="s">
        <v>1225</v>
      </c>
      <c r="K277" s="45" t="s">
        <v>1227</v>
      </c>
      <c r="L277" s="31" t="n">
        <f aca="false">COUNTIF($B$3:$B$2205,$B277)</f>
        <v>1</v>
      </c>
      <c r="M277" s="44" t="str">
        <f aca="false">IFERROR(INDEX(SENTENCES!$T$3:$T$1802,MATCH($F277,SENTENCES!$A$3:$A$1802,0)),"")</f>
        <v>• Chưa tới</v>
      </c>
    </row>
    <row r="278" customFormat="false" ht="15" hidden="false" customHeight="false" outlineLevel="0" collapsed="false">
      <c r="A278" s="31" t="n">
        <v>276</v>
      </c>
      <c r="B278" s="43" t="s">
        <v>11208</v>
      </c>
      <c r="C278" s="34" t="s">
        <v>11209</v>
      </c>
      <c r="D278" s="44" t="s">
        <v>10677</v>
      </c>
      <c r="E278" s="31" t="s">
        <v>10707</v>
      </c>
      <c r="F278" s="31" t="s">
        <v>1224</v>
      </c>
      <c r="G278" s="31" t="n">
        <v>9</v>
      </c>
      <c r="H278" s="31" t="s">
        <v>154</v>
      </c>
      <c r="I278" s="44" t="s">
        <v>1122</v>
      </c>
      <c r="J278" s="45" t="s">
        <v>1225</v>
      </c>
      <c r="K278" s="45" t="s">
        <v>1227</v>
      </c>
      <c r="L278" s="31" t="n">
        <f aca="false">COUNTIF($B$3:$B$2205,$B278)</f>
        <v>1</v>
      </c>
      <c r="M278" s="44" t="str">
        <f aca="false">IFERROR(INDEX(SENTENCES!$T$3:$T$1802,MATCH($F278,SENTENCES!$A$3:$A$1802,0)),"")</f>
        <v>• Chưa tới</v>
      </c>
    </row>
    <row r="279" customFormat="false" ht="15" hidden="false" customHeight="false" outlineLevel="0" collapsed="false">
      <c r="A279" s="31" t="n">
        <v>277</v>
      </c>
      <c r="B279" s="43" t="s">
        <v>11210</v>
      </c>
      <c r="C279" s="34" t="s">
        <v>10692</v>
      </c>
      <c r="D279" s="44" t="s">
        <v>10686</v>
      </c>
      <c r="E279" s="31"/>
      <c r="F279" s="31" t="s">
        <v>1229</v>
      </c>
      <c r="G279" s="31" t="n">
        <v>9</v>
      </c>
      <c r="H279" s="31" t="s">
        <v>154</v>
      </c>
      <c r="I279" s="44" t="s">
        <v>1122</v>
      </c>
      <c r="J279" s="45" t="s">
        <v>1231</v>
      </c>
      <c r="K279" s="45" t="s">
        <v>1233</v>
      </c>
      <c r="L279" s="31" t="n">
        <f aca="false">COUNTIF($B$3:$B$2205,$B279)</f>
        <v>2</v>
      </c>
      <c r="M279" s="44" t="str">
        <f aca="false">IFERROR(INDEX(SENTENCES!$T$3:$T$1802,MATCH($F279,SENTENCES!$A$3:$A$1802,0)),"")</f>
        <v>• Chưa tới</v>
      </c>
    </row>
    <row r="280" customFormat="false" ht="15" hidden="false" customHeight="false" outlineLevel="0" collapsed="false">
      <c r="A280" s="31" t="n">
        <v>278</v>
      </c>
      <c r="B280" s="43" t="s">
        <v>11211</v>
      </c>
      <c r="C280" s="34" t="s">
        <v>11212</v>
      </c>
      <c r="D280" s="44" t="s">
        <v>10677</v>
      </c>
      <c r="E280" s="31" t="s">
        <v>10747</v>
      </c>
      <c r="F280" s="31" t="s">
        <v>1229</v>
      </c>
      <c r="G280" s="31" t="n">
        <v>9</v>
      </c>
      <c r="H280" s="31" t="s">
        <v>154</v>
      </c>
      <c r="I280" s="44" t="s">
        <v>1122</v>
      </c>
      <c r="J280" s="45" t="s">
        <v>1231</v>
      </c>
      <c r="K280" s="45" t="s">
        <v>1233</v>
      </c>
      <c r="L280" s="31" t="n">
        <f aca="false">COUNTIF($B$3:$B$2205,$B280)</f>
        <v>1</v>
      </c>
      <c r="M280" s="44" t="str">
        <f aca="false">IFERROR(INDEX(SENTENCES!$T$3:$T$1802,MATCH($F280,SENTENCES!$A$3:$A$1802,0)),"")</f>
        <v>• Chưa tới</v>
      </c>
    </row>
    <row r="281" customFormat="false" ht="15" hidden="false" customHeight="false" outlineLevel="0" collapsed="false">
      <c r="A281" s="31" t="n">
        <v>279</v>
      </c>
      <c r="B281" s="43" t="s">
        <v>11213</v>
      </c>
      <c r="C281" s="34" t="s">
        <v>11214</v>
      </c>
      <c r="D281" s="44" t="s">
        <v>10686</v>
      </c>
      <c r="E281" s="31"/>
      <c r="F281" s="31" t="s">
        <v>1235</v>
      </c>
      <c r="G281" s="31" t="n">
        <v>9</v>
      </c>
      <c r="H281" s="31" t="s">
        <v>154</v>
      </c>
      <c r="I281" s="44" t="s">
        <v>1122</v>
      </c>
      <c r="J281" s="45" t="s">
        <v>1237</v>
      </c>
      <c r="K281" s="45" t="s">
        <v>1239</v>
      </c>
      <c r="L281" s="31" t="n">
        <f aca="false">COUNTIF($B$3:$B$2205,$B281)</f>
        <v>1</v>
      </c>
      <c r="M281" s="44" t="str">
        <f aca="false">IFERROR(INDEX(SENTENCES!$T$3:$T$1802,MATCH($F281,SENTENCES!$A$3:$A$1802,0)),"")</f>
        <v>• Chưa tới</v>
      </c>
    </row>
    <row r="282" customFormat="false" ht="15" hidden="false" customHeight="false" outlineLevel="0" collapsed="false">
      <c r="A282" s="31" t="n">
        <v>280</v>
      </c>
      <c r="B282" s="43" t="s">
        <v>11215</v>
      </c>
      <c r="C282" s="34" t="s">
        <v>11216</v>
      </c>
      <c r="D282" s="44" t="s">
        <v>10677</v>
      </c>
      <c r="E282" s="31" t="s">
        <v>10678</v>
      </c>
      <c r="F282" s="31" t="s">
        <v>1241</v>
      </c>
      <c r="G282" s="31" t="n">
        <v>10</v>
      </c>
      <c r="H282" s="31" t="s">
        <v>154</v>
      </c>
      <c r="I282" s="44" t="s">
        <v>1242</v>
      </c>
      <c r="J282" s="45" t="s">
        <v>1244</v>
      </c>
      <c r="K282" s="45" t="s">
        <v>1246</v>
      </c>
      <c r="L282" s="31" t="n">
        <f aca="false">COUNTIF($B$3:$B$2205,$B282)</f>
        <v>2</v>
      </c>
      <c r="M282" s="44" t="str">
        <f aca="false">IFERROR(INDEX(SENTENCES!$T$3:$T$1802,MATCH($F282,SENTENCES!$A$3:$A$1802,0)),"")</f>
        <v>• Chưa tới</v>
      </c>
    </row>
    <row r="283" customFormat="false" ht="15" hidden="false" customHeight="false" outlineLevel="0" collapsed="false">
      <c r="A283" s="31" t="n">
        <v>281</v>
      </c>
      <c r="B283" s="43" t="s">
        <v>11217</v>
      </c>
      <c r="C283" s="34" t="s">
        <v>11218</v>
      </c>
      <c r="D283" s="44" t="s">
        <v>10677</v>
      </c>
      <c r="E283" s="31" t="s">
        <v>10747</v>
      </c>
      <c r="F283" s="31" t="s">
        <v>1241</v>
      </c>
      <c r="G283" s="31" t="n">
        <v>10</v>
      </c>
      <c r="H283" s="31" t="s">
        <v>154</v>
      </c>
      <c r="I283" s="44" t="s">
        <v>1242</v>
      </c>
      <c r="J283" s="45" t="s">
        <v>1244</v>
      </c>
      <c r="K283" s="45" t="s">
        <v>1246</v>
      </c>
      <c r="L283" s="31" t="n">
        <f aca="false">COUNTIF($B$3:$B$2205,$B283)</f>
        <v>1</v>
      </c>
      <c r="M283" s="44" t="str">
        <f aca="false">IFERROR(INDEX(SENTENCES!$T$3:$T$1802,MATCH($F283,SENTENCES!$A$3:$A$1802,0)),"")</f>
        <v>• Chưa tới</v>
      </c>
    </row>
    <row r="284" customFormat="false" ht="15" hidden="false" customHeight="false" outlineLevel="0" collapsed="false">
      <c r="A284" s="31" t="n">
        <v>282</v>
      </c>
      <c r="B284" s="43" t="s">
        <v>11219</v>
      </c>
      <c r="C284" s="34" t="s">
        <v>11220</v>
      </c>
      <c r="D284" s="44" t="s">
        <v>10677</v>
      </c>
      <c r="E284" s="31" t="s">
        <v>10707</v>
      </c>
      <c r="F284" s="31" t="s">
        <v>1248</v>
      </c>
      <c r="G284" s="31" t="n">
        <v>10</v>
      </c>
      <c r="H284" s="31" t="s">
        <v>154</v>
      </c>
      <c r="I284" s="44" t="s">
        <v>1242</v>
      </c>
      <c r="J284" s="45" t="s">
        <v>1250</v>
      </c>
      <c r="K284" s="45" t="s">
        <v>1252</v>
      </c>
      <c r="L284" s="31" t="n">
        <f aca="false">COUNTIF($B$3:$B$2205,$B284)</f>
        <v>1</v>
      </c>
      <c r="M284" s="44" t="str">
        <f aca="false">IFERROR(INDEX(SENTENCES!$T$3:$T$1802,MATCH($F284,SENTENCES!$A$3:$A$1802,0)),"")</f>
        <v>• Chưa tới</v>
      </c>
    </row>
    <row r="285" customFormat="false" ht="15" hidden="false" customHeight="false" outlineLevel="0" collapsed="false">
      <c r="A285" s="31" t="n">
        <v>283</v>
      </c>
      <c r="B285" s="43" t="s">
        <v>11221</v>
      </c>
      <c r="C285" s="34" t="s">
        <v>11222</v>
      </c>
      <c r="D285" s="44" t="s">
        <v>10681</v>
      </c>
      <c r="E285" s="31"/>
      <c r="F285" s="31" t="s">
        <v>1248</v>
      </c>
      <c r="G285" s="31" t="n">
        <v>10</v>
      </c>
      <c r="H285" s="31" t="s">
        <v>154</v>
      </c>
      <c r="I285" s="44" t="s">
        <v>1242</v>
      </c>
      <c r="J285" s="45" t="s">
        <v>1250</v>
      </c>
      <c r="K285" s="45" t="s">
        <v>1252</v>
      </c>
      <c r="L285" s="31" t="n">
        <f aca="false">COUNTIF($B$3:$B$2205,$B285)</f>
        <v>1</v>
      </c>
      <c r="M285" s="44" t="str">
        <f aca="false">IFERROR(INDEX(SENTENCES!$T$3:$T$1802,MATCH($F285,SENTENCES!$A$3:$A$1802,0)),"")</f>
        <v>• Chưa tới</v>
      </c>
    </row>
    <row r="286" customFormat="false" ht="15" hidden="false" customHeight="false" outlineLevel="0" collapsed="false">
      <c r="A286" s="31" t="n">
        <v>284</v>
      </c>
      <c r="B286" s="43" t="s">
        <v>11223</v>
      </c>
      <c r="C286" s="34" t="s">
        <v>11224</v>
      </c>
      <c r="D286" s="44" t="s">
        <v>10677</v>
      </c>
      <c r="E286" s="31" t="s">
        <v>10747</v>
      </c>
      <c r="F286" s="31" t="s">
        <v>1254</v>
      </c>
      <c r="G286" s="31" t="n">
        <v>10</v>
      </c>
      <c r="H286" s="31" t="s">
        <v>154</v>
      </c>
      <c r="I286" s="44" t="s">
        <v>1242</v>
      </c>
      <c r="J286" s="45" t="s">
        <v>1256</v>
      </c>
      <c r="K286" s="45" t="s">
        <v>1258</v>
      </c>
      <c r="L286" s="31" t="n">
        <f aca="false">COUNTIF($B$3:$B$2205,$B286)</f>
        <v>2</v>
      </c>
      <c r="M286" s="44" t="str">
        <f aca="false">IFERROR(INDEX(SENTENCES!$T$3:$T$1802,MATCH($F286,SENTENCES!$A$3:$A$1802,0)),"")</f>
        <v>• Chưa tới</v>
      </c>
    </row>
    <row r="287" customFormat="false" ht="15" hidden="false" customHeight="false" outlineLevel="0" collapsed="false">
      <c r="A287" s="31" t="n">
        <v>285</v>
      </c>
      <c r="B287" s="43" t="s">
        <v>11225</v>
      </c>
      <c r="C287" s="34" t="s">
        <v>11226</v>
      </c>
      <c r="D287" s="44" t="s">
        <v>10686</v>
      </c>
      <c r="E287" s="31"/>
      <c r="F287" s="31" t="s">
        <v>1254</v>
      </c>
      <c r="G287" s="31" t="n">
        <v>10</v>
      </c>
      <c r="H287" s="31" t="s">
        <v>154</v>
      </c>
      <c r="I287" s="44" t="s">
        <v>1242</v>
      </c>
      <c r="J287" s="45" t="s">
        <v>1256</v>
      </c>
      <c r="K287" s="45" t="s">
        <v>1258</v>
      </c>
      <c r="L287" s="31" t="n">
        <f aca="false">COUNTIF($B$3:$B$2205,$B287)</f>
        <v>2</v>
      </c>
      <c r="M287" s="44" t="str">
        <f aca="false">IFERROR(INDEX(SENTENCES!$T$3:$T$1802,MATCH($F287,SENTENCES!$A$3:$A$1802,0)),"")</f>
        <v>• Chưa tới</v>
      </c>
    </row>
    <row r="288" customFormat="false" ht="15" hidden="false" customHeight="false" outlineLevel="0" collapsed="false">
      <c r="A288" s="31" t="n">
        <v>286</v>
      </c>
      <c r="B288" s="43" t="s">
        <v>11227</v>
      </c>
      <c r="C288" s="34" t="s">
        <v>11228</v>
      </c>
      <c r="D288" s="44" t="s">
        <v>10686</v>
      </c>
      <c r="E288" s="31"/>
      <c r="F288" s="31" t="s">
        <v>1260</v>
      </c>
      <c r="G288" s="31" t="n">
        <v>10</v>
      </c>
      <c r="H288" s="31" t="s">
        <v>154</v>
      </c>
      <c r="I288" s="44" t="s">
        <v>1242</v>
      </c>
      <c r="J288" s="45" t="s">
        <v>1262</v>
      </c>
      <c r="K288" s="45" t="s">
        <v>1264</v>
      </c>
      <c r="L288" s="31" t="n">
        <f aca="false">COUNTIF($B$3:$B$2205,$B288)</f>
        <v>2</v>
      </c>
      <c r="M288" s="44" t="str">
        <f aca="false">IFERROR(INDEX(SENTENCES!$T$3:$T$1802,MATCH($F288,SENTENCES!$A$3:$A$1802,0)),"")</f>
        <v>• Chưa tới</v>
      </c>
    </row>
    <row r="289" customFormat="false" ht="15" hidden="false" customHeight="false" outlineLevel="0" collapsed="false">
      <c r="A289" s="31" t="n">
        <v>287</v>
      </c>
      <c r="B289" s="43" t="s">
        <v>11229</v>
      </c>
      <c r="C289" s="34" t="s">
        <v>11230</v>
      </c>
      <c r="D289" s="44" t="s">
        <v>10677</v>
      </c>
      <c r="E289" s="31" t="s">
        <v>10747</v>
      </c>
      <c r="F289" s="31" t="s">
        <v>1260</v>
      </c>
      <c r="G289" s="31" t="n">
        <v>10</v>
      </c>
      <c r="H289" s="31" t="s">
        <v>154</v>
      </c>
      <c r="I289" s="44" t="s">
        <v>1242</v>
      </c>
      <c r="J289" s="45" t="s">
        <v>1262</v>
      </c>
      <c r="K289" s="45" t="s">
        <v>1264</v>
      </c>
      <c r="L289" s="31" t="n">
        <f aca="false">COUNTIF($B$3:$B$2205,$B289)</f>
        <v>1</v>
      </c>
      <c r="M289" s="44" t="str">
        <f aca="false">IFERROR(INDEX(SENTENCES!$T$3:$T$1802,MATCH($F289,SENTENCES!$A$3:$A$1802,0)),"")</f>
        <v>• Chưa tới</v>
      </c>
    </row>
    <row r="290" customFormat="false" ht="15" hidden="false" customHeight="false" outlineLevel="0" collapsed="false">
      <c r="A290" s="31" t="n">
        <v>288</v>
      </c>
      <c r="B290" s="43" t="s">
        <v>11231</v>
      </c>
      <c r="C290" s="34" t="s">
        <v>11232</v>
      </c>
      <c r="D290" s="44" t="s">
        <v>10677</v>
      </c>
      <c r="E290" s="31" t="s">
        <v>10678</v>
      </c>
      <c r="F290" s="31" t="s">
        <v>1266</v>
      </c>
      <c r="G290" s="31" t="n">
        <v>10</v>
      </c>
      <c r="H290" s="31" t="s">
        <v>154</v>
      </c>
      <c r="I290" s="44" t="s">
        <v>1242</v>
      </c>
      <c r="J290" s="45" t="s">
        <v>1268</v>
      </c>
      <c r="K290" s="45" t="s">
        <v>1270</v>
      </c>
      <c r="L290" s="31" t="n">
        <f aca="false">COUNTIF($B$3:$B$2205,$B290)</f>
        <v>1</v>
      </c>
      <c r="M290" s="44" t="str">
        <f aca="false">IFERROR(INDEX(SENTENCES!$T$3:$T$1802,MATCH($F290,SENTENCES!$A$3:$A$1802,0)),"")</f>
        <v>• Chưa tới</v>
      </c>
    </row>
    <row r="291" customFormat="false" ht="15" hidden="false" customHeight="false" outlineLevel="0" collapsed="false">
      <c r="A291" s="31" t="n">
        <v>289</v>
      </c>
      <c r="B291" s="43" t="s">
        <v>11233</v>
      </c>
      <c r="C291" s="34" t="s">
        <v>11234</v>
      </c>
      <c r="D291" s="44" t="s">
        <v>10677</v>
      </c>
      <c r="E291" s="31" t="s">
        <v>10707</v>
      </c>
      <c r="F291" s="31" t="s">
        <v>1272</v>
      </c>
      <c r="G291" s="31" t="n">
        <v>10</v>
      </c>
      <c r="H291" s="31" t="s">
        <v>154</v>
      </c>
      <c r="I291" s="44" t="s">
        <v>1242</v>
      </c>
      <c r="J291" s="45" t="s">
        <v>1274</v>
      </c>
      <c r="K291" s="45" t="s">
        <v>1276</v>
      </c>
      <c r="L291" s="31" t="n">
        <f aca="false">COUNTIF($B$3:$B$2205,$B291)</f>
        <v>1</v>
      </c>
      <c r="M291" s="44" t="str">
        <f aca="false">IFERROR(INDEX(SENTENCES!$T$3:$T$1802,MATCH($F291,SENTENCES!$A$3:$A$1802,0)),"")</f>
        <v>• Chưa tới</v>
      </c>
    </row>
    <row r="292" customFormat="false" ht="15" hidden="false" customHeight="false" outlineLevel="0" collapsed="false">
      <c r="A292" s="31" t="n">
        <v>290</v>
      </c>
      <c r="B292" s="43" t="s">
        <v>11092</v>
      </c>
      <c r="C292" s="34" t="s">
        <v>11093</v>
      </c>
      <c r="D292" s="44" t="s">
        <v>10677</v>
      </c>
      <c r="E292" s="31" t="s">
        <v>10747</v>
      </c>
      <c r="F292" s="31" t="s">
        <v>1278</v>
      </c>
      <c r="G292" s="31" t="n">
        <v>10</v>
      </c>
      <c r="H292" s="31" t="s">
        <v>154</v>
      </c>
      <c r="I292" s="44" t="s">
        <v>1242</v>
      </c>
      <c r="J292" s="45" t="s">
        <v>1280</v>
      </c>
      <c r="K292" s="45" t="s">
        <v>1282</v>
      </c>
      <c r="L292" s="31" t="n">
        <f aca="false">COUNTIF($B$3:$B$2205,$B292)</f>
        <v>2</v>
      </c>
      <c r="M292" s="44" t="str">
        <f aca="false">IFERROR(INDEX(SENTENCES!$T$3:$T$1802,MATCH($F292,SENTENCES!$A$3:$A$1802,0)),"")</f>
        <v>• Chưa tới</v>
      </c>
    </row>
    <row r="293" customFormat="false" ht="15" hidden="false" customHeight="false" outlineLevel="0" collapsed="false">
      <c r="A293" s="31" t="n">
        <v>291</v>
      </c>
      <c r="B293" s="43" t="s">
        <v>11235</v>
      </c>
      <c r="C293" s="34" t="s">
        <v>11236</v>
      </c>
      <c r="D293" s="44" t="s">
        <v>10677</v>
      </c>
      <c r="E293" s="31" t="s">
        <v>10678</v>
      </c>
      <c r="F293" s="31" t="s">
        <v>1283</v>
      </c>
      <c r="G293" s="31" t="n">
        <v>10</v>
      </c>
      <c r="H293" s="31" t="s">
        <v>154</v>
      </c>
      <c r="I293" s="44" t="s">
        <v>1242</v>
      </c>
      <c r="J293" s="45" t="s">
        <v>1285</v>
      </c>
      <c r="K293" s="45" t="s">
        <v>1287</v>
      </c>
      <c r="L293" s="31" t="n">
        <f aca="false">COUNTIF($B$3:$B$2205,$B293)</f>
        <v>2</v>
      </c>
      <c r="M293" s="44" t="str">
        <f aca="false">IFERROR(INDEX(SENTENCES!$T$3:$T$1802,MATCH($F293,SENTENCES!$A$3:$A$1802,0)),"")</f>
        <v>• Chưa tới</v>
      </c>
    </row>
    <row r="294" customFormat="false" ht="15" hidden="false" customHeight="false" outlineLevel="0" collapsed="false">
      <c r="A294" s="31" t="n">
        <v>292</v>
      </c>
      <c r="B294" s="43" t="s">
        <v>11237</v>
      </c>
      <c r="C294" s="34" t="s">
        <v>11238</v>
      </c>
      <c r="D294" s="44" t="s">
        <v>10686</v>
      </c>
      <c r="E294" s="31"/>
      <c r="F294" s="31" t="s">
        <v>1283</v>
      </c>
      <c r="G294" s="31" t="n">
        <v>10</v>
      </c>
      <c r="H294" s="31" t="s">
        <v>154</v>
      </c>
      <c r="I294" s="44" t="s">
        <v>1242</v>
      </c>
      <c r="J294" s="45" t="s">
        <v>1285</v>
      </c>
      <c r="K294" s="45" t="s">
        <v>1287</v>
      </c>
      <c r="L294" s="31" t="n">
        <f aca="false">COUNTIF($B$3:$B$2205,$B294)</f>
        <v>1</v>
      </c>
      <c r="M294" s="44" t="str">
        <f aca="false">IFERROR(INDEX(SENTENCES!$T$3:$T$1802,MATCH($F294,SENTENCES!$A$3:$A$1802,0)),"")</f>
        <v>• Chưa tới</v>
      </c>
    </row>
    <row r="295" customFormat="false" ht="15" hidden="false" customHeight="false" outlineLevel="0" collapsed="false">
      <c r="A295" s="31" t="n">
        <v>293</v>
      </c>
      <c r="B295" s="43" t="s">
        <v>11239</v>
      </c>
      <c r="C295" s="34" t="s">
        <v>11240</v>
      </c>
      <c r="D295" s="44" t="s">
        <v>10686</v>
      </c>
      <c r="E295" s="31"/>
      <c r="F295" s="31" t="s">
        <v>1289</v>
      </c>
      <c r="G295" s="31" t="n">
        <v>10</v>
      </c>
      <c r="H295" s="31" t="s">
        <v>154</v>
      </c>
      <c r="I295" s="44" t="s">
        <v>1242</v>
      </c>
      <c r="J295" s="45" t="s">
        <v>1291</v>
      </c>
      <c r="K295" s="45" t="s">
        <v>1293</v>
      </c>
      <c r="L295" s="31" t="n">
        <f aca="false">COUNTIF($B$3:$B$2205,$B295)</f>
        <v>1</v>
      </c>
      <c r="M295" s="44" t="str">
        <f aca="false">IFERROR(INDEX(SENTENCES!$T$3:$T$1802,MATCH($F295,SENTENCES!$A$3:$A$1802,0)),"")</f>
        <v>• Chưa tới</v>
      </c>
    </row>
    <row r="296" customFormat="false" ht="15" hidden="false" customHeight="false" outlineLevel="0" collapsed="false">
      <c r="A296" s="31" t="n">
        <v>294</v>
      </c>
      <c r="B296" s="43" t="s">
        <v>11241</v>
      </c>
      <c r="C296" s="34" t="s">
        <v>11242</v>
      </c>
      <c r="D296" s="44" t="s">
        <v>10677</v>
      </c>
      <c r="E296" s="31" t="s">
        <v>10747</v>
      </c>
      <c r="F296" s="31" t="s">
        <v>1289</v>
      </c>
      <c r="G296" s="31" t="n">
        <v>10</v>
      </c>
      <c r="H296" s="31" t="s">
        <v>154</v>
      </c>
      <c r="I296" s="44" t="s">
        <v>1242</v>
      </c>
      <c r="J296" s="45" t="s">
        <v>1291</v>
      </c>
      <c r="K296" s="45" t="s">
        <v>1293</v>
      </c>
      <c r="L296" s="31" t="n">
        <f aca="false">COUNTIF($B$3:$B$2205,$B296)</f>
        <v>2</v>
      </c>
      <c r="M296" s="44" t="str">
        <f aca="false">IFERROR(INDEX(SENTENCES!$T$3:$T$1802,MATCH($F296,SENTENCES!$A$3:$A$1802,0)),"")</f>
        <v>• Chưa tới</v>
      </c>
    </row>
    <row r="297" customFormat="false" ht="15" hidden="false" customHeight="false" outlineLevel="0" collapsed="false">
      <c r="A297" s="31" t="n">
        <v>295</v>
      </c>
      <c r="B297" s="43" t="s">
        <v>11243</v>
      </c>
      <c r="C297" s="34" t="s">
        <v>11244</v>
      </c>
      <c r="D297" s="44" t="s">
        <v>10677</v>
      </c>
      <c r="E297" s="31" t="s">
        <v>10707</v>
      </c>
      <c r="F297" s="31" t="s">
        <v>1295</v>
      </c>
      <c r="G297" s="31" t="n">
        <v>10</v>
      </c>
      <c r="H297" s="31" t="s">
        <v>154</v>
      </c>
      <c r="I297" s="44" t="s">
        <v>1242</v>
      </c>
      <c r="J297" s="45" t="s">
        <v>1297</v>
      </c>
      <c r="K297" s="45" t="s">
        <v>1299</v>
      </c>
      <c r="L297" s="31" t="n">
        <f aca="false">COUNTIF($B$3:$B$2205,$B297)</f>
        <v>1</v>
      </c>
      <c r="M297" s="44" t="str">
        <f aca="false">IFERROR(INDEX(SENTENCES!$T$3:$T$1802,MATCH($F297,SENTENCES!$A$3:$A$1802,0)),"")</f>
        <v>• Chưa tới</v>
      </c>
    </row>
    <row r="298" customFormat="false" ht="15" hidden="false" customHeight="false" outlineLevel="0" collapsed="false">
      <c r="A298" s="31" t="n">
        <v>296</v>
      </c>
      <c r="B298" s="43" t="s">
        <v>11245</v>
      </c>
      <c r="C298" s="34" t="s">
        <v>11246</v>
      </c>
      <c r="D298" s="44" t="s">
        <v>10677</v>
      </c>
      <c r="E298" s="31" t="s">
        <v>10707</v>
      </c>
      <c r="F298" s="31" t="s">
        <v>1295</v>
      </c>
      <c r="G298" s="31" t="n">
        <v>10</v>
      </c>
      <c r="H298" s="31" t="s">
        <v>154</v>
      </c>
      <c r="I298" s="44" t="s">
        <v>1242</v>
      </c>
      <c r="J298" s="45" t="s">
        <v>1297</v>
      </c>
      <c r="K298" s="45" t="s">
        <v>1299</v>
      </c>
      <c r="L298" s="31" t="n">
        <f aca="false">COUNTIF($B$3:$B$2205,$B298)</f>
        <v>2</v>
      </c>
      <c r="M298" s="44" t="str">
        <f aca="false">IFERROR(INDEX(SENTENCES!$T$3:$T$1802,MATCH($F298,SENTENCES!$A$3:$A$1802,0)),"")</f>
        <v>• Chưa tới</v>
      </c>
    </row>
    <row r="299" customFormat="false" ht="15" hidden="false" customHeight="false" outlineLevel="0" collapsed="false">
      <c r="A299" s="31" t="n">
        <v>297</v>
      </c>
      <c r="B299" s="43" t="s">
        <v>11247</v>
      </c>
      <c r="C299" s="34" t="s">
        <v>11248</v>
      </c>
      <c r="D299" s="44" t="s">
        <v>10677</v>
      </c>
      <c r="E299" s="31" t="s">
        <v>10678</v>
      </c>
      <c r="F299" s="31" t="s">
        <v>1301</v>
      </c>
      <c r="G299" s="31" t="n">
        <v>10</v>
      </c>
      <c r="H299" s="31" t="s">
        <v>154</v>
      </c>
      <c r="I299" s="44" t="s">
        <v>1242</v>
      </c>
      <c r="J299" s="45" t="s">
        <v>1303</v>
      </c>
      <c r="K299" s="45" t="s">
        <v>1305</v>
      </c>
      <c r="L299" s="31" t="n">
        <f aca="false">COUNTIF($B$3:$B$2205,$B299)</f>
        <v>1</v>
      </c>
      <c r="M299" s="44" t="str">
        <f aca="false">IFERROR(INDEX(SENTENCES!$T$3:$T$1802,MATCH($F299,SENTENCES!$A$3:$A$1802,0)),"")</f>
        <v>• Chưa tới</v>
      </c>
    </row>
    <row r="300" customFormat="false" ht="15" hidden="false" customHeight="false" outlineLevel="0" collapsed="false">
      <c r="A300" s="31" t="n">
        <v>298</v>
      </c>
      <c r="B300" s="43" t="s">
        <v>11249</v>
      </c>
      <c r="C300" s="34" t="s">
        <v>11250</v>
      </c>
      <c r="D300" s="44" t="s">
        <v>10677</v>
      </c>
      <c r="E300" s="31" t="s">
        <v>10678</v>
      </c>
      <c r="F300" s="31" t="s">
        <v>1307</v>
      </c>
      <c r="G300" s="31" t="n">
        <v>10</v>
      </c>
      <c r="H300" s="31" t="s">
        <v>154</v>
      </c>
      <c r="I300" s="44" t="s">
        <v>1242</v>
      </c>
      <c r="J300" s="45" t="s">
        <v>1309</v>
      </c>
      <c r="K300" s="45" t="s">
        <v>1311</v>
      </c>
      <c r="L300" s="31" t="n">
        <f aca="false">COUNTIF($B$3:$B$2205,$B300)</f>
        <v>1</v>
      </c>
      <c r="M300" s="44" t="str">
        <f aca="false">IFERROR(INDEX(SENTENCES!$T$3:$T$1802,MATCH($F300,SENTENCES!$A$3:$A$1802,0)),"")</f>
        <v>• Chưa tới</v>
      </c>
    </row>
    <row r="301" customFormat="false" ht="15" hidden="false" customHeight="false" outlineLevel="0" collapsed="false">
      <c r="A301" s="31" t="n">
        <v>299</v>
      </c>
      <c r="B301" s="43" t="s">
        <v>11251</v>
      </c>
      <c r="C301" s="34" t="s">
        <v>11252</v>
      </c>
      <c r="D301" s="44" t="s">
        <v>10677</v>
      </c>
      <c r="E301" s="31" t="s">
        <v>10678</v>
      </c>
      <c r="F301" s="31" t="s">
        <v>1313</v>
      </c>
      <c r="G301" s="31" t="n">
        <v>10</v>
      </c>
      <c r="H301" s="31" t="s">
        <v>154</v>
      </c>
      <c r="I301" s="44" t="s">
        <v>1242</v>
      </c>
      <c r="J301" s="45" t="s">
        <v>1315</v>
      </c>
      <c r="K301" s="45" t="s">
        <v>1317</v>
      </c>
      <c r="L301" s="31" t="n">
        <f aca="false">COUNTIF($B$3:$B$2205,$B301)</f>
        <v>1</v>
      </c>
      <c r="M301" s="44" t="str">
        <f aca="false">IFERROR(INDEX(SENTENCES!$T$3:$T$1802,MATCH($F301,SENTENCES!$A$3:$A$1802,0)),"")</f>
        <v>• Chưa tới</v>
      </c>
    </row>
    <row r="302" customFormat="false" ht="15" hidden="false" customHeight="false" outlineLevel="0" collapsed="false">
      <c r="A302" s="31" t="n">
        <v>300</v>
      </c>
      <c r="B302" s="43" t="s">
        <v>11253</v>
      </c>
      <c r="C302" s="34" t="s">
        <v>11254</v>
      </c>
      <c r="D302" s="44" t="s">
        <v>10686</v>
      </c>
      <c r="E302" s="31"/>
      <c r="F302" s="31" t="s">
        <v>1313</v>
      </c>
      <c r="G302" s="31" t="n">
        <v>10</v>
      </c>
      <c r="H302" s="31" t="s">
        <v>154</v>
      </c>
      <c r="I302" s="44" t="s">
        <v>1242</v>
      </c>
      <c r="J302" s="45" t="s">
        <v>1315</v>
      </c>
      <c r="K302" s="45" t="s">
        <v>1317</v>
      </c>
      <c r="L302" s="31" t="n">
        <f aca="false">COUNTIF($B$3:$B$2205,$B302)</f>
        <v>1</v>
      </c>
      <c r="M302" s="44" t="str">
        <f aca="false">IFERROR(INDEX(SENTENCES!$T$3:$T$1802,MATCH($F302,SENTENCES!$A$3:$A$1802,0)),"")</f>
        <v>• Chưa tới</v>
      </c>
    </row>
    <row r="303" customFormat="false" ht="15" hidden="false" customHeight="false" outlineLevel="0" collapsed="false">
      <c r="A303" s="31" t="n">
        <v>301</v>
      </c>
      <c r="B303" s="43" t="s">
        <v>11255</v>
      </c>
      <c r="C303" s="34" t="s">
        <v>11256</v>
      </c>
      <c r="D303" s="44" t="s">
        <v>10677</v>
      </c>
      <c r="E303" s="31" t="s">
        <v>10678</v>
      </c>
      <c r="F303" s="31" t="s">
        <v>1319</v>
      </c>
      <c r="G303" s="31" t="n">
        <v>10</v>
      </c>
      <c r="H303" s="31" t="s">
        <v>154</v>
      </c>
      <c r="I303" s="44" t="s">
        <v>1242</v>
      </c>
      <c r="J303" s="45" t="s">
        <v>1321</v>
      </c>
      <c r="K303" s="45" t="s">
        <v>1323</v>
      </c>
      <c r="L303" s="31" t="n">
        <f aca="false">COUNTIF($B$3:$B$2205,$B303)</f>
        <v>1</v>
      </c>
      <c r="M303" s="44" t="str">
        <f aca="false">IFERROR(INDEX(SENTENCES!$T$3:$T$1802,MATCH($F303,SENTENCES!$A$3:$A$1802,0)),"")</f>
        <v>• Chưa tới</v>
      </c>
    </row>
    <row r="304" customFormat="false" ht="15" hidden="false" customHeight="false" outlineLevel="0" collapsed="false">
      <c r="A304" s="31" t="n">
        <v>302</v>
      </c>
      <c r="B304" s="43" t="s">
        <v>11257</v>
      </c>
      <c r="C304" s="34" t="s">
        <v>11258</v>
      </c>
      <c r="D304" s="44" t="s">
        <v>10677</v>
      </c>
      <c r="E304" s="31" t="s">
        <v>10707</v>
      </c>
      <c r="F304" s="31" t="s">
        <v>1325</v>
      </c>
      <c r="G304" s="31" t="n">
        <v>10</v>
      </c>
      <c r="H304" s="31" t="s">
        <v>154</v>
      </c>
      <c r="I304" s="44" t="s">
        <v>1242</v>
      </c>
      <c r="J304" s="45" t="s">
        <v>1327</v>
      </c>
      <c r="K304" s="45" t="s">
        <v>1329</v>
      </c>
      <c r="L304" s="31" t="n">
        <f aca="false">COUNTIF($B$3:$B$2205,$B304)</f>
        <v>1</v>
      </c>
      <c r="M304" s="44" t="str">
        <f aca="false">IFERROR(INDEX(SENTENCES!$T$3:$T$1802,MATCH($F304,SENTENCES!$A$3:$A$1802,0)),"")</f>
        <v>• Chưa tới</v>
      </c>
    </row>
    <row r="305" customFormat="false" ht="15" hidden="false" customHeight="false" outlineLevel="0" collapsed="false">
      <c r="A305" s="31" t="n">
        <v>303</v>
      </c>
      <c r="B305" s="43" t="s">
        <v>11259</v>
      </c>
      <c r="C305" s="34" t="s">
        <v>11260</v>
      </c>
      <c r="D305" s="44" t="s">
        <v>10686</v>
      </c>
      <c r="E305" s="31"/>
      <c r="F305" s="31" t="s">
        <v>1331</v>
      </c>
      <c r="G305" s="31" t="n">
        <v>10</v>
      </c>
      <c r="H305" s="31" t="s">
        <v>154</v>
      </c>
      <c r="I305" s="44" t="s">
        <v>1242</v>
      </c>
      <c r="J305" s="45" t="s">
        <v>1333</v>
      </c>
      <c r="K305" s="45" t="s">
        <v>1335</v>
      </c>
      <c r="L305" s="31" t="n">
        <f aca="false">COUNTIF($B$3:$B$2205,$B305)</f>
        <v>1</v>
      </c>
      <c r="M305" s="44" t="str">
        <f aca="false">IFERROR(INDEX(SENTENCES!$T$3:$T$1802,MATCH($F305,SENTENCES!$A$3:$A$1802,0)),"")</f>
        <v>• Chưa tới</v>
      </c>
    </row>
    <row r="306" customFormat="false" ht="15" hidden="false" customHeight="false" outlineLevel="0" collapsed="false">
      <c r="A306" s="31" t="n">
        <v>304</v>
      </c>
      <c r="B306" s="43" t="s">
        <v>11261</v>
      </c>
      <c r="C306" s="34" t="s">
        <v>11262</v>
      </c>
      <c r="D306" s="44" t="s">
        <v>10677</v>
      </c>
      <c r="E306" s="31" t="s">
        <v>10707</v>
      </c>
      <c r="F306" s="31" t="s">
        <v>1331</v>
      </c>
      <c r="G306" s="31" t="n">
        <v>10</v>
      </c>
      <c r="H306" s="31" t="s">
        <v>154</v>
      </c>
      <c r="I306" s="44" t="s">
        <v>1242</v>
      </c>
      <c r="J306" s="45" t="s">
        <v>1333</v>
      </c>
      <c r="K306" s="45" t="s">
        <v>1335</v>
      </c>
      <c r="L306" s="31" t="n">
        <f aca="false">COUNTIF($B$3:$B$2205,$B306)</f>
        <v>1</v>
      </c>
      <c r="M306" s="44" t="str">
        <f aca="false">IFERROR(INDEX(SENTENCES!$T$3:$T$1802,MATCH($F306,SENTENCES!$A$3:$A$1802,0)),"")</f>
        <v>• Chưa tới</v>
      </c>
    </row>
    <row r="307" customFormat="false" ht="15" hidden="false" customHeight="false" outlineLevel="0" collapsed="false">
      <c r="A307" s="31" t="n">
        <v>305</v>
      </c>
      <c r="B307" s="43" t="s">
        <v>11263</v>
      </c>
      <c r="C307" s="34" t="s">
        <v>11264</v>
      </c>
      <c r="D307" s="44" t="s">
        <v>10677</v>
      </c>
      <c r="E307" s="31" t="s">
        <v>10747</v>
      </c>
      <c r="F307" s="31" t="s">
        <v>1337</v>
      </c>
      <c r="G307" s="31" t="n">
        <v>10</v>
      </c>
      <c r="H307" s="31" t="s">
        <v>154</v>
      </c>
      <c r="I307" s="44" t="s">
        <v>1242</v>
      </c>
      <c r="J307" s="45" t="s">
        <v>1339</v>
      </c>
      <c r="K307" s="45" t="s">
        <v>1341</v>
      </c>
      <c r="L307" s="31" t="n">
        <f aca="false">COUNTIF($B$3:$B$2205,$B307)</f>
        <v>1</v>
      </c>
      <c r="M307" s="44" t="str">
        <f aca="false">IFERROR(INDEX(SENTENCES!$T$3:$T$1802,MATCH($F307,SENTENCES!$A$3:$A$1802,0)),"")</f>
        <v>• Chưa tới</v>
      </c>
    </row>
    <row r="308" customFormat="false" ht="15" hidden="false" customHeight="false" outlineLevel="0" collapsed="false">
      <c r="A308" s="31" t="n">
        <v>306</v>
      </c>
      <c r="B308" s="43" t="s">
        <v>11265</v>
      </c>
      <c r="C308" s="34" t="s">
        <v>11266</v>
      </c>
      <c r="D308" s="44" t="s">
        <v>10681</v>
      </c>
      <c r="E308" s="31"/>
      <c r="F308" s="31" t="s">
        <v>1337</v>
      </c>
      <c r="G308" s="31" t="n">
        <v>10</v>
      </c>
      <c r="H308" s="31" t="s">
        <v>154</v>
      </c>
      <c r="I308" s="44" t="s">
        <v>1242</v>
      </c>
      <c r="J308" s="45" t="s">
        <v>1339</v>
      </c>
      <c r="K308" s="45" t="s">
        <v>1341</v>
      </c>
      <c r="L308" s="31" t="n">
        <f aca="false">COUNTIF($B$3:$B$2205,$B308)</f>
        <v>1</v>
      </c>
      <c r="M308" s="44" t="str">
        <f aca="false">IFERROR(INDEX(SENTENCES!$T$3:$T$1802,MATCH($F308,SENTENCES!$A$3:$A$1802,0)),"")</f>
        <v>• Chưa tới</v>
      </c>
    </row>
    <row r="309" customFormat="false" ht="15" hidden="false" customHeight="false" outlineLevel="0" collapsed="false">
      <c r="A309" s="31" t="n">
        <v>307</v>
      </c>
      <c r="B309" s="43" t="s">
        <v>11267</v>
      </c>
      <c r="C309" s="34" t="s">
        <v>11268</v>
      </c>
      <c r="D309" s="44" t="s">
        <v>10686</v>
      </c>
      <c r="E309" s="31"/>
      <c r="F309" s="31" t="s">
        <v>1343</v>
      </c>
      <c r="G309" s="31" t="n">
        <v>10</v>
      </c>
      <c r="H309" s="31" t="s">
        <v>154</v>
      </c>
      <c r="I309" s="44" t="s">
        <v>1242</v>
      </c>
      <c r="J309" s="45" t="s">
        <v>1345</v>
      </c>
      <c r="K309" s="45" t="s">
        <v>1347</v>
      </c>
      <c r="L309" s="31" t="n">
        <f aca="false">COUNTIF($B$3:$B$2205,$B309)</f>
        <v>2</v>
      </c>
      <c r="M309" s="44" t="str">
        <f aca="false">IFERROR(INDEX(SENTENCES!$T$3:$T$1802,MATCH($F309,SENTENCES!$A$3:$A$1802,0)),"")</f>
        <v>• Chưa tới</v>
      </c>
    </row>
    <row r="310" customFormat="false" ht="15" hidden="false" customHeight="false" outlineLevel="0" collapsed="false">
      <c r="A310" s="31" t="n">
        <v>308</v>
      </c>
      <c r="B310" s="43" t="s">
        <v>11269</v>
      </c>
      <c r="C310" s="34" t="s">
        <v>11270</v>
      </c>
      <c r="D310" s="44" t="s">
        <v>10677</v>
      </c>
      <c r="E310" s="31" t="s">
        <v>10678</v>
      </c>
      <c r="F310" s="31" t="s">
        <v>1343</v>
      </c>
      <c r="G310" s="31" t="n">
        <v>10</v>
      </c>
      <c r="H310" s="31" t="s">
        <v>154</v>
      </c>
      <c r="I310" s="44" t="s">
        <v>1242</v>
      </c>
      <c r="J310" s="45" t="s">
        <v>1345</v>
      </c>
      <c r="K310" s="45" t="s">
        <v>1347</v>
      </c>
      <c r="L310" s="31" t="n">
        <f aca="false">COUNTIF($B$3:$B$2205,$B310)</f>
        <v>3</v>
      </c>
      <c r="M310" s="44" t="str">
        <f aca="false">IFERROR(INDEX(SENTENCES!$T$3:$T$1802,MATCH($F310,SENTENCES!$A$3:$A$1802,0)),"")</f>
        <v>• Chưa tới</v>
      </c>
    </row>
    <row r="311" customFormat="false" ht="15" hidden="false" customHeight="false" outlineLevel="0" collapsed="false">
      <c r="A311" s="31" t="n">
        <v>309</v>
      </c>
      <c r="B311" s="43" t="s">
        <v>11271</v>
      </c>
      <c r="C311" s="34" t="s">
        <v>11272</v>
      </c>
      <c r="D311" s="44" t="s">
        <v>10677</v>
      </c>
      <c r="E311" s="31" t="s">
        <v>10678</v>
      </c>
      <c r="F311" s="31" t="s">
        <v>1349</v>
      </c>
      <c r="G311" s="31" t="n">
        <v>10</v>
      </c>
      <c r="H311" s="31" t="s">
        <v>154</v>
      </c>
      <c r="I311" s="44" t="s">
        <v>1242</v>
      </c>
      <c r="J311" s="45" t="s">
        <v>1351</v>
      </c>
      <c r="K311" s="45" t="s">
        <v>1353</v>
      </c>
      <c r="L311" s="31" t="n">
        <f aca="false">COUNTIF($B$3:$B$2205,$B311)</f>
        <v>2</v>
      </c>
      <c r="M311" s="44" t="str">
        <f aca="false">IFERROR(INDEX(SENTENCES!$T$3:$T$1802,MATCH($F311,SENTENCES!$A$3:$A$1802,0)),"")</f>
        <v>• Chưa tới</v>
      </c>
    </row>
    <row r="312" customFormat="false" ht="15" hidden="false" customHeight="false" outlineLevel="0" collapsed="false">
      <c r="A312" s="31" t="n">
        <v>310</v>
      </c>
      <c r="B312" s="43" t="s">
        <v>11273</v>
      </c>
      <c r="C312" s="34" t="s">
        <v>11274</v>
      </c>
      <c r="D312" s="44" t="s">
        <v>10686</v>
      </c>
      <c r="E312" s="31"/>
      <c r="F312" s="31" t="s">
        <v>1349</v>
      </c>
      <c r="G312" s="31" t="n">
        <v>10</v>
      </c>
      <c r="H312" s="31" t="s">
        <v>154</v>
      </c>
      <c r="I312" s="44" t="s">
        <v>1242</v>
      </c>
      <c r="J312" s="45" t="s">
        <v>1351</v>
      </c>
      <c r="K312" s="45" t="s">
        <v>1353</v>
      </c>
      <c r="L312" s="31" t="n">
        <f aca="false">COUNTIF($B$3:$B$2205,$B312)</f>
        <v>1</v>
      </c>
      <c r="M312" s="44" t="str">
        <f aca="false">IFERROR(INDEX(SENTENCES!$T$3:$T$1802,MATCH($F312,SENTENCES!$A$3:$A$1802,0)),"")</f>
        <v>• Chưa tới</v>
      </c>
    </row>
    <row r="313" customFormat="false" ht="15" hidden="false" customHeight="false" outlineLevel="0" collapsed="false">
      <c r="A313" s="31" t="n">
        <v>311</v>
      </c>
      <c r="B313" s="43" t="s">
        <v>11275</v>
      </c>
      <c r="C313" s="34" t="s">
        <v>11276</v>
      </c>
      <c r="D313" s="44" t="s">
        <v>10677</v>
      </c>
      <c r="E313" s="31" t="s">
        <v>10747</v>
      </c>
      <c r="F313" s="31" t="s">
        <v>1355</v>
      </c>
      <c r="G313" s="31" t="n">
        <v>10</v>
      </c>
      <c r="H313" s="31" t="s">
        <v>154</v>
      </c>
      <c r="I313" s="44" t="s">
        <v>1242</v>
      </c>
      <c r="J313" s="45" t="s">
        <v>1357</v>
      </c>
      <c r="K313" s="45" t="s">
        <v>1359</v>
      </c>
      <c r="L313" s="31" t="n">
        <f aca="false">COUNTIF($B$3:$B$2205,$B313)</f>
        <v>1</v>
      </c>
      <c r="M313" s="44" t="str">
        <f aca="false">IFERROR(INDEX(SENTENCES!$T$3:$T$1802,MATCH($F313,SENTENCES!$A$3:$A$1802,0)),"")</f>
        <v>• Chưa tới</v>
      </c>
    </row>
    <row r="314" customFormat="false" ht="15" hidden="false" customHeight="false" outlineLevel="0" collapsed="false">
      <c r="A314" s="31" t="n">
        <v>312</v>
      </c>
      <c r="B314" s="43" t="s">
        <v>11277</v>
      </c>
      <c r="C314" s="34" t="s">
        <v>11278</v>
      </c>
      <c r="D314" s="44" t="s">
        <v>10677</v>
      </c>
      <c r="E314" s="31" t="s">
        <v>10678</v>
      </c>
      <c r="F314" s="31" t="s">
        <v>1355</v>
      </c>
      <c r="G314" s="31" t="n">
        <v>10</v>
      </c>
      <c r="H314" s="31" t="s">
        <v>154</v>
      </c>
      <c r="I314" s="44" t="s">
        <v>1242</v>
      </c>
      <c r="J314" s="45" t="s">
        <v>1357</v>
      </c>
      <c r="K314" s="45" t="s">
        <v>1359</v>
      </c>
      <c r="L314" s="31" t="n">
        <f aca="false">COUNTIF($B$3:$B$2205,$B314)</f>
        <v>1</v>
      </c>
      <c r="M314" s="44" t="str">
        <f aca="false">IFERROR(INDEX(SENTENCES!$T$3:$T$1802,MATCH($F314,SENTENCES!$A$3:$A$1802,0)),"")</f>
        <v>• Chưa tới</v>
      </c>
    </row>
    <row r="315" customFormat="false" ht="15" hidden="false" customHeight="false" outlineLevel="0" collapsed="false">
      <c r="A315" s="31" t="n">
        <v>313</v>
      </c>
      <c r="B315" s="43" t="s">
        <v>11279</v>
      </c>
      <c r="C315" s="34" t="s">
        <v>11280</v>
      </c>
      <c r="D315" s="44" t="s">
        <v>10681</v>
      </c>
      <c r="E315" s="31"/>
      <c r="F315" s="31" t="s">
        <v>1361</v>
      </c>
      <c r="G315" s="31" t="n">
        <v>11</v>
      </c>
      <c r="H315" s="31" t="s">
        <v>154</v>
      </c>
      <c r="I315" s="44" t="s">
        <v>1362</v>
      </c>
      <c r="J315" s="45" t="s">
        <v>1364</v>
      </c>
      <c r="K315" s="45" t="s">
        <v>1366</v>
      </c>
      <c r="L315" s="31" t="n">
        <f aca="false">COUNTIF($B$3:$B$2205,$B315)</f>
        <v>2</v>
      </c>
      <c r="M315" s="44" t="str">
        <f aca="false">IFERROR(INDEX(SENTENCES!$T$3:$T$1802,MATCH($F315,SENTENCES!$A$3:$A$1802,0)),"")</f>
        <v>• Chưa tới</v>
      </c>
    </row>
    <row r="316" customFormat="false" ht="15" hidden="false" customHeight="false" outlineLevel="0" collapsed="false">
      <c r="A316" s="31" t="n">
        <v>314</v>
      </c>
      <c r="B316" s="43" t="s">
        <v>11281</v>
      </c>
      <c r="C316" s="34" t="s">
        <v>11282</v>
      </c>
      <c r="D316" s="44" t="s">
        <v>10677</v>
      </c>
      <c r="E316" s="31" t="s">
        <v>10707</v>
      </c>
      <c r="F316" s="31" t="s">
        <v>1368</v>
      </c>
      <c r="G316" s="31" t="n">
        <v>11</v>
      </c>
      <c r="H316" s="31" t="s">
        <v>154</v>
      </c>
      <c r="I316" s="44" t="s">
        <v>1362</v>
      </c>
      <c r="J316" s="45" t="s">
        <v>1370</v>
      </c>
      <c r="K316" s="45" t="s">
        <v>1372</v>
      </c>
      <c r="L316" s="31" t="n">
        <f aca="false">COUNTIF($B$3:$B$2205,$B316)</f>
        <v>1</v>
      </c>
      <c r="M316" s="44" t="str">
        <f aca="false">IFERROR(INDEX(SENTENCES!$T$3:$T$1802,MATCH($F316,SENTENCES!$A$3:$A$1802,0)),"")</f>
        <v>• Chưa tới</v>
      </c>
    </row>
    <row r="317" customFormat="false" ht="15" hidden="false" customHeight="false" outlineLevel="0" collapsed="false">
      <c r="A317" s="31" t="n">
        <v>315</v>
      </c>
      <c r="B317" s="43" t="s">
        <v>11283</v>
      </c>
      <c r="C317" s="34" t="s">
        <v>11284</v>
      </c>
      <c r="D317" s="44" t="s">
        <v>10686</v>
      </c>
      <c r="E317" s="31"/>
      <c r="F317" s="31" t="s">
        <v>1374</v>
      </c>
      <c r="G317" s="31" t="n">
        <v>11</v>
      </c>
      <c r="H317" s="31" t="s">
        <v>154</v>
      </c>
      <c r="I317" s="44" t="s">
        <v>1362</v>
      </c>
      <c r="J317" s="45" t="s">
        <v>1376</v>
      </c>
      <c r="K317" s="45" t="s">
        <v>1378</v>
      </c>
      <c r="L317" s="31" t="n">
        <f aca="false">COUNTIF($B$3:$B$2205,$B317)</f>
        <v>1</v>
      </c>
      <c r="M317" s="44" t="str">
        <f aca="false">IFERROR(INDEX(SENTENCES!$T$3:$T$1802,MATCH($F317,SENTENCES!$A$3:$A$1802,0)),"")</f>
        <v>• Chưa tới</v>
      </c>
    </row>
    <row r="318" customFormat="false" ht="15" hidden="false" customHeight="false" outlineLevel="0" collapsed="false">
      <c r="A318" s="31" t="n">
        <v>316</v>
      </c>
      <c r="B318" s="43" t="s">
        <v>11285</v>
      </c>
      <c r="C318" s="34" t="s">
        <v>11286</v>
      </c>
      <c r="D318" s="44" t="s">
        <v>10686</v>
      </c>
      <c r="E318" s="31"/>
      <c r="F318" s="31" t="s">
        <v>1380</v>
      </c>
      <c r="G318" s="31" t="n">
        <v>11</v>
      </c>
      <c r="H318" s="31" t="s">
        <v>154</v>
      </c>
      <c r="I318" s="44" t="s">
        <v>1362</v>
      </c>
      <c r="J318" s="45" t="s">
        <v>1382</v>
      </c>
      <c r="K318" s="45" t="s">
        <v>1384</v>
      </c>
      <c r="L318" s="31" t="n">
        <f aca="false">COUNTIF($B$3:$B$2205,$B318)</f>
        <v>1</v>
      </c>
      <c r="M318" s="44" t="str">
        <f aca="false">IFERROR(INDEX(SENTENCES!$T$3:$T$1802,MATCH($F318,SENTENCES!$A$3:$A$1802,0)),"")</f>
        <v>• Chưa tới</v>
      </c>
    </row>
    <row r="319" customFormat="false" ht="15" hidden="false" customHeight="false" outlineLevel="0" collapsed="false">
      <c r="A319" s="31" t="n">
        <v>317</v>
      </c>
      <c r="B319" s="43" t="s">
        <v>11287</v>
      </c>
      <c r="C319" s="34" t="s">
        <v>11288</v>
      </c>
      <c r="D319" s="44" t="s">
        <v>10677</v>
      </c>
      <c r="E319" s="31" t="s">
        <v>10678</v>
      </c>
      <c r="F319" s="31" t="s">
        <v>1380</v>
      </c>
      <c r="G319" s="31" t="n">
        <v>11</v>
      </c>
      <c r="H319" s="31" t="s">
        <v>154</v>
      </c>
      <c r="I319" s="44" t="s">
        <v>1362</v>
      </c>
      <c r="J319" s="45" t="s">
        <v>1382</v>
      </c>
      <c r="K319" s="45" t="s">
        <v>1384</v>
      </c>
      <c r="L319" s="31" t="n">
        <f aca="false">COUNTIF($B$3:$B$2205,$B319)</f>
        <v>1</v>
      </c>
      <c r="M319" s="44" t="str">
        <f aca="false">IFERROR(INDEX(SENTENCES!$T$3:$T$1802,MATCH($F319,SENTENCES!$A$3:$A$1802,0)),"")</f>
        <v>• Chưa tới</v>
      </c>
    </row>
    <row r="320" customFormat="false" ht="15" hidden="false" customHeight="false" outlineLevel="0" collapsed="false">
      <c r="A320" s="31" t="n">
        <v>318</v>
      </c>
      <c r="B320" s="43" t="s">
        <v>11289</v>
      </c>
      <c r="C320" s="34" t="s">
        <v>11290</v>
      </c>
      <c r="D320" s="44" t="s">
        <v>10677</v>
      </c>
      <c r="E320" s="31" t="s">
        <v>10707</v>
      </c>
      <c r="F320" s="31" t="s">
        <v>1386</v>
      </c>
      <c r="G320" s="31" t="n">
        <v>11</v>
      </c>
      <c r="H320" s="31" t="s">
        <v>154</v>
      </c>
      <c r="I320" s="44" t="s">
        <v>1362</v>
      </c>
      <c r="J320" s="45" t="s">
        <v>1388</v>
      </c>
      <c r="K320" s="45" t="s">
        <v>1390</v>
      </c>
      <c r="L320" s="31" t="n">
        <f aca="false">COUNTIF($B$3:$B$2205,$B320)</f>
        <v>1</v>
      </c>
      <c r="M320" s="44" t="str">
        <f aca="false">IFERROR(INDEX(SENTENCES!$T$3:$T$1802,MATCH($F320,SENTENCES!$A$3:$A$1802,0)),"")</f>
        <v>• Chưa tới</v>
      </c>
    </row>
    <row r="321" customFormat="false" ht="15" hidden="false" customHeight="false" outlineLevel="0" collapsed="false">
      <c r="A321" s="31" t="n">
        <v>319</v>
      </c>
      <c r="B321" s="43" t="s">
        <v>11291</v>
      </c>
      <c r="C321" s="34" t="s">
        <v>11292</v>
      </c>
      <c r="D321" s="44" t="s">
        <v>10686</v>
      </c>
      <c r="E321" s="31"/>
      <c r="F321" s="31" t="s">
        <v>1392</v>
      </c>
      <c r="G321" s="31" t="n">
        <v>11</v>
      </c>
      <c r="H321" s="31" t="s">
        <v>154</v>
      </c>
      <c r="I321" s="44" t="s">
        <v>1362</v>
      </c>
      <c r="J321" s="45" t="s">
        <v>1394</v>
      </c>
      <c r="K321" s="45" t="s">
        <v>1396</v>
      </c>
      <c r="L321" s="31" t="n">
        <f aca="false">COUNTIF($B$3:$B$2205,$B321)</f>
        <v>1</v>
      </c>
      <c r="M321" s="44" t="str">
        <f aca="false">IFERROR(INDEX(SENTENCES!$T$3:$T$1802,MATCH($F321,SENTENCES!$A$3:$A$1802,0)),"")</f>
        <v>• Chưa tới</v>
      </c>
    </row>
    <row r="322" customFormat="false" ht="15" hidden="false" customHeight="false" outlineLevel="0" collapsed="false">
      <c r="A322" s="31" t="n">
        <v>320</v>
      </c>
      <c r="B322" s="43" t="s">
        <v>11293</v>
      </c>
      <c r="C322" s="34" t="s">
        <v>11294</v>
      </c>
      <c r="D322" s="44" t="s">
        <v>10681</v>
      </c>
      <c r="E322" s="31"/>
      <c r="F322" s="31" t="s">
        <v>1392</v>
      </c>
      <c r="G322" s="31" t="n">
        <v>11</v>
      </c>
      <c r="H322" s="31" t="s">
        <v>154</v>
      </c>
      <c r="I322" s="44" t="s">
        <v>1362</v>
      </c>
      <c r="J322" s="45" t="s">
        <v>1394</v>
      </c>
      <c r="K322" s="45" t="s">
        <v>1396</v>
      </c>
      <c r="L322" s="31" t="n">
        <f aca="false">COUNTIF($B$3:$B$2205,$B322)</f>
        <v>1</v>
      </c>
      <c r="M322" s="44" t="str">
        <f aca="false">IFERROR(INDEX(SENTENCES!$T$3:$T$1802,MATCH($F322,SENTENCES!$A$3:$A$1802,0)),"")</f>
        <v>• Chưa tới</v>
      </c>
    </row>
    <row r="323" customFormat="false" ht="15" hidden="false" customHeight="false" outlineLevel="0" collapsed="false">
      <c r="A323" s="31" t="n">
        <v>321</v>
      </c>
      <c r="B323" s="43" t="s">
        <v>10879</v>
      </c>
      <c r="C323" s="34" t="s">
        <v>11295</v>
      </c>
      <c r="D323" s="44" t="s">
        <v>10681</v>
      </c>
      <c r="E323" s="31"/>
      <c r="F323" s="31" t="s">
        <v>1398</v>
      </c>
      <c r="G323" s="31" t="n">
        <v>11</v>
      </c>
      <c r="H323" s="31" t="s">
        <v>154</v>
      </c>
      <c r="I323" s="44" t="s">
        <v>1362</v>
      </c>
      <c r="J323" s="45" t="s">
        <v>1399</v>
      </c>
      <c r="K323" s="45" t="s">
        <v>1401</v>
      </c>
      <c r="L323" s="31" t="n">
        <f aca="false">COUNTIF($B$3:$B$2205,$B323)</f>
        <v>2</v>
      </c>
      <c r="M323" s="44" t="str">
        <f aca="false">IFERROR(INDEX(SENTENCES!$T$3:$T$1802,MATCH($F323,SENTENCES!$A$3:$A$1802,0)),"")</f>
        <v>• Chưa tới</v>
      </c>
    </row>
    <row r="324" customFormat="false" ht="15" hidden="false" customHeight="false" outlineLevel="0" collapsed="false">
      <c r="A324" s="31" t="n">
        <v>322</v>
      </c>
      <c r="B324" s="43" t="s">
        <v>11296</v>
      </c>
      <c r="C324" s="34" t="s">
        <v>11297</v>
      </c>
      <c r="D324" s="44" t="s">
        <v>10681</v>
      </c>
      <c r="E324" s="31"/>
      <c r="F324" s="31" t="s">
        <v>1403</v>
      </c>
      <c r="G324" s="31" t="n">
        <v>11</v>
      </c>
      <c r="H324" s="31" t="s">
        <v>154</v>
      </c>
      <c r="I324" s="44" t="s">
        <v>1362</v>
      </c>
      <c r="J324" s="45" t="s">
        <v>1405</v>
      </c>
      <c r="K324" s="45" t="s">
        <v>1407</v>
      </c>
      <c r="L324" s="31" t="n">
        <f aca="false">COUNTIF($B$3:$B$2205,$B324)</f>
        <v>1</v>
      </c>
      <c r="M324" s="44" t="str">
        <f aca="false">IFERROR(INDEX(SENTENCES!$T$3:$T$1802,MATCH($F324,SENTENCES!$A$3:$A$1802,0)),"")</f>
        <v>• Chưa tới</v>
      </c>
    </row>
    <row r="325" customFormat="false" ht="15" hidden="false" customHeight="false" outlineLevel="0" collapsed="false">
      <c r="A325" s="31" t="n">
        <v>323</v>
      </c>
      <c r="B325" s="43" t="s">
        <v>11298</v>
      </c>
      <c r="C325" s="34" t="s">
        <v>11299</v>
      </c>
      <c r="D325" s="44" t="s">
        <v>10677</v>
      </c>
      <c r="E325" s="31" t="s">
        <v>10747</v>
      </c>
      <c r="F325" s="31" t="s">
        <v>1403</v>
      </c>
      <c r="G325" s="31" t="n">
        <v>11</v>
      </c>
      <c r="H325" s="31" t="s">
        <v>154</v>
      </c>
      <c r="I325" s="44" t="s">
        <v>1362</v>
      </c>
      <c r="J325" s="45" t="s">
        <v>1405</v>
      </c>
      <c r="K325" s="45" t="s">
        <v>1407</v>
      </c>
      <c r="L325" s="31" t="n">
        <f aca="false">COUNTIF($B$3:$B$2205,$B325)</f>
        <v>2</v>
      </c>
      <c r="M325" s="44" t="str">
        <f aca="false">IFERROR(INDEX(SENTENCES!$T$3:$T$1802,MATCH($F325,SENTENCES!$A$3:$A$1802,0)),"")</f>
        <v>• Chưa tới</v>
      </c>
    </row>
    <row r="326" customFormat="false" ht="15" hidden="false" customHeight="false" outlineLevel="0" collapsed="false">
      <c r="A326" s="31" t="n">
        <v>324</v>
      </c>
      <c r="B326" s="43" t="s">
        <v>10818</v>
      </c>
      <c r="C326" s="34" t="s">
        <v>10819</v>
      </c>
      <c r="D326" s="44" t="s">
        <v>10686</v>
      </c>
      <c r="E326" s="31"/>
      <c r="F326" s="31" t="s">
        <v>1409</v>
      </c>
      <c r="G326" s="31" t="n">
        <v>11</v>
      </c>
      <c r="H326" s="31" t="s">
        <v>154</v>
      </c>
      <c r="I326" s="44" t="s">
        <v>1362</v>
      </c>
      <c r="J326" s="45" t="s">
        <v>1411</v>
      </c>
      <c r="K326" s="45" t="s">
        <v>1413</v>
      </c>
      <c r="L326" s="31" t="n">
        <f aca="false">COUNTIF($B$3:$B$2205,$B326)</f>
        <v>4</v>
      </c>
      <c r="M326" s="44" t="str">
        <f aca="false">IFERROR(INDEX(SENTENCES!$T$3:$T$1802,MATCH($F326,SENTENCES!$A$3:$A$1802,0)),"")</f>
        <v>• Chưa tới</v>
      </c>
    </row>
    <row r="327" customFormat="false" ht="15" hidden="false" customHeight="false" outlineLevel="0" collapsed="false">
      <c r="A327" s="31" t="n">
        <v>325</v>
      </c>
      <c r="B327" s="43" t="s">
        <v>11041</v>
      </c>
      <c r="C327" s="34" t="s">
        <v>11042</v>
      </c>
      <c r="D327" s="44" t="s">
        <v>10681</v>
      </c>
      <c r="E327" s="31"/>
      <c r="F327" s="31" t="s">
        <v>1415</v>
      </c>
      <c r="G327" s="31" t="n">
        <v>11</v>
      </c>
      <c r="H327" s="31" t="s">
        <v>154</v>
      </c>
      <c r="I327" s="44" t="s">
        <v>1362</v>
      </c>
      <c r="J327" s="45" t="s">
        <v>1417</v>
      </c>
      <c r="K327" s="45" t="s">
        <v>1419</v>
      </c>
      <c r="L327" s="31" t="n">
        <f aca="false">COUNTIF($B$3:$B$2205,$B327)</f>
        <v>3</v>
      </c>
      <c r="M327" s="44" t="str">
        <f aca="false">IFERROR(INDEX(SENTENCES!$T$3:$T$1802,MATCH($F327,SENTENCES!$A$3:$A$1802,0)),"")</f>
        <v>• Chưa tới</v>
      </c>
    </row>
    <row r="328" customFormat="false" ht="15" hidden="false" customHeight="false" outlineLevel="0" collapsed="false">
      <c r="A328" s="31" t="n">
        <v>326</v>
      </c>
      <c r="B328" s="43" t="s">
        <v>11300</v>
      </c>
      <c r="C328" s="34" t="s">
        <v>11301</v>
      </c>
      <c r="D328" s="44" t="s">
        <v>10794</v>
      </c>
      <c r="E328" s="31"/>
      <c r="F328" s="31" t="s">
        <v>1421</v>
      </c>
      <c r="G328" s="31" t="n">
        <v>11</v>
      </c>
      <c r="H328" s="31" t="s">
        <v>154</v>
      </c>
      <c r="I328" s="44" t="s">
        <v>1362</v>
      </c>
      <c r="J328" s="45" t="s">
        <v>1423</v>
      </c>
      <c r="K328" s="45" t="s">
        <v>1425</v>
      </c>
      <c r="L328" s="31" t="n">
        <f aca="false">COUNTIF($B$3:$B$2205,$B328)</f>
        <v>1</v>
      </c>
      <c r="M328" s="44" t="str">
        <f aca="false">IFERROR(INDEX(SENTENCES!$T$3:$T$1802,MATCH($F328,SENTENCES!$A$3:$A$1802,0)),"")</f>
        <v>• Chưa tới</v>
      </c>
    </row>
    <row r="329" customFormat="false" ht="15" hidden="false" customHeight="false" outlineLevel="0" collapsed="false">
      <c r="A329" s="31" t="n">
        <v>327</v>
      </c>
      <c r="B329" s="43" t="s">
        <v>11302</v>
      </c>
      <c r="C329" s="34" t="s">
        <v>11303</v>
      </c>
      <c r="D329" s="44" t="s">
        <v>10686</v>
      </c>
      <c r="E329" s="31"/>
      <c r="F329" s="31" t="s">
        <v>1427</v>
      </c>
      <c r="G329" s="31" t="n">
        <v>11</v>
      </c>
      <c r="H329" s="31" t="s">
        <v>154</v>
      </c>
      <c r="I329" s="44" t="s">
        <v>1362</v>
      </c>
      <c r="J329" s="45" t="s">
        <v>1429</v>
      </c>
      <c r="K329" s="45" t="s">
        <v>1431</v>
      </c>
      <c r="L329" s="31" t="n">
        <f aca="false">COUNTIF($B$3:$B$2205,$B329)</f>
        <v>3</v>
      </c>
      <c r="M329" s="44" t="str">
        <f aca="false">IFERROR(INDEX(SENTENCES!$T$3:$T$1802,MATCH($F329,SENTENCES!$A$3:$A$1802,0)),"")</f>
        <v>• Chưa tới</v>
      </c>
    </row>
    <row r="330" customFormat="false" ht="15" hidden="false" customHeight="false" outlineLevel="0" collapsed="false">
      <c r="A330" s="31" t="n">
        <v>328</v>
      </c>
      <c r="B330" s="43" t="s">
        <v>11304</v>
      </c>
      <c r="C330" s="34" t="s">
        <v>11305</v>
      </c>
      <c r="D330" s="44" t="s">
        <v>10686</v>
      </c>
      <c r="E330" s="31"/>
      <c r="F330" s="31" t="s">
        <v>1433</v>
      </c>
      <c r="G330" s="31" t="n">
        <v>11</v>
      </c>
      <c r="H330" s="31" t="s">
        <v>154</v>
      </c>
      <c r="I330" s="44" t="s">
        <v>1362</v>
      </c>
      <c r="J330" s="45" t="s">
        <v>1435</v>
      </c>
      <c r="K330" s="45" t="s">
        <v>1437</v>
      </c>
      <c r="L330" s="31" t="n">
        <f aca="false">COUNTIF($B$3:$B$2205,$B330)</f>
        <v>2</v>
      </c>
      <c r="M330" s="44" t="str">
        <f aca="false">IFERROR(INDEX(SENTENCES!$T$3:$T$1802,MATCH($F330,SENTENCES!$A$3:$A$1802,0)),"")</f>
        <v>• Chưa tới</v>
      </c>
    </row>
    <row r="331" customFormat="false" ht="15" hidden="false" customHeight="false" outlineLevel="0" collapsed="false">
      <c r="A331" s="31" t="n">
        <v>329</v>
      </c>
      <c r="B331" s="43" t="s">
        <v>11306</v>
      </c>
      <c r="C331" s="34" t="s">
        <v>11307</v>
      </c>
      <c r="D331" s="44" t="s">
        <v>10681</v>
      </c>
      <c r="E331" s="31"/>
      <c r="F331" s="31" t="s">
        <v>1433</v>
      </c>
      <c r="G331" s="31" t="n">
        <v>11</v>
      </c>
      <c r="H331" s="31" t="s">
        <v>154</v>
      </c>
      <c r="I331" s="44" t="s">
        <v>1362</v>
      </c>
      <c r="J331" s="45" t="s">
        <v>1435</v>
      </c>
      <c r="K331" s="45" t="s">
        <v>1437</v>
      </c>
      <c r="L331" s="31" t="n">
        <f aca="false">COUNTIF($B$3:$B$2205,$B331)</f>
        <v>1</v>
      </c>
      <c r="M331" s="44" t="str">
        <f aca="false">IFERROR(INDEX(SENTENCES!$T$3:$T$1802,MATCH($F331,SENTENCES!$A$3:$A$1802,0)),"")</f>
        <v>• Chưa tới</v>
      </c>
    </row>
    <row r="332" customFormat="false" ht="15" hidden="false" customHeight="false" outlineLevel="0" collapsed="false">
      <c r="A332" s="31" t="n">
        <v>330</v>
      </c>
      <c r="B332" s="43" t="s">
        <v>11267</v>
      </c>
      <c r="C332" s="34" t="s">
        <v>11308</v>
      </c>
      <c r="D332" s="44" t="s">
        <v>10686</v>
      </c>
      <c r="E332" s="31"/>
      <c r="F332" s="31" t="s">
        <v>1439</v>
      </c>
      <c r="G332" s="31" t="n">
        <v>11</v>
      </c>
      <c r="H332" s="31" t="s">
        <v>154</v>
      </c>
      <c r="I332" s="44" t="s">
        <v>1362</v>
      </c>
      <c r="J332" s="45" t="s">
        <v>1441</v>
      </c>
      <c r="K332" s="45" t="s">
        <v>1443</v>
      </c>
      <c r="L332" s="31" t="n">
        <f aca="false">COUNTIF($B$3:$B$2205,$B332)</f>
        <v>2</v>
      </c>
      <c r="M332" s="44" t="str">
        <f aca="false">IFERROR(INDEX(SENTENCES!$T$3:$T$1802,MATCH($F332,SENTENCES!$A$3:$A$1802,0)),"")</f>
        <v>• Chưa tới</v>
      </c>
    </row>
    <row r="333" customFormat="false" ht="15" hidden="false" customHeight="false" outlineLevel="0" collapsed="false">
      <c r="A333" s="31" t="n">
        <v>331</v>
      </c>
      <c r="B333" s="43" t="s">
        <v>11309</v>
      </c>
      <c r="C333" s="34" t="s">
        <v>10749</v>
      </c>
      <c r="D333" s="44" t="s">
        <v>10681</v>
      </c>
      <c r="E333" s="31"/>
      <c r="F333" s="31" t="s">
        <v>1445</v>
      </c>
      <c r="G333" s="31" t="n">
        <v>11</v>
      </c>
      <c r="H333" s="31" t="s">
        <v>154</v>
      </c>
      <c r="I333" s="44" t="s">
        <v>1362</v>
      </c>
      <c r="J333" s="45" t="s">
        <v>1447</v>
      </c>
      <c r="K333" s="45" t="s">
        <v>1449</v>
      </c>
      <c r="L333" s="31" t="n">
        <f aca="false">COUNTIF($B$3:$B$2205,$B333)</f>
        <v>1</v>
      </c>
      <c r="M333" s="44" t="str">
        <f aca="false">IFERROR(INDEX(SENTENCES!$T$3:$T$1802,MATCH($F333,SENTENCES!$A$3:$A$1802,0)),"")</f>
        <v>• Chưa tới</v>
      </c>
    </row>
    <row r="334" customFormat="false" ht="15" hidden="false" customHeight="false" outlineLevel="0" collapsed="false">
      <c r="A334" s="31" t="n">
        <v>332</v>
      </c>
      <c r="B334" s="43" t="s">
        <v>11310</v>
      </c>
      <c r="C334" s="34" t="s">
        <v>11311</v>
      </c>
      <c r="D334" s="44" t="s">
        <v>10681</v>
      </c>
      <c r="E334" s="31"/>
      <c r="F334" s="31" t="s">
        <v>1451</v>
      </c>
      <c r="G334" s="31" t="n">
        <v>11</v>
      </c>
      <c r="H334" s="31" t="s">
        <v>154</v>
      </c>
      <c r="I334" s="44" t="s">
        <v>1362</v>
      </c>
      <c r="J334" s="45" t="s">
        <v>1453</v>
      </c>
      <c r="K334" s="45" t="s">
        <v>1455</v>
      </c>
      <c r="L334" s="31" t="n">
        <f aca="false">COUNTIF($B$3:$B$2205,$B334)</f>
        <v>2</v>
      </c>
      <c r="M334" s="44" t="str">
        <f aca="false">IFERROR(INDEX(SENTENCES!$T$3:$T$1802,MATCH($F334,SENTENCES!$A$3:$A$1802,0)),"")</f>
        <v>• Chưa tới</v>
      </c>
    </row>
    <row r="335" customFormat="false" ht="15" hidden="false" customHeight="false" outlineLevel="0" collapsed="false">
      <c r="A335" s="31" t="n">
        <v>333</v>
      </c>
      <c r="B335" s="43" t="s">
        <v>11312</v>
      </c>
      <c r="C335" s="34" t="s">
        <v>11313</v>
      </c>
      <c r="D335" s="44" t="s">
        <v>10677</v>
      </c>
      <c r="E335" s="31" t="s">
        <v>10678</v>
      </c>
      <c r="F335" s="31" t="s">
        <v>1451</v>
      </c>
      <c r="G335" s="31" t="n">
        <v>11</v>
      </c>
      <c r="H335" s="31" t="s">
        <v>154</v>
      </c>
      <c r="I335" s="44" t="s">
        <v>1362</v>
      </c>
      <c r="J335" s="45" t="s">
        <v>1453</v>
      </c>
      <c r="K335" s="45" t="s">
        <v>1455</v>
      </c>
      <c r="L335" s="31" t="n">
        <f aca="false">COUNTIF($B$3:$B$2205,$B335)</f>
        <v>1</v>
      </c>
      <c r="M335" s="44" t="str">
        <f aca="false">IFERROR(INDEX(SENTENCES!$T$3:$T$1802,MATCH($F335,SENTENCES!$A$3:$A$1802,0)),"")</f>
        <v>• Chưa tới</v>
      </c>
    </row>
    <row r="336" customFormat="false" ht="15" hidden="false" customHeight="false" outlineLevel="0" collapsed="false">
      <c r="A336" s="31" t="n">
        <v>334</v>
      </c>
      <c r="B336" s="43" t="s">
        <v>10729</v>
      </c>
      <c r="C336" s="34" t="s">
        <v>10730</v>
      </c>
      <c r="D336" s="44" t="s">
        <v>10681</v>
      </c>
      <c r="E336" s="31"/>
      <c r="F336" s="31" t="s">
        <v>1457</v>
      </c>
      <c r="G336" s="31" t="n">
        <v>11</v>
      </c>
      <c r="H336" s="31" t="s">
        <v>154</v>
      </c>
      <c r="I336" s="44" t="s">
        <v>1362</v>
      </c>
      <c r="J336" s="45" t="s">
        <v>1458</v>
      </c>
      <c r="K336" s="45" t="s">
        <v>1460</v>
      </c>
      <c r="L336" s="31" t="n">
        <f aca="false">COUNTIF($B$3:$B$2205,$B336)</f>
        <v>3</v>
      </c>
      <c r="M336" s="44" t="str">
        <f aca="false">IFERROR(INDEX(SENTENCES!$T$3:$T$1802,MATCH($F336,SENTENCES!$A$3:$A$1802,0)),"")</f>
        <v>• Chưa tới</v>
      </c>
    </row>
    <row r="337" customFormat="false" ht="15" hidden="false" customHeight="false" outlineLevel="0" collapsed="false">
      <c r="A337" s="31" t="n">
        <v>335</v>
      </c>
      <c r="B337" s="43" t="s">
        <v>11314</v>
      </c>
      <c r="C337" s="34" t="s">
        <v>11315</v>
      </c>
      <c r="D337" s="44" t="s">
        <v>10681</v>
      </c>
      <c r="E337" s="31"/>
      <c r="F337" s="31" t="s">
        <v>1462</v>
      </c>
      <c r="G337" s="31" t="n">
        <v>11</v>
      </c>
      <c r="H337" s="31" t="s">
        <v>154</v>
      </c>
      <c r="I337" s="44" t="s">
        <v>1362</v>
      </c>
      <c r="J337" s="45" t="s">
        <v>1464</v>
      </c>
      <c r="K337" s="45" t="s">
        <v>1466</v>
      </c>
      <c r="L337" s="31" t="n">
        <f aca="false">COUNTIF($B$3:$B$2205,$B337)</f>
        <v>1</v>
      </c>
      <c r="M337" s="44" t="str">
        <f aca="false">IFERROR(INDEX(SENTENCES!$T$3:$T$1802,MATCH($F337,SENTENCES!$A$3:$A$1802,0)),"")</f>
        <v>• Chưa tới</v>
      </c>
    </row>
    <row r="338" customFormat="false" ht="15" hidden="false" customHeight="false" outlineLevel="0" collapsed="false">
      <c r="A338" s="31" t="n">
        <v>336</v>
      </c>
      <c r="B338" s="43" t="s">
        <v>11316</v>
      </c>
      <c r="C338" s="34" t="s">
        <v>11317</v>
      </c>
      <c r="D338" s="44" t="s">
        <v>10677</v>
      </c>
      <c r="E338" s="31" t="s">
        <v>10707</v>
      </c>
      <c r="F338" s="31" t="s">
        <v>1462</v>
      </c>
      <c r="G338" s="31" t="n">
        <v>11</v>
      </c>
      <c r="H338" s="31" t="s">
        <v>154</v>
      </c>
      <c r="I338" s="44" t="s">
        <v>1362</v>
      </c>
      <c r="J338" s="45" t="s">
        <v>1464</v>
      </c>
      <c r="K338" s="45" t="s">
        <v>1466</v>
      </c>
      <c r="L338" s="31" t="n">
        <f aca="false">COUNTIF($B$3:$B$2205,$B338)</f>
        <v>1</v>
      </c>
      <c r="M338" s="44" t="str">
        <f aca="false">IFERROR(INDEX(SENTENCES!$T$3:$T$1802,MATCH($F338,SENTENCES!$A$3:$A$1802,0)),"")</f>
        <v>• Chưa tới</v>
      </c>
    </row>
    <row r="339" customFormat="false" ht="15" hidden="false" customHeight="false" outlineLevel="0" collapsed="false">
      <c r="A339" s="31" t="n">
        <v>337</v>
      </c>
      <c r="B339" s="43" t="s">
        <v>11318</v>
      </c>
      <c r="C339" s="34" t="s">
        <v>11319</v>
      </c>
      <c r="D339" s="44" t="s">
        <v>10686</v>
      </c>
      <c r="E339" s="31"/>
      <c r="F339" s="31" t="s">
        <v>1468</v>
      </c>
      <c r="G339" s="31" t="n">
        <v>11</v>
      </c>
      <c r="H339" s="31" t="s">
        <v>154</v>
      </c>
      <c r="I339" s="44" t="s">
        <v>1362</v>
      </c>
      <c r="J339" s="45" t="s">
        <v>1470</v>
      </c>
      <c r="K339" s="45" t="s">
        <v>1472</v>
      </c>
      <c r="L339" s="31" t="n">
        <f aca="false">COUNTIF($B$3:$B$2205,$B339)</f>
        <v>1</v>
      </c>
      <c r="M339" s="44" t="str">
        <f aca="false">IFERROR(INDEX(SENTENCES!$T$3:$T$1802,MATCH($F339,SENTENCES!$A$3:$A$1802,0)),"")</f>
        <v>• Chưa tới</v>
      </c>
    </row>
    <row r="340" customFormat="false" ht="15" hidden="false" customHeight="false" outlineLevel="0" collapsed="false">
      <c r="A340" s="31" t="n">
        <v>338</v>
      </c>
      <c r="B340" s="43" t="s">
        <v>11320</v>
      </c>
      <c r="C340" s="34" t="s">
        <v>11321</v>
      </c>
      <c r="D340" s="44" t="s">
        <v>10677</v>
      </c>
      <c r="E340" s="31" t="s">
        <v>10678</v>
      </c>
      <c r="F340" s="31" t="s">
        <v>1468</v>
      </c>
      <c r="G340" s="31" t="n">
        <v>11</v>
      </c>
      <c r="H340" s="31" t="s">
        <v>154</v>
      </c>
      <c r="I340" s="44" t="s">
        <v>1362</v>
      </c>
      <c r="J340" s="45" t="s">
        <v>1470</v>
      </c>
      <c r="K340" s="45" t="s">
        <v>1472</v>
      </c>
      <c r="L340" s="31" t="n">
        <f aca="false">COUNTIF($B$3:$B$2205,$B340)</f>
        <v>1</v>
      </c>
      <c r="M340" s="44" t="str">
        <f aca="false">IFERROR(INDEX(SENTENCES!$T$3:$T$1802,MATCH($F340,SENTENCES!$A$3:$A$1802,0)),"")</f>
        <v>• Chưa tới</v>
      </c>
    </row>
    <row r="341" customFormat="false" ht="15" hidden="false" customHeight="false" outlineLevel="0" collapsed="false">
      <c r="A341" s="31" t="n">
        <v>339</v>
      </c>
      <c r="B341" s="43" t="s">
        <v>11322</v>
      </c>
      <c r="C341" s="34" t="s">
        <v>11323</v>
      </c>
      <c r="D341" s="44" t="s">
        <v>10681</v>
      </c>
      <c r="E341" s="31"/>
      <c r="F341" s="31" t="s">
        <v>1468</v>
      </c>
      <c r="G341" s="31" t="n">
        <v>11</v>
      </c>
      <c r="H341" s="31" t="s">
        <v>154</v>
      </c>
      <c r="I341" s="44" t="s">
        <v>1362</v>
      </c>
      <c r="J341" s="45" t="s">
        <v>1470</v>
      </c>
      <c r="K341" s="45" t="s">
        <v>1472</v>
      </c>
      <c r="L341" s="31" t="n">
        <f aca="false">COUNTIF($B$3:$B$2205,$B341)</f>
        <v>1</v>
      </c>
      <c r="M341" s="44" t="str">
        <f aca="false">IFERROR(INDEX(SENTENCES!$T$3:$T$1802,MATCH($F341,SENTENCES!$A$3:$A$1802,0)),"")</f>
        <v>• Chưa tới</v>
      </c>
    </row>
    <row r="342" customFormat="false" ht="15" hidden="false" customHeight="false" outlineLevel="0" collapsed="false">
      <c r="A342" s="31" t="n">
        <v>340</v>
      </c>
      <c r="B342" s="43" t="s">
        <v>11324</v>
      </c>
      <c r="C342" s="34" t="s">
        <v>11325</v>
      </c>
      <c r="D342" s="44" t="s">
        <v>10686</v>
      </c>
      <c r="E342" s="31"/>
      <c r="F342" s="31" t="s">
        <v>1474</v>
      </c>
      <c r="G342" s="31" t="n">
        <v>11</v>
      </c>
      <c r="H342" s="31" t="s">
        <v>154</v>
      </c>
      <c r="I342" s="44" t="s">
        <v>1362</v>
      </c>
      <c r="J342" s="45" t="s">
        <v>1476</v>
      </c>
      <c r="K342" s="45" t="s">
        <v>1478</v>
      </c>
      <c r="L342" s="31" t="n">
        <f aca="false">COUNTIF($B$3:$B$2205,$B342)</f>
        <v>2</v>
      </c>
      <c r="M342" s="44" t="str">
        <f aca="false">IFERROR(INDEX(SENTENCES!$T$3:$T$1802,MATCH($F342,SENTENCES!$A$3:$A$1802,0)),"")</f>
        <v>• Chưa tới</v>
      </c>
    </row>
    <row r="343" customFormat="false" ht="15" hidden="false" customHeight="false" outlineLevel="0" collapsed="false">
      <c r="A343" s="31" t="n">
        <v>341</v>
      </c>
      <c r="B343" s="43" t="s">
        <v>11326</v>
      </c>
      <c r="C343" s="34" t="s">
        <v>11327</v>
      </c>
      <c r="D343" s="44" t="s">
        <v>10681</v>
      </c>
      <c r="E343" s="31"/>
      <c r="F343" s="31" t="s">
        <v>1480</v>
      </c>
      <c r="G343" s="31" t="n">
        <v>12</v>
      </c>
      <c r="H343" s="31" t="s">
        <v>154</v>
      </c>
      <c r="I343" s="44" t="s">
        <v>1481</v>
      </c>
      <c r="J343" s="45" t="s">
        <v>1483</v>
      </c>
      <c r="K343" s="45" t="s">
        <v>1485</v>
      </c>
      <c r="L343" s="31" t="n">
        <f aca="false">COUNTIF($B$3:$B$2205,$B343)</f>
        <v>1</v>
      </c>
      <c r="M343" s="44" t="str">
        <f aca="false">IFERROR(INDEX(SENTENCES!$T$3:$T$1802,MATCH($F343,SENTENCES!$A$3:$A$1802,0)),"")</f>
        <v>• Chưa tới</v>
      </c>
    </row>
    <row r="344" customFormat="false" ht="15" hidden="false" customHeight="false" outlineLevel="0" collapsed="false">
      <c r="A344" s="31" t="n">
        <v>342</v>
      </c>
      <c r="B344" s="43" t="s">
        <v>10865</v>
      </c>
      <c r="C344" s="34" t="s">
        <v>10866</v>
      </c>
      <c r="D344" s="44" t="s">
        <v>10686</v>
      </c>
      <c r="E344" s="31"/>
      <c r="F344" s="31" t="s">
        <v>1487</v>
      </c>
      <c r="G344" s="31" t="n">
        <v>12</v>
      </c>
      <c r="H344" s="31" t="s">
        <v>154</v>
      </c>
      <c r="I344" s="44" t="s">
        <v>1481</v>
      </c>
      <c r="J344" s="45" t="s">
        <v>1489</v>
      </c>
      <c r="K344" s="45" t="s">
        <v>1491</v>
      </c>
      <c r="L344" s="31" t="n">
        <f aca="false">COUNTIF($B$3:$B$2205,$B344)</f>
        <v>3</v>
      </c>
      <c r="M344" s="44" t="str">
        <f aca="false">IFERROR(INDEX(SENTENCES!$T$3:$T$1802,MATCH($F344,SENTENCES!$A$3:$A$1802,0)),"")</f>
        <v>• Chưa tới</v>
      </c>
    </row>
    <row r="345" customFormat="false" ht="15" hidden="false" customHeight="false" outlineLevel="0" collapsed="false">
      <c r="A345" s="31" t="n">
        <v>343</v>
      </c>
      <c r="B345" s="43" t="s">
        <v>11328</v>
      </c>
      <c r="C345" s="34" t="s">
        <v>11329</v>
      </c>
      <c r="D345" s="44" t="s">
        <v>10677</v>
      </c>
      <c r="E345" s="31" t="s">
        <v>10678</v>
      </c>
      <c r="F345" s="31" t="s">
        <v>1493</v>
      </c>
      <c r="G345" s="31" t="n">
        <v>12</v>
      </c>
      <c r="H345" s="31" t="s">
        <v>154</v>
      </c>
      <c r="I345" s="44" t="s">
        <v>1481</v>
      </c>
      <c r="J345" s="45" t="s">
        <v>1495</v>
      </c>
      <c r="K345" s="45" t="s">
        <v>1497</v>
      </c>
      <c r="L345" s="31" t="n">
        <f aca="false">COUNTIF($B$3:$B$2205,$B345)</f>
        <v>1</v>
      </c>
      <c r="M345" s="44" t="str">
        <f aca="false">IFERROR(INDEX(SENTENCES!$T$3:$T$1802,MATCH($F345,SENTENCES!$A$3:$A$1802,0)),"")</f>
        <v>• Chưa tới</v>
      </c>
    </row>
    <row r="346" customFormat="false" ht="15" hidden="false" customHeight="false" outlineLevel="0" collapsed="false">
      <c r="A346" s="31" t="n">
        <v>344</v>
      </c>
      <c r="B346" s="43" t="s">
        <v>11330</v>
      </c>
      <c r="C346" s="34" t="s">
        <v>11331</v>
      </c>
      <c r="D346" s="44" t="s">
        <v>10677</v>
      </c>
      <c r="E346" s="31" t="s">
        <v>10747</v>
      </c>
      <c r="F346" s="31" t="s">
        <v>1493</v>
      </c>
      <c r="G346" s="31" t="n">
        <v>12</v>
      </c>
      <c r="H346" s="31" t="s">
        <v>154</v>
      </c>
      <c r="I346" s="44" t="s">
        <v>1481</v>
      </c>
      <c r="J346" s="45" t="s">
        <v>1495</v>
      </c>
      <c r="K346" s="45" t="s">
        <v>1497</v>
      </c>
      <c r="L346" s="31" t="n">
        <f aca="false">COUNTIF($B$3:$B$2205,$B346)</f>
        <v>1</v>
      </c>
      <c r="M346" s="44" t="str">
        <f aca="false">IFERROR(INDEX(SENTENCES!$T$3:$T$1802,MATCH($F346,SENTENCES!$A$3:$A$1802,0)),"")</f>
        <v>• Chưa tới</v>
      </c>
    </row>
    <row r="347" customFormat="false" ht="15" hidden="false" customHeight="false" outlineLevel="0" collapsed="false">
      <c r="A347" s="31" t="n">
        <v>345</v>
      </c>
      <c r="B347" s="43" t="s">
        <v>11332</v>
      </c>
      <c r="C347" s="34" t="s">
        <v>11333</v>
      </c>
      <c r="D347" s="44" t="s">
        <v>10677</v>
      </c>
      <c r="E347" s="31" t="s">
        <v>10747</v>
      </c>
      <c r="F347" s="31" t="s">
        <v>1499</v>
      </c>
      <c r="G347" s="31" t="n">
        <v>12</v>
      </c>
      <c r="H347" s="31" t="s">
        <v>154</v>
      </c>
      <c r="I347" s="44" t="s">
        <v>1481</v>
      </c>
      <c r="J347" s="45" t="s">
        <v>1501</v>
      </c>
      <c r="K347" s="45" t="s">
        <v>1503</v>
      </c>
      <c r="L347" s="31" t="n">
        <f aca="false">COUNTIF($B$3:$B$2205,$B347)</f>
        <v>2</v>
      </c>
      <c r="M347" s="44" t="str">
        <f aca="false">IFERROR(INDEX(SENTENCES!$T$3:$T$1802,MATCH($F347,SENTENCES!$A$3:$A$1802,0)),"")</f>
        <v>• Chưa tới</v>
      </c>
    </row>
    <row r="348" customFormat="false" ht="15" hidden="false" customHeight="false" outlineLevel="0" collapsed="false">
      <c r="A348" s="31" t="n">
        <v>346</v>
      </c>
      <c r="B348" s="43" t="s">
        <v>11334</v>
      </c>
      <c r="C348" s="34" t="s">
        <v>11335</v>
      </c>
      <c r="D348" s="44" t="s">
        <v>10677</v>
      </c>
      <c r="E348" s="31" t="s">
        <v>10678</v>
      </c>
      <c r="F348" s="31" t="s">
        <v>1499</v>
      </c>
      <c r="G348" s="31" t="n">
        <v>12</v>
      </c>
      <c r="H348" s="31" t="s">
        <v>154</v>
      </c>
      <c r="I348" s="44" t="s">
        <v>1481</v>
      </c>
      <c r="J348" s="45" t="s">
        <v>1501</v>
      </c>
      <c r="K348" s="45" t="s">
        <v>1503</v>
      </c>
      <c r="L348" s="31" t="n">
        <f aca="false">COUNTIF($B$3:$B$2205,$B348)</f>
        <v>1</v>
      </c>
      <c r="M348" s="44" t="str">
        <f aca="false">IFERROR(INDEX(SENTENCES!$T$3:$T$1802,MATCH($F348,SENTENCES!$A$3:$A$1802,0)),"")</f>
        <v>• Chưa tới</v>
      </c>
    </row>
    <row r="349" customFormat="false" ht="15" hidden="false" customHeight="false" outlineLevel="0" collapsed="false">
      <c r="A349" s="31" t="n">
        <v>347</v>
      </c>
      <c r="B349" s="43" t="s">
        <v>11336</v>
      </c>
      <c r="C349" s="34" t="s">
        <v>11337</v>
      </c>
      <c r="D349" s="44" t="s">
        <v>10686</v>
      </c>
      <c r="E349" s="31"/>
      <c r="F349" s="31" t="s">
        <v>1505</v>
      </c>
      <c r="G349" s="31" t="n">
        <v>12</v>
      </c>
      <c r="H349" s="31" t="s">
        <v>154</v>
      </c>
      <c r="I349" s="44" t="s">
        <v>1481</v>
      </c>
      <c r="J349" s="45" t="s">
        <v>1507</v>
      </c>
      <c r="K349" s="45" t="s">
        <v>1509</v>
      </c>
      <c r="L349" s="31" t="n">
        <f aca="false">COUNTIF($B$3:$B$2205,$B349)</f>
        <v>1</v>
      </c>
      <c r="M349" s="44" t="str">
        <f aca="false">IFERROR(INDEX(SENTENCES!$T$3:$T$1802,MATCH($F349,SENTENCES!$A$3:$A$1802,0)),"")</f>
        <v>• Chưa tới</v>
      </c>
    </row>
    <row r="350" customFormat="false" ht="15" hidden="false" customHeight="false" outlineLevel="0" collapsed="false">
      <c r="A350" s="31" t="n">
        <v>348</v>
      </c>
      <c r="B350" s="43" t="s">
        <v>11338</v>
      </c>
      <c r="C350" s="34" t="s">
        <v>11339</v>
      </c>
      <c r="D350" s="44" t="s">
        <v>10677</v>
      </c>
      <c r="E350" s="31" t="s">
        <v>10747</v>
      </c>
      <c r="F350" s="31" t="s">
        <v>1505</v>
      </c>
      <c r="G350" s="31" t="n">
        <v>12</v>
      </c>
      <c r="H350" s="31" t="s">
        <v>154</v>
      </c>
      <c r="I350" s="44" t="s">
        <v>1481</v>
      </c>
      <c r="J350" s="45" t="s">
        <v>1507</v>
      </c>
      <c r="K350" s="45" t="s">
        <v>1509</v>
      </c>
      <c r="L350" s="31" t="n">
        <f aca="false">COUNTIF($B$3:$B$2205,$B350)</f>
        <v>1</v>
      </c>
      <c r="M350" s="44" t="str">
        <f aca="false">IFERROR(INDEX(SENTENCES!$T$3:$T$1802,MATCH($F350,SENTENCES!$A$3:$A$1802,0)),"")</f>
        <v>• Chưa tới</v>
      </c>
    </row>
    <row r="351" customFormat="false" ht="15" hidden="false" customHeight="false" outlineLevel="0" collapsed="false">
      <c r="A351" s="31" t="n">
        <v>349</v>
      </c>
      <c r="B351" s="43" t="s">
        <v>11340</v>
      </c>
      <c r="C351" s="34" t="s">
        <v>11341</v>
      </c>
      <c r="D351" s="44" t="s">
        <v>10677</v>
      </c>
      <c r="E351" s="31" t="s">
        <v>10747</v>
      </c>
      <c r="F351" s="31" t="s">
        <v>1511</v>
      </c>
      <c r="G351" s="31" t="n">
        <v>12</v>
      </c>
      <c r="H351" s="31" t="s">
        <v>154</v>
      </c>
      <c r="I351" s="44" t="s">
        <v>1481</v>
      </c>
      <c r="J351" s="45" t="s">
        <v>1512</v>
      </c>
      <c r="K351" s="45" t="s">
        <v>1514</v>
      </c>
      <c r="L351" s="31" t="n">
        <f aca="false">COUNTIF($B$3:$B$2205,$B351)</f>
        <v>1</v>
      </c>
      <c r="M351" s="44" t="str">
        <f aca="false">IFERROR(INDEX(SENTENCES!$T$3:$T$1802,MATCH($F351,SENTENCES!$A$3:$A$1802,0)),"")</f>
        <v>• Chưa tới</v>
      </c>
    </row>
    <row r="352" customFormat="false" ht="15" hidden="false" customHeight="false" outlineLevel="0" collapsed="false">
      <c r="A352" s="31" t="n">
        <v>350</v>
      </c>
      <c r="B352" s="43" t="s">
        <v>11342</v>
      </c>
      <c r="C352" s="34" t="s">
        <v>11343</v>
      </c>
      <c r="D352" s="44" t="s">
        <v>10677</v>
      </c>
      <c r="E352" s="31" t="s">
        <v>10678</v>
      </c>
      <c r="F352" s="31" t="s">
        <v>1516</v>
      </c>
      <c r="G352" s="31" t="n">
        <v>12</v>
      </c>
      <c r="H352" s="31" t="s">
        <v>154</v>
      </c>
      <c r="I352" s="44" t="s">
        <v>1481</v>
      </c>
      <c r="J352" s="45" t="s">
        <v>1518</v>
      </c>
      <c r="K352" s="45" t="s">
        <v>1520</v>
      </c>
      <c r="L352" s="31" t="n">
        <f aca="false">COUNTIF($B$3:$B$2205,$B352)</f>
        <v>1</v>
      </c>
      <c r="M352" s="44" t="str">
        <f aca="false">IFERROR(INDEX(SENTENCES!$T$3:$T$1802,MATCH($F352,SENTENCES!$A$3:$A$1802,0)),"")</f>
        <v>• Chưa tới</v>
      </c>
    </row>
    <row r="353" customFormat="false" ht="15" hidden="false" customHeight="false" outlineLevel="0" collapsed="false">
      <c r="A353" s="31" t="n">
        <v>351</v>
      </c>
      <c r="B353" s="43" t="s">
        <v>10741</v>
      </c>
      <c r="C353" s="34" t="s">
        <v>10742</v>
      </c>
      <c r="D353" s="44" t="s">
        <v>10681</v>
      </c>
      <c r="E353" s="31"/>
      <c r="F353" s="31" t="s">
        <v>1522</v>
      </c>
      <c r="G353" s="31" t="n">
        <v>12</v>
      </c>
      <c r="H353" s="31" t="s">
        <v>154</v>
      </c>
      <c r="I353" s="44" t="s">
        <v>1481</v>
      </c>
      <c r="J353" s="45" t="s">
        <v>1524</v>
      </c>
      <c r="K353" s="45" t="s">
        <v>1526</v>
      </c>
      <c r="L353" s="31" t="n">
        <f aca="false">COUNTIF($B$3:$B$2205,$B353)</f>
        <v>3</v>
      </c>
      <c r="M353" s="44" t="str">
        <f aca="false">IFERROR(INDEX(SENTENCES!$T$3:$T$1802,MATCH($F353,SENTENCES!$A$3:$A$1802,0)),"")</f>
        <v>• Chưa tới</v>
      </c>
    </row>
    <row r="354" customFormat="false" ht="15" hidden="false" customHeight="false" outlineLevel="0" collapsed="false">
      <c r="A354" s="31" t="n">
        <v>352</v>
      </c>
      <c r="B354" s="43" t="s">
        <v>11344</v>
      </c>
      <c r="C354" s="34" t="s">
        <v>11345</v>
      </c>
      <c r="D354" s="44" t="s">
        <v>10677</v>
      </c>
      <c r="E354" s="31" t="s">
        <v>10678</v>
      </c>
      <c r="F354" s="31" t="s">
        <v>1528</v>
      </c>
      <c r="G354" s="31" t="n">
        <v>12</v>
      </c>
      <c r="H354" s="31" t="s">
        <v>154</v>
      </c>
      <c r="I354" s="44" t="s">
        <v>1481</v>
      </c>
      <c r="J354" s="45" t="s">
        <v>1530</v>
      </c>
      <c r="K354" s="45" t="s">
        <v>1532</v>
      </c>
      <c r="L354" s="31" t="n">
        <f aca="false">COUNTIF($B$3:$B$2205,$B354)</f>
        <v>1</v>
      </c>
      <c r="M354" s="44" t="str">
        <f aca="false">IFERROR(INDEX(SENTENCES!$T$3:$T$1802,MATCH($F354,SENTENCES!$A$3:$A$1802,0)),"")</f>
        <v>• Chưa tới</v>
      </c>
    </row>
    <row r="355" customFormat="false" ht="15" hidden="false" customHeight="false" outlineLevel="0" collapsed="false">
      <c r="A355" s="31" t="n">
        <v>353</v>
      </c>
      <c r="B355" s="43" t="s">
        <v>11346</v>
      </c>
      <c r="C355" s="34" t="s">
        <v>11347</v>
      </c>
      <c r="D355" s="44" t="s">
        <v>10681</v>
      </c>
      <c r="E355" s="31"/>
      <c r="F355" s="31" t="s">
        <v>1528</v>
      </c>
      <c r="G355" s="31" t="n">
        <v>12</v>
      </c>
      <c r="H355" s="31" t="s">
        <v>154</v>
      </c>
      <c r="I355" s="44" t="s">
        <v>1481</v>
      </c>
      <c r="J355" s="45" t="s">
        <v>1530</v>
      </c>
      <c r="K355" s="45" t="s">
        <v>1532</v>
      </c>
      <c r="L355" s="31" t="n">
        <f aca="false">COUNTIF($B$3:$B$2205,$B355)</f>
        <v>1</v>
      </c>
      <c r="M355" s="44" t="str">
        <f aca="false">IFERROR(INDEX(SENTENCES!$T$3:$T$1802,MATCH($F355,SENTENCES!$A$3:$A$1802,0)),"")</f>
        <v>• Chưa tới</v>
      </c>
    </row>
    <row r="356" customFormat="false" ht="15" hidden="false" customHeight="false" outlineLevel="0" collapsed="false">
      <c r="A356" s="31" t="n">
        <v>354</v>
      </c>
      <c r="B356" s="43" t="s">
        <v>11348</v>
      </c>
      <c r="C356" s="34" t="s">
        <v>11349</v>
      </c>
      <c r="D356" s="44" t="s">
        <v>10677</v>
      </c>
      <c r="E356" s="31" t="s">
        <v>10707</v>
      </c>
      <c r="F356" s="31" t="s">
        <v>1534</v>
      </c>
      <c r="G356" s="31" t="n">
        <v>12</v>
      </c>
      <c r="H356" s="31" t="s">
        <v>154</v>
      </c>
      <c r="I356" s="44" t="s">
        <v>1481</v>
      </c>
      <c r="J356" s="45" t="s">
        <v>1536</v>
      </c>
      <c r="K356" s="45" t="s">
        <v>1538</v>
      </c>
      <c r="L356" s="31" t="n">
        <f aca="false">COUNTIF($B$3:$B$2205,$B356)</f>
        <v>1</v>
      </c>
      <c r="M356" s="44" t="str">
        <f aca="false">IFERROR(INDEX(SENTENCES!$T$3:$T$1802,MATCH($F356,SENTENCES!$A$3:$A$1802,0)),"")</f>
        <v>• Chưa tới</v>
      </c>
    </row>
    <row r="357" customFormat="false" ht="15" hidden="false" customHeight="false" outlineLevel="0" collapsed="false">
      <c r="A357" s="31" t="n">
        <v>355</v>
      </c>
      <c r="B357" s="43" t="s">
        <v>11350</v>
      </c>
      <c r="C357" s="34" t="s">
        <v>11351</v>
      </c>
      <c r="D357" s="44" t="s">
        <v>10681</v>
      </c>
      <c r="E357" s="31"/>
      <c r="F357" s="31" t="s">
        <v>1540</v>
      </c>
      <c r="G357" s="31" t="n">
        <v>12</v>
      </c>
      <c r="H357" s="31" t="s">
        <v>154</v>
      </c>
      <c r="I357" s="44" t="s">
        <v>1481</v>
      </c>
      <c r="J357" s="45" t="s">
        <v>1542</v>
      </c>
      <c r="K357" s="45" t="s">
        <v>1544</v>
      </c>
      <c r="L357" s="31" t="n">
        <f aca="false">COUNTIF($B$3:$B$2205,$B357)</f>
        <v>2</v>
      </c>
      <c r="M357" s="44" t="str">
        <f aca="false">IFERROR(INDEX(SENTENCES!$T$3:$T$1802,MATCH($F357,SENTENCES!$A$3:$A$1802,0)),"")</f>
        <v>• Chưa tới</v>
      </c>
    </row>
    <row r="358" customFormat="false" ht="15" hidden="false" customHeight="false" outlineLevel="0" collapsed="false">
      <c r="A358" s="31" t="n">
        <v>356</v>
      </c>
      <c r="B358" s="43" t="s">
        <v>11352</v>
      </c>
      <c r="C358" s="34" t="s">
        <v>11353</v>
      </c>
      <c r="D358" s="44" t="s">
        <v>10681</v>
      </c>
      <c r="E358" s="31"/>
      <c r="F358" s="31" t="s">
        <v>1546</v>
      </c>
      <c r="G358" s="31" t="n">
        <v>12</v>
      </c>
      <c r="H358" s="31" t="s">
        <v>154</v>
      </c>
      <c r="I358" s="44" t="s">
        <v>1481</v>
      </c>
      <c r="J358" s="45" t="s">
        <v>1548</v>
      </c>
      <c r="K358" s="45" t="s">
        <v>1550</v>
      </c>
      <c r="L358" s="31" t="n">
        <f aca="false">COUNTIF($B$3:$B$2205,$B358)</f>
        <v>2</v>
      </c>
      <c r="M358" s="44" t="str">
        <f aca="false">IFERROR(INDEX(SENTENCES!$T$3:$T$1802,MATCH($F358,SENTENCES!$A$3:$A$1802,0)),"")</f>
        <v>• Chưa tới</v>
      </c>
    </row>
    <row r="359" customFormat="false" ht="15" hidden="false" customHeight="false" outlineLevel="0" collapsed="false">
      <c r="A359" s="31" t="n">
        <v>357</v>
      </c>
      <c r="B359" s="43" t="s">
        <v>11354</v>
      </c>
      <c r="C359" s="34" t="s">
        <v>11355</v>
      </c>
      <c r="D359" s="44" t="s">
        <v>10681</v>
      </c>
      <c r="E359" s="31"/>
      <c r="F359" s="31" t="s">
        <v>1552</v>
      </c>
      <c r="G359" s="31" t="n">
        <v>12</v>
      </c>
      <c r="H359" s="31" t="s">
        <v>154</v>
      </c>
      <c r="I359" s="44" t="s">
        <v>1481</v>
      </c>
      <c r="J359" s="45" t="s">
        <v>1554</v>
      </c>
      <c r="K359" s="45" t="s">
        <v>1556</v>
      </c>
      <c r="L359" s="31" t="n">
        <f aca="false">COUNTIF($B$3:$B$2205,$B359)</f>
        <v>1</v>
      </c>
      <c r="M359" s="44" t="str">
        <f aca="false">IFERROR(INDEX(SENTENCES!$T$3:$T$1802,MATCH($F359,SENTENCES!$A$3:$A$1802,0)),"")</f>
        <v>• Chưa tới</v>
      </c>
    </row>
    <row r="360" customFormat="false" ht="15" hidden="false" customHeight="false" outlineLevel="0" collapsed="false">
      <c r="A360" s="31" t="n">
        <v>358</v>
      </c>
      <c r="B360" s="43" t="s">
        <v>11356</v>
      </c>
      <c r="C360" s="34" t="s">
        <v>11357</v>
      </c>
      <c r="D360" s="44" t="s">
        <v>10686</v>
      </c>
      <c r="E360" s="31"/>
      <c r="F360" s="31" t="s">
        <v>1552</v>
      </c>
      <c r="G360" s="31" t="n">
        <v>12</v>
      </c>
      <c r="H360" s="31" t="s">
        <v>154</v>
      </c>
      <c r="I360" s="44" t="s">
        <v>1481</v>
      </c>
      <c r="J360" s="45" t="s">
        <v>1554</v>
      </c>
      <c r="K360" s="45" t="s">
        <v>1556</v>
      </c>
      <c r="L360" s="31" t="n">
        <f aca="false">COUNTIF($B$3:$B$2205,$B360)</f>
        <v>1</v>
      </c>
      <c r="M360" s="44" t="str">
        <f aca="false">IFERROR(INDEX(SENTENCES!$T$3:$T$1802,MATCH($F360,SENTENCES!$A$3:$A$1802,0)),"")</f>
        <v>• Chưa tới</v>
      </c>
    </row>
    <row r="361" customFormat="false" ht="15" hidden="false" customHeight="false" outlineLevel="0" collapsed="false">
      <c r="A361" s="31" t="n">
        <v>359</v>
      </c>
      <c r="B361" s="43" t="s">
        <v>11358</v>
      </c>
      <c r="C361" s="34" t="s">
        <v>11359</v>
      </c>
      <c r="D361" s="44" t="s">
        <v>10681</v>
      </c>
      <c r="E361" s="31"/>
      <c r="F361" s="31" t="s">
        <v>1558</v>
      </c>
      <c r="G361" s="31" t="n">
        <v>12</v>
      </c>
      <c r="H361" s="31" t="s">
        <v>154</v>
      </c>
      <c r="I361" s="44" t="s">
        <v>1481</v>
      </c>
      <c r="J361" s="45" t="s">
        <v>1560</v>
      </c>
      <c r="K361" s="45" t="s">
        <v>1562</v>
      </c>
      <c r="L361" s="31" t="n">
        <f aca="false">COUNTIF($B$3:$B$2205,$B361)</f>
        <v>1</v>
      </c>
      <c r="M361" s="44" t="str">
        <f aca="false">IFERROR(INDEX(SENTENCES!$T$3:$T$1802,MATCH($F361,SENTENCES!$A$3:$A$1802,0)),"")</f>
        <v>• Chưa tới</v>
      </c>
    </row>
    <row r="362" customFormat="false" ht="15" hidden="false" customHeight="false" outlineLevel="0" collapsed="false">
      <c r="A362" s="31" t="n">
        <v>360</v>
      </c>
      <c r="B362" s="43" t="s">
        <v>11360</v>
      </c>
      <c r="C362" s="34" t="s">
        <v>11361</v>
      </c>
      <c r="D362" s="44" t="s">
        <v>10677</v>
      </c>
      <c r="E362" s="31" t="s">
        <v>10707</v>
      </c>
      <c r="F362" s="31" t="s">
        <v>1564</v>
      </c>
      <c r="G362" s="31" t="n">
        <v>12</v>
      </c>
      <c r="H362" s="31" t="s">
        <v>154</v>
      </c>
      <c r="I362" s="44" t="s">
        <v>1481</v>
      </c>
      <c r="J362" s="45" t="s">
        <v>1566</v>
      </c>
      <c r="K362" s="45" t="s">
        <v>1568</v>
      </c>
      <c r="L362" s="31" t="n">
        <f aca="false">COUNTIF($B$3:$B$2205,$B362)</f>
        <v>1</v>
      </c>
      <c r="M362" s="44" t="str">
        <f aca="false">IFERROR(INDEX(SENTENCES!$T$3:$T$1802,MATCH($F362,SENTENCES!$A$3:$A$1802,0)),"")</f>
        <v>• Chưa tới</v>
      </c>
    </row>
    <row r="363" customFormat="false" ht="15" hidden="false" customHeight="false" outlineLevel="0" collapsed="false">
      <c r="A363" s="31" t="n">
        <v>361</v>
      </c>
      <c r="B363" s="43" t="s">
        <v>11362</v>
      </c>
      <c r="C363" s="34" t="s">
        <v>11363</v>
      </c>
      <c r="D363" s="44" t="s">
        <v>10681</v>
      </c>
      <c r="E363" s="31"/>
      <c r="F363" s="31" t="s">
        <v>1564</v>
      </c>
      <c r="G363" s="31" t="n">
        <v>12</v>
      </c>
      <c r="H363" s="31" t="s">
        <v>154</v>
      </c>
      <c r="I363" s="44" t="s">
        <v>1481</v>
      </c>
      <c r="J363" s="45" t="s">
        <v>1566</v>
      </c>
      <c r="K363" s="45" t="s">
        <v>1568</v>
      </c>
      <c r="L363" s="31" t="n">
        <f aca="false">COUNTIF($B$3:$B$2205,$B363)</f>
        <v>1</v>
      </c>
      <c r="M363" s="44" t="str">
        <f aca="false">IFERROR(INDEX(SENTENCES!$T$3:$T$1802,MATCH($F363,SENTENCES!$A$3:$A$1802,0)),"")</f>
        <v>• Chưa tới</v>
      </c>
    </row>
    <row r="364" customFormat="false" ht="15" hidden="false" customHeight="false" outlineLevel="0" collapsed="false">
      <c r="A364" s="31" t="n">
        <v>362</v>
      </c>
      <c r="B364" s="43" t="s">
        <v>11364</v>
      </c>
      <c r="C364" s="34" t="s">
        <v>11365</v>
      </c>
      <c r="D364" s="44" t="s">
        <v>10677</v>
      </c>
      <c r="E364" s="31" t="s">
        <v>10747</v>
      </c>
      <c r="F364" s="31" t="s">
        <v>1570</v>
      </c>
      <c r="G364" s="31" t="n">
        <v>12</v>
      </c>
      <c r="H364" s="31" t="s">
        <v>154</v>
      </c>
      <c r="I364" s="44" t="s">
        <v>1481</v>
      </c>
      <c r="J364" s="45" t="s">
        <v>1572</v>
      </c>
      <c r="K364" s="45" t="s">
        <v>1574</v>
      </c>
      <c r="L364" s="31" t="n">
        <f aca="false">COUNTIF($B$3:$B$2205,$B364)</f>
        <v>2</v>
      </c>
      <c r="M364" s="44" t="str">
        <f aca="false">IFERROR(INDEX(SENTENCES!$T$3:$T$1802,MATCH($F364,SENTENCES!$A$3:$A$1802,0)),"")</f>
        <v>• Chưa tới</v>
      </c>
    </row>
    <row r="365" customFormat="false" ht="15" hidden="false" customHeight="false" outlineLevel="0" collapsed="false">
      <c r="A365" s="31" t="n">
        <v>363</v>
      </c>
      <c r="B365" s="43" t="s">
        <v>11366</v>
      </c>
      <c r="C365" s="34" t="s">
        <v>11367</v>
      </c>
      <c r="D365" s="44" t="s">
        <v>10677</v>
      </c>
      <c r="E365" s="31" t="s">
        <v>10678</v>
      </c>
      <c r="F365" s="31" t="s">
        <v>1570</v>
      </c>
      <c r="G365" s="31" t="n">
        <v>12</v>
      </c>
      <c r="H365" s="31" t="s">
        <v>154</v>
      </c>
      <c r="I365" s="44" t="s">
        <v>1481</v>
      </c>
      <c r="J365" s="45" t="s">
        <v>1572</v>
      </c>
      <c r="K365" s="45" t="s">
        <v>1574</v>
      </c>
      <c r="L365" s="31" t="n">
        <f aca="false">COUNTIF($B$3:$B$2205,$B365)</f>
        <v>1</v>
      </c>
      <c r="M365" s="44" t="str">
        <f aca="false">IFERROR(INDEX(SENTENCES!$T$3:$T$1802,MATCH($F365,SENTENCES!$A$3:$A$1802,0)),"")</f>
        <v>• Chưa tới</v>
      </c>
    </row>
    <row r="366" customFormat="false" ht="15" hidden="false" customHeight="false" outlineLevel="0" collapsed="false">
      <c r="A366" s="31" t="n">
        <v>364</v>
      </c>
      <c r="B366" s="43" t="s">
        <v>11368</v>
      </c>
      <c r="C366" s="34" t="s">
        <v>11154</v>
      </c>
      <c r="D366" s="44" t="s">
        <v>10686</v>
      </c>
      <c r="E366" s="31"/>
      <c r="F366" s="31" t="s">
        <v>1576</v>
      </c>
      <c r="G366" s="31" t="n">
        <v>12</v>
      </c>
      <c r="H366" s="31" t="s">
        <v>154</v>
      </c>
      <c r="I366" s="44" t="s">
        <v>1481</v>
      </c>
      <c r="J366" s="45" t="s">
        <v>1578</v>
      </c>
      <c r="K366" s="45" t="s">
        <v>1580</v>
      </c>
      <c r="L366" s="31" t="n">
        <f aca="false">COUNTIF($B$3:$B$2205,$B366)</f>
        <v>1</v>
      </c>
      <c r="M366" s="44" t="str">
        <f aca="false">IFERROR(INDEX(SENTENCES!$T$3:$T$1802,MATCH($F366,SENTENCES!$A$3:$A$1802,0)),"")</f>
        <v>• Chưa tới</v>
      </c>
    </row>
    <row r="367" customFormat="false" ht="15" hidden="false" customHeight="false" outlineLevel="0" collapsed="false">
      <c r="A367" s="31" t="n">
        <v>365</v>
      </c>
      <c r="B367" s="43" t="s">
        <v>11369</v>
      </c>
      <c r="C367" s="34" t="s">
        <v>11370</v>
      </c>
      <c r="D367" s="44" t="s">
        <v>10681</v>
      </c>
      <c r="E367" s="31"/>
      <c r="F367" s="31" t="s">
        <v>1576</v>
      </c>
      <c r="G367" s="31" t="n">
        <v>12</v>
      </c>
      <c r="H367" s="31" t="s">
        <v>154</v>
      </c>
      <c r="I367" s="44" t="s">
        <v>1481</v>
      </c>
      <c r="J367" s="45" t="s">
        <v>1578</v>
      </c>
      <c r="K367" s="45" t="s">
        <v>1580</v>
      </c>
      <c r="L367" s="31" t="n">
        <f aca="false">COUNTIF($B$3:$B$2205,$B367)</f>
        <v>1</v>
      </c>
      <c r="M367" s="44" t="str">
        <f aca="false">IFERROR(INDEX(SENTENCES!$T$3:$T$1802,MATCH($F367,SENTENCES!$A$3:$A$1802,0)),"")</f>
        <v>• Chưa tới</v>
      </c>
    </row>
    <row r="368" customFormat="false" ht="15" hidden="false" customHeight="false" outlineLevel="0" collapsed="false">
      <c r="A368" s="31" t="n">
        <v>366</v>
      </c>
      <c r="B368" s="43" t="s">
        <v>11371</v>
      </c>
      <c r="C368" s="34" t="s">
        <v>11372</v>
      </c>
      <c r="D368" s="44" t="s">
        <v>10677</v>
      </c>
      <c r="E368" s="31" t="s">
        <v>10747</v>
      </c>
      <c r="F368" s="31" t="s">
        <v>1582</v>
      </c>
      <c r="G368" s="31" t="n">
        <v>12</v>
      </c>
      <c r="H368" s="31" t="s">
        <v>154</v>
      </c>
      <c r="I368" s="44" t="s">
        <v>1481</v>
      </c>
      <c r="J368" s="45" t="s">
        <v>1584</v>
      </c>
      <c r="K368" s="45" t="s">
        <v>1586</v>
      </c>
      <c r="L368" s="31" t="n">
        <f aca="false">COUNTIF($B$3:$B$2205,$B368)</f>
        <v>1</v>
      </c>
      <c r="M368" s="44" t="str">
        <f aca="false">IFERROR(INDEX(SENTENCES!$T$3:$T$1802,MATCH($F368,SENTENCES!$A$3:$A$1802,0)),"")</f>
        <v>• Chưa tới</v>
      </c>
    </row>
    <row r="369" customFormat="false" ht="15" hidden="false" customHeight="false" outlineLevel="0" collapsed="false">
      <c r="A369" s="31" t="n">
        <v>367</v>
      </c>
      <c r="B369" s="43" t="s">
        <v>11373</v>
      </c>
      <c r="C369" s="34" t="s">
        <v>11374</v>
      </c>
      <c r="D369" s="44" t="s">
        <v>10677</v>
      </c>
      <c r="E369" s="31" t="s">
        <v>10707</v>
      </c>
      <c r="F369" s="31" t="s">
        <v>1582</v>
      </c>
      <c r="G369" s="31" t="n">
        <v>12</v>
      </c>
      <c r="H369" s="31" t="s">
        <v>154</v>
      </c>
      <c r="I369" s="44" t="s">
        <v>1481</v>
      </c>
      <c r="J369" s="45" t="s">
        <v>1584</v>
      </c>
      <c r="K369" s="45" t="s">
        <v>1586</v>
      </c>
      <c r="L369" s="31" t="n">
        <f aca="false">COUNTIF($B$3:$B$2205,$B369)</f>
        <v>1</v>
      </c>
      <c r="M369" s="44" t="str">
        <f aca="false">IFERROR(INDEX(SENTENCES!$T$3:$T$1802,MATCH($F369,SENTENCES!$A$3:$A$1802,0)),"")</f>
        <v>• Chưa tới</v>
      </c>
    </row>
    <row r="370" customFormat="false" ht="15" hidden="false" customHeight="false" outlineLevel="0" collapsed="false">
      <c r="A370" s="31" t="n">
        <v>368</v>
      </c>
      <c r="B370" s="43" t="s">
        <v>11375</v>
      </c>
      <c r="C370" s="34" t="s">
        <v>11376</v>
      </c>
      <c r="D370" s="44" t="s">
        <v>10677</v>
      </c>
      <c r="E370" s="31" t="s">
        <v>10747</v>
      </c>
      <c r="F370" s="31" t="s">
        <v>1588</v>
      </c>
      <c r="G370" s="31" t="n">
        <v>12</v>
      </c>
      <c r="H370" s="31" t="s">
        <v>154</v>
      </c>
      <c r="I370" s="44" t="s">
        <v>1481</v>
      </c>
      <c r="J370" s="45" t="s">
        <v>1590</v>
      </c>
      <c r="K370" s="45" t="s">
        <v>1592</v>
      </c>
      <c r="L370" s="31" t="n">
        <f aca="false">COUNTIF($B$3:$B$2205,$B370)</f>
        <v>1</v>
      </c>
      <c r="M370" s="44" t="str">
        <f aca="false">IFERROR(INDEX(SENTENCES!$T$3:$T$1802,MATCH($F370,SENTENCES!$A$3:$A$1802,0)),"")</f>
        <v>• Chưa tới</v>
      </c>
    </row>
    <row r="371" customFormat="false" ht="15" hidden="false" customHeight="false" outlineLevel="0" collapsed="false">
      <c r="A371" s="31" t="n">
        <v>369</v>
      </c>
      <c r="B371" s="43" t="s">
        <v>11377</v>
      </c>
      <c r="C371" s="34" t="s">
        <v>11378</v>
      </c>
      <c r="D371" s="44" t="s">
        <v>10677</v>
      </c>
      <c r="E371" s="31" t="s">
        <v>10678</v>
      </c>
      <c r="F371" s="31" t="s">
        <v>1594</v>
      </c>
      <c r="G371" s="31" t="n">
        <v>12</v>
      </c>
      <c r="H371" s="31" t="s">
        <v>154</v>
      </c>
      <c r="I371" s="44" t="s">
        <v>1481</v>
      </c>
      <c r="J371" s="45" t="s">
        <v>1595</v>
      </c>
      <c r="K371" s="45" t="s">
        <v>1597</v>
      </c>
      <c r="L371" s="31" t="n">
        <f aca="false">COUNTIF($B$3:$B$2205,$B371)</f>
        <v>2</v>
      </c>
      <c r="M371" s="44" t="str">
        <f aca="false">IFERROR(INDEX(SENTENCES!$T$3:$T$1802,MATCH($F371,SENTENCES!$A$3:$A$1802,0)),"")</f>
        <v>• Chưa tới</v>
      </c>
    </row>
    <row r="372" customFormat="false" ht="15" hidden="false" customHeight="false" outlineLevel="0" collapsed="false">
      <c r="A372" s="31" t="n">
        <v>370</v>
      </c>
      <c r="B372" s="43" t="s">
        <v>11215</v>
      </c>
      <c r="C372" s="34" t="s">
        <v>11379</v>
      </c>
      <c r="D372" s="44" t="s">
        <v>10677</v>
      </c>
      <c r="E372" s="31" t="s">
        <v>10678</v>
      </c>
      <c r="F372" s="31" t="s">
        <v>1599</v>
      </c>
      <c r="G372" s="31" t="n">
        <v>13</v>
      </c>
      <c r="H372" s="31" t="s">
        <v>154</v>
      </c>
      <c r="I372" s="44" t="s">
        <v>1600</v>
      </c>
      <c r="J372" s="45" t="s">
        <v>1601</v>
      </c>
      <c r="K372" s="45" t="s">
        <v>1603</v>
      </c>
      <c r="L372" s="31" t="n">
        <f aca="false">COUNTIF($B$3:$B$2205,$B372)</f>
        <v>2</v>
      </c>
      <c r="M372" s="44" t="str">
        <f aca="false">IFERROR(INDEX(SENTENCES!$T$3:$T$1802,MATCH($F372,SENTENCES!$A$3:$A$1802,0)),"")</f>
        <v>• Chưa tới</v>
      </c>
    </row>
    <row r="373" customFormat="false" ht="15" hidden="false" customHeight="false" outlineLevel="0" collapsed="false">
      <c r="A373" s="31" t="n">
        <v>371</v>
      </c>
      <c r="B373" s="43" t="s">
        <v>11380</v>
      </c>
      <c r="C373" s="34" t="s">
        <v>11381</v>
      </c>
      <c r="D373" s="44" t="s">
        <v>10677</v>
      </c>
      <c r="E373" s="31" t="s">
        <v>10707</v>
      </c>
      <c r="F373" s="31" t="s">
        <v>1605</v>
      </c>
      <c r="G373" s="31" t="n">
        <v>13</v>
      </c>
      <c r="H373" s="31" t="s">
        <v>154</v>
      </c>
      <c r="I373" s="44" t="s">
        <v>1600</v>
      </c>
      <c r="J373" s="45" t="s">
        <v>1607</v>
      </c>
      <c r="K373" s="45" t="s">
        <v>1609</v>
      </c>
      <c r="L373" s="31" t="n">
        <f aca="false">COUNTIF($B$3:$B$2205,$B373)</f>
        <v>1</v>
      </c>
      <c r="M373" s="44" t="str">
        <f aca="false">IFERROR(INDEX(SENTENCES!$T$3:$T$1802,MATCH($F373,SENTENCES!$A$3:$A$1802,0)),"")</f>
        <v>• Chưa tới</v>
      </c>
    </row>
    <row r="374" customFormat="false" ht="15" hidden="false" customHeight="false" outlineLevel="0" collapsed="false">
      <c r="A374" s="31" t="n">
        <v>372</v>
      </c>
      <c r="B374" s="43" t="s">
        <v>11382</v>
      </c>
      <c r="C374" s="34" t="s">
        <v>11383</v>
      </c>
      <c r="D374" s="44" t="s">
        <v>10686</v>
      </c>
      <c r="E374" s="31"/>
      <c r="F374" s="31" t="s">
        <v>1611</v>
      </c>
      <c r="G374" s="31" t="n">
        <v>13</v>
      </c>
      <c r="H374" s="31" t="s">
        <v>154</v>
      </c>
      <c r="I374" s="44" t="s">
        <v>1600</v>
      </c>
      <c r="J374" s="45" t="s">
        <v>1612</v>
      </c>
      <c r="K374" s="45" t="s">
        <v>1614</v>
      </c>
      <c r="L374" s="31" t="n">
        <f aca="false">COUNTIF($B$3:$B$2205,$B374)</f>
        <v>4</v>
      </c>
      <c r="M374" s="44" t="str">
        <f aca="false">IFERROR(INDEX(SENTENCES!$T$3:$T$1802,MATCH($F374,SENTENCES!$A$3:$A$1802,0)),"")</f>
        <v>• Chưa tới</v>
      </c>
    </row>
    <row r="375" customFormat="false" ht="15" hidden="false" customHeight="false" outlineLevel="0" collapsed="false">
      <c r="A375" s="31" t="n">
        <v>373</v>
      </c>
      <c r="B375" s="43" t="s">
        <v>11384</v>
      </c>
      <c r="C375" s="34" t="s">
        <v>11385</v>
      </c>
      <c r="D375" s="44" t="s">
        <v>10677</v>
      </c>
      <c r="E375" s="31" t="s">
        <v>10747</v>
      </c>
      <c r="F375" s="31" t="s">
        <v>1616</v>
      </c>
      <c r="G375" s="31" t="n">
        <v>13</v>
      </c>
      <c r="H375" s="31" t="s">
        <v>154</v>
      </c>
      <c r="I375" s="44" t="s">
        <v>1600</v>
      </c>
      <c r="J375" s="45" t="s">
        <v>1618</v>
      </c>
      <c r="K375" s="45" t="s">
        <v>1620</v>
      </c>
      <c r="L375" s="31" t="n">
        <f aca="false">COUNTIF($B$3:$B$2205,$B375)</f>
        <v>1</v>
      </c>
      <c r="M375" s="44" t="str">
        <f aca="false">IFERROR(INDEX(SENTENCES!$T$3:$T$1802,MATCH($F375,SENTENCES!$A$3:$A$1802,0)),"")</f>
        <v>• Chưa tới</v>
      </c>
    </row>
    <row r="376" customFormat="false" ht="15" hidden="false" customHeight="false" outlineLevel="0" collapsed="false">
      <c r="A376" s="31" t="n">
        <v>374</v>
      </c>
      <c r="B376" s="43" t="s">
        <v>11386</v>
      </c>
      <c r="C376" s="34" t="s">
        <v>11387</v>
      </c>
      <c r="D376" s="44" t="s">
        <v>10677</v>
      </c>
      <c r="E376" s="31" t="s">
        <v>10747</v>
      </c>
      <c r="F376" s="31" t="s">
        <v>1622</v>
      </c>
      <c r="G376" s="31" t="n">
        <v>13</v>
      </c>
      <c r="H376" s="31" t="s">
        <v>154</v>
      </c>
      <c r="I376" s="44" t="s">
        <v>1600</v>
      </c>
      <c r="J376" s="45" t="s">
        <v>1624</v>
      </c>
      <c r="K376" s="45" t="s">
        <v>1626</v>
      </c>
      <c r="L376" s="31" t="n">
        <f aca="false">COUNTIF($B$3:$B$2205,$B376)</f>
        <v>1</v>
      </c>
      <c r="M376" s="44" t="str">
        <f aca="false">IFERROR(INDEX(SENTENCES!$T$3:$T$1802,MATCH($F376,SENTENCES!$A$3:$A$1802,0)),"")</f>
        <v>• Chưa tới</v>
      </c>
    </row>
    <row r="377" customFormat="false" ht="15" hidden="false" customHeight="false" outlineLevel="0" collapsed="false">
      <c r="A377" s="31" t="n">
        <v>375</v>
      </c>
      <c r="B377" s="43" t="s">
        <v>11388</v>
      </c>
      <c r="C377" s="34" t="s">
        <v>11389</v>
      </c>
      <c r="D377" s="44" t="s">
        <v>10677</v>
      </c>
      <c r="E377" s="31" t="s">
        <v>10678</v>
      </c>
      <c r="F377" s="31" t="s">
        <v>1622</v>
      </c>
      <c r="G377" s="31" t="n">
        <v>13</v>
      </c>
      <c r="H377" s="31" t="s">
        <v>154</v>
      </c>
      <c r="I377" s="44" t="s">
        <v>1600</v>
      </c>
      <c r="J377" s="45" t="s">
        <v>1624</v>
      </c>
      <c r="K377" s="45" t="s">
        <v>1626</v>
      </c>
      <c r="L377" s="31" t="n">
        <f aca="false">COUNTIF($B$3:$B$2205,$B377)</f>
        <v>1</v>
      </c>
      <c r="M377" s="44" t="str">
        <f aca="false">IFERROR(INDEX(SENTENCES!$T$3:$T$1802,MATCH($F377,SENTENCES!$A$3:$A$1802,0)),"")</f>
        <v>• Chưa tới</v>
      </c>
    </row>
    <row r="378" customFormat="false" ht="15" hidden="false" customHeight="false" outlineLevel="0" collapsed="false">
      <c r="A378" s="31" t="n">
        <v>376</v>
      </c>
      <c r="B378" s="43" t="s">
        <v>11390</v>
      </c>
      <c r="C378" s="34" t="s">
        <v>11391</v>
      </c>
      <c r="D378" s="44" t="s">
        <v>10686</v>
      </c>
      <c r="E378" s="31"/>
      <c r="F378" s="31" t="s">
        <v>1628</v>
      </c>
      <c r="G378" s="31" t="n">
        <v>13</v>
      </c>
      <c r="H378" s="31" t="s">
        <v>154</v>
      </c>
      <c r="I378" s="44" t="s">
        <v>1600</v>
      </c>
      <c r="J378" s="45" t="s">
        <v>1630</v>
      </c>
      <c r="K378" s="45" t="s">
        <v>1632</v>
      </c>
      <c r="L378" s="31" t="n">
        <f aca="false">COUNTIF($B$3:$B$2205,$B378)</f>
        <v>3</v>
      </c>
      <c r="M378" s="44" t="str">
        <f aca="false">IFERROR(INDEX(SENTENCES!$T$3:$T$1802,MATCH($F378,SENTENCES!$A$3:$A$1802,0)),"")</f>
        <v>• Chưa tới</v>
      </c>
    </row>
    <row r="379" customFormat="false" ht="15" hidden="false" customHeight="false" outlineLevel="0" collapsed="false">
      <c r="A379" s="31" t="n">
        <v>377</v>
      </c>
      <c r="B379" s="43" t="s">
        <v>11392</v>
      </c>
      <c r="C379" s="34" t="s">
        <v>11393</v>
      </c>
      <c r="D379" s="44" t="s">
        <v>10681</v>
      </c>
      <c r="E379" s="31"/>
      <c r="F379" s="31" t="s">
        <v>1634</v>
      </c>
      <c r="G379" s="31" t="n">
        <v>13</v>
      </c>
      <c r="H379" s="31" t="s">
        <v>154</v>
      </c>
      <c r="I379" s="44" t="s">
        <v>1600</v>
      </c>
      <c r="J379" s="45" t="s">
        <v>1636</v>
      </c>
      <c r="K379" s="45" t="s">
        <v>1638</v>
      </c>
      <c r="L379" s="31" t="n">
        <f aca="false">COUNTIF($B$3:$B$2205,$B379)</f>
        <v>2</v>
      </c>
      <c r="M379" s="44" t="str">
        <f aca="false">IFERROR(INDEX(SENTENCES!$T$3:$T$1802,MATCH($F379,SENTENCES!$A$3:$A$1802,0)),"")</f>
        <v>• Chưa tới</v>
      </c>
    </row>
    <row r="380" customFormat="false" ht="15" hidden="false" customHeight="false" outlineLevel="0" collapsed="false">
      <c r="A380" s="31" t="n">
        <v>378</v>
      </c>
      <c r="B380" s="43" t="s">
        <v>11390</v>
      </c>
      <c r="C380" s="34" t="s">
        <v>11391</v>
      </c>
      <c r="D380" s="44" t="s">
        <v>10686</v>
      </c>
      <c r="E380" s="31"/>
      <c r="F380" s="31" t="s">
        <v>1640</v>
      </c>
      <c r="G380" s="31" t="n">
        <v>13</v>
      </c>
      <c r="H380" s="31" t="s">
        <v>154</v>
      </c>
      <c r="I380" s="44" t="s">
        <v>1600</v>
      </c>
      <c r="J380" s="45" t="s">
        <v>1642</v>
      </c>
      <c r="K380" s="45" t="s">
        <v>1644</v>
      </c>
      <c r="L380" s="31" t="n">
        <f aca="false">COUNTIF($B$3:$B$2205,$B380)</f>
        <v>3</v>
      </c>
      <c r="M380" s="44" t="str">
        <f aca="false">IFERROR(INDEX(SENTENCES!$T$3:$T$1802,MATCH($F380,SENTENCES!$A$3:$A$1802,0)),"")</f>
        <v>• Chưa tới</v>
      </c>
    </row>
    <row r="381" customFormat="false" ht="15" hidden="false" customHeight="false" outlineLevel="0" collapsed="false">
      <c r="A381" s="31" t="n">
        <v>379</v>
      </c>
      <c r="B381" s="43" t="s">
        <v>11394</v>
      </c>
      <c r="C381" s="34" t="s">
        <v>11395</v>
      </c>
      <c r="D381" s="44" t="s">
        <v>10677</v>
      </c>
      <c r="E381" s="31" t="s">
        <v>10707</v>
      </c>
      <c r="F381" s="31" t="s">
        <v>1645</v>
      </c>
      <c r="G381" s="31" t="n">
        <v>13</v>
      </c>
      <c r="H381" s="31" t="s">
        <v>154</v>
      </c>
      <c r="I381" s="44" t="s">
        <v>1600</v>
      </c>
      <c r="J381" s="45" t="s">
        <v>1647</v>
      </c>
      <c r="K381" s="45" t="s">
        <v>1649</v>
      </c>
      <c r="L381" s="31" t="n">
        <f aca="false">COUNTIF($B$3:$B$2205,$B381)</f>
        <v>2</v>
      </c>
      <c r="M381" s="44" t="str">
        <f aca="false">IFERROR(INDEX(SENTENCES!$T$3:$T$1802,MATCH($F381,SENTENCES!$A$3:$A$1802,0)),"")</f>
        <v>• Chưa tới</v>
      </c>
    </row>
    <row r="382" customFormat="false" ht="15" hidden="false" customHeight="false" outlineLevel="0" collapsed="false">
      <c r="A382" s="31" t="n">
        <v>380</v>
      </c>
      <c r="B382" s="43" t="s">
        <v>11396</v>
      </c>
      <c r="C382" s="34" t="s">
        <v>11397</v>
      </c>
      <c r="D382" s="44" t="s">
        <v>10681</v>
      </c>
      <c r="E382" s="31"/>
      <c r="F382" s="31" t="s">
        <v>1651</v>
      </c>
      <c r="G382" s="31" t="n">
        <v>13</v>
      </c>
      <c r="H382" s="31" t="s">
        <v>154</v>
      </c>
      <c r="I382" s="44" t="s">
        <v>1600</v>
      </c>
      <c r="J382" s="45" t="s">
        <v>1653</v>
      </c>
      <c r="K382" s="45" t="s">
        <v>1655</v>
      </c>
      <c r="L382" s="31" t="n">
        <f aca="false">COUNTIF($B$3:$B$2205,$B382)</f>
        <v>1</v>
      </c>
      <c r="M382" s="44" t="str">
        <f aca="false">IFERROR(INDEX(SENTENCES!$T$3:$T$1802,MATCH($F382,SENTENCES!$A$3:$A$1802,0)),"")</f>
        <v>• Chưa tới</v>
      </c>
    </row>
    <row r="383" customFormat="false" ht="15" hidden="false" customHeight="false" outlineLevel="0" collapsed="false">
      <c r="A383" s="31" t="n">
        <v>381</v>
      </c>
      <c r="B383" s="43" t="s">
        <v>11398</v>
      </c>
      <c r="C383" s="34" t="s">
        <v>11399</v>
      </c>
      <c r="D383" s="44" t="s">
        <v>10681</v>
      </c>
      <c r="E383" s="31"/>
      <c r="F383" s="31" t="s">
        <v>1651</v>
      </c>
      <c r="G383" s="31" t="n">
        <v>13</v>
      </c>
      <c r="H383" s="31" t="s">
        <v>154</v>
      </c>
      <c r="I383" s="44" t="s">
        <v>1600</v>
      </c>
      <c r="J383" s="45" t="s">
        <v>1653</v>
      </c>
      <c r="K383" s="45" t="s">
        <v>1655</v>
      </c>
      <c r="L383" s="31" t="n">
        <f aca="false">COUNTIF($B$3:$B$2205,$B383)</f>
        <v>1</v>
      </c>
      <c r="M383" s="44" t="str">
        <f aca="false">IFERROR(INDEX(SENTENCES!$T$3:$T$1802,MATCH($F383,SENTENCES!$A$3:$A$1802,0)),"")</f>
        <v>• Chưa tới</v>
      </c>
    </row>
    <row r="384" customFormat="false" ht="15" hidden="false" customHeight="false" outlineLevel="0" collapsed="false">
      <c r="A384" s="31" t="n">
        <v>382</v>
      </c>
      <c r="B384" s="43" t="s">
        <v>11400</v>
      </c>
      <c r="C384" s="34" t="s">
        <v>11197</v>
      </c>
      <c r="D384" s="44" t="s">
        <v>10686</v>
      </c>
      <c r="E384" s="31"/>
      <c r="F384" s="31" t="s">
        <v>1657</v>
      </c>
      <c r="G384" s="31" t="n">
        <v>13</v>
      </c>
      <c r="H384" s="31" t="s">
        <v>154</v>
      </c>
      <c r="I384" s="44" t="s">
        <v>1600</v>
      </c>
      <c r="J384" s="45" t="s">
        <v>1659</v>
      </c>
      <c r="K384" s="45" t="s">
        <v>1661</v>
      </c>
      <c r="L384" s="31" t="n">
        <f aca="false">COUNTIF($B$3:$B$2205,$B384)</f>
        <v>1</v>
      </c>
      <c r="M384" s="44" t="str">
        <f aca="false">IFERROR(INDEX(SENTENCES!$T$3:$T$1802,MATCH($F384,SENTENCES!$A$3:$A$1802,0)),"")</f>
        <v>• Chưa tới</v>
      </c>
    </row>
    <row r="385" customFormat="false" ht="15" hidden="false" customHeight="false" outlineLevel="0" collapsed="false">
      <c r="A385" s="31" t="n">
        <v>383</v>
      </c>
      <c r="B385" s="43" t="s">
        <v>11401</v>
      </c>
      <c r="C385" s="34" t="s">
        <v>10956</v>
      </c>
      <c r="D385" s="44" t="s">
        <v>10686</v>
      </c>
      <c r="E385" s="31"/>
      <c r="F385" s="31" t="s">
        <v>1663</v>
      </c>
      <c r="G385" s="31" t="n">
        <v>13</v>
      </c>
      <c r="H385" s="31" t="s">
        <v>154</v>
      </c>
      <c r="I385" s="44" t="s">
        <v>1600</v>
      </c>
      <c r="J385" s="45" t="s">
        <v>1665</v>
      </c>
      <c r="K385" s="45" t="s">
        <v>1667</v>
      </c>
      <c r="L385" s="31" t="n">
        <f aca="false">COUNTIF($B$3:$B$2205,$B385)</f>
        <v>1</v>
      </c>
      <c r="M385" s="44" t="str">
        <f aca="false">IFERROR(INDEX(SENTENCES!$T$3:$T$1802,MATCH($F385,SENTENCES!$A$3:$A$1802,0)),"")</f>
        <v>• Chưa tới</v>
      </c>
    </row>
    <row r="386" customFormat="false" ht="15" hidden="false" customHeight="false" outlineLevel="0" collapsed="false">
      <c r="A386" s="31" t="n">
        <v>384</v>
      </c>
      <c r="B386" s="43" t="s">
        <v>11198</v>
      </c>
      <c r="C386" s="34" t="s">
        <v>11199</v>
      </c>
      <c r="D386" s="44" t="s">
        <v>10677</v>
      </c>
      <c r="E386" s="31" t="s">
        <v>10707</v>
      </c>
      <c r="F386" s="31" t="s">
        <v>1669</v>
      </c>
      <c r="G386" s="31" t="n">
        <v>13</v>
      </c>
      <c r="H386" s="31" t="s">
        <v>154</v>
      </c>
      <c r="I386" s="44" t="s">
        <v>1600</v>
      </c>
      <c r="J386" s="45" t="s">
        <v>1671</v>
      </c>
      <c r="K386" s="45" t="s">
        <v>1673</v>
      </c>
      <c r="L386" s="31" t="n">
        <f aca="false">COUNTIF($B$3:$B$2205,$B386)</f>
        <v>4</v>
      </c>
      <c r="M386" s="44" t="str">
        <f aca="false">IFERROR(INDEX(SENTENCES!$T$3:$T$1802,MATCH($F386,SENTENCES!$A$3:$A$1802,0)),"")</f>
        <v>• Chưa tới</v>
      </c>
    </row>
    <row r="387" customFormat="false" ht="15" hidden="false" customHeight="false" outlineLevel="0" collapsed="false">
      <c r="A387" s="31" t="n">
        <v>385</v>
      </c>
      <c r="B387" s="43" t="s">
        <v>11402</v>
      </c>
      <c r="C387" s="34" t="s">
        <v>11403</v>
      </c>
      <c r="D387" s="44" t="s">
        <v>10677</v>
      </c>
      <c r="E387" s="31" t="s">
        <v>10747</v>
      </c>
      <c r="F387" s="31" t="s">
        <v>1675</v>
      </c>
      <c r="G387" s="31" t="n">
        <v>13</v>
      </c>
      <c r="H387" s="31" t="s">
        <v>154</v>
      </c>
      <c r="I387" s="44" t="s">
        <v>1600</v>
      </c>
      <c r="J387" s="45" t="s">
        <v>1677</v>
      </c>
      <c r="K387" s="45" t="s">
        <v>1679</v>
      </c>
      <c r="L387" s="31" t="n">
        <f aca="false">COUNTIF($B$3:$B$2205,$B387)</f>
        <v>1</v>
      </c>
      <c r="M387" s="44" t="str">
        <f aca="false">IFERROR(INDEX(SENTENCES!$T$3:$T$1802,MATCH($F387,SENTENCES!$A$3:$A$1802,0)),"")</f>
        <v>• Chưa tới</v>
      </c>
    </row>
    <row r="388" customFormat="false" ht="15" hidden="false" customHeight="false" outlineLevel="0" collapsed="false">
      <c r="A388" s="31" t="n">
        <v>386</v>
      </c>
      <c r="B388" s="43" t="s">
        <v>11404</v>
      </c>
      <c r="C388" s="34" t="s">
        <v>11405</v>
      </c>
      <c r="D388" s="44" t="s">
        <v>10686</v>
      </c>
      <c r="E388" s="31"/>
      <c r="F388" s="31" t="s">
        <v>1675</v>
      </c>
      <c r="G388" s="31" t="n">
        <v>13</v>
      </c>
      <c r="H388" s="31" t="s">
        <v>154</v>
      </c>
      <c r="I388" s="44" t="s">
        <v>1600</v>
      </c>
      <c r="J388" s="45" t="s">
        <v>1677</v>
      </c>
      <c r="K388" s="45" t="s">
        <v>1679</v>
      </c>
      <c r="L388" s="31" t="n">
        <f aca="false">COUNTIF($B$3:$B$2205,$B388)</f>
        <v>3</v>
      </c>
      <c r="M388" s="44" t="str">
        <f aca="false">IFERROR(INDEX(SENTENCES!$T$3:$T$1802,MATCH($F388,SENTENCES!$A$3:$A$1802,0)),"")</f>
        <v>• Chưa tới</v>
      </c>
    </row>
    <row r="389" customFormat="false" ht="15" hidden="false" customHeight="false" outlineLevel="0" collapsed="false">
      <c r="A389" s="31" t="n">
        <v>387</v>
      </c>
      <c r="B389" s="43" t="s">
        <v>11406</v>
      </c>
      <c r="C389" s="34" t="s">
        <v>11339</v>
      </c>
      <c r="D389" s="44" t="s">
        <v>10677</v>
      </c>
      <c r="E389" s="31" t="s">
        <v>10747</v>
      </c>
      <c r="F389" s="31" t="s">
        <v>1681</v>
      </c>
      <c r="G389" s="31" t="n">
        <v>13</v>
      </c>
      <c r="H389" s="31" t="s">
        <v>154</v>
      </c>
      <c r="I389" s="44" t="s">
        <v>1600</v>
      </c>
      <c r="J389" s="45" t="s">
        <v>1683</v>
      </c>
      <c r="K389" s="45" t="s">
        <v>1685</v>
      </c>
      <c r="L389" s="31" t="n">
        <f aca="false">COUNTIF($B$3:$B$2205,$B389)</f>
        <v>1</v>
      </c>
      <c r="M389" s="44" t="str">
        <f aca="false">IFERROR(INDEX(SENTENCES!$T$3:$T$1802,MATCH($F389,SENTENCES!$A$3:$A$1802,0)),"")</f>
        <v>• Chưa tới</v>
      </c>
    </row>
    <row r="390" customFormat="false" ht="15" hidden="false" customHeight="false" outlineLevel="0" collapsed="false">
      <c r="A390" s="31" t="n">
        <v>388</v>
      </c>
      <c r="B390" s="43" t="s">
        <v>11407</v>
      </c>
      <c r="C390" s="34" t="s">
        <v>11408</v>
      </c>
      <c r="D390" s="44" t="s">
        <v>10681</v>
      </c>
      <c r="E390" s="31"/>
      <c r="F390" s="31" t="s">
        <v>1681</v>
      </c>
      <c r="G390" s="31" t="n">
        <v>13</v>
      </c>
      <c r="H390" s="31" t="s">
        <v>154</v>
      </c>
      <c r="I390" s="44" t="s">
        <v>1600</v>
      </c>
      <c r="J390" s="45" t="s">
        <v>1683</v>
      </c>
      <c r="K390" s="45" t="s">
        <v>1685</v>
      </c>
      <c r="L390" s="31" t="n">
        <f aca="false">COUNTIF($B$3:$B$2205,$B390)</f>
        <v>1</v>
      </c>
      <c r="M390" s="44" t="str">
        <f aca="false">IFERROR(INDEX(SENTENCES!$T$3:$T$1802,MATCH($F390,SENTENCES!$A$3:$A$1802,0)),"")</f>
        <v>• Chưa tới</v>
      </c>
    </row>
    <row r="391" customFormat="false" ht="15" hidden="false" customHeight="false" outlineLevel="0" collapsed="false">
      <c r="A391" s="31" t="n">
        <v>389</v>
      </c>
      <c r="B391" s="43" t="s">
        <v>11409</v>
      </c>
      <c r="C391" s="34" t="s">
        <v>11410</v>
      </c>
      <c r="D391" s="44" t="s">
        <v>10681</v>
      </c>
      <c r="E391" s="31"/>
      <c r="F391" s="31" t="s">
        <v>1687</v>
      </c>
      <c r="G391" s="31" t="n">
        <v>13</v>
      </c>
      <c r="H391" s="31" t="s">
        <v>154</v>
      </c>
      <c r="I391" s="44" t="s">
        <v>1600</v>
      </c>
      <c r="J391" s="45" t="s">
        <v>1689</v>
      </c>
      <c r="K391" s="45" t="s">
        <v>1691</v>
      </c>
      <c r="L391" s="31" t="n">
        <f aca="false">COUNTIF($B$3:$B$2205,$B391)</f>
        <v>1</v>
      </c>
      <c r="M391" s="44" t="str">
        <f aca="false">IFERROR(INDEX(SENTENCES!$T$3:$T$1802,MATCH($F391,SENTENCES!$A$3:$A$1802,0)),"")</f>
        <v>• Chưa tới</v>
      </c>
    </row>
    <row r="392" customFormat="false" ht="15" hidden="false" customHeight="false" outlineLevel="0" collapsed="false">
      <c r="A392" s="31" t="n">
        <v>390</v>
      </c>
      <c r="B392" s="43" t="s">
        <v>11411</v>
      </c>
      <c r="C392" s="34" t="s">
        <v>11412</v>
      </c>
      <c r="D392" s="44" t="s">
        <v>10677</v>
      </c>
      <c r="E392" s="31" t="s">
        <v>10707</v>
      </c>
      <c r="F392" s="31" t="s">
        <v>1687</v>
      </c>
      <c r="G392" s="31" t="n">
        <v>13</v>
      </c>
      <c r="H392" s="31" t="s">
        <v>154</v>
      </c>
      <c r="I392" s="44" t="s">
        <v>1600</v>
      </c>
      <c r="J392" s="45" t="s">
        <v>1689</v>
      </c>
      <c r="K392" s="45" t="s">
        <v>1691</v>
      </c>
      <c r="L392" s="31" t="n">
        <f aca="false">COUNTIF($B$3:$B$2205,$B392)</f>
        <v>1</v>
      </c>
      <c r="M392" s="44" t="str">
        <f aca="false">IFERROR(INDEX(SENTENCES!$T$3:$T$1802,MATCH($F392,SENTENCES!$A$3:$A$1802,0)),"")</f>
        <v>• Chưa tới</v>
      </c>
    </row>
    <row r="393" customFormat="false" ht="15" hidden="false" customHeight="false" outlineLevel="0" collapsed="false">
      <c r="A393" s="31" t="n">
        <v>391</v>
      </c>
      <c r="B393" s="43" t="s">
        <v>11413</v>
      </c>
      <c r="C393" s="34" t="s">
        <v>11414</v>
      </c>
      <c r="D393" s="44" t="s">
        <v>10677</v>
      </c>
      <c r="E393" s="31" t="s">
        <v>10747</v>
      </c>
      <c r="F393" s="31" t="s">
        <v>1693</v>
      </c>
      <c r="G393" s="31" t="n">
        <v>13</v>
      </c>
      <c r="H393" s="31" t="s">
        <v>154</v>
      </c>
      <c r="I393" s="44" t="s">
        <v>1600</v>
      </c>
      <c r="J393" s="45" t="s">
        <v>1695</v>
      </c>
      <c r="K393" s="45" t="s">
        <v>1697</v>
      </c>
      <c r="L393" s="31" t="n">
        <f aca="false">COUNTIF($B$3:$B$2205,$B393)</f>
        <v>1</v>
      </c>
      <c r="M393" s="44" t="str">
        <f aca="false">IFERROR(INDEX(SENTENCES!$T$3:$T$1802,MATCH($F393,SENTENCES!$A$3:$A$1802,0)),"")</f>
        <v>• Chưa tới</v>
      </c>
    </row>
    <row r="394" customFormat="false" ht="15" hidden="false" customHeight="false" outlineLevel="0" collapsed="false">
      <c r="A394" s="31" t="n">
        <v>392</v>
      </c>
      <c r="B394" s="43" t="s">
        <v>11415</v>
      </c>
      <c r="C394" s="34" t="s">
        <v>11416</v>
      </c>
      <c r="D394" s="44" t="s">
        <v>10686</v>
      </c>
      <c r="E394" s="31"/>
      <c r="F394" s="31" t="s">
        <v>1693</v>
      </c>
      <c r="G394" s="31" t="n">
        <v>13</v>
      </c>
      <c r="H394" s="31" t="s">
        <v>154</v>
      </c>
      <c r="I394" s="44" t="s">
        <v>1600</v>
      </c>
      <c r="J394" s="45" t="s">
        <v>1695</v>
      </c>
      <c r="K394" s="45" t="s">
        <v>1697</v>
      </c>
      <c r="L394" s="31" t="n">
        <f aca="false">COUNTIF($B$3:$B$2205,$B394)</f>
        <v>1</v>
      </c>
      <c r="M394" s="44" t="str">
        <f aca="false">IFERROR(INDEX(SENTENCES!$T$3:$T$1802,MATCH($F394,SENTENCES!$A$3:$A$1802,0)),"")</f>
        <v>• Chưa tới</v>
      </c>
    </row>
    <row r="395" customFormat="false" ht="15" hidden="false" customHeight="false" outlineLevel="0" collapsed="false">
      <c r="A395" s="31" t="n">
        <v>393</v>
      </c>
      <c r="B395" s="43" t="s">
        <v>11417</v>
      </c>
      <c r="C395" s="34" t="s">
        <v>11418</v>
      </c>
      <c r="D395" s="44" t="s">
        <v>10681</v>
      </c>
      <c r="E395" s="31"/>
      <c r="F395" s="31" t="s">
        <v>1699</v>
      </c>
      <c r="G395" s="31" t="n">
        <v>13</v>
      </c>
      <c r="H395" s="31" t="s">
        <v>154</v>
      </c>
      <c r="I395" s="44" t="s">
        <v>1600</v>
      </c>
      <c r="J395" s="45" t="s">
        <v>1701</v>
      </c>
      <c r="K395" s="45" t="s">
        <v>1703</v>
      </c>
      <c r="L395" s="31" t="n">
        <f aca="false">COUNTIF($B$3:$B$2205,$B395)</f>
        <v>1</v>
      </c>
      <c r="M395" s="44" t="str">
        <f aca="false">IFERROR(INDEX(SENTENCES!$T$3:$T$1802,MATCH($F395,SENTENCES!$A$3:$A$1802,0)),"")</f>
        <v>• Chưa tới</v>
      </c>
    </row>
    <row r="396" customFormat="false" ht="15" hidden="false" customHeight="false" outlineLevel="0" collapsed="false">
      <c r="A396" s="31" t="n">
        <v>394</v>
      </c>
      <c r="B396" s="43" t="s">
        <v>11419</v>
      </c>
      <c r="C396" s="34" t="s">
        <v>11420</v>
      </c>
      <c r="D396" s="44" t="s">
        <v>10681</v>
      </c>
      <c r="E396" s="31"/>
      <c r="F396" s="31" t="s">
        <v>1699</v>
      </c>
      <c r="G396" s="31" t="n">
        <v>13</v>
      </c>
      <c r="H396" s="31" t="s">
        <v>154</v>
      </c>
      <c r="I396" s="44" t="s">
        <v>1600</v>
      </c>
      <c r="J396" s="45" t="s">
        <v>1701</v>
      </c>
      <c r="K396" s="45" t="s">
        <v>1703</v>
      </c>
      <c r="L396" s="31" t="n">
        <f aca="false">COUNTIF($B$3:$B$2205,$B396)</f>
        <v>2</v>
      </c>
      <c r="M396" s="44" t="str">
        <f aca="false">IFERROR(INDEX(SENTENCES!$T$3:$T$1802,MATCH($F396,SENTENCES!$A$3:$A$1802,0)),"")</f>
        <v>• Chưa tới</v>
      </c>
    </row>
    <row r="397" customFormat="false" ht="15" hidden="false" customHeight="false" outlineLevel="0" collapsed="false">
      <c r="A397" s="31" t="n">
        <v>395</v>
      </c>
      <c r="B397" s="43" t="s">
        <v>11051</v>
      </c>
      <c r="C397" s="34" t="s">
        <v>11052</v>
      </c>
      <c r="D397" s="44" t="s">
        <v>10677</v>
      </c>
      <c r="E397" s="31" t="s">
        <v>10707</v>
      </c>
      <c r="F397" s="31" t="s">
        <v>1705</v>
      </c>
      <c r="G397" s="31" t="n">
        <v>13</v>
      </c>
      <c r="H397" s="31" t="s">
        <v>154</v>
      </c>
      <c r="I397" s="44" t="s">
        <v>1600</v>
      </c>
      <c r="J397" s="45" t="s">
        <v>1707</v>
      </c>
      <c r="K397" s="45" t="s">
        <v>901</v>
      </c>
      <c r="L397" s="31" t="n">
        <f aca="false">COUNTIF($B$3:$B$2205,$B397)</f>
        <v>2</v>
      </c>
      <c r="M397" s="44" t="str">
        <f aca="false">IFERROR(INDEX(SENTENCES!$T$3:$T$1802,MATCH($F397,SENTENCES!$A$3:$A$1802,0)),"")</f>
        <v>• Chưa tới</v>
      </c>
    </row>
    <row r="398" customFormat="false" ht="15" hidden="false" customHeight="false" outlineLevel="0" collapsed="false">
      <c r="A398" s="31" t="n">
        <v>396</v>
      </c>
      <c r="B398" s="43" t="s">
        <v>11421</v>
      </c>
      <c r="C398" s="34" t="s">
        <v>11422</v>
      </c>
      <c r="D398" s="44" t="s">
        <v>10794</v>
      </c>
      <c r="E398" s="31"/>
      <c r="F398" s="31" t="s">
        <v>1709</v>
      </c>
      <c r="G398" s="31" t="n">
        <v>13</v>
      </c>
      <c r="H398" s="31" t="s">
        <v>154</v>
      </c>
      <c r="I398" s="44" t="s">
        <v>1600</v>
      </c>
      <c r="J398" s="45" t="s">
        <v>1711</v>
      </c>
      <c r="K398" s="45" t="s">
        <v>1713</v>
      </c>
      <c r="L398" s="31" t="n">
        <f aca="false">COUNTIF($B$3:$B$2205,$B398)</f>
        <v>1</v>
      </c>
      <c r="M398" s="44" t="str">
        <f aca="false">IFERROR(INDEX(SENTENCES!$T$3:$T$1802,MATCH($F398,SENTENCES!$A$3:$A$1802,0)),"")</f>
        <v>• Chưa tới</v>
      </c>
    </row>
    <row r="399" customFormat="false" ht="15" hidden="false" customHeight="false" outlineLevel="0" collapsed="false">
      <c r="A399" s="31" t="n">
        <v>397</v>
      </c>
      <c r="B399" s="43" t="s">
        <v>11304</v>
      </c>
      <c r="C399" s="34" t="s">
        <v>11423</v>
      </c>
      <c r="D399" s="44" t="s">
        <v>10686</v>
      </c>
      <c r="E399" s="31"/>
      <c r="F399" s="31" t="s">
        <v>1715</v>
      </c>
      <c r="G399" s="31" t="n">
        <v>14</v>
      </c>
      <c r="H399" s="31" t="s">
        <v>154</v>
      </c>
      <c r="I399" s="44" t="s">
        <v>1716</v>
      </c>
      <c r="J399" s="45" t="s">
        <v>1718</v>
      </c>
      <c r="K399" s="45" t="s">
        <v>1720</v>
      </c>
      <c r="L399" s="31" t="n">
        <f aca="false">COUNTIF($B$3:$B$2205,$B399)</f>
        <v>2</v>
      </c>
      <c r="M399" s="44" t="str">
        <f aca="false">IFERROR(INDEX(SENTENCES!$T$3:$T$1802,MATCH($F399,SENTENCES!$A$3:$A$1802,0)),"")</f>
        <v>• Chưa tới</v>
      </c>
    </row>
    <row r="400" customFormat="false" ht="15" hidden="false" customHeight="false" outlineLevel="0" collapsed="false">
      <c r="A400" s="31" t="n">
        <v>398</v>
      </c>
      <c r="B400" s="43" t="s">
        <v>11424</v>
      </c>
      <c r="C400" s="34" t="s">
        <v>11425</v>
      </c>
      <c r="D400" s="44" t="s">
        <v>10677</v>
      </c>
      <c r="E400" s="31" t="s">
        <v>10747</v>
      </c>
      <c r="F400" s="31" t="s">
        <v>1722</v>
      </c>
      <c r="G400" s="31" t="n">
        <v>14</v>
      </c>
      <c r="H400" s="31" t="s">
        <v>154</v>
      </c>
      <c r="I400" s="44" t="s">
        <v>1716</v>
      </c>
      <c r="J400" s="45" t="s">
        <v>1724</v>
      </c>
      <c r="K400" s="45" t="s">
        <v>1726</v>
      </c>
      <c r="L400" s="31" t="n">
        <f aca="false">COUNTIF($B$3:$B$2205,$B400)</f>
        <v>1</v>
      </c>
      <c r="M400" s="44" t="str">
        <f aca="false">IFERROR(INDEX(SENTENCES!$T$3:$T$1802,MATCH($F400,SENTENCES!$A$3:$A$1802,0)),"")</f>
        <v>• Chưa tới</v>
      </c>
    </row>
    <row r="401" customFormat="false" ht="15" hidden="false" customHeight="false" outlineLevel="0" collapsed="false">
      <c r="A401" s="31" t="n">
        <v>399</v>
      </c>
      <c r="B401" s="43" t="s">
        <v>11426</v>
      </c>
      <c r="C401" s="34" t="s">
        <v>11427</v>
      </c>
      <c r="D401" s="44" t="s">
        <v>10677</v>
      </c>
      <c r="E401" s="31" t="s">
        <v>10678</v>
      </c>
      <c r="F401" s="31" t="s">
        <v>1722</v>
      </c>
      <c r="G401" s="31" t="n">
        <v>14</v>
      </c>
      <c r="H401" s="31" t="s">
        <v>154</v>
      </c>
      <c r="I401" s="44" t="s">
        <v>1716</v>
      </c>
      <c r="J401" s="45" t="s">
        <v>1724</v>
      </c>
      <c r="K401" s="45" t="s">
        <v>1726</v>
      </c>
      <c r="L401" s="31" t="n">
        <f aca="false">COUNTIF($B$3:$B$2205,$B401)</f>
        <v>1</v>
      </c>
      <c r="M401" s="44" t="str">
        <f aca="false">IFERROR(INDEX(SENTENCES!$T$3:$T$1802,MATCH($F401,SENTENCES!$A$3:$A$1802,0)),"")</f>
        <v>• Chưa tới</v>
      </c>
    </row>
    <row r="402" customFormat="false" ht="15" hidden="false" customHeight="false" outlineLevel="0" collapsed="false">
      <c r="A402" s="31" t="n">
        <v>400</v>
      </c>
      <c r="B402" s="43" t="s">
        <v>11428</v>
      </c>
      <c r="C402" s="34" t="s">
        <v>11429</v>
      </c>
      <c r="D402" s="44" t="s">
        <v>10681</v>
      </c>
      <c r="E402" s="31"/>
      <c r="F402" s="31" t="s">
        <v>1728</v>
      </c>
      <c r="G402" s="31" t="n">
        <v>14</v>
      </c>
      <c r="H402" s="31" t="s">
        <v>154</v>
      </c>
      <c r="I402" s="44" t="s">
        <v>1716</v>
      </c>
      <c r="J402" s="45" t="s">
        <v>1730</v>
      </c>
      <c r="K402" s="45" t="s">
        <v>1732</v>
      </c>
      <c r="L402" s="31" t="n">
        <f aca="false">COUNTIF($B$3:$B$2205,$B402)</f>
        <v>3</v>
      </c>
      <c r="M402" s="44" t="str">
        <f aca="false">IFERROR(INDEX(SENTENCES!$T$3:$T$1802,MATCH($F402,SENTENCES!$A$3:$A$1802,0)),"")</f>
        <v>• Chưa tới</v>
      </c>
    </row>
    <row r="403" customFormat="false" ht="15" hidden="false" customHeight="false" outlineLevel="0" collapsed="false">
      <c r="A403" s="31" t="n">
        <v>401</v>
      </c>
      <c r="B403" s="43" t="s">
        <v>11430</v>
      </c>
      <c r="C403" s="34" t="s">
        <v>11431</v>
      </c>
      <c r="D403" s="44" t="s">
        <v>10677</v>
      </c>
      <c r="E403" s="31" t="s">
        <v>10707</v>
      </c>
      <c r="F403" s="31" t="s">
        <v>1734</v>
      </c>
      <c r="G403" s="31" t="n">
        <v>14</v>
      </c>
      <c r="H403" s="31" t="s">
        <v>154</v>
      </c>
      <c r="I403" s="44" t="s">
        <v>1716</v>
      </c>
      <c r="J403" s="45" t="s">
        <v>1736</v>
      </c>
      <c r="K403" s="45" t="s">
        <v>1738</v>
      </c>
      <c r="L403" s="31" t="n">
        <f aca="false">COUNTIF($B$3:$B$2205,$B403)</f>
        <v>1</v>
      </c>
      <c r="M403" s="44" t="str">
        <f aca="false">IFERROR(INDEX(SENTENCES!$T$3:$T$1802,MATCH($F403,SENTENCES!$A$3:$A$1802,0)),"")</f>
        <v>• Chưa tới</v>
      </c>
    </row>
    <row r="404" customFormat="false" ht="15" hidden="false" customHeight="false" outlineLevel="0" collapsed="false">
      <c r="A404" s="31" t="n">
        <v>402</v>
      </c>
      <c r="B404" s="43" t="s">
        <v>11241</v>
      </c>
      <c r="C404" s="34" t="s">
        <v>11242</v>
      </c>
      <c r="D404" s="44" t="s">
        <v>10677</v>
      </c>
      <c r="E404" s="31" t="s">
        <v>10747</v>
      </c>
      <c r="F404" s="31" t="s">
        <v>1740</v>
      </c>
      <c r="G404" s="31" t="n">
        <v>14</v>
      </c>
      <c r="H404" s="31" t="s">
        <v>154</v>
      </c>
      <c r="I404" s="44" t="s">
        <v>1716</v>
      </c>
      <c r="J404" s="45" t="s">
        <v>1741</v>
      </c>
      <c r="K404" s="45" t="s">
        <v>1743</v>
      </c>
      <c r="L404" s="31" t="n">
        <f aca="false">COUNTIF($B$3:$B$2205,$B404)</f>
        <v>2</v>
      </c>
      <c r="M404" s="44" t="str">
        <f aca="false">IFERROR(INDEX(SENTENCES!$T$3:$T$1802,MATCH($F404,SENTENCES!$A$3:$A$1802,0)),"")</f>
        <v>• Chưa tới</v>
      </c>
    </row>
    <row r="405" customFormat="false" ht="15" hidden="false" customHeight="false" outlineLevel="0" collapsed="false">
      <c r="A405" s="31" t="n">
        <v>403</v>
      </c>
      <c r="B405" s="43" t="s">
        <v>11432</v>
      </c>
      <c r="C405" s="34" t="s">
        <v>11433</v>
      </c>
      <c r="D405" s="44" t="s">
        <v>10686</v>
      </c>
      <c r="E405" s="31"/>
      <c r="F405" s="31" t="s">
        <v>1745</v>
      </c>
      <c r="G405" s="31" t="n">
        <v>14</v>
      </c>
      <c r="H405" s="31" t="s">
        <v>154</v>
      </c>
      <c r="I405" s="44" t="s">
        <v>1716</v>
      </c>
      <c r="J405" s="45" t="s">
        <v>1747</v>
      </c>
      <c r="K405" s="45" t="s">
        <v>1749</v>
      </c>
      <c r="L405" s="31" t="n">
        <f aca="false">COUNTIF($B$3:$B$2205,$B405)</f>
        <v>1</v>
      </c>
      <c r="M405" s="44" t="str">
        <f aca="false">IFERROR(INDEX(SENTENCES!$T$3:$T$1802,MATCH($F405,SENTENCES!$A$3:$A$1802,0)),"")</f>
        <v>• Chưa tới</v>
      </c>
    </row>
    <row r="406" customFormat="false" ht="15" hidden="false" customHeight="false" outlineLevel="0" collapsed="false">
      <c r="A406" s="31" t="n">
        <v>404</v>
      </c>
      <c r="B406" s="43" t="s">
        <v>11434</v>
      </c>
      <c r="C406" s="34" t="s">
        <v>11435</v>
      </c>
      <c r="D406" s="44" t="s">
        <v>10677</v>
      </c>
      <c r="E406" s="31" t="s">
        <v>10707</v>
      </c>
      <c r="F406" s="31" t="s">
        <v>1751</v>
      </c>
      <c r="G406" s="31" t="n">
        <v>14</v>
      </c>
      <c r="H406" s="31" t="s">
        <v>154</v>
      </c>
      <c r="I406" s="44" t="s">
        <v>1716</v>
      </c>
      <c r="J406" s="45" t="s">
        <v>1753</v>
      </c>
      <c r="K406" s="45" t="s">
        <v>1755</v>
      </c>
      <c r="L406" s="31" t="n">
        <f aca="false">COUNTIF($B$3:$B$2205,$B406)</f>
        <v>1</v>
      </c>
      <c r="M406" s="44" t="str">
        <f aca="false">IFERROR(INDEX(SENTENCES!$T$3:$T$1802,MATCH($F406,SENTENCES!$A$3:$A$1802,0)),"")</f>
        <v>• Chưa tới</v>
      </c>
    </row>
    <row r="407" customFormat="false" ht="15" hidden="false" customHeight="false" outlineLevel="0" collapsed="false">
      <c r="A407" s="31" t="n">
        <v>405</v>
      </c>
      <c r="B407" s="43" t="s">
        <v>11436</v>
      </c>
      <c r="C407" s="34" t="s">
        <v>11437</v>
      </c>
      <c r="D407" s="44" t="s">
        <v>10677</v>
      </c>
      <c r="E407" s="31" t="s">
        <v>10707</v>
      </c>
      <c r="F407" s="31" t="s">
        <v>1757</v>
      </c>
      <c r="G407" s="31" t="n">
        <v>14</v>
      </c>
      <c r="H407" s="31" t="s">
        <v>154</v>
      </c>
      <c r="I407" s="44" t="s">
        <v>1716</v>
      </c>
      <c r="J407" s="45" t="s">
        <v>1758</v>
      </c>
      <c r="K407" s="45" t="s">
        <v>1760</v>
      </c>
      <c r="L407" s="31" t="n">
        <f aca="false">COUNTIF($B$3:$B$2205,$B407)</f>
        <v>1</v>
      </c>
      <c r="M407" s="44" t="str">
        <f aca="false">IFERROR(INDEX(SENTENCES!$T$3:$T$1802,MATCH($F407,SENTENCES!$A$3:$A$1802,0)),"")</f>
        <v>• Chưa tới</v>
      </c>
    </row>
    <row r="408" customFormat="false" ht="15" hidden="false" customHeight="false" outlineLevel="0" collapsed="false">
      <c r="A408" s="31" t="n">
        <v>406</v>
      </c>
      <c r="B408" s="43" t="s">
        <v>11438</v>
      </c>
      <c r="C408" s="34" t="s">
        <v>11439</v>
      </c>
      <c r="D408" s="44" t="s">
        <v>10677</v>
      </c>
      <c r="E408" s="31" t="s">
        <v>10747</v>
      </c>
      <c r="F408" s="31" t="s">
        <v>1762</v>
      </c>
      <c r="G408" s="31" t="n">
        <v>14</v>
      </c>
      <c r="H408" s="31" t="s">
        <v>154</v>
      </c>
      <c r="I408" s="44" t="s">
        <v>1716</v>
      </c>
      <c r="J408" s="45" t="s">
        <v>1764</v>
      </c>
      <c r="K408" s="45" t="s">
        <v>1766</v>
      </c>
      <c r="L408" s="31" t="n">
        <f aca="false">COUNTIF($B$3:$B$2205,$B408)</f>
        <v>3</v>
      </c>
      <c r="M408" s="44" t="str">
        <f aca="false">IFERROR(INDEX(SENTENCES!$T$3:$T$1802,MATCH($F408,SENTENCES!$A$3:$A$1802,0)),"")</f>
        <v>• Chưa tới</v>
      </c>
    </row>
    <row r="409" customFormat="false" ht="15" hidden="false" customHeight="false" outlineLevel="0" collapsed="false">
      <c r="A409" s="31" t="n">
        <v>407</v>
      </c>
      <c r="B409" s="43" t="s">
        <v>11440</v>
      </c>
      <c r="C409" s="34" t="s">
        <v>11441</v>
      </c>
      <c r="D409" s="44" t="s">
        <v>10686</v>
      </c>
      <c r="E409" s="31"/>
      <c r="F409" s="31" t="s">
        <v>1762</v>
      </c>
      <c r="G409" s="31" t="n">
        <v>14</v>
      </c>
      <c r="H409" s="31" t="s">
        <v>154</v>
      </c>
      <c r="I409" s="44" t="s">
        <v>1716</v>
      </c>
      <c r="J409" s="45" t="s">
        <v>1764</v>
      </c>
      <c r="K409" s="45" t="s">
        <v>1766</v>
      </c>
      <c r="L409" s="31" t="n">
        <f aca="false">COUNTIF($B$3:$B$2205,$B409)</f>
        <v>1</v>
      </c>
      <c r="M409" s="44" t="str">
        <f aca="false">IFERROR(INDEX(SENTENCES!$T$3:$T$1802,MATCH($F409,SENTENCES!$A$3:$A$1802,0)),"")</f>
        <v>• Chưa tới</v>
      </c>
    </row>
    <row r="410" customFormat="false" ht="15" hidden="false" customHeight="false" outlineLevel="0" collapsed="false">
      <c r="A410" s="31" t="n">
        <v>408</v>
      </c>
      <c r="B410" s="43" t="s">
        <v>11442</v>
      </c>
      <c r="C410" s="34" t="s">
        <v>11179</v>
      </c>
      <c r="D410" s="44" t="s">
        <v>10681</v>
      </c>
      <c r="E410" s="31"/>
      <c r="F410" s="31" t="s">
        <v>1762</v>
      </c>
      <c r="G410" s="31" t="n">
        <v>14</v>
      </c>
      <c r="H410" s="31" t="s">
        <v>154</v>
      </c>
      <c r="I410" s="44" t="s">
        <v>1716</v>
      </c>
      <c r="J410" s="45" t="s">
        <v>1764</v>
      </c>
      <c r="K410" s="45" t="s">
        <v>1766</v>
      </c>
      <c r="L410" s="31" t="n">
        <f aca="false">COUNTIF($B$3:$B$2205,$B410)</f>
        <v>1</v>
      </c>
      <c r="M410" s="44" t="str">
        <f aca="false">IFERROR(INDEX(SENTENCES!$T$3:$T$1802,MATCH($F410,SENTENCES!$A$3:$A$1802,0)),"")</f>
        <v>• Chưa tới</v>
      </c>
    </row>
    <row r="411" customFormat="false" ht="15" hidden="false" customHeight="false" outlineLevel="0" collapsed="false">
      <c r="A411" s="31" t="n">
        <v>409</v>
      </c>
      <c r="B411" s="43" t="s">
        <v>11443</v>
      </c>
      <c r="C411" s="34" t="s">
        <v>11444</v>
      </c>
      <c r="D411" s="44" t="s">
        <v>10681</v>
      </c>
      <c r="E411" s="31"/>
      <c r="F411" s="31" t="s">
        <v>1768</v>
      </c>
      <c r="G411" s="31" t="n">
        <v>14</v>
      </c>
      <c r="H411" s="31" t="s">
        <v>154</v>
      </c>
      <c r="I411" s="44" t="s">
        <v>1716</v>
      </c>
      <c r="J411" s="45" t="s">
        <v>1770</v>
      </c>
      <c r="K411" s="45" t="s">
        <v>1772</v>
      </c>
      <c r="L411" s="31" t="n">
        <f aca="false">COUNTIF($B$3:$B$2205,$B411)</f>
        <v>1</v>
      </c>
      <c r="M411" s="44" t="str">
        <f aca="false">IFERROR(INDEX(SENTENCES!$T$3:$T$1802,MATCH($F411,SENTENCES!$A$3:$A$1802,0)),"")</f>
        <v>• Chưa tới</v>
      </c>
    </row>
    <row r="412" customFormat="false" ht="15" hidden="false" customHeight="false" outlineLevel="0" collapsed="false">
      <c r="A412" s="31" t="n">
        <v>410</v>
      </c>
      <c r="B412" s="43" t="s">
        <v>11445</v>
      </c>
      <c r="C412" s="34" t="s">
        <v>11446</v>
      </c>
      <c r="D412" s="44" t="s">
        <v>10686</v>
      </c>
      <c r="E412" s="31"/>
      <c r="F412" s="31" t="s">
        <v>1774</v>
      </c>
      <c r="G412" s="31" t="n">
        <v>14</v>
      </c>
      <c r="H412" s="31" t="s">
        <v>154</v>
      </c>
      <c r="I412" s="44" t="s">
        <v>1716</v>
      </c>
      <c r="J412" s="45" t="s">
        <v>1776</v>
      </c>
      <c r="K412" s="45" t="s">
        <v>1778</v>
      </c>
      <c r="L412" s="31" t="n">
        <f aca="false">COUNTIF($B$3:$B$2205,$B412)</f>
        <v>2</v>
      </c>
      <c r="M412" s="44" t="str">
        <f aca="false">IFERROR(INDEX(SENTENCES!$T$3:$T$1802,MATCH($F412,SENTENCES!$A$3:$A$1802,0)),"")</f>
        <v>• Chưa tới</v>
      </c>
    </row>
    <row r="413" customFormat="false" ht="15" hidden="false" customHeight="false" outlineLevel="0" collapsed="false">
      <c r="A413" s="31" t="n">
        <v>411</v>
      </c>
      <c r="B413" s="43" t="s">
        <v>11447</v>
      </c>
      <c r="C413" s="34" t="s">
        <v>11448</v>
      </c>
      <c r="D413" s="44" t="s">
        <v>10677</v>
      </c>
      <c r="E413" s="31" t="s">
        <v>10678</v>
      </c>
      <c r="F413" s="31" t="s">
        <v>1780</v>
      </c>
      <c r="G413" s="31" t="n">
        <v>14</v>
      </c>
      <c r="H413" s="31" t="s">
        <v>154</v>
      </c>
      <c r="I413" s="44" t="s">
        <v>1716</v>
      </c>
      <c r="J413" s="45" t="s">
        <v>1781</v>
      </c>
      <c r="K413" s="45" t="s">
        <v>1783</v>
      </c>
      <c r="L413" s="31" t="n">
        <f aca="false">COUNTIF($B$3:$B$2205,$B413)</f>
        <v>1</v>
      </c>
      <c r="M413" s="44" t="str">
        <f aca="false">IFERROR(INDEX(SENTENCES!$T$3:$T$1802,MATCH($F413,SENTENCES!$A$3:$A$1802,0)),"")</f>
        <v>• Chưa tới</v>
      </c>
    </row>
    <row r="414" customFormat="false" ht="15" hidden="false" customHeight="false" outlineLevel="0" collapsed="false">
      <c r="A414" s="31" t="n">
        <v>412</v>
      </c>
      <c r="B414" s="43" t="s">
        <v>11449</v>
      </c>
      <c r="C414" s="34" t="s">
        <v>11450</v>
      </c>
      <c r="D414" s="44" t="s">
        <v>10677</v>
      </c>
      <c r="E414" s="31" t="s">
        <v>10678</v>
      </c>
      <c r="F414" s="31" t="s">
        <v>1785</v>
      </c>
      <c r="G414" s="31" t="n">
        <v>14</v>
      </c>
      <c r="H414" s="31" t="s">
        <v>154</v>
      </c>
      <c r="I414" s="44" t="s">
        <v>1716</v>
      </c>
      <c r="J414" s="45" t="s">
        <v>1786</v>
      </c>
      <c r="K414" s="45" t="s">
        <v>1788</v>
      </c>
      <c r="L414" s="31" t="n">
        <f aca="false">COUNTIF($B$3:$B$2205,$B414)</f>
        <v>1</v>
      </c>
      <c r="M414" s="44" t="str">
        <f aca="false">IFERROR(INDEX(SENTENCES!$T$3:$T$1802,MATCH($F414,SENTENCES!$A$3:$A$1802,0)),"")</f>
        <v>• Chưa tới</v>
      </c>
    </row>
    <row r="415" customFormat="false" ht="15" hidden="false" customHeight="false" outlineLevel="0" collapsed="false">
      <c r="A415" s="31" t="n">
        <v>413</v>
      </c>
      <c r="B415" s="43" t="s">
        <v>11451</v>
      </c>
      <c r="C415" s="34" t="s">
        <v>11452</v>
      </c>
      <c r="D415" s="44" t="s">
        <v>10686</v>
      </c>
      <c r="E415" s="31"/>
      <c r="F415" s="31" t="s">
        <v>1785</v>
      </c>
      <c r="G415" s="31" t="n">
        <v>14</v>
      </c>
      <c r="H415" s="31" t="s">
        <v>154</v>
      </c>
      <c r="I415" s="44" t="s">
        <v>1716</v>
      </c>
      <c r="J415" s="45" t="s">
        <v>1786</v>
      </c>
      <c r="K415" s="45" t="s">
        <v>1788</v>
      </c>
      <c r="L415" s="31" t="n">
        <f aca="false">COUNTIF($B$3:$B$2205,$B415)</f>
        <v>2</v>
      </c>
      <c r="M415" s="44" t="str">
        <f aca="false">IFERROR(INDEX(SENTENCES!$T$3:$T$1802,MATCH($F415,SENTENCES!$A$3:$A$1802,0)),"")</f>
        <v>• Chưa tới</v>
      </c>
    </row>
    <row r="416" customFormat="false" ht="15" hidden="false" customHeight="false" outlineLevel="0" collapsed="false">
      <c r="A416" s="31" t="n">
        <v>414</v>
      </c>
      <c r="B416" s="43" t="s">
        <v>11271</v>
      </c>
      <c r="C416" s="34" t="s">
        <v>11272</v>
      </c>
      <c r="D416" s="44" t="s">
        <v>10677</v>
      </c>
      <c r="E416" s="31" t="s">
        <v>10678</v>
      </c>
      <c r="F416" s="31" t="s">
        <v>1790</v>
      </c>
      <c r="G416" s="31" t="n">
        <v>14</v>
      </c>
      <c r="H416" s="31" t="s">
        <v>154</v>
      </c>
      <c r="I416" s="44" t="s">
        <v>1716</v>
      </c>
      <c r="J416" s="45" t="s">
        <v>1791</v>
      </c>
      <c r="K416" s="45" t="s">
        <v>1793</v>
      </c>
      <c r="L416" s="31" t="n">
        <f aca="false">COUNTIF($B$3:$B$2205,$B416)</f>
        <v>2</v>
      </c>
      <c r="M416" s="44" t="str">
        <f aca="false">IFERROR(INDEX(SENTENCES!$T$3:$T$1802,MATCH($F416,SENTENCES!$A$3:$A$1802,0)),"")</f>
        <v>• Chưa tới</v>
      </c>
    </row>
    <row r="417" customFormat="false" ht="15" hidden="false" customHeight="false" outlineLevel="0" collapsed="false">
      <c r="A417" s="31" t="n">
        <v>415</v>
      </c>
      <c r="B417" s="43" t="s">
        <v>11453</v>
      </c>
      <c r="C417" s="34" t="s">
        <v>11454</v>
      </c>
      <c r="D417" s="44" t="s">
        <v>10686</v>
      </c>
      <c r="E417" s="31"/>
      <c r="F417" s="31" t="s">
        <v>1790</v>
      </c>
      <c r="G417" s="31" t="n">
        <v>14</v>
      </c>
      <c r="H417" s="31" t="s">
        <v>154</v>
      </c>
      <c r="I417" s="44" t="s">
        <v>1716</v>
      </c>
      <c r="J417" s="45" t="s">
        <v>1791</v>
      </c>
      <c r="K417" s="45" t="s">
        <v>1793</v>
      </c>
      <c r="L417" s="31" t="n">
        <f aca="false">COUNTIF($B$3:$B$2205,$B417)</f>
        <v>2</v>
      </c>
      <c r="M417" s="44" t="str">
        <f aca="false">IFERROR(INDEX(SENTENCES!$T$3:$T$1802,MATCH($F417,SENTENCES!$A$3:$A$1802,0)),"")</f>
        <v>• Chưa tới</v>
      </c>
    </row>
    <row r="418" customFormat="false" ht="15" hidden="false" customHeight="false" outlineLevel="0" collapsed="false">
      <c r="A418" s="31" t="n">
        <v>416</v>
      </c>
      <c r="B418" s="43" t="s">
        <v>11455</v>
      </c>
      <c r="C418" s="34" t="s">
        <v>11456</v>
      </c>
      <c r="D418" s="44" t="s">
        <v>10681</v>
      </c>
      <c r="E418" s="31"/>
      <c r="F418" s="31" t="s">
        <v>1795</v>
      </c>
      <c r="G418" s="31" t="n">
        <v>14</v>
      </c>
      <c r="H418" s="31" t="s">
        <v>154</v>
      </c>
      <c r="I418" s="44" t="s">
        <v>1716</v>
      </c>
      <c r="J418" s="45" t="s">
        <v>1797</v>
      </c>
      <c r="K418" s="45" t="s">
        <v>1799</v>
      </c>
      <c r="L418" s="31" t="n">
        <f aca="false">COUNTIF($B$3:$B$2205,$B418)</f>
        <v>2</v>
      </c>
      <c r="M418" s="44" t="str">
        <f aca="false">IFERROR(INDEX(SENTENCES!$T$3:$T$1802,MATCH($F418,SENTENCES!$A$3:$A$1802,0)),"")</f>
        <v>• Chưa tới</v>
      </c>
    </row>
    <row r="419" customFormat="false" ht="15" hidden="false" customHeight="false" outlineLevel="0" collapsed="false">
      <c r="A419" s="31" t="n">
        <v>417</v>
      </c>
      <c r="B419" s="43" t="s">
        <v>11457</v>
      </c>
      <c r="C419" s="34" t="s">
        <v>11458</v>
      </c>
      <c r="D419" s="44" t="s">
        <v>10681</v>
      </c>
      <c r="E419" s="31"/>
      <c r="F419" s="31" t="s">
        <v>1795</v>
      </c>
      <c r="G419" s="31" t="n">
        <v>14</v>
      </c>
      <c r="H419" s="31" t="s">
        <v>154</v>
      </c>
      <c r="I419" s="44" t="s">
        <v>1716</v>
      </c>
      <c r="J419" s="45" t="s">
        <v>1797</v>
      </c>
      <c r="K419" s="45" t="s">
        <v>1799</v>
      </c>
      <c r="L419" s="31" t="n">
        <f aca="false">COUNTIF($B$3:$B$2205,$B419)</f>
        <v>2</v>
      </c>
      <c r="M419" s="44" t="str">
        <f aca="false">IFERROR(INDEX(SENTENCES!$T$3:$T$1802,MATCH($F419,SENTENCES!$A$3:$A$1802,0)),"")</f>
        <v>• Chưa tới</v>
      </c>
    </row>
    <row r="420" customFormat="false" ht="15" hidden="false" customHeight="false" outlineLevel="0" collapsed="false">
      <c r="A420" s="31" t="n">
        <v>418</v>
      </c>
      <c r="B420" s="43" t="s">
        <v>11459</v>
      </c>
      <c r="C420" s="34" t="s">
        <v>11460</v>
      </c>
      <c r="D420" s="44" t="s">
        <v>10677</v>
      </c>
      <c r="E420" s="31" t="s">
        <v>10678</v>
      </c>
      <c r="F420" s="31" t="s">
        <v>1801</v>
      </c>
      <c r="G420" s="31" t="n">
        <v>14</v>
      </c>
      <c r="H420" s="31" t="s">
        <v>154</v>
      </c>
      <c r="I420" s="44" t="s">
        <v>1716</v>
      </c>
      <c r="J420" s="45" t="s">
        <v>1803</v>
      </c>
      <c r="K420" s="45" t="s">
        <v>1805</v>
      </c>
      <c r="L420" s="31" t="n">
        <f aca="false">COUNTIF($B$3:$B$2205,$B420)</f>
        <v>1</v>
      </c>
      <c r="M420" s="44" t="str">
        <f aca="false">IFERROR(INDEX(SENTENCES!$T$3:$T$1802,MATCH($F420,SENTENCES!$A$3:$A$1802,0)),"")</f>
        <v>• Chưa tới</v>
      </c>
    </row>
    <row r="421" customFormat="false" ht="15" hidden="false" customHeight="false" outlineLevel="0" collapsed="false">
      <c r="A421" s="31" t="n">
        <v>419</v>
      </c>
      <c r="B421" s="43" t="s">
        <v>11461</v>
      </c>
      <c r="C421" s="34" t="s">
        <v>11462</v>
      </c>
      <c r="D421" s="44" t="s">
        <v>10686</v>
      </c>
      <c r="E421" s="31"/>
      <c r="F421" s="31" t="s">
        <v>1801</v>
      </c>
      <c r="G421" s="31" t="n">
        <v>14</v>
      </c>
      <c r="H421" s="31" t="s">
        <v>154</v>
      </c>
      <c r="I421" s="44" t="s">
        <v>1716</v>
      </c>
      <c r="J421" s="45" t="s">
        <v>1803</v>
      </c>
      <c r="K421" s="45" t="s">
        <v>1805</v>
      </c>
      <c r="L421" s="31" t="n">
        <f aca="false">COUNTIF($B$3:$B$2205,$B421)</f>
        <v>4</v>
      </c>
      <c r="M421" s="44" t="str">
        <f aca="false">IFERROR(INDEX(SENTENCES!$T$3:$T$1802,MATCH($F421,SENTENCES!$A$3:$A$1802,0)),"")</f>
        <v>• Chưa tới</v>
      </c>
    </row>
    <row r="422" customFormat="false" ht="15" hidden="false" customHeight="false" outlineLevel="0" collapsed="false">
      <c r="A422" s="31" t="n">
        <v>420</v>
      </c>
      <c r="B422" s="43" t="s">
        <v>11463</v>
      </c>
      <c r="C422" s="34" t="s">
        <v>11464</v>
      </c>
      <c r="D422" s="44" t="s">
        <v>10677</v>
      </c>
      <c r="E422" s="31" t="s">
        <v>10678</v>
      </c>
      <c r="F422" s="31" t="s">
        <v>1807</v>
      </c>
      <c r="G422" s="31" t="n">
        <v>14</v>
      </c>
      <c r="H422" s="31" t="s">
        <v>154</v>
      </c>
      <c r="I422" s="44" t="s">
        <v>1716</v>
      </c>
      <c r="J422" s="45" t="s">
        <v>1808</v>
      </c>
      <c r="K422" s="45" t="s">
        <v>1810</v>
      </c>
      <c r="L422" s="31" t="n">
        <f aca="false">COUNTIF($B$3:$B$2205,$B422)</f>
        <v>1</v>
      </c>
      <c r="M422" s="44" t="str">
        <f aca="false">IFERROR(INDEX(SENTENCES!$T$3:$T$1802,MATCH($F422,SENTENCES!$A$3:$A$1802,0)),"")</f>
        <v>• Chưa tới</v>
      </c>
    </row>
    <row r="423" customFormat="false" ht="15" hidden="false" customHeight="false" outlineLevel="0" collapsed="false">
      <c r="A423" s="31" t="n">
        <v>421</v>
      </c>
      <c r="B423" s="43" t="s">
        <v>11465</v>
      </c>
      <c r="C423" s="34" t="s">
        <v>11466</v>
      </c>
      <c r="D423" s="44" t="s">
        <v>10677</v>
      </c>
      <c r="E423" s="31" t="s">
        <v>10707</v>
      </c>
      <c r="F423" s="31" t="s">
        <v>1812</v>
      </c>
      <c r="G423" s="31" t="n">
        <v>14</v>
      </c>
      <c r="H423" s="31" t="s">
        <v>154</v>
      </c>
      <c r="I423" s="44" t="s">
        <v>1716</v>
      </c>
      <c r="J423" s="45" t="s">
        <v>1813</v>
      </c>
      <c r="K423" s="45" t="s">
        <v>1815</v>
      </c>
      <c r="L423" s="31" t="n">
        <f aca="false">COUNTIF($B$3:$B$2205,$B423)</f>
        <v>1</v>
      </c>
      <c r="M423" s="44" t="str">
        <f aca="false">IFERROR(INDEX(SENTENCES!$T$3:$T$1802,MATCH($F423,SENTENCES!$A$3:$A$1802,0)),"")</f>
        <v>• Chưa tới</v>
      </c>
    </row>
    <row r="424" customFormat="false" ht="15" hidden="false" customHeight="false" outlineLevel="0" collapsed="false">
      <c r="A424" s="31" t="n">
        <v>422</v>
      </c>
      <c r="B424" s="43" t="s">
        <v>11467</v>
      </c>
      <c r="C424" s="34" t="s">
        <v>11468</v>
      </c>
      <c r="D424" s="44" t="s">
        <v>10677</v>
      </c>
      <c r="E424" s="31" t="s">
        <v>10707</v>
      </c>
      <c r="F424" s="31" t="s">
        <v>1812</v>
      </c>
      <c r="G424" s="31" t="n">
        <v>14</v>
      </c>
      <c r="H424" s="31" t="s">
        <v>154</v>
      </c>
      <c r="I424" s="44" t="s">
        <v>1716</v>
      </c>
      <c r="J424" s="45" t="s">
        <v>1813</v>
      </c>
      <c r="K424" s="45" t="s">
        <v>1815</v>
      </c>
      <c r="L424" s="31" t="n">
        <f aca="false">COUNTIF($B$3:$B$2205,$B424)</f>
        <v>1</v>
      </c>
      <c r="M424" s="44" t="str">
        <f aca="false">IFERROR(INDEX(SENTENCES!$T$3:$T$1802,MATCH($F424,SENTENCES!$A$3:$A$1802,0)),"")</f>
        <v>• Chưa tới</v>
      </c>
    </row>
    <row r="425" customFormat="false" ht="15" hidden="false" customHeight="false" outlineLevel="0" collapsed="false">
      <c r="A425" s="31" t="n">
        <v>423</v>
      </c>
      <c r="B425" s="43" t="s">
        <v>11469</v>
      </c>
      <c r="C425" s="34" t="s">
        <v>11470</v>
      </c>
      <c r="D425" s="44" t="s">
        <v>10677</v>
      </c>
      <c r="E425" s="31" t="s">
        <v>10707</v>
      </c>
      <c r="F425" s="31" t="s">
        <v>1817</v>
      </c>
      <c r="G425" s="31" t="n">
        <v>14</v>
      </c>
      <c r="H425" s="31" t="s">
        <v>154</v>
      </c>
      <c r="I425" s="44" t="s">
        <v>1716</v>
      </c>
      <c r="J425" s="45" t="s">
        <v>1819</v>
      </c>
      <c r="K425" s="45" t="s">
        <v>1821</v>
      </c>
      <c r="L425" s="31" t="n">
        <f aca="false">COUNTIF($B$3:$B$2205,$B425)</f>
        <v>1</v>
      </c>
      <c r="M425" s="44" t="str">
        <f aca="false">IFERROR(INDEX(SENTENCES!$T$3:$T$1802,MATCH($F425,SENTENCES!$A$3:$A$1802,0)),"")</f>
        <v>• Chưa tới</v>
      </c>
    </row>
    <row r="426" customFormat="false" ht="15" hidden="false" customHeight="false" outlineLevel="0" collapsed="false">
      <c r="A426" s="31" t="n">
        <v>424</v>
      </c>
      <c r="B426" s="43" t="s">
        <v>10701</v>
      </c>
      <c r="C426" s="34" t="s">
        <v>11471</v>
      </c>
      <c r="D426" s="44" t="s">
        <v>10681</v>
      </c>
      <c r="E426" s="31"/>
      <c r="F426" s="31" t="s">
        <v>1823</v>
      </c>
      <c r="G426" s="31" t="n">
        <v>14</v>
      </c>
      <c r="H426" s="31" t="s">
        <v>154</v>
      </c>
      <c r="I426" s="44" t="s">
        <v>1716</v>
      </c>
      <c r="J426" s="45" t="s">
        <v>1825</v>
      </c>
      <c r="K426" s="45" t="s">
        <v>1827</v>
      </c>
      <c r="L426" s="31" t="n">
        <f aca="false">COUNTIF($B$3:$B$2205,$B426)</f>
        <v>3</v>
      </c>
      <c r="M426" s="44" t="str">
        <f aca="false">IFERROR(INDEX(SENTENCES!$T$3:$T$1802,MATCH($F426,SENTENCES!$A$3:$A$1802,0)),"")</f>
        <v>• Chưa tới</v>
      </c>
    </row>
    <row r="427" customFormat="false" ht="15" hidden="false" customHeight="false" outlineLevel="0" collapsed="false">
      <c r="A427" s="31" t="n">
        <v>425</v>
      </c>
      <c r="B427" s="43" t="s">
        <v>11472</v>
      </c>
      <c r="C427" s="34" t="s">
        <v>11473</v>
      </c>
      <c r="D427" s="44" t="s">
        <v>10677</v>
      </c>
      <c r="E427" s="31" t="s">
        <v>10707</v>
      </c>
      <c r="F427" s="31" t="s">
        <v>1829</v>
      </c>
      <c r="G427" s="31" t="n">
        <v>15</v>
      </c>
      <c r="H427" s="31" t="s">
        <v>154</v>
      </c>
      <c r="I427" s="44" t="s">
        <v>1830</v>
      </c>
      <c r="J427" s="45" t="s">
        <v>1832</v>
      </c>
      <c r="K427" s="45" t="s">
        <v>1834</v>
      </c>
      <c r="L427" s="31" t="n">
        <f aca="false">COUNTIF($B$3:$B$2205,$B427)</f>
        <v>1</v>
      </c>
      <c r="M427" s="44" t="str">
        <f aca="false">IFERROR(INDEX(SENTENCES!$T$3:$T$1802,MATCH($F427,SENTENCES!$A$3:$A$1802,0)),"")</f>
        <v>• Chưa tới</v>
      </c>
    </row>
    <row r="428" customFormat="false" ht="15" hidden="false" customHeight="false" outlineLevel="0" collapsed="false">
      <c r="A428" s="31" t="n">
        <v>426</v>
      </c>
      <c r="B428" s="43" t="s">
        <v>11474</v>
      </c>
      <c r="C428" s="34" t="s">
        <v>11475</v>
      </c>
      <c r="D428" s="44" t="s">
        <v>10681</v>
      </c>
      <c r="E428" s="31"/>
      <c r="F428" s="31" t="s">
        <v>1829</v>
      </c>
      <c r="G428" s="31" t="n">
        <v>15</v>
      </c>
      <c r="H428" s="31" t="s">
        <v>154</v>
      </c>
      <c r="I428" s="44" t="s">
        <v>1830</v>
      </c>
      <c r="J428" s="45" t="s">
        <v>1832</v>
      </c>
      <c r="K428" s="45" t="s">
        <v>1834</v>
      </c>
      <c r="L428" s="31" t="n">
        <f aca="false">COUNTIF($B$3:$B$2205,$B428)</f>
        <v>1</v>
      </c>
      <c r="M428" s="44" t="str">
        <f aca="false">IFERROR(INDEX(SENTENCES!$T$3:$T$1802,MATCH($F428,SENTENCES!$A$3:$A$1802,0)),"")</f>
        <v>• Chưa tới</v>
      </c>
    </row>
    <row r="429" customFormat="false" ht="15" hidden="false" customHeight="false" outlineLevel="0" collapsed="false">
      <c r="A429" s="31" t="n">
        <v>427</v>
      </c>
      <c r="B429" s="43" t="s">
        <v>11476</v>
      </c>
      <c r="C429" s="34" t="s">
        <v>11477</v>
      </c>
      <c r="D429" s="44" t="s">
        <v>10686</v>
      </c>
      <c r="E429" s="31"/>
      <c r="F429" s="31" t="s">
        <v>1836</v>
      </c>
      <c r="G429" s="31" t="n">
        <v>15</v>
      </c>
      <c r="H429" s="31" t="s">
        <v>154</v>
      </c>
      <c r="I429" s="44" t="s">
        <v>1830</v>
      </c>
      <c r="J429" s="45" t="s">
        <v>1838</v>
      </c>
      <c r="K429" s="45" t="s">
        <v>1840</v>
      </c>
      <c r="L429" s="31" t="n">
        <f aca="false">COUNTIF($B$3:$B$2205,$B429)</f>
        <v>2</v>
      </c>
      <c r="M429" s="44" t="str">
        <f aca="false">IFERROR(INDEX(SENTENCES!$T$3:$T$1802,MATCH($F429,SENTENCES!$A$3:$A$1802,0)),"")</f>
        <v>• Chưa tới</v>
      </c>
    </row>
    <row r="430" customFormat="false" ht="15" hidden="false" customHeight="false" outlineLevel="0" collapsed="false">
      <c r="A430" s="31" t="n">
        <v>428</v>
      </c>
      <c r="B430" s="43" t="s">
        <v>11478</v>
      </c>
      <c r="C430" s="34" t="s">
        <v>11479</v>
      </c>
      <c r="D430" s="44" t="s">
        <v>10681</v>
      </c>
      <c r="E430" s="31"/>
      <c r="F430" s="31" t="s">
        <v>1836</v>
      </c>
      <c r="G430" s="31" t="n">
        <v>15</v>
      </c>
      <c r="H430" s="31" t="s">
        <v>154</v>
      </c>
      <c r="I430" s="44" t="s">
        <v>1830</v>
      </c>
      <c r="J430" s="45" t="s">
        <v>1838</v>
      </c>
      <c r="K430" s="45" t="s">
        <v>1840</v>
      </c>
      <c r="L430" s="31" t="n">
        <f aca="false">COUNTIF($B$3:$B$2205,$B430)</f>
        <v>1</v>
      </c>
      <c r="M430" s="44" t="str">
        <f aca="false">IFERROR(INDEX(SENTENCES!$T$3:$T$1802,MATCH($F430,SENTENCES!$A$3:$A$1802,0)),"")</f>
        <v>• Chưa tới</v>
      </c>
    </row>
    <row r="431" customFormat="false" ht="15" hidden="false" customHeight="false" outlineLevel="0" collapsed="false">
      <c r="A431" s="31" t="n">
        <v>429</v>
      </c>
      <c r="B431" s="43" t="s">
        <v>11480</v>
      </c>
      <c r="C431" s="34" t="s">
        <v>11481</v>
      </c>
      <c r="D431" s="44" t="s">
        <v>10677</v>
      </c>
      <c r="E431" s="31" t="s">
        <v>10747</v>
      </c>
      <c r="F431" s="31" t="s">
        <v>1836</v>
      </c>
      <c r="G431" s="31" t="n">
        <v>15</v>
      </c>
      <c r="H431" s="31" t="s">
        <v>154</v>
      </c>
      <c r="I431" s="44" t="s">
        <v>1830</v>
      </c>
      <c r="J431" s="45" t="s">
        <v>1838</v>
      </c>
      <c r="K431" s="45" t="s">
        <v>1840</v>
      </c>
      <c r="L431" s="31" t="n">
        <f aca="false">COUNTIF($B$3:$B$2205,$B431)</f>
        <v>1</v>
      </c>
      <c r="M431" s="44" t="str">
        <f aca="false">IFERROR(INDEX(SENTENCES!$T$3:$T$1802,MATCH($F431,SENTENCES!$A$3:$A$1802,0)),"")</f>
        <v>• Chưa tới</v>
      </c>
    </row>
    <row r="432" customFormat="false" ht="15" hidden="false" customHeight="false" outlineLevel="0" collapsed="false">
      <c r="A432" s="31" t="n">
        <v>430</v>
      </c>
      <c r="B432" s="43" t="s">
        <v>11482</v>
      </c>
      <c r="C432" s="34" t="s">
        <v>11483</v>
      </c>
      <c r="D432" s="44" t="s">
        <v>10681</v>
      </c>
      <c r="E432" s="31"/>
      <c r="F432" s="31" t="s">
        <v>1842</v>
      </c>
      <c r="G432" s="31" t="n">
        <v>15</v>
      </c>
      <c r="H432" s="31" t="s">
        <v>154</v>
      </c>
      <c r="I432" s="44" t="s">
        <v>1830</v>
      </c>
      <c r="J432" s="45" t="s">
        <v>1844</v>
      </c>
      <c r="K432" s="45" t="s">
        <v>1846</v>
      </c>
      <c r="L432" s="31" t="n">
        <f aca="false">COUNTIF($B$3:$B$2205,$B432)</f>
        <v>1</v>
      </c>
      <c r="M432" s="44" t="str">
        <f aca="false">IFERROR(INDEX(SENTENCES!$T$3:$T$1802,MATCH($F432,SENTENCES!$A$3:$A$1802,0)),"")</f>
        <v>• Chưa tới</v>
      </c>
    </row>
    <row r="433" customFormat="false" ht="15" hidden="false" customHeight="false" outlineLevel="0" collapsed="false">
      <c r="A433" s="31" t="n">
        <v>431</v>
      </c>
      <c r="B433" s="43" t="s">
        <v>11484</v>
      </c>
      <c r="C433" s="34" t="s">
        <v>11485</v>
      </c>
      <c r="D433" s="44" t="s">
        <v>10677</v>
      </c>
      <c r="E433" s="31" t="s">
        <v>10707</v>
      </c>
      <c r="F433" s="31" t="s">
        <v>1842</v>
      </c>
      <c r="G433" s="31" t="n">
        <v>15</v>
      </c>
      <c r="H433" s="31" t="s">
        <v>154</v>
      </c>
      <c r="I433" s="44" t="s">
        <v>1830</v>
      </c>
      <c r="J433" s="45" t="s">
        <v>1844</v>
      </c>
      <c r="K433" s="45" t="s">
        <v>1846</v>
      </c>
      <c r="L433" s="31" t="n">
        <f aca="false">COUNTIF($B$3:$B$2205,$B433)</f>
        <v>1</v>
      </c>
      <c r="M433" s="44" t="str">
        <f aca="false">IFERROR(INDEX(SENTENCES!$T$3:$T$1802,MATCH($F433,SENTENCES!$A$3:$A$1802,0)),"")</f>
        <v>• Chưa tới</v>
      </c>
    </row>
    <row r="434" customFormat="false" ht="15" hidden="false" customHeight="false" outlineLevel="0" collapsed="false">
      <c r="A434" s="31" t="n">
        <v>432</v>
      </c>
      <c r="B434" s="43" t="s">
        <v>11486</v>
      </c>
      <c r="C434" s="34" t="s">
        <v>11487</v>
      </c>
      <c r="D434" s="44" t="s">
        <v>10681</v>
      </c>
      <c r="E434" s="31"/>
      <c r="F434" s="31" t="s">
        <v>1848</v>
      </c>
      <c r="G434" s="31" t="n">
        <v>15</v>
      </c>
      <c r="H434" s="31" t="s">
        <v>154</v>
      </c>
      <c r="I434" s="44" t="s">
        <v>1830</v>
      </c>
      <c r="J434" s="45" t="s">
        <v>1850</v>
      </c>
      <c r="K434" s="45" t="s">
        <v>1852</v>
      </c>
      <c r="L434" s="31" t="n">
        <f aca="false">COUNTIF($B$3:$B$2205,$B434)</f>
        <v>1</v>
      </c>
      <c r="M434" s="44" t="str">
        <f aca="false">IFERROR(INDEX(SENTENCES!$T$3:$T$1802,MATCH($F434,SENTENCES!$A$3:$A$1802,0)),"")</f>
        <v>• Chưa tới</v>
      </c>
    </row>
    <row r="435" customFormat="false" ht="15" hidden="false" customHeight="false" outlineLevel="0" collapsed="false">
      <c r="A435" s="31" t="n">
        <v>433</v>
      </c>
      <c r="B435" s="43" t="s">
        <v>11488</v>
      </c>
      <c r="C435" s="34" t="s">
        <v>11489</v>
      </c>
      <c r="D435" s="44" t="s">
        <v>10686</v>
      </c>
      <c r="E435" s="31"/>
      <c r="F435" s="31" t="s">
        <v>1848</v>
      </c>
      <c r="G435" s="31" t="n">
        <v>15</v>
      </c>
      <c r="H435" s="31" t="s">
        <v>154</v>
      </c>
      <c r="I435" s="44" t="s">
        <v>1830</v>
      </c>
      <c r="J435" s="45" t="s">
        <v>1850</v>
      </c>
      <c r="K435" s="45" t="s">
        <v>1852</v>
      </c>
      <c r="L435" s="31" t="n">
        <f aca="false">COUNTIF($B$3:$B$2205,$B435)</f>
        <v>1</v>
      </c>
      <c r="M435" s="44" t="str">
        <f aca="false">IFERROR(INDEX(SENTENCES!$T$3:$T$1802,MATCH($F435,SENTENCES!$A$3:$A$1802,0)),"")</f>
        <v>• Chưa tới</v>
      </c>
    </row>
    <row r="436" customFormat="false" ht="15" hidden="false" customHeight="false" outlineLevel="0" collapsed="false">
      <c r="A436" s="31" t="n">
        <v>434</v>
      </c>
      <c r="B436" s="43" t="s">
        <v>11490</v>
      </c>
      <c r="C436" s="34" t="s">
        <v>11491</v>
      </c>
      <c r="D436" s="44" t="s">
        <v>10681</v>
      </c>
      <c r="E436" s="31"/>
      <c r="F436" s="31" t="s">
        <v>1854</v>
      </c>
      <c r="G436" s="31" t="n">
        <v>15</v>
      </c>
      <c r="H436" s="31" t="s">
        <v>154</v>
      </c>
      <c r="I436" s="44" t="s">
        <v>1830</v>
      </c>
      <c r="J436" s="45" t="s">
        <v>1856</v>
      </c>
      <c r="K436" s="45" t="s">
        <v>1858</v>
      </c>
      <c r="L436" s="31" t="n">
        <f aca="false">COUNTIF($B$3:$B$2205,$B436)</f>
        <v>1</v>
      </c>
      <c r="M436" s="44" t="str">
        <f aca="false">IFERROR(INDEX(SENTENCES!$T$3:$T$1802,MATCH($F436,SENTENCES!$A$3:$A$1802,0)),"")</f>
        <v>• Chưa tới</v>
      </c>
    </row>
    <row r="437" customFormat="false" ht="15" hidden="false" customHeight="false" outlineLevel="0" collapsed="false">
      <c r="A437" s="31" t="n">
        <v>435</v>
      </c>
      <c r="B437" s="43" t="s">
        <v>11492</v>
      </c>
      <c r="C437" s="34" t="s">
        <v>11493</v>
      </c>
      <c r="D437" s="44" t="s">
        <v>10677</v>
      </c>
      <c r="E437" s="31" t="s">
        <v>10747</v>
      </c>
      <c r="F437" s="31" t="s">
        <v>1854</v>
      </c>
      <c r="G437" s="31" t="n">
        <v>15</v>
      </c>
      <c r="H437" s="31" t="s">
        <v>154</v>
      </c>
      <c r="I437" s="44" t="s">
        <v>1830</v>
      </c>
      <c r="J437" s="45" t="s">
        <v>1856</v>
      </c>
      <c r="K437" s="45" t="s">
        <v>1858</v>
      </c>
      <c r="L437" s="31" t="n">
        <f aca="false">COUNTIF($B$3:$B$2205,$B437)</f>
        <v>1</v>
      </c>
      <c r="M437" s="44" t="str">
        <f aca="false">IFERROR(INDEX(SENTENCES!$T$3:$T$1802,MATCH($F437,SENTENCES!$A$3:$A$1802,0)),"")</f>
        <v>• Chưa tới</v>
      </c>
    </row>
    <row r="438" customFormat="false" ht="15" hidden="false" customHeight="false" outlineLevel="0" collapsed="false">
      <c r="A438" s="31" t="n">
        <v>436</v>
      </c>
      <c r="B438" s="43" t="s">
        <v>11494</v>
      </c>
      <c r="C438" s="34" t="s">
        <v>11495</v>
      </c>
      <c r="D438" s="44" t="s">
        <v>10677</v>
      </c>
      <c r="E438" s="31" t="s">
        <v>10707</v>
      </c>
      <c r="F438" s="31" t="s">
        <v>1860</v>
      </c>
      <c r="G438" s="31" t="n">
        <v>15</v>
      </c>
      <c r="H438" s="31" t="s">
        <v>154</v>
      </c>
      <c r="I438" s="44" t="s">
        <v>1830</v>
      </c>
      <c r="J438" s="45" t="s">
        <v>1861</v>
      </c>
      <c r="K438" s="45" t="s">
        <v>1863</v>
      </c>
      <c r="L438" s="31" t="n">
        <f aca="false">COUNTIF($B$3:$B$2205,$B438)</f>
        <v>1</v>
      </c>
      <c r="M438" s="44" t="str">
        <f aca="false">IFERROR(INDEX(SENTENCES!$T$3:$T$1802,MATCH($F438,SENTENCES!$A$3:$A$1802,0)),"")</f>
        <v>• Chưa tới</v>
      </c>
    </row>
    <row r="439" customFormat="false" ht="15" hidden="false" customHeight="false" outlineLevel="0" collapsed="false">
      <c r="A439" s="31" t="n">
        <v>437</v>
      </c>
      <c r="B439" s="43" t="s">
        <v>11496</v>
      </c>
      <c r="C439" s="34" t="s">
        <v>11497</v>
      </c>
      <c r="D439" s="44" t="s">
        <v>10794</v>
      </c>
      <c r="E439" s="31"/>
      <c r="F439" s="31" t="s">
        <v>1865</v>
      </c>
      <c r="G439" s="31" t="n">
        <v>15</v>
      </c>
      <c r="H439" s="31" t="s">
        <v>154</v>
      </c>
      <c r="I439" s="44" t="s">
        <v>1830</v>
      </c>
      <c r="J439" s="45" t="s">
        <v>1867</v>
      </c>
      <c r="K439" s="45" t="s">
        <v>1869</v>
      </c>
      <c r="L439" s="31" t="n">
        <f aca="false">COUNTIF($B$3:$B$2205,$B439)</f>
        <v>2</v>
      </c>
      <c r="M439" s="44" t="str">
        <f aca="false">IFERROR(INDEX(SENTENCES!$T$3:$T$1802,MATCH($F439,SENTENCES!$A$3:$A$1802,0)),"")</f>
        <v>• Chưa tới</v>
      </c>
    </row>
    <row r="440" customFormat="false" ht="15" hidden="false" customHeight="false" outlineLevel="0" collapsed="false">
      <c r="A440" s="31" t="n">
        <v>438</v>
      </c>
      <c r="B440" s="43" t="s">
        <v>11498</v>
      </c>
      <c r="C440" s="34" t="s">
        <v>11499</v>
      </c>
      <c r="D440" s="44" t="s">
        <v>10677</v>
      </c>
      <c r="E440" s="31" t="s">
        <v>10678</v>
      </c>
      <c r="F440" s="31" t="s">
        <v>1871</v>
      </c>
      <c r="G440" s="31" t="n">
        <v>15</v>
      </c>
      <c r="H440" s="31" t="s">
        <v>154</v>
      </c>
      <c r="I440" s="44" t="s">
        <v>1830</v>
      </c>
      <c r="J440" s="45" t="s">
        <v>1872</v>
      </c>
      <c r="K440" s="45" t="s">
        <v>1874</v>
      </c>
      <c r="L440" s="31" t="n">
        <f aca="false">COUNTIF($B$3:$B$2205,$B440)</f>
        <v>1</v>
      </c>
      <c r="M440" s="44" t="str">
        <f aca="false">IFERROR(INDEX(SENTENCES!$T$3:$T$1802,MATCH($F440,SENTENCES!$A$3:$A$1802,0)),"")</f>
        <v>• Chưa tới</v>
      </c>
    </row>
    <row r="441" customFormat="false" ht="15" hidden="false" customHeight="false" outlineLevel="0" collapsed="false">
      <c r="A441" s="31" t="n">
        <v>439</v>
      </c>
      <c r="B441" s="43" t="s">
        <v>11500</v>
      </c>
      <c r="C441" s="34" t="s">
        <v>11501</v>
      </c>
      <c r="D441" s="44" t="s">
        <v>10686</v>
      </c>
      <c r="E441" s="31"/>
      <c r="F441" s="31" t="s">
        <v>1876</v>
      </c>
      <c r="G441" s="31" t="n">
        <v>15</v>
      </c>
      <c r="H441" s="31" t="s">
        <v>154</v>
      </c>
      <c r="I441" s="44" t="s">
        <v>1830</v>
      </c>
      <c r="J441" s="45" t="s">
        <v>1878</v>
      </c>
      <c r="K441" s="45" t="s">
        <v>1880</v>
      </c>
      <c r="L441" s="31" t="n">
        <f aca="false">COUNTIF($B$3:$B$2205,$B441)</f>
        <v>1</v>
      </c>
      <c r="M441" s="44" t="str">
        <f aca="false">IFERROR(INDEX(SENTENCES!$T$3:$T$1802,MATCH($F441,SENTENCES!$A$3:$A$1802,0)),"")</f>
        <v>• Chưa tới</v>
      </c>
    </row>
    <row r="442" customFormat="false" ht="15" hidden="false" customHeight="false" outlineLevel="0" collapsed="false">
      <c r="A442" s="31" t="n">
        <v>440</v>
      </c>
      <c r="B442" s="43" t="s">
        <v>11502</v>
      </c>
      <c r="C442" s="34" t="s">
        <v>11503</v>
      </c>
      <c r="D442" s="44" t="s">
        <v>10677</v>
      </c>
      <c r="E442" s="31" t="s">
        <v>10678</v>
      </c>
      <c r="F442" s="31" t="s">
        <v>1882</v>
      </c>
      <c r="G442" s="31" t="n">
        <v>15</v>
      </c>
      <c r="H442" s="31" t="s">
        <v>154</v>
      </c>
      <c r="I442" s="44" t="s">
        <v>1830</v>
      </c>
      <c r="J442" s="45" t="s">
        <v>1884</v>
      </c>
      <c r="K442" s="45" t="s">
        <v>1886</v>
      </c>
      <c r="L442" s="31" t="n">
        <f aca="false">COUNTIF($B$3:$B$2205,$B442)</f>
        <v>2</v>
      </c>
      <c r="M442" s="44" t="str">
        <f aca="false">IFERROR(INDEX(SENTENCES!$T$3:$T$1802,MATCH($F442,SENTENCES!$A$3:$A$1802,0)),"")</f>
        <v>• Chưa tới</v>
      </c>
    </row>
    <row r="443" customFormat="false" ht="15" hidden="false" customHeight="false" outlineLevel="0" collapsed="false">
      <c r="A443" s="31" t="n">
        <v>441</v>
      </c>
      <c r="B443" s="43" t="s">
        <v>11504</v>
      </c>
      <c r="C443" s="34" t="s">
        <v>11505</v>
      </c>
      <c r="D443" s="44" t="s">
        <v>10677</v>
      </c>
      <c r="E443" s="31" t="s">
        <v>10678</v>
      </c>
      <c r="F443" s="31" t="s">
        <v>1882</v>
      </c>
      <c r="G443" s="31" t="n">
        <v>15</v>
      </c>
      <c r="H443" s="31" t="s">
        <v>154</v>
      </c>
      <c r="I443" s="44" t="s">
        <v>1830</v>
      </c>
      <c r="J443" s="45" t="s">
        <v>1884</v>
      </c>
      <c r="K443" s="45" t="s">
        <v>1886</v>
      </c>
      <c r="L443" s="31" t="n">
        <f aca="false">COUNTIF($B$3:$B$2205,$B443)</f>
        <v>1</v>
      </c>
      <c r="M443" s="44" t="str">
        <f aca="false">IFERROR(INDEX(SENTENCES!$T$3:$T$1802,MATCH($F443,SENTENCES!$A$3:$A$1802,0)),"")</f>
        <v>• Chưa tới</v>
      </c>
    </row>
    <row r="444" customFormat="false" ht="15" hidden="false" customHeight="false" outlineLevel="0" collapsed="false">
      <c r="A444" s="31" t="n">
        <v>442</v>
      </c>
      <c r="B444" s="43" t="s">
        <v>11506</v>
      </c>
      <c r="C444" s="34" t="s">
        <v>11507</v>
      </c>
      <c r="D444" s="44" t="s">
        <v>10686</v>
      </c>
      <c r="E444" s="31"/>
      <c r="F444" s="31" t="s">
        <v>1888</v>
      </c>
      <c r="G444" s="31" t="n">
        <v>15</v>
      </c>
      <c r="H444" s="31" t="s">
        <v>154</v>
      </c>
      <c r="I444" s="44" t="s">
        <v>1830</v>
      </c>
      <c r="J444" s="45" t="s">
        <v>1890</v>
      </c>
      <c r="K444" s="45" t="s">
        <v>1892</v>
      </c>
      <c r="L444" s="31" t="n">
        <f aca="false">COUNTIF($B$3:$B$2205,$B444)</f>
        <v>2</v>
      </c>
      <c r="M444" s="44" t="str">
        <f aca="false">IFERROR(INDEX(SENTENCES!$T$3:$T$1802,MATCH($F444,SENTENCES!$A$3:$A$1802,0)),"")</f>
        <v>• Chưa tới</v>
      </c>
    </row>
    <row r="445" customFormat="false" ht="15" hidden="false" customHeight="false" outlineLevel="0" collapsed="false">
      <c r="A445" s="31" t="n">
        <v>443</v>
      </c>
      <c r="B445" s="43" t="s">
        <v>11508</v>
      </c>
      <c r="C445" s="34" t="s">
        <v>11509</v>
      </c>
      <c r="D445" s="44" t="s">
        <v>10686</v>
      </c>
      <c r="E445" s="31"/>
      <c r="F445" s="31" t="s">
        <v>1894</v>
      </c>
      <c r="G445" s="31" t="n">
        <v>15</v>
      </c>
      <c r="H445" s="31" t="s">
        <v>154</v>
      </c>
      <c r="I445" s="44" t="s">
        <v>1830</v>
      </c>
      <c r="J445" s="45" t="s">
        <v>1896</v>
      </c>
      <c r="K445" s="45" t="s">
        <v>1898</v>
      </c>
      <c r="L445" s="31" t="n">
        <f aca="false">COUNTIF($B$3:$B$2205,$B445)</f>
        <v>2</v>
      </c>
      <c r="M445" s="44" t="str">
        <f aca="false">IFERROR(INDEX(SENTENCES!$T$3:$T$1802,MATCH($F445,SENTENCES!$A$3:$A$1802,0)),"")</f>
        <v>• Chưa tới</v>
      </c>
    </row>
    <row r="446" customFormat="false" ht="15" hidden="false" customHeight="false" outlineLevel="0" collapsed="false">
      <c r="A446" s="31" t="n">
        <v>444</v>
      </c>
      <c r="B446" s="43" t="s">
        <v>11510</v>
      </c>
      <c r="C446" s="34" t="s">
        <v>11511</v>
      </c>
      <c r="D446" s="44" t="s">
        <v>10677</v>
      </c>
      <c r="E446" s="31" t="s">
        <v>10707</v>
      </c>
      <c r="F446" s="31" t="s">
        <v>1894</v>
      </c>
      <c r="G446" s="31" t="n">
        <v>15</v>
      </c>
      <c r="H446" s="31" t="s">
        <v>154</v>
      </c>
      <c r="I446" s="44" t="s">
        <v>1830</v>
      </c>
      <c r="J446" s="45" t="s">
        <v>1896</v>
      </c>
      <c r="K446" s="45" t="s">
        <v>1898</v>
      </c>
      <c r="L446" s="31" t="n">
        <f aca="false">COUNTIF($B$3:$B$2205,$B446)</f>
        <v>1</v>
      </c>
      <c r="M446" s="44" t="str">
        <f aca="false">IFERROR(INDEX(SENTENCES!$T$3:$T$1802,MATCH($F446,SENTENCES!$A$3:$A$1802,0)),"")</f>
        <v>• Chưa tới</v>
      </c>
    </row>
    <row r="447" customFormat="false" ht="15" hidden="false" customHeight="false" outlineLevel="0" collapsed="false">
      <c r="A447" s="31" t="n">
        <v>445</v>
      </c>
      <c r="B447" s="43" t="s">
        <v>11512</v>
      </c>
      <c r="C447" s="34" t="s">
        <v>11513</v>
      </c>
      <c r="D447" s="44" t="s">
        <v>10677</v>
      </c>
      <c r="E447" s="31" t="s">
        <v>10747</v>
      </c>
      <c r="F447" s="31" t="s">
        <v>1900</v>
      </c>
      <c r="G447" s="31" t="n">
        <v>15</v>
      </c>
      <c r="H447" s="31" t="s">
        <v>154</v>
      </c>
      <c r="I447" s="44" t="s">
        <v>1830</v>
      </c>
      <c r="J447" s="45" t="s">
        <v>1902</v>
      </c>
      <c r="K447" s="45" t="s">
        <v>1904</v>
      </c>
      <c r="L447" s="31" t="n">
        <f aca="false">COUNTIF($B$3:$B$2205,$B447)</f>
        <v>1</v>
      </c>
      <c r="M447" s="44" t="str">
        <f aca="false">IFERROR(INDEX(SENTENCES!$T$3:$T$1802,MATCH($F447,SENTENCES!$A$3:$A$1802,0)),"")</f>
        <v>• Chưa tới</v>
      </c>
    </row>
    <row r="448" customFormat="false" ht="15" hidden="false" customHeight="false" outlineLevel="0" collapsed="false">
      <c r="A448" s="31" t="n">
        <v>446</v>
      </c>
      <c r="B448" s="43" t="s">
        <v>11514</v>
      </c>
      <c r="C448" s="34" t="s">
        <v>11515</v>
      </c>
      <c r="D448" s="44" t="s">
        <v>10681</v>
      </c>
      <c r="E448" s="31"/>
      <c r="F448" s="31" t="s">
        <v>1906</v>
      </c>
      <c r="G448" s="31" t="n">
        <v>15</v>
      </c>
      <c r="H448" s="31" t="s">
        <v>154</v>
      </c>
      <c r="I448" s="44" t="s">
        <v>1830</v>
      </c>
      <c r="J448" s="45" t="s">
        <v>1908</v>
      </c>
      <c r="K448" s="45" t="s">
        <v>1910</v>
      </c>
      <c r="L448" s="31" t="n">
        <f aca="false">COUNTIF($B$3:$B$2205,$B448)</f>
        <v>1</v>
      </c>
      <c r="M448" s="44" t="str">
        <f aca="false">IFERROR(INDEX(SENTENCES!$T$3:$T$1802,MATCH($F448,SENTENCES!$A$3:$A$1802,0)),"")</f>
        <v>• Chưa tới</v>
      </c>
    </row>
    <row r="449" customFormat="false" ht="15" hidden="false" customHeight="false" outlineLevel="0" collapsed="false">
      <c r="A449" s="31" t="n">
        <v>447</v>
      </c>
      <c r="B449" s="43" t="s">
        <v>11516</v>
      </c>
      <c r="C449" s="34" t="s">
        <v>11517</v>
      </c>
      <c r="D449" s="44" t="s">
        <v>10677</v>
      </c>
      <c r="E449" s="31" t="s">
        <v>10678</v>
      </c>
      <c r="F449" s="31" t="s">
        <v>1912</v>
      </c>
      <c r="G449" s="31" t="n">
        <v>15</v>
      </c>
      <c r="H449" s="31" t="s">
        <v>154</v>
      </c>
      <c r="I449" s="44" t="s">
        <v>1830</v>
      </c>
      <c r="J449" s="45" t="s">
        <v>1913</v>
      </c>
      <c r="K449" s="45" t="s">
        <v>1915</v>
      </c>
      <c r="L449" s="31" t="n">
        <f aca="false">COUNTIF($B$3:$B$2205,$B449)</f>
        <v>1</v>
      </c>
      <c r="M449" s="44" t="str">
        <f aca="false">IFERROR(INDEX(SENTENCES!$T$3:$T$1802,MATCH($F449,SENTENCES!$A$3:$A$1802,0)),"")</f>
        <v>• Chưa tới</v>
      </c>
    </row>
    <row r="450" customFormat="false" ht="15" hidden="false" customHeight="false" outlineLevel="0" collapsed="false">
      <c r="A450" s="31" t="n">
        <v>448</v>
      </c>
      <c r="B450" s="43" t="s">
        <v>11518</v>
      </c>
      <c r="C450" s="34" t="s">
        <v>11519</v>
      </c>
      <c r="D450" s="44" t="s">
        <v>10686</v>
      </c>
      <c r="E450" s="31"/>
      <c r="F450" s="31" t="s">
        <v>1912</v>
      </c>
      <c r="G450" s="31" t="n">
        <v>15</v>
      </c>
      <c r="H450" s="31" t="s">
        <v>154</v>
      </c>
      <c r="I450" s="44" t="s">
        <v>1830</v>
      </c>
      <c r="J450" s="45" t="s">
        <v>1913</v>
      </c>
      <c r="K450" s="45" t="s">
        <v>1915</v>
      </c>
      <c r="L450" s="31" t="n">
        <f aca="false">COUNTIF($B$3:$B$2205,$B450)</f>
        <v>1</v>
      </c>
      <c r="M450" s="44" t="str">
        <f aca="false">IFERROR(INDEX(SENTENCES!$T$3:$T$1802,MATCH($F450,SENTENCES!$A$3:$A$1802,0)),"")</f>
        <v>• Chưa tới</v>
      </c>
    </row>
    <row r="451" customFormat="false" ht="15" hidden="false" customHeight="false" outlineLevel="0" collapsed="false">
      <c r="A451" s="31" t="n">
        <v>449</v>
      </c>
      <c r="B451" s="43" t="s">
        <v>11520</v>
      </c>
      <c r="C451" s="34" t="s">
        <v>11521</v>
      </c>
      <c r="D451" s="44" t="s">
        <v>10677</v>
      </c>
      <c r="E451" s="31" t="s">
        <v>10747</v>
      </c>
      <c r="F451" s="31" t="s">
        <v>1917</v>
      </c>
      <c r="G451" s="31" t="n">
        <v>15</v>
      </c>
      <c r="H451" s="31" t="s">
        <v>154</v>
      </c>
      <c r="I451" s="44" t="s">
        <v>1830</v>
      </c>
      <c r="J451" s="45" t="s">
        <v>1919</v>
      </c>
      <c r="K451" s="45" t="s">
        <v>1921</v>
      </c>
      <c r="L451" s="31" t="n">
        <f aca="false">COUNTIF($B$3:$B$2205,$B451)</f>
        <v>1</v>
      </c>
      <c r="M451" s="44" t="str">
        <f aca="false">IFERROR(INDEX(SENTENCES!$T$3:$T$1802,MATCH($F451,SENTENCES!$A$3:$A$1802,0)),"")</f>
        <v>• Chưa tới</v>
      </c>
    </row>
    <row r="452" customFormat="false" ht="15" hidden="false" customHeight="false" outlineLevel="0" collapsed="false">
      <c r="A452" s="31" t="n">
        <v>450</v>
      </c>
      <c r="B452" s="43" t="s">
        <v>11476</v>
      </c>
      <c r="C452" s="34" t="s">
        <v>11477</v>
      </c>
      <c r="D452" s="44" t="s">
        <v>10686</v>
      </c>
      <c r="E452" s="31"/>
      <c r="F452" s="31" t="s">
        <v>1923</v>
      </c>
      <c r="G452" s="31" t="n">
        <v>15</v>
      </c>
      <c r="H452" s="31" t="s">
        <v>154</v>
      </c>
      <c r="I452" s="44" t="s">
        <v>1830</v>
      </c>
      <c r="J452" s="45" t="s">
        <v>1925</v>
      </c>
      <c r="K452" s="45" t="s">
        <v>1927</v>
      </c>
      <c r="L452" s="31" t="n">
        <f aca="false">COUNTIF($B$3:$B$2205,$B452)</f>
        <v>2</v>
      </c>
      <c r="M452" s="44" t="str">
        <f aca="false">IFERROR(INDEX(SENTENCES!$T$3:$T$1802,MATCH($F452,SENTENCES!$A$3:$A$1802,0)),"")</f>
        <v>• Chưa tới</v>
      </c>
    </row>
    <row r="453" customFormat="false" ht="15" hidden="false" customHeight="false" outlineLevel="0" collapsed="false">
      <c r="A453" s="31" t="n">
        <v>451</v>
      </c>
      <c r="B453" s="43" t="s">
        <v>11522</v>
      </c>
      <c r="C453" s="34" t="s">
        <v>11523</v>
      </c>
      <c r="D453" s="44" t="s">
        <v>10677</v>
      </c>
      <c r="E453" s="31" t="s">
        <v>10678</v>
      </c>
      <c r="F453" s="31" t="s">
        <v>1929</v>
      </c>
      <c r="G453" s="31" t="n">
        <v>15</v>
      </c>
      <c r="H453" s="31" t="s">
        <v>154</v>
      </c>
      <c r="I453" s="44" t="s">
        <v>1830</v>
      </c>
      <c r="J453" s="45" t="s">
        <v>1930</v>
      </c>
      <c r="K453" s="45" t="s">
        <v>1932</v>
      </c>
      <c r="L453" s="31" t="n">
        <f aca="false">COUNTIF($B$3:$B$2205,$B453)</f>
        <v>1</v>
      </c>
      <c r="M453" s="44" t="str">
        <f aca="false">IFERROR(INDEX(SENTENCES!$T$3:$T$1802,MATCH($F453,SENTENCES!$A$3:$A$1802,0)),"")</f>
        <v>• Chưa tới</v>
      </c>
    </row>
    <row r="454" customFormat="false" ht="15" hidden="false" customHeight="false" outlineLevel="0" collapsed="false">
      <c r="A454" s="31" t="n">
        <v>452</v>
      </c>
      <c r="B454" s="43" t="s">
        <v>11524</v>
      </c>
      <c r="C454" s="34" t="s">
        <v>11525</v>
      </c>
      <c r="D454" s="44" t="s">
        <v>10677</v>
      </c>
      <c r="E454" s="31" t="s">
        <v>10707</v>
      </c>
      <c r="F454" s="31" t="s">
        <v>1929</v>
      </c>
      <c r="G454" s="31" t="n">
        <v>15</v>
      </c>
      <c r="H454" s="31" t="s">
        <v>154</v>
      </c>
      <c r="I454" s="44" t="s">
        <v>1830</v>
      </c>
      <c r="J454" s="45" t="s">
        <v>1930</v>
      </c>
      <c r="K454" s="45" t="s">
        <v>1932</v>
      </c>
      <c r="L454" s="31" t="n">
        <f aca="false">COUNTIF($B$3:$B$2205,$B454)</f>
        <v>1</v>
      </c>
      <c r="M454" s="44" t="str">
        <f aca="false">IFERROR(INDEX(SENTENCES!$T$3:$T$1802,MATCH($F454,SENTENCES!$A$3:$A$1802,0)),"")</f>
        <v>• Chưa tới</v>
      </c>
    </row>
    <row r="455" customFormat="false" ht="15" hidden="false" customHeight="false" outlineLevel="0" collapsed="false">
      <c r="A455" s="31" t="n">
        <v>453</v>
      </c>
      <c r="B455" s="43" t="s">
        <v>11526</v>
      </c>
      <c r="C455" s="34" t="s">
        <v>11527</v>
      </c>
      <c r="D455" s="44" t="s">
        <v>10754</v>
      </c>
      <c r="E455" s="31"/>
      <c r="F455" s="31" t="s">
        <v>1934</v>
      </c>
      <c r="G455" s="31" t="n">
        <v>15</v>
      </c>
      <c r="H455" s="31" t="s">
        <v>154</v>
      </c>
      <c r="I455" s="44" t="s">
        <v>1830</v>
      </c>
      <c r="J455" s="45" t="s">
        <v>1936</v>
      </c>
      <c r="K455" s="45" t="s">
        <v>1938</v>
      </c>
      <c r="L455" s="31" t="n">
        <f aca="false">COUNTIF($B$3:$B$2205,$B455)</f>
        <v>1</v>
      </c>
      <c r="M455" s="44" t="str">
        <f aca="false">IFERROR(INDEX(SENTENCES!$T$3:$T$1802,MATCH($F455,SENTENCES!$A$3:$A$1802,0)),"")</f>
        <v>• Chưa tới</v>
      </c>
    </row>
    <row r="456" customFormat="false" ht="15" hidden="false" customHeight="false" outlineLevel="0" collapsed="false">
      <c r="A456" s="31" t="n">
        <v>454</v>
      </c>
      <c r="B456" s="43" t="s">
        <v>11528</v>
      </c>
      <c r="C456" s="34" t="s">
        <v>11529</v>
      </c>
      <c r="D456" s="44" t="s">
        <v>10681</v>
      </c>
      <c r="E456" s="31"/>
      <c r="F456" s="31" t="s">
        <v>1934</v>
      </c>
      <c r="G456" s="31" t="n">
        <v>15</v>
      </c>
      <c r="H456" s="31" t="s">
        <v>154</v>
      </c>
      <c r="I456" s="44" t="s">
        <v>1830</v>
      </c>
      <c r="J456" s="45" t="s">
        <v>1936</v>
      </c>
      <c r="K456" s="45" t="s">
        <v>1938</v>
      </c>
      <c r="L456" s="31" t="n">
        <f aca="false">COUNTIF($B$3:$B$2205,$B456)</f>
        <v>2</v>
      </c>
      <c r="M456" s="44" t="str">
        <f aca="false">IFERROR(INDEX(SENTENCES!$T$3:$T$1802,MATCH($F456,SENTENCES!$A$3:$A$1802,0)),"")</f>
        <v>• Chưa tới</v>
      </c>
    </row>
    <row r="457" customFormat="false" ht="15" hidden="false" customHeight="false" outlineLevel="0" collapsed="false">
      <c r="A457" s="31" t="n">
        <v>455</v>
      </c>
      <c r="B457" s="43" t="s">
        <v>11530</v>
      </c>
      <c r="C457" s="34" t="s">
        <v>11531</v>
      </c>
      <c r="D457" s="44" t="s">
        <v>10681</v>
      </c>
      <c r="E457" s="31"/>
      <c r="F457" s="31" t="s">
        <v>1940</v>
      </c>
      <c r="G457" s="31" t="n">
        <v>15</v>
      </c>
      <c r="H457" s="31" t="s">
        <v>154</v>
      </c>
      <c r="I457" s="44" t="s">
        <v>1830</v>
      </c>
      <c r="J457" s="45" t="s">
        <v>1942</v>
      </c>
      <c r="K457" s="45" t="s">
        <v>1944</v>
      </c>
      <c r="L457" s="31" t="n">
        <f aca="false">COUNTIF($B$3:$B$2205,$B457)</f>
        <v>1</v>
      </c>
      <c r="M457" s="44" t="str">
        <f aca="false">IFERROR(INDEX(SENTENCES!$T$3:$T$1802,MATCH($F457,SENTENCES!$A$3:$A$1802,0)),"")</f>
        <v>• Chưa tới</v>
      </c>
    </row>
    <row r="458" customFormat="false" ht="15" hidden="false" customHeight="false" outlineLevel="0" collapsed="false">
      <c r="A458" s="31" t="n">
        <v>456</v>
      </c>
      <c r="B458" s="43" t="s">
        <v>1941</v>
      </c>
      <c r="C458" s="34" t="s">
        <v>11030</v>
      </c>
      <c r="D458" s="44" t="s">
        <v>10686</v>
      </c>
      <c r="E458" s="31"/>
      <c r="F458" s="31" t="s">
        <v>1940</v>
      </c>
      <c r="G458" s="31" t="n">
        <v>15</v>
      </c>
      <c r="H458" s="31" t="s">
        <v>154</v>
      </c>
      <c r="I458" s="44" t="s">
        <v>1830</v>
      </c>
      <c r="J458" s="45" t="s">
        <v>1942</v>
      </c>
      <c r="K458" s="45" t="s">
        <v>1944</v>
      </c>
      <c r="L458" s="31" t="n">
        <f aca="false">COUNTIF($B$3:$B$2205,$B458)</f>
        <v>1</v>
      </c>
      <c r="M458" s="44" t="str">
        <f aca="false">IFERROR(INDEX(SENTENCES!$T$3:$T$1802,MATCH($F458,SENTENCES!$A$3:$A$1802,0)),"")</f>
        <v>• Chưa tới</v>
      </c>
    </row>
    <row r="459" customFormat="false" ht="15" hidden="false" customHeight="false" outlineLevel="0" collapsed="false">
      <c r="A459" s="31" t="n">
        <v>457</v>
      </c>
      <c r="B459" s="43" t="s">
        <v>11532</v>
      </c>
      <c r="C459" s="34" t="s">
        <v>11533</v>
      </c>
      <c r="D459" s="44" t="s">
        <v>10686</v>
      </c>
      <c r="E459" s="31"/>
      <c r="F459" s="31" t="s">
        <v>1946</v>
      </c>
      <c r="G459" s="31" t="n">
        <v>16</v>
      </c>
      <c r="H459" s="31" t="s">
        <v>1947</v>
      </c>
      <c r="I459" s="44" t="s">
        <v>1948</v>
      </c>
      <c r="J459" s="45" t="s">
        <v>1950</v>
      </c>
      <c r="K459" s="45" t="s">
        <v>1952</v>
      </c>
      <c r="L459" s="31" t="n">
        <f aca="false">COUNTIF($B$3:$B$2205,$B459)</f>
        <v>3</v>
      </c>
      <c r="M459" s="44" t="str">
        <f aca="false">IFERROR(INDEX(SENTENCES!$T$3:$T$1802,MATCH($F459,SENTENCES!$A$3:$A$1802,0)),"")</f>
        <v>• Chưa tới</v>
      </c>
    </row>
    <row r="460" customFormat="false" ht="15" hidden="false" customHeight="false" outlineLevel="0" collapsed="false">
      <c r="A460" s="31" t="n">
        <v>458</v>
      </c>
      <c r="B460" s="43" t="s">
        <v>11534</v>
      </c>
      <c r="C460" s="34" t="s">
        <v>11535</v>
      </c>
      <c r="D460" s="44" t="s">
        <v>10686</v>
      </c>
      <c r="E460" s="31"/>
      <c r="F460" s="31" t="s">
        <v>1946</v>
      </c>
      <c r="G460" s="31" t="n">
        <v>16</v>
      </c>
      <c r="H460" s="31" t="s">
        <v>1947</v>
      </c>
      <c r="I460" s="44" t="s">
        <v>1948</v>
      </c>
      <c r="J460" s="45" t="s">
        <v>1950</v>
      </c>
      <c r="K460" s="45" t="s">
        <v>1952</v>
      </c>
      <c r="L460" s="31" t="n">
        <f aca="false">COUNTIF($B$3:$B$2205,$B460)</f>
        <v>1</v>
      </c>
      <c r="M460" s="44" t="str">
        <f aca="false">IFERROR(INDEX(SENTENCES!$T$3:$T$1802,MATCH($F460,SENTENCES!$A$3:$A$1802,0)),"")</f>
        <v>• Chưa tới</v>
      </c>
    </row>
    <row r="461" customFormat="false" ht="15" hidden="false" customHeight="false" outlineLevel="0" collapsed="false">
      <c r="A461" s="31" t="n">
        <v>459</v>
      </c>
      <c r="B461" s="43" t="s">
        <v>11536</v>
      </c>
      <c r="C461" s="34" t="s">
        <v>11537</v>
      </c>
      <c r="D461" s="44" t="s">
        <v>10686</v>
      </c>
      <c r="E461" s="31"/>
      <c r="F461" s="31" t="s">
        <v>1954</v>
      </c>
      <c r="G461" s="31" t="n">
        <v>16</v>
      </c>
      <c r="H461" s="31" t="s">
        <v>1947</v>
      </c>
      <c r="I461" s="44" t="s">
        <v>1948</v>
      </c>
      <c r="J461" s="45" t="s">
        <v>1956</v>
      </c>
      <c r="K461" s="45" t="s">
        <v>1958</v>
      </c>
      <c r="L461" s="31" t="n">
        <f aca="false">COUNTIF($B$3:$B$2205,$B461)</f>
        <v>5</v>
      </c>
      <c r="M461" s="44" t="str">
        <f aca="false">IFERROR(INDEX(SENTENCES!$T$3:$T$1802,MATCH($F461,SENTENCES!$A$3:$A$1802,0)),"")</f>
        <v>• Chưa tới</v>
      </c>
    </row>
    <row r="462" customFormat="false" ht="15" hidden="false" customHeight="false" outlineLevel="0" collapsed="false">
      <c r="A462" s="31" t="n">
        <v>460</v>
      </c>
      <c r="B462" s="43" t="s">
        <v>10769</v>
      </c>
      <c r="C462" s="34" t="s">
        <v>10770</v>
      </c>
      <c r="D462" s="44" t="s">
        <v>10686</v>
      </c>
      <c r="E462" s="31"/>
      <c r="F462" s="31" t="s">
        <v>1960</v>
      </c>
      <c r="G462" s="31" t="n">
        <v>16</v>
      </c>
      <c r="H462" s="31" t="s">
        <v>1947</v>
      </c>
      <c r="I462" s="44" t="s">
        <v>1948</v>
      </c>
      <c r="J462" s="45" t="s">
        <v>1962</v>
      </c>
      <c r="K462" s="45" t="s">
        <v>1964</v>
      </c>
      <c r="L462" s="31" t="n">
        <f aca="false">COUNTIF($B$3:$B$2205,$B462)</f>
        <v>3</v>
      </c>
      <c r="M462" s="44" t="str">
        <f aca="false">IFERROR(INDEX(SENTENCES!$T$3:$T$1802,MATCH($F462,SENTENCES!$A$3:$A$1802,0)),"")</f>
        <v>• Chưa tới</v>
      </c>
    </row>
    <row r="463" customFormat="false" ht="15" hidden="false" customHeight="false" outlineLevel="0" collapsed="false">
      <c r="A463" s="31" t="n">
        <v>461</v>
      </c>
      <c r="B463" s="43" t="s">
        <v>11137</v>
      </c>
      <c r="C463" s="34" t="s">
        <v>11138</v>
      </c>
      <c r="D463" s="44" t="s">
        <v>10686</v>
      </c>
      <c r="E463" s="31"/>
      <c r="F463" s="31" t="s">
        <v>1966</v>
      </c>
      <c r="G463" s="31" t="n">
        <v>16</v>
      </c>
      <c r="H463" s="31" t="s">
        <v>1947</v>
      </c>
      <c r="I463" s="44" t="s">
        <v>1948</v>
      </c>
      <c r="J463" s="45" t="s">
        <v>1967</v>
      </c>
      <c r="K463" s="45" t="s">
        <v>1969</v>
      </c>
      <c r="L463" s="31" t="n">
        <f aca="false">COUNTIF($B$3:$B$2205,$B463)</f>
        <v>2</v>
      </c>
      <c r="M463" s="44" t="str">
        <f aca="false">IFERROR(INDEX(SENTENCES!$T$3:$T$1802,MATCH($F463,SENTENCES!$A$3:$A$1802,0)),"")</f>
        <v>• Chưa tới</v>
      </c>
    </row>
    <row r="464" customFormat="false" ht="15" hidden="false" customHeight="false" outlineLevel="0" collapsed="false">
      <c r="A464" s="31" t="n">
        <v>462</v>
      </c>
      <c r="B464" s="43" t="s">
        <v>11419</v>
      </c>
      <c r="C464" s="34" t="s">
        <v>11420</v>
      </c>
      <c r="D464" s="44" t="s">
        <v>10681</v>
      </c>
      <c r="E464" s="31"/>
      <c r="F464" s="31" t="s">
        <v>1970</v>
      </c>
      <c r="G464" s="31" t="n">
        <v>16</v>
      </c>
      <c r="H464" s="31" t="s">
        <v>1947</v>
      </c>
      <c r="I464" s="44" t="s">
        <v>1948</v>
      </c>
      <c r="J464" s="45" t="s">
        <v>1972</v>
      </c>
      <c r="K464" s="45" t="s">
        <v>1974</v>
      </c>
      <c r="L464" s="31" t="n">
        <f aca="false">COUNTIF($B$3:$B$2205,$B464)</f>
        <v>2</v>
      </c>
      <c r="M464" s="44" t="str">
        <f aca="false">IFERROR(INDEX(SENTENCES!$T$3:$T$1802,MATCH($F464,SENTENCES!$A$3:$A$1802,0)),"")</f>
        <v>• Chưa tới</v>
      </c>
    </row>
    <row r="465" customFormat="false" ht="15" hidden="false" customHeight="false" outlineLevel="0" collapsed="false">
      <c r="A465" s="31" t="n">
        <v>463</v>
      </c>
      <c r="B465" s="43" t="s">
        <v>11538</v>
      </c>
      <c r="C465" s="34" t="s">
        <v>11539</v>
      </c>
      <c r="D465" s="44" t="s">
        <v>10754</v>
      </c>
      <c r="E465" s="31"/>
      <c r="F465" s="31" t="s">
        <v>1976</v>
      </c>
      <c r="G465" s="31" t="n">
        <v>16</v>
      </c>
      <c r="H465" s="31" t="s">
        <v>1947</v>
      </c>
      <c r="I465" s="44" t="s">
        <v>1948</v>
      </c>
      <c r="J465" s="45" t="s">
        <v>1977</v>
      </c>
      <c r="K465" s="45" t="s">
        <v>1979</v>
      </c>
      <c r="L465" s="31" t="n">
        <f aca="false">COUNTIF($B$3:$B$2205,$B465)</f>
        <v>2</v>
      </c>
      <c r="M465" s="44" t="str">
        <f aca="false">IFERROR(INDEX(SENTENCES!$T$3:$T$1802,MATCH($F465,SENTENCES!$A$3:$A$1802,0)),"")</f>
        <v>• Chưa tới</v>
      </c>
    </row>
    <row r="466" customFormat="false" ht="15" hidden="false" customHeight="false" outlineLevel="0" collapsed="false">
      <c r="A466" s="31" t="n">
        <v>464</v>
      </c>
      <c r="B466" s="43" t="s">
        <v>11532</v>
      </c>
      <c r="C466" s="34" t="s">
        <v>11540</v>
      </c>
      <c r="D466" s="44" t="s">
        <v>10686</v>
      </c>
      <c r="E466" s="31"/>
      <c r="F466" s="31" t="s">
        <v>1981</v>
      </c>
      <c r="G466" s="31" t="n">
        <v>16</v>
      </c>
      <c r="H466" s="31" t="s">
        <v>1947</v>
      </c>
      <c r="I466" s="44" t="s">
        <v>1948</v>
      </c>
      <c r="J466" s="45" t="s">
        <v>1983</v>
      </c>
      <c r="K466" s="45" t="s">
        <v>1985</v>
      </c>
      <c r="L466" s="31" t="n">
        <f aca="false">COUNTIF($B$3:$B$2205,$B466)</f>
        <v>3</v>
      </c>
      <c r="M466" s="44" t="str">
        <f aca="false">IFERROR(INDEX(SENTENCES!$T$3:$T$1802,MATCH($F466,SENTENCES!$A$3:$A$1802,0)),"")</f>
        <v>• Chưa tới</v>
      </c>
    </row>
    <row r="467" customFormat="false" ht="15" hidden="false" customHeight="false" outlineLevel="0" collapsed="false">
      <c r="A467" s="31" t="n">
        <v>465</v>
      </c>
      <c r="B467" s="43" t="s">
        <v>10731</v>
      </c>
      <c r="C467" s="34" t="s">
        <v>10732</v>
      </c>
      <c r="D467" s="44" t="s">
        <v>10681</v>
      </c>
      <c r="E467" s="31"/>
      <c r="F467" s="31" t="s">
        <v>1987</v>
      </c>
      <c r="G467" s="31" t="n">
        <v>16</v>
      </c>
      <c r="H467" s="31" t="s">
        <v>1947</v>
      </c>
      <c r="I467" s="44" t="s">
        <v>1948</v>
      </c>
      <c r="J467" s="45" t="s">
        <v>1989</v>
      </c>
      <c r="K467" s="45" t="s">
        <v>1991</v>
      </c>
      <c r="L467" s="31" t="n">
        <f aca="false">COUNTIF($B$3:$B$2205,$B467)</f>
        <v>3</v>
      </c>
      <c r="M467" s="44" t="str">
        <f aca="false">IFERROR(INDEX(SENTENCES!$T$3:$T$1802,MATCH($F467,SENTENCES!$A$3:$A$1802,0)),"")</f>
        <v>• Chưa tới</v>
      </c>
    </row>
    <row r="468" customFormat="false" ht="15" hidden="false" customHeight="false" outlineLevel="0" collapsed="false">
      <c r="A468" s="31" t="n">
        <v>466</v>
      </c>
      <c r="B468" s="43" t="s">
        <v>11541</v>
      </c>
      <c r="C468" s="34" t="s">
        <v>11542</v>
      </c>
      <c r="D468" s="44" t="s">
        <v>10724</v>
      </c>
      <c r="E468" s="31"/>
      <c r="F468" s="31" t="s">
        <v>1993</v>
      </c>
      <c r="G468" s="31" t="n">
        <v>16</v>
      </c>
      <c r="H468" s="31" t="s">
        <v>1947</v>
      </c>
      <c r="I468" s="44" t="s">
        <v>1948</v>
      </c>
      <c r="J468" s="45" t="s">
        <v>1995</v>
      </c>
      <c r="K468" s="45" t="s">
        <v>1997</v>
      </c>
      <c r="L468" s="31" t="n">
        <f aca="false">COUNTIF($B$3:$B$2205,$B468)</f>
        <v>1</v>
      </c>
      <c r="M468" s="44" t="str">
        <f aca="false">IFERROR(INDEX(SENTENCES!$T$3:$T$1802,MATCH($F468,SENTENCES!$A$3:$A$1802,0)),"")</f>
        <v>• Chưa tới</v>
      </c>
    </row>
    <row r="469" customFormat="false" ht="15" hidden="false" customHeight="false" outlineLevel="0" collapsed="false">
      <c r="A469" s="31" t="n">
        <v>467</v>
      </c>
      <c r="B469" s="43" t="s">
        <v>11543</v>
      </c>
      <c r="C469" s="34" t="s">
        <v>11544</v>
      </c>
      <c r="D469" s="44" t="s">
        <v>10686</v>
      </c>
      <c r="E469" s="31"/>
      <c r="F469" s="31" t="s">
        <v>1999</v>
      </c>
      <c r="G469" s="31" t="n">
        <v>16</v>
      </c>
      <c r="H469" s="31" t="s">
        <v>1947</v>
      </c>
      <c r="I469" s="44" t="s">
        <v>1948</v>
      </c>
      <c r="J469" s="45" t="s">
        <v>2001</v>
      </c>
      <c r="K469" s="45" t="s">
        <v>2003</v>
      </c>
      <c r="L469" s="31" t="n">
        <f aca="false">COUNTIF($B$3:$B$2205,$B469)</f>
        <v>3</v>
      </c>
      <c r="M469" s="44" t="str">
        <f aca="false">IFERROR(INDEX(SENTENCES!$T$3:$T$1802,MATCH($F469,SENTENCES!$A$3:$A$1802,0)),"")</f>
        <v>• Chưa tới</v>
      </c>
    </row>
    <row r="470" customFormat="false" ht="15" hidden="false" customHeight="false" outlineLevel="0" collapsed="false">
      <c r="A470" s="31" t="n">
        <v>468</v>
      </c>
      <c r="B470" s="43" t="s">
        <v>11545</v>
      </c>
      <c r="C470" s="34" t="s">
        <v>10719</v>
      </c>
      <c r="D470" s="44" t="s">
        <v>10681</v>
      </c>
      <c r="E470" s="31"/>
      <c r="F470" s="31" t="s">
        <v>1999</v>
      </c>
      <c r="G470" s="31" t="n">
        <v>16</v>
      </c>
      <c r="H470" s="31" t="s">
        <v>1947</v>
      </c>
      <c r="I470" s="44" t="s">
        <v>1948</v>
      </c>
      <c r="J470" s="45" t="s">
        <v>2001</v>
      </c>
      <c r="K470" s="45" t="s">
        <v>2003</v>
      </c>
      <c r="L470" s="31" t="n">
        <f aca="false">COUNTIF($B$3:$B$2205,$B470)</f>
        <v>2</v>
      </c>
      <c r="M470" s="44" t="str">
        <f aca="false">IFERROR(INDEX(SENTENCES!$T$3:$T$1802,MATCH($F470,SENTENCES!$A$3:$A$1802,0)),"")</f>
        <v>• Chưa tới</v>
      </c>
    </row>
    <row r="471" customFormat="false" ht="15" hidden="false" customHeight="false" outlineLevel="0" collapsed="false">
      <c r="A471" s="31" t="n">
        <v>469</v>
      </c>
      <c r="B471" s="43" t="s">
        <v>11546</v>
      </c>
      <c r="C471" s="34" t="s">
        <v>11547</v>
      </c>
      <c r="D471" s="44" t="s">
        <v>10677</v>
      </c>
      <c r="E471" s="31" t="s">
        <v>10707</v>
      </c>
      <c r="F471" s="31" t="s">
        <v>2005</v>
      </c>
      <c r="G471" s="31" t="n">
        <v>16</v>
      </c>
      <c r="H471" s="31" t="s">
        <v>1947</v>
      </c>
      <c r="I471" s="44" t="s">
        <v>1948</v>
      </c>
      <c r="J471" s="45" t="s">
        <v>2007</v>
      </c>
      <c r="K471" s="45" t="s">
        <v>2009</v>
      </c>
      <c r="L471" s="31" t="n">
        <f aca="false">COUNTIF($B$3:$B$2205,$B471)</f>
        <v>1</v>
      </c>
      <c r="M471" s="44" t="str">
        <f aca="false">IFERROR(INDEX(SENTENCES!$T$3:$T$1802,MATCH($F471,SENTENCES!$A$3:$A$1802,0)),"")</f>
        <v>• Chưa tới</v>
      </c>
    </row>
    <row r="472" customFormat="false" ht="15" hidden="false" customHeight="false" outlineLevel="0" collapsed="false">
      <c r="A472" s="31" t="n">
        <v>470</v>
      </c>
      <c r="B472" s="43" t="s">
        <v>11548</v>
      </c>
      <c r="C472" s="34" t="s">
        <v>11549</v>
      </c>
      <c r="D472" s="44" t="s">
        <v>10686</v>
      </c>
      <c r="E472" s="31"/>
      <c r="F472" s="31" t="s">
        <v>2011</v>
      </c>
      <c r="G472" s="31" t="n">
        <v>16</v>
      </c>
      <c r="H472" s="31" t="s">
        <v>1947</v>
      </c>
      <c r="I472" s="44" t="s">
        <v>1948</v>
      </c>
      <c r="J472" s="45" t="s">
        <v>2012</v>
      </c>
      <c r="K472" s="45" t="s">
        <v>2014</v>
      </c>
      <c r="L472" s="31" t="n">
        <f aca="false">COUNTIF($B$3:$B$2205,$B472)</f>
        <v>2</v>
      </c>
      <c r="M472" s="44" t="str">
        <f aca="false">IFERROR(INDEX(SENTENCES!$T$3:$T$1802,MATCH($F472,SENTENCES!$A$3:$A$1802,0)),"")</f>
        <v>• Chưa tới</v>
      </c>
    </row>
    <row r="473" customFormat="false" ht="15" hidden="false" customHeight="false" outlineLevel="0" collapsed="false">
      <c r="A473" s="31" t="n">
        <v>471</v>
      </c>
      <c r="B473" s="43" t="s">
        <v>11550</v>
      </c>
      <c r="C473" s="34" t="s">
        <v>11551</v>
      </c>
      <c r="D473" s="44" t="s">
        <v>10681</v>
      </c>
      <c r="E473" s="31"/>
      <c r="F473" s="31" t="s">
        <v>2016</v>
      </c>
      <c r="G473" s="31" t="n">
        <v>16</v>
      </c>
      <c r="H473" s="31" t="s">
        <v>1947</v>
      </c>
      <c r="I473" s="44" t="s">
        <v>1948</v>
      </c>
      <c r="J473" s="45" t="s">
        <v>2018</v>
      </c>
      <c r="K473" s="45" t="s">
        <v>2020</v>
      </c>
      <c r="L473" s="31" t="n">
        <f aca="false">COUNTIF($B$3:$B$2205,$B473)</f>
        <v>1</v>
      </c>
      <c r="M473" s="44" t="str">
        <f aca="false">IFERROR(INDEX(SENTENCES!$T$3:$T$1802,MATCH($F473,SENTENCES!$A$3:$A$1802,0)),"")</f>
        <v>• Chưa tới</v>
      </c>
    </row>
    <row r="474" customFormat="false" ht="15" hidden="false" customHeight="false" outlineLevel="0" collapsed="false">
      <c r="A474" s="31" t="n">
        <v>472</v>
      </c>
      <c r="B474" s="43" t="s">
        <v>11552</v>
      </c>
      <c r="C474" s="34" t="s">
        <v>11553</v>
      </c>
      <c r="D474" s="44" t="s">
        <v>10686</v>
      </c>
      <c r="E474" s="31"/>
      <c r="F474" s="31" t="s">
        <v>2016</v>
      </c>
      <c r="G474" s="31" t="n">
        <v>16</v>
      </c>
      <c r="H474" s="31" t="s">
        <v>1947</v>
      </c>
      <c r="I474" s="44" t="s">
        <v>1948</v>
      </c>
      <c r="J474" s="45" t="s">
        <v>2018</v>
      </c>
      <c r="K474" s="45" t="s">
        <v>2020</v>
      </c>
      <c r="L474" s="31" t="n">
        <f aca="false">COUNTIF($B$3:$B$2205,$B474)</f>
        <v>1</v>
      </c>
      <c r="M474" s="44" t="str">
        <f aca="false">IFERROR(INDEX(SENTENCES!$T$3:$T$1802,MATCH($F474,SENTENCES!$A$3:$A$1802,0)),"")</f>
        <v>• Chưa tới</v>
      </c>
    </row>
    <row r="475" customFormat="false" ht="15" hidden="false" customHeight="false" outlineLevel="0" collapsed="false">
      <c r="A475" s="31" t="n">
        <v>473</v>
      </c>
      <c r="B475" s="43" t="s">
        <v>11554</v>
      </c>
      <c r="C475" s="34" t="s">
        <v>11555</v>
      </c>
      <c r="D475" s="44" t="s">
        <v>10686</v>
      </c>
      <c r="E475" s="31"/>
      <c r="F475" s="31" t="s">
        <v>2022</v>
      </c>
      <c r="G475" s="31" t="n">
        <v>16</v>
      </c>
      <c r="H475" s="31" t="s">
        <v>1947</v>
      </c>
      <c r="I475" s="44" t="s">
        <v>1948</v>
      </c>
      <c r="J475" s="45" t="s">
        <v>2024</v>
      </c>
      <c r="K475" s="45" t="s">
        <v>2026</v>
      </c>
      <c r="L475" s="31" t="n">
        <f aca="false">COUNTIF($B$3:$B$2205,$B475)</f>
        <v>1</v>
      </c>
      <c r="M475" s="44" t="str">
        <f aca="false">IFERROR(INDEX(SENTENCES!$T$3:$T$1802,MATCH($F475,SENTENCES!$A$3:$A$1802,0)),"")</f>
        <v>• Chưa tới</v>
      </c>
    </row>
    <row r="476" customFormat="false" ht="15" hidden="false" customHeight="false" outlineLevel="0" collapsed="false">
      <c r="A476" s="31" t="n">
        <v>474</v>
      </c>
      <c r="B476" s="43" t="s">
        <v>10810</v>
      </c>
      <c r="C476" s="34" t="s">
        <v>10811</v>
      </c>
      <c r="D476" s="44" t="s">
        <v>10686</v>
      </c>
      <c r="E476" s="31"/>
      <c r="F476" s="31" t="s">
        <v>2028</v>
      </c>
      <c r="G476" s="31" t="n">
        <v>16</v>
      </c>
      <c r="H476" s="31" t="s">
        <v>1947</v>
      </c>
      <c r="I476" s="44" t="s">
        <v>1948</v>
      </c>
      <c r="J476" s="45" t="s">
        <v>2030</v>
      </c>
      <c r="K476" s="45" t="s">
        <v>2032</v>
      </c>
      <c r="L476" s="31" t="n">
        <f aca="false">COUNTIF($B$3:$B$2205,$B476)</f>
        <v>3</v>
      </c>
      <c r="M476" s="44" t="str">
        <f aca="false">IFERROR(INDEX(SENTENCES!$T$3:$T$1802,MATCH($F476,SENTENCES!$A$3:$A$1802,0)),"")</f>
        <v>• Chưa tới</v>
      </c>
    </row>
    <row r="477" customFormat="false" ht="15" hidden="false" customHeight="false" outlineLevel="0" collapsed="false">
      <c r="A477" s="31" t="n">
        <v>475</v>
      </c>
      <c r="B477" s="43" t="s">
        <v>10725</v>
      </c>
      <c r="C477" s="34" t="s">
        <v>11556</v>
      </c>
      <c r="D477" s="44" t="s">
        <v>10681</v>
      </c>
      <c r="E477" s="31"/>
      <c r="F477" s="31" t="s">
        <v>2033</v>
      </c>
      <c r="G477" s="31" t="n">
        <v>16</v>
      </c>
      <c r="H477" s="31" t="s">
        <v>1947</v>
      </c>
      <c r="I477" s="44" t="s">
        <v>1948</v>
      </c>
      <c r="J477" s="45" t="s">
        <v>2035</v>
      </c>
      <c r="K477" s="45" t="s">
        <v>2037</v>
      </c>
      <c r="L477" s="31" t="n">
        <f aca="false">COUNTIF($B$3:$B$2205,$B477)</f>
        <v>3</v>
      </c>
      <c r="M477" s="44" t="str">
        <f aca="false">IFERROR(INDEX(SENTENCES!$T$3:$T$1802,MATCH($F477,SENTENCES!$A$3:$A$1802,0)),"")</f>
        <v>• Chưa tới</v>
      </c>
    </row>
    <row r="478" customFormat="false" ht="15" hidden="false" customHeight="false" outlineLevel="0" collapsed="false">
      <c r="A478" s="31" t="n">
        <v>476</v>
      </c>
      <c r="B478" s="43" t="s">
        <v>11557</v>
      </c>
      <c r="C478" s="34" t="s">
        <v>11558</v>
      </c>
      <c r="D478" s="44" t="s">
        <v>10754</v>
      </c>
      <c r="E478" s="31"/>
      <c r="F478" s="31" t="s">
        <v>2039</v>
      </c>
      <c r="G478" s="31" t="n">
        <v>16</v>
      </c>
      <c r="H478" s="31" t="s">
        <v>1947</v>
      </c>
      <c r="I478" s="44" t="s">
        <v>1948</v>
      </c>
      <c r="J478" s="45" t="s">
        <v>2041</v>
      </c>
      <c r="K478" s="45" t="s">
        <v>2043</v>
      </c>
      <c r="L478" s="31" t="n">
        <f aca="false">COUNTIF($B$3:$B$2205,$B478)</f>
        <v>1</v>
      </c>
      <c r="M478" s="44" t="str">
        <f aca="false">IFERROR(INDEX(SENTENCES!$T$3:$T$1802,MATCH($F478,SENTENCES!$A$3:$A$1802,0)),"")</f>
        <v>• Chưa tới</v>
      </c>
    </row>
    <row r="479" customFormat="false" ht="15" hidden="false" customHeight="false" outlineLevel="0" collapsed="false">
      <c r="A479" s="31" t="n">
        <v>477</v>
      </c>
      <c r="B479" s="43" t="s">
        <v>11121</v>
      </c>
      <c r="C479" s="34" t="s">
        <v>11122</v>
      </c>
      <c r="D479" s="44" t="s">
        <v>10677</v>
      </c>
      <c r="E479" s="31" t="s">
        <v>10678</v>
      </c>
      <c r="F479" s="31" t="s">
        <v>2045</v>
      </c>
      <c r="G479" s="31" t="n">
        <v>16</v>
      </c>
      <c r="H479" s="31" t="s">
        <v>1947</v>
      </c>
      <c r="I479" s="44" t="s">
        <v>1948</v>
      </c>
      <c r="J479" s="45" t="s">
        <v>2047</v>
      </c>
      <c r="K479" s="45" t="s">
        <v>2049</v>
      </c>
      <c r="L479" s="31" t="n">
        <f aca="false">COUNTIF($B$3:$B$2205,$B479)</f>
        <v>4</v>
      </c>
      <c r="M479" s="44" t="str">
        <f aca="false">IFERROR(INDEX(SENTENCES!$T$3:$T$1802,MATCH($F479,SENTENCES!$A$3:$A$1802,0)),"")</f>
        <v>• Chưa tới</v>
      </c>
    </row>
    <row r="480" customFormat="false" ht="15" hidden="false" customHeight="false" outlineLevel="0" collapsed="false">
      <c r="A480" s="31" t="n">
        <v>478</v>
      </c>
      <c r="B480" s="43" t="s">
        <v>11559</v>
      </c>
      <c r="C480" s="34" t="s">
        <v>11560</v>
      </c>
      <c r="D480" s="44" t="s">
        <v>10681</v>
      </c>
      <c r="E480" s="31"/>
      <c r="F480" s="31" t="s">
        <v>2051</v>
      </c>
      <c r="G480" s="31" t="n">
        <v>16</v>
      </c>
      <c r="H480" s="31" t="s">
        <v>1947</v>
      </c>
      <c r="I480" s="44" t="s">
        <v>1948</v>
      </c>
      <c r="J480" s="45" t="s">
        <v>2053</v>
      </c>
      <c r="K480" s="45" t="s">
        <v>2055</v>
      </c>
      <c r="L480" s="31" t="n">
        <f aca="false">COUNTIF($B$3:$B$2205,$B480)</f>
        <v>1</v>
      </c>
      <c r="M480" s="44" t="str">
        <f aca="false">IFERROR(INDEX(SENTENCES!$T$3:$T$1802,MATCH($F480,SENTENCES!$A$3:$A$1802,0)),"")</f>
        <v>• Chưa tới</v>
      </c>
    </row>
    <row r="481" customFormat="false" ht="15" hidden="false" customHeight="false" outlineLevel="0" collapsed="false">
      <c r="A481" s="31" t="n">
        <v>479</v>
      </c>
      <c r="B481" s="43" t="s">
        <v>11561</v>
      </c>
      <c r="C481" s="34" t="s">
        <v>11562</v>
      </c>
      <c r="D481" s="44" t="s">
        <v>10686</v>
      </c>
      <c r="E481" s="31"/>
      <c r="F481" s="31" t="s">
        <v>2051</v>
      </c>
      <c r="G481" s="31" t="n">
        <v>16</v>
      </c>
      <c r="H481" s="31" t="s">
        <v>1947</v>
      </c>
      <c r="I481" s="44" t="s">
        <v>1948</v>
      </c>
      <c r="J481" s="45" t="s">
        <v>2053</v>
      </c>
      <c r="K481" s="45" t="s">
        <v>2055</v>
      </c>
      <c r="L481" s="31" t="n">
        <f aca="false">COUNTIF($B$3:$B$2205,$B481)</f>
        <v>2</v>
      </c>
      <c r="M481" s="44" t="str">
        <f aca="false">IFERROR(INDEX(SENTENCES!$T$3:$T$1802,MATCH($F481,SENTENCES!$A$3:$A$1802,0)),"")</f>
        <v>• Chưa tới</v>
      </c>
    </row>
    <row r="482" customFormat="false" ht="15" hidden="false" customHeight="false" outlineLevel="0" collapsed="false">
      <c r="A482" s="31" t="n">
        <v>480</v>
      </c>
      <c r="B482" s="43" t="s">
        <v>11563</v>
      </c>
      <c r="C482" s="34" t="s">
        <v>11564</v>
      </c>
      <c r="D482" s="44" t="s">
        <v>10681</v>
      </c>
      <c r="E482" s="31"/>
      <c r="F482" s="31" t="s">
        <v>2057</v>
      </c>
      <c r="G482" s="31" t="n">
        <v>16</v>
      </c>
      <c r="H482" s="31" t="s">
        <v>1947</v>
      </c>
      <c r="I482" s="44" t="s">
        <v>1948</v>
      </c>
      <c r="J482" s="45" t="s">
        <v>2058</v>
      </c>
      <c r="K482" s="45" t="s">
        <v>2060</v>
      </c>
      <c r="L482" s="31" t="n">
        <f aca="false">COUNTIF($B$3:$B$2205,$B482)</f>
        <v>1</v>
      </c>
      <c r="M482" s="44" t="str">
        <f aca="false">IFERROR(INDEX(SENTENCES!$T$3:$T$1802,MATCH($F482,SENTENCES!$A$3:$A$1802,0)),"")</f>
        <v>• Chưa tới</v>
      </c>
    </row>
    <row r="483" customFormat="false" ht="15" hidden="false" customHeight="false" outlineLevel="0" collapsed="false">
      <c r="A483" s="31" t="n">
        <v>481</v>
      </c>
      <c r="B483" s="43" t="s">
        <v>11565</v>
      </c>
      <c r="C483" s="34" t="s">
        <v>10866</v>
      </c>
      <c r="D483" s="44" t="s">
        <v>10686</v>
      </c>
      <c r="E483" s="31"/>
      <c r="F483" s="31" t="s">
        <v>2062</v>
      </c>
      <c r="G483" s="31" t="n">
        <v>17</v>
      </c>
      <c r="H483" s="31" t="s">
        <v>1947</v>
      </c>
      <c r="I483" s="44" t="s">
        <v>2063</v>
      </c>
      <c r="J483" s="45" t="s">
        <v>2065</v>
      </c>
      <c r="K483" s="45" t="s">
        <v>2067</v>
      </c>
      <c r="L483" s="31" t="n">
        <f aca="false">COUNTIF($B$3:$B$2205,$B483)</f>
        <v>3</v>
      </c>
      <c r="M483" s="44" t="str">
        <f aca="false">IFERROR(INDEX(SENTENCES!$T$3:$T$1802,MATCH($F483,SENTENCES!$A$3:$A$1802,0)),"")</f>
        <v>• Chưa tới</v>
      </c>
    </row>
    <row r="484" customFormat="false" ht="15" hidden="false" customHeight="false" outlineLevel="0" collapsed="false">
      <c r="A484" s="31" t="n">
        <v>482</v>
      </c>
      <c r="B484" s="43" t="s">
        <v>11566</v>
      </c>
      <c r="C484" s="34" t="s">
        <v>11567</v>
      </c>
      <c r="D484" s="44" t="s">
        <v>10686</v>
      </c>
      <c r="E484" s="31"/>
      <c r="F484" s="31" t="s">
        <v>2062</v>
      </c>
      <c r="G484" s="31" t="n">
        <v>17</v>
      </c>
      <c r="H484" s="31" t="s">
        <v>1947</v>
      </c>
      <c r="I484" s="44" t="s">
        <v>2063</v>
      </c>
      <c r="J484" s="45" t="s">
        <v>2065</v>
      </c>
      <c r="K484" s="45" t="s">
        <v>2067</v>
      </c>
      <c r="L484" s="31" t="n">
        <f aca="false">COUNTIF($B$3:$B$2205,$B484)</f>
        <v>2</v>
      </c>
      <c r="M484" s="44" t="str">
        <f aca="false">IFERROR(INDEX(SENTENCES!$T$3:$T$1802,MATCH($F484,SENTENCES!$A$3:$A$1802,0)),"")</f>
        <v>• Chưa tới</v>
      </c>
    </row>
    <row r="485" customFormat="false" ht="15" hidden="false" customHeight="false" outlineLevel="0" collapsed="false">
      <c r="A485" s="31" t="n">
        <v>483</v>
      </c>
      <c r="B485" s="43" t="s">
        <v>10716</v>
      </c>
      <c r="C485" s="34" t="s">
        <v>10717</v>
      </c>
      <c r="D485" s="44" t="s">
        <v>10681</v>
      </c>
      <c r="E485" s="31"/>
      <c r="F485" s="31" t="s">
        <v>2069</v>
      </c>
      <c r="G485" s="31" t="n">
        <v>17</v>
      </c>
      <c r="H485" s="31" t="s">
        <v>1947</v>
      </c>
      <c r="I485" s="44" t="s">
        <v>2063</v>
      </c>
      <c r="J485" s="45" t="s">
        <v>2071</v>
      </c>
      <c r="K485" s="45" t="s">
        <v>2073</v>
      </c>
      <c r="L485" s="31" t="n">
        <f aca="false">COUNTIF($B$3:$B$2205,$B485)</f>
        <v>2</v>
      </c>
      <c r="M485" s="44" t="str">
        <f aca="false">IFERROR(INDEX(SENTENCES!$T$3:$T$1802,MATCH($F485,SENTENCES!$A$3:$A$1802,0)),"")</f>
        <v>• Chưa tới</v>
      </c>
    </row>
    <row r="486" customFormat="false" ht="15" hidden="false" customHeight="false" outlineLevel="0" collapsed="false">
      <c r="A486" s="31" t="n">
        <v>484</v>
      </c>
      <c r="B486" s="43" t="s">
        <v>10737</v>
      </c>
      <c r="C486" s="34" t="s">
        <v>10738</v>
      </c>
      <c r="D486" s="44" t="s">
        <v>10686</v>
      </c>
      <c r="E486" s="31"/>
      <c r="F486" s="31" t="s">
        <v>2074</v>
      </c>
      <c r="G486" s="31" t="n">
        <v>17</v>
      </c>
      <c r="H486" s="31" t="s">
        <v>1947</v>
      </c>
      <c r="I486" s="44" t="s">
        <v>2063</v>
      </c>
      <c r="J486" s="45" t="s">
        <v>2076</v>
      </c>
      <c r="K486" s="45" t="s">
        <v>2078</v>
      </c>
      <c r="L486" s="31" t="n">
        <f aca="false">COUNTIF($B$3:$B$2205,$B486)</f>
        <v>2</v>
      </c>
      <c r="M486" s="44" t="str">
        <f aca="false">IFERROR(INDEX(SENTENCES!$T$3:$T$1802,MATCH($F486,SENTENCES!$A$3:$A$1802,0)),"")</f>
        <v>• Chưa tới</v>
      </c>
    </row>
    <row r="487" customFormat="false" ht="15" hidden="false" customHeight="false" outlineLevel="0" collapsed="false">
      <c r="A487" s="31" t="n">
        <v>485</v>
      </c>
      <c r="B487" s="43" t="s">
        <v>11568</v>
      </c>
      <c r="C487" s="34" t="s">
        <v>11569</v>
      </c>
      <c r="D487" s="44" t="s">
        <v>10686</v>
      </c>
      <c r="E487" s="31"/>
      <c r="F487" s="31" t="s">
        <v>2074</v>
      </c>
      <c r="G487" s="31" t="n">
        <v>17</v>
      </c>
      <c r="H487" s="31" t="s">
        <v>1947</v>
      </c>
      <c r="I487" s="44" t="s">
        <v>2063</v>
      </c>
      <c r="J487" s="45" t="s">
        <v>2076</v>
      </c>
      <c r="K487" s="45" t="s">
        <v>2078</v>
      </c>
      <c r="L487" s="31" t="n">
        <f aca="false">COUNTIF($B$3:$B$2205,$B487)</f>
        <v>2</v>
      </c>
      <c r="M487" s="44" t="str">
        <f aca="false">IFERROR(INDEX(SENTENCES!$T$3:$T$1802,MATCH($F487,SENTENCES!$A$3:$A$1802,0)),"")</f>
        <v>• Chưa tới</v>
      </c>
    </row>
    <row r="488" customFormat="false" ht="15" hidden="false" customHeight="false" outlineLevel="0" collapsed="false">
      <c r="A488" s="31" t="n">
        <v>486</v>
      </c>
      <c r="B488" s="43" t="s">
        <v>11570</v>
      </c>
      <c r="C488" s="34" t="s">
        <v>11571</v>
      </c>
      <c r="D488" s="44" t="s">
        <v>10686</v>
      </c>
      <c r="E488" s="31"/>
      <c r="F488" s="31" t="s">
        <v>2080</v>
      </c>
      <c r="G488" s="31" t="n">
        <v>17</v>
      </c>
      <c r="H488" s="31" t="s">
        <v>1947</v>
      </c>
      <c r="I488" s="44" t="s">
        <v>2063</v>
      </c>
      <c r="J488" s="45" t="s">
        <v>2082</v>
      </c>
      <c r="K488" s="45" t="s">
        <v>2084</v>
      </c>
      <c r="L488" s="31" t="n">
        <f aca="false">COUNTIF($B$3:$B$2205,$B488)</f>
        <v>2</v>
      </c>
      <c r="M488" s="44" t="str">
        <f aca="false">IFERROR(INDEX(SENTENCES!$T$3:$T$1802,MATCH($F488,SENTENCES!$A$3:$A$1802,0)),"")</f>
        <v>• Chưa tới</v>
      </c>
    </row>
    <row r="489" customFormat="false" ht="15" hidden="false" customHeight="false" outlineLevel="0" collapsed="false">
      <c r="A489" s="31" t="n">
        <v>487</v>
      </c>
      <c r="B489" s="43" t="s">
        <v>11572</v>
      </c>
      <c r="C489" s="34" t="s">
        <v>11573</v>
      </c>
      <c r="D489" s="44" t="s">
        <v>10686</v>
      </c>
      <c r="E489" s="31"/>
      <c r="F489" s="31" t="s">
        <v>2086</v>
      </c>
      <c r="G489" s="31" t="n">
        <v>17</v>
      </c>
      <c r="H489" s="31" t="s">
        <v>1947</v>
      </c>
      <c r="I489" s="44" t="s">
        <v>2063</v>
      </c>
      <c r="J489" s="45" t="s">
        <v>2088</v>
      </c>
      <c r="K489" s="45" t="s">
        <v>2090</v>
      </c>
      <c r="L489" s="31" t="n">
        <f aca="false">COUNTIF($B$3:$B$2205,$B489)</f>
        <v>2</v>
      </c>
      <c r="M489" s="44" t="str">
        <f aca="false">IFERROR(INDEX(SENTENCES!$T$3:$T$1802,MATCH($F489,SENTENCES!$A$3:$A$1802,0)),"")</f>
        <v>• Chưa tới</v>
      </c>
    </row>
    <row r="490" customFormat="false" ht="15" hidden="false" customHeight="false" outlineLevel="0" collapsed="false">
      <c r="A490" s="31" t="n">
        <v>488</v>
      </c>
      <c r="B490" s="43" t="s">
        <v>11574</v>
      </c>
      <c r="C490" s="34" t="s">
        <v>11575</v>
      </c>
      <c r="D490" s="44" t="s">
        <v>10681</v>
      </c>
      <c r="E490" s="31"/>
      <c r="F490" s="31" t="s">
        <v>2086</v>
      </c>
      <c r="G490" s="31" t="n">
        <v>17</v>
      </c>
      <c r="H490" s="31" t="s">
        <v>1947</v>
      </c>
      <c r="I490" s="44" t="s">
        <v>2063</v>
      </c>
      <c r="J490" s="45" t="s">
        <v>2088</v>
      </c>
      <c r="K490" s="45" t="s">
        <v>2090</v>
      </c>
      <c r="L490" s="31" t="n">
        <f aca="false">COUNTIF($B$3:$B$2205,$B490)</f>
        <v>1</v>
      </c>
      <c r="M490" s="44" t="str">
        <f aca="false">IFERROR(INDEX(SENTENCES!$T$3:$T$1802,MATCH($F490,SENTENCES!$A$3:$A$1802,0)),"")</f>
        <v>• Chưa tới</v>
      </c>
    </row>
    <row r="491" customFormat="false" ht="15" hidden="false" customHeight="false" outlineLevel="0" collapsed="false">
      <c r="A491" s="31" t="n">
        <v>489</v>
      </c>
      <c r="B491" s="43" t="s">
        <v>11576</v>
      </c>
      <c r="C491" s="34" t="s">
        <v>11226</v>
      </c>
      <c r="D491" s="44" t="s">
        <v>10686</v>
      </c>
      <c r="E491" s="31"/>
      <c r="F491" s="31" t="s">
        <v>2092</v>
      </c>
      <c r="G491" s="31" t="n">
        <v>17</v>
      </c>
      <c r="H491" s="31" t="s">
        <v>1947</v>
      </c>
      <c r="I491" s="44" t="s">
        <v>2063</v>
      </c>
      <c r="J491" s="45" t="s">
        <v>2094</v>
      </c>
      <c r="K491" s="45" t="s">
        <v>2096</v>
      </c>
      <c r="L491" s="31" t="n">
        <f aca="false">COUNTIF($B$3:$B$2205,$B491)</f>
        <v>1</v>
      </c>
      <c r="M491" s="44" t="str">
        <f aca="false">IFERROR(INDEX(SENTENCES!$T$3:$T$1802,MATCH($F491,SENTENCES!$A$3:$A$1802,0)),"")</f>
        <v>• Chưa tới</v>
      </c>
    </row>
    <row r="492" customFormat="false" ht="15" hidden="false" customHeight="false" outlineLevel="0" collapsed="false">
      <c r="A492" s="31" t="n">
        <v>490</v>
      </c>
      <c r="B492" s="43" t="s">
        <v>11577</v>
      </c>
      <c r="C492" s="34" t="s">
        <v>11578</v>
      </c>
      <c r="D492" s="44" t="s">
        <v>10686</v>
      </c>
      <c r="E492" s="31"/>
      <c r="F492" s="31" t="s">
        <v>2098</v>
      </c>
      <c r="G492" s="31" t="n">
        <v>17</v>
      </c>
      <c r="H492" s="31" t="s">
        <v>1947</v>
      </c>
      <c r="I492" s="44" t="s">
        <v>2063</v>
      </c>
      <c r="J492" s="45" t="s">
        <v>2100</v>
      </c>
      <c r="K492" s="45" t="s">
        <v>2102</v>
      </c>
      <c r="L492" s="31" t="n">
        <f aca="false">COUNTIF($B$3:$B$2205,$B492)</f>
        <v>2</v>
      </c>
      <c r="M492" s="44" t="str">
        <f aca="false">IFERROR(INDEX(SENTENCES!$T$3:$T$1802,MATCH($F492,SENTENCES!$A$3:$A$1802,0)),"")</f>
        <v>• Chưa tới</v>
      </c>
    </row>
    <row r="493" customFormat="false" ht="15" hidden="false" customHeight="false" outlineLevel="0" collapsed="false">
      <c r="A493" s="31" t="n">
        <v>491</v>
      </c>
      <c r="B493" s="43" t="s">
        <v>10865</v>
      </c>
      <c r="C493" s="34" t="s">
        <v>10866</v>
      </c>
      <c r="D493" s="44" t="s">
        <v>10686</v>
      </c>
      <c r="E493" s="31"/>
      <c r="F493" s="31" t="s">
        <v>2104</v>
      </c>
      <c r="G493" s="31" t="n">
        <v>17</v>
      </c>
      <c r="H493" s="31" t="s">
        <v>1947</v>
      </c>
      <c r="I493" s="44" t="s">
        <v>2063</v>
      </c>
      <c r="J493" s="45" t="s">
        <v>2106</v>
      </c>
      <c r="K493" s="45" t="s">
        <v>2108</v>
      </c>
      <c r="L493" s="31" t="n">
        <f aca="false">COUNTIF($B$3:$B$2205,$B493)</f>
        <v>3</v>
      </c>
      <c r="M493" s="44" t="str">
        <f aca="false">IFERROR(INDEX(SENTENCES!$T$3:$T$1802,MATCH($F493,SENTENCES!$A$3:$A$1802,0)),"")</f>
        <v>• Chưa tới</v>
      </c>
    </row>
    <row r="494" customFormat="false" ht="15" hidden="false" customHeight="false" outlineLevel="0" collapsed="false">
      <c r="A494" s="31" t="n">
        <v>492</v>
      </c>
      <c r="B494" s="43" t="s">
        <v>11579</v>
      </c>
      <c r="C494" s="34" t="s">
        <v>11580</v>
      </c>
      <c r="D494" s="44" t="s">
        <v>10686</v>
      </c>
      <c r="E494" s="31"/>
      <c r="F494" s="31" t="s">
        <v>2109</v>
      </c>
      <c r="G494" s="31" t="n">
        <v>17</v>
      </c>
      <c r="H494" s="31" t="s">
        <v>1947</v>
      </c>
      <c r="I494" s="44" t="s">
        <v>2063</v>
      </c>
      <c r="J494" s="45" t="s">
        <v>2110</v>
      </c>
      <c r="K494" s="45" t="s">
        <v>2112</v>
      </c>
      <c r="L494" s="31" t="n">
        <f aca="false">COUNTIF($B$3:$B$2205,$B494)</f>
        <v>2</v>
      </c>
      <c r="M494" s="44" t="str">
        <f aca="false">IFERROR(INDEX(SENTENCES!$T$3:$T$1802,MATCH($F494,SENTENCES!$A$3:$A$1802,0)),"")</f>
        <v>• Chưa tới</v>
      </c>
    </row>
    <row r="495" customFormat="false" ht="15" hidden="false" customHeight="false" outlineLevel="0" collapsed="false">
      <c r="A495" s="31" t="n">
        <v>493</v>
      </c>
      <c r="B495" s="43" t="s">
        <v>11581</v>
      </c>
      <c r="C495" s="34" t="s">
        <v>11582</v>
      </c>
      <c r="D495" s="44" t="s">
        <v>10686</v>
      </c>
      <c r="E495" s="31"/>
      <c r="F495" s="31" t="s">
        <v>2114</v>
      </c>
      <c r="G495" s="31" t="n">
        <v>17</v>
      </c>
      <c r="H495" s="31" t="s">
        <v>1947</v>
      </c>
      <c r="I495" s="44" t="s">
        <v>2063</v>
      </c>
      <c r="J495" s="45" t="s">
        <v>2115</v>
      </c>
      <c r="K495" s="45" t="s">
        <v>2117</v>
      </c>
      <c r="L495" s="31" t="n">
        <f aca="false">COUNTIF($B$3:$B$2205,$B495)</f>
        <v>2</v>
      </c>
      <c r="M495" s="44" t="str">
        <f aca="false">IFERROR(INDEX(SENTENCES!$T$3:$T$1802,MATCH($F495,SENTENCES!$A$3:$A$1802,0)),"")</f>
        <v>• Chưa tới</v>
      </c>
    </row>
    <row r="496" customFormat="false" ht="15" hidden="false" customHeight="false" outlineLevel="0" collapsed="false">
      <c r="A496" s="31" t="n">
        <v>494</v>
      </c>
      <c r="B496" s="43" t="s">
        <v>11583</v>
      </c>
      <c r="C496" s="34" t="s">
        <v>11584</v>
      </c>
      <c r="D496" s="44" t="s">
        <v>10677</v>
      </c>
      <c r="E496" s="31" t="s">
        <v>10678</v>
      </c>
      <c r="F496" s="31" t="s">
        <v>2119</v>
      </c>
      <c r="G496" s="31" t="n">
        <v>17</v>
      </c>
      <c r="H496" s="31" t="s">
        <v>1947</v>
      </c>
      <c r="I496" s="44" t="s">
        <v>2063</v>
      </c>
      <c r="J496" s="45" t="s">
        <v>2121</v>
      </c>
      <c r="K496" s="45" t="s">
        <v>2123</v>
      </c>
      <c r="L496" s="31" t="n">
        <f aca="false">COUNTIF($B$3:$B$2205,$B496)</f>
        <v>1</v>
      </c>
      <c r="M496" s="44" t="str">
        <f aca="false">IFERROR(INDEX(SENTENCES!$T$3:$T$1802,MATCH($F496,SENTENCES!$A$3:$A$1802,0)),"")</f>
        <v>• Chưa tới</v>
      </c>
    </row>
    <row r="497" customFormat="false" ht="15" hidden="false" customHeight="false" outlineLevel="0" collapsed="false">
      <c r="A497" s="31" t="n">
        <v>495</v>
      </c>
      <c r="B497" s="43" t="s">
        <v>11585</v>
      </c>
      <c r="C497" s="34" t="s">
        <v>11586</v>
      </c>
      <c r="D497" s="44" t="s">
        <v>10754</v>
      </c>
      <c r="E497" s="31"/>
      <c r="F497" s="31" t="s">
        <v>2119</v>
      </c>
      <c r="G497" s="31" t="n">
        <v>17</v>
      </c>
      <c r="H497" s="31" t="s">
        <v>1947</v>
      </c>
      <c r="I497" s="44" t="s">
        <v>2063</v>
      </c>
      <c r="J497" s="45" t="s">
        <v>2121</v>
      </c>
      <c r="K497" s="45" t="s">
        <v>2123</v>
      </c>
      <c r="L497" s="31" t="n">
        <f aca="false">COUNTIF($B$3:$B$2205,$B497)</f>
        <v>3</v>
      </c>
      <c r="M497" s="44" t="str">
        <f aca="false">IFERROR(INDEX(SENTENCES!$T$3:$T$1802,MATCH($F497,SENTENCES!$A$3:$A$1802,0)),"")</f>
        <v>• Chưa tới</v>
      </c>
    </row>
    <row r="498" customFormat="false" ht="15" hidden="false" customHeight="false" outlineLevel="0" collapsed="false">
      <c r="A498" s="31" t="n">
        <v>496</v>
      </c>
      <c r="B498" s="43" t="s">
        <v>10842</v>
      </c>
      <c r="C498" s="34" t="s">
        <v>10843</v>
      </c>
      <c r="D498" s="44" t="s">
        <v>10686</v>
      </c>
      <c r="E498" s="31"/>
      <c r="F498" s="31" t="s">
        <v>2125</v>
      </c>
      <c r="G498" s="31" t="n">
        <v>17</v>
      </c>
      <c r="H498" s="31" t="s">
        <v>1947</v>
      </c>
      <c r="I498" s="44" t="s">
        <v>2063</v>
      </c>
      <c r="J498" s="45" t="s">
        <v>2127</v>
      </c>
      <c r="K498" s="45" t="s">
        <v>2129</v>
      </c>
      <c r="L498" s="31" t="n">
        <f aca="false">COUNTIF($B$3:$B$2205,$B498)</f>
        <v>2</v>
      </c>
      <c r="M498" s="44" t="str">
        <f aca="false">IFERROR(INDEX(SENTENCES!$T$3:$T$1802,MATCH($F498,SENTENCES!$A$3:$A$1802,0)),"")</f>
        <v>• Chưa tới</v>
      </c>
    </row>
    <row r="499" customFormat="false" ht="15" hidden="false" customHeight="false" outlineLevel="0" collapsed="false">
      <c r="A499" s="31" t="n">
        <v>497</v>
      </c>
      <c r="B499" s="43" t="s">
        <v>11587</v>
      </c>
      <c r="C499" s="34" t="s">
        <v>11588</v>
      </c>
      <c r="D499" s="44" t="s">
        <v>10681</v>
      </c>
      <c r="E499" s="31"/>
      <c r="F499" s="31" t="s">
        <v>2131</v>
      </c>
      <c r="G499" s="31" t="n">
        <v>17</v>
      </c>
      <c r="H499" s="31" t="s">
        <v>1947</v>
      </c>
      <c r="I499" s="44" t="s">
        <v>2063</v>
      </c>
      <c r="J499" s="45" t="s">
        <v>2133</v>
      </c>
      <c r="K499" s="45" t="s">
        <v>2135</v>
      </c>
      <c r="L499" s="31" t="n">
        <f aca="false">COUNTIF($B$3:$B$2205,$B499)</f>
        <v>1</v>
      </c>
      <c r="M499" s="44" t="str">
        <f aca="false">IFERROR(INDEX(SENTENCES!$T$3:$T$1802,MATCH($F499,SENTENCES!$A$3:$A$1802,0)),"")</f>
        <v>• Chưa tới</v>
      </c>
    </row>
    <row r="500" customFormat="false" ht="15" hidden="false" customHeight="false" outlineLevel="0" collapsed="false">
      <c r="A500" s="31" t="n">
        <v>498</v>
      </c>
      <c r="B500" s="43" t="s">
        <v>11589</v>
      </c>
      <c r="C500" s="34" t="s">
        <v>11590</v>
      </c>
      <c r="D500" s="44" t="s">
        <v>10681</v>
      </c>
      <c r="E500" s="31"/>
      <c r="F500" s="31" t="s">
        <v>2137</v>
      </c>
      <c r="G500" s="31" t="n">
        <v>17</v>
      </c>
      <c r="H500" s="31" t="s">
        <v>1947</v>
      </c>
      <c r="I500" s="44" t="s">
        <v>2063</v>
      </c>
      <c r="J500" s="45" t="s">
        <v>2139</v>
      </c>
      <c r="K500" s="45" t="s">
        <v>2141</v>
      </c>
      <c r="L500" s="31" t="n">
        <f aca="false">COUNTIF($B$3:$B$2205,$B500)</f>
        <v>1</v>
      </c>
      <c r="M500" s="44" t="str">
        <f aca="false">IFERROR(INDEX(SENTENCES!$T$3:$T$1802,MATCH($F500,SENTENCES!$A$3:$A$1802,0)),"")</f>
        <v>• Chưa tới</v>
      </c>
    </row>
    <row r="501" customFormat="false" ht="15" hidden="false" customHeight="false" outlineLevel="0" collapsed="false">
      <c r="A501" s="31" t="n">
        <v>499</v>
      </c>
      <c r="B501" s="43" t="s">
        <v>11591</v>
      </c>
      <c r="C501" s="34" t="s">
        <v>11592</v>
      </c>
      <c r="D501" s="44" t="s">
        <v>10686</v>
      </c>
      <c r="E501" s="31"/>
      <c r="F501" s="31" t="s">
        <v>2137</v>
      </c>
      <c r="G501" s="31" t="n">
        <v>17</v>
      </c>
      <c r="H501" s="31" t="s">
        <v>1947</v>
      </c>
      <c r="I501" s="44" t="s">
        <v>2063</v>
      </c>
      <c r="J501" s="45" t="s">
        <v>2139</v>
      </c>
      <c r="K501" s="45" t="s">
        <v>2141</v>
      </c>
      <c r="L501" s="31" t="n">
        <f aca="false">COUNTIF($B$3:$B$2205,$B501)</f>
        <v>1</v>
      </c>
      <c r="M501" s="44" t="str">
        <f aca="false">IFERROR(INDEX(SENTENCES!$T$3:$T$1802,MATCH($F501,SENTENCES!$A$3:$A$1802,0)),"")</f>
        <v>• Chưa tới</v>
      </c>
    </row>
    <row r="502" customFormat="false" ht="15" hidden="false" customHeight="false" outlineLevel="0" collapsed="false">
      <c r="A502" s="31" t="n">
        <v>500</v>
      </c>
      <c r="B502" s="43" t="s">
        <v>11202</v>
      </c>
      <c r="C502" s="34" t="s">
        <v>11203</v>
      </c>
      <c r="D502" s="44" t="s">
        <v>10686</v>
      </c>
      <c r="E502" s="31"/>
      <c r="F502" s="31" t="s">
        <v>2143</v>
      </c>
      <c r="G502" s="31" t="n">
        <v>17</v>
      </c>
      <c r="H502" s="31" t="s">
        <v>1947</v>
      </c>
      <c r="I502" s="44" t="s">
        <v>2063</v>
      </c>
      <c r="J502" s="45" t="s">
        <v>2145</v>
      </c>
      <c r="K502" s="45" t="s">
        <v>2147</v>
      </c>
      <c r="L502" s="31" t="n">
        <f aca="false">COUNTIF($B$3:$B$2205,$B502)</f>
        <v>2</v>
      </c>
      <c r="M502" s="44" t="str">
        <f aca="false">IFERROR(INDEX(SENTENCES!$T$3:$T$1802,MATCH($F502,SENTENCES!$A$3:$A$1802,0)),"")</f>
        <v>• Chưa tới</v>
      </c>
    </row>
    <row r="503" customFormat="false" ht="15" hidden="false" customHeight="false" outlineLevel="0" collapsed="false">
      <c r="A503" s="31" t="n">
        <v>501</v>
      </c>
      <c r="B503" s="43" t="s">
        <v>11593</v>
      </c>
      <c r="C503" s="34" t="s">
        <v>11594</v>
      </c>
      <c r="D503" s="44" t="s">
        <v>10681</v>
      </c>
      <c r="E503" s="31"/>
      <c r="F503" s="31" t="s">
        <v>2148</v>
      </c>
      <c r="G503" s="31" t="n">
        <v>17</v>
      </c>
      <c r="H503" s="31" t="s">
        <v>1947</v>
      </c>
      <c r="I503" s="44" t="s">
        <v>2063</v>
      </c>
      <c r="J503" s="45" t="s">
        <v>2150</v>
      </c>
      <c r="K503" s="45" t="s">
        <v>2152</v>
      </c>
      <c r="L503" s="31" t="n">
        <f aca="false">COUNTIF($B$3:$B$2205,$B503)</f>
        <v>2</v>
      </c>
      <c r="M503" s="44" t="str">
        <f aca="false">IFERROR(INDEX(SENTENCES!$T$3:$T$1802,MATCH($F503,SENTENCES!$A$3:$A$1802,0)),"")</f>
        <v>• Chưa tới</v>
      </c>
    </row>
    <row r="504" customFormat="false" ht="15" hidden="false" customHeight="false" outlineLevel="0" collapsed="false">
      <c r="A504" s="31" t="n">
        <v>502</v>
      </c>
      <c r="B504" s="43" t="s">
        <v>11595</v>
      </c>
      <c r="C504" s="34" t="s">
        <v>11596</v>
      </c>
      <c r="D504" s="44" t="s">
        <v>10686</v>
      </c>
      <c r="E504" s="31"/>
      <c r="F504" s="31" t="s">
        <v>2148</v>
      </c>
      <c r="G504" s="31" t="n">
        <v>17</v>
      </c>
      <c r="H504" s="31" t="s">
        <v>1947</v>
      </c>
      <c r="I504" s="44" t="s">
        <v>2063</v>
      </c>
      <c r="J504" s="45" t="s">
        <v>2150</v>
      </c>
      <c r="K504" s="45" t="s">
        <v>2152</v>
      </c>
      <c r="L504" s="31" t="n">
        <f aca="false">COUNTIF($B$3:$B$2205,$B504)</f>
        <v>1</v>
      </c>
      <c r="M504" s="44" t="str">
        <f aca="false">IFERROR(INDEX(SENTENCES!$T$3:$T$1802,MATCH($F504,SENTENCES!$A$3:$A$1802,0)),"")</f>
        <v>• Chưa tới</v>
      </c>
    </row>
    <row r="505" customFormat="false" ht="15" hidden="false" customHeight="false" outlineLevel="0" collapsed="false">
      <c r="A505" s="31" t="n">
        <v>503</v>
      </c>
      <c r="B505" s="43" t="s">
        <v>11597</v>
      </c>
      <c r="C505" s="34" t="s">
        <v>11598</v>
      </c>
      <c r="D505" s="44" t="s">
        <v>10686</v>
      </c>
      <c r="E505" s="31"/>
      <c r="F505" s="31" t="s">
        <v>2154</v>
      </c>
      <c r="G505" s="31" t="n">
        <v>17</v>
      </c>
      <c r="H505" s="31" t="s">
        <v>1947</v>
      </c>
      <c r="I505" s="44" t="s">
        <v>2063</v>
      </c>
      <c r="J505" s="45" t="s">
        <v>2156</v>
      </c>
      <c r="K505" s="45" t="s">
        <v>2158</v>
      </c>
      <c r="L505" s="31" t="n">
        <f aca="false">COUNTIF($B$3:$B$2205,$B505)</f>
        <v>1</v>
      </c>
      <c r="M505" s="44" t="str">
        <f aca="false">IFERROR(INDEX(SENTENCES!$T$3:$T$1802,MATCH($F505,SENTENCES!$A$3:$A$1802,0)),"")</f>
        <v>• Chưa tới</v>
      </c>
    </row>
    <row r="506" customFormat="false" ht="15" hidden="false" customHeight="false" outlineLevel="0" collapsed="false">
      <c r="A506" s="31" t="n">
        <v>504</v>
      </c>
      <c r="B506" s="43" t="s">
        <v>11352</v>
      </c>
      <c r="C506" s="34" t="s">
        <v>11353</v>
      </c>
      <c r="D506" s="44" t="s">
        <v>10681</v>
      </c>
      <c r="E506" s="31"/>
      <c r="F506" s="31" t="s">
        <v>2160</v>
      </c>
      <c r="G506" s="31" t="n">
        <v>17</v>
      </c>
      <c r="H506" s="31" t="s">
        <v>1947</v>
      </c>
      <c r="I506" s="44" t="s">
        <v>2063</v>
      </c>
      <c r="J506" s="45" t="s">
        <v>2162</v>
      </c>
      <c r="K506" s="45" t="s">
        <v>2164</v>
      </c>
      <c r="L506" s="31" t="n">
        <f aca="false">COUNTIF($B$3:$B$2205,$B506)</f>
        <v>2</v>
      </c>
      <c r="M506" s="44" t="str">
        <f aca="false">IFERROR(INDEX(SENTENCES!$T$3:$T$1802,MATCH($F506,SENTENCES!$A$3:$A$1802,0)),"")</f>
        <v>• Chưa tới</v>
      </c>
    </row>
    <row r="507" customFormat="false" ht="15" hidden="false" customHeight="false" outlineLevel="0" collapsed="false">
      <c r="A507" s="31" t="n">
        <v>505</v>
      </c>
      <c r="B507" s="43" t="s">
        <v>11599</v>
      </c>
      <c r="C507" s="34" t="s">
        <v>11600</v>
      </c>
      <c r="D507" s="44" t="s">
        <v>10681</v>
      </c>
      <c r="E507" s="31"/>
      <c r="F507" s="31" t="s">
        <v>2165</v>
      </c>
      <c r="G507" s="31" t="n">
        <v>17</v>
      </c>
      <c r="H507" s="31" t="s">
        <v>1947</v>
      </c>
      <c r="I507" s="44" t="s">
        <v>2063</v>
      </c>
      <c r="J507" s="45" t="s">
        <v>2167</v>
      </c>
      <c r="K507" s="45" t="s">
        <v>2169</v>
      </c>
      <c r="L507" s="31" t="n">
        <f aca="false">COUNTIF($B$3:$B$2205,$B507)</f>
        <v>3</v>
      </c>
      <c r="M507" s="44" t="str">
        <f aca="false">IFERROR(INDEX(SENTENCES!$T$3:$T$1802,MATCH($F507,SENTENCES!$A$3:$A$1802,0)),"")</f>
        <v>• Chưa tới</v>
      </c>
    </row>
    <row r="508" customFormat="false" ht="15" hidden="false" customHeight="false" outlineLevel="0" collapsed="false">
      <c r="A508" s="31" t="n">
        <v>506</v>
      </c>
      <c r="B508" s="43" t="s">
        <v>11601</v>
      </c>
      <c r="C508" s="34" t="s">
        <v>11602</v>
      </c>
      <c r="D508" s="44" t="s">
        <v>10686</v>
      </c>
      <c r="E508" s="31"/>
      <c r="F508" s="31" t="s">
        <v>2171</v>
      </c>
      <c r="G508" s="31" t="n">
        <v>17</v>
      </c>
      <c r="H508" s="31" t="s">
        <v>1947</v>
      </c>
      <c r="I508" s="44" t="s">
        <v>2063</v>
      </c>
      <c r="J508" s="45" t="s">
        <v>2173</v>
      </c>
      <c r="K508" s="45" t="s">
        <v>2175</v>
      </c>
      <c r="L508" s="31" t="n">
        <f aca="false">COUNTIF($B$3:$B$2205,$B508)</f>
        <v>1</v>
      </c>
      <c r="M508" s="44" t="str">
        <f aca="false">IFERROR(INDEX(SENTENCES!$T$3:$T$1802,MATCH($F508,SENTENCES!$A$3:$A$1802,0)),"")</f>
        <v>• Chưa tới</v>
      </c>
    </row>
    <row r="509" customFormat="false" ht="15" hidden="false" customHeight="false" outlineLevel="0" collapsed="false">
      <c r="A509" s="31" t="n">
        <v>507</v>
      </c>
      <c r="B509" s="43" t="s">
        <v>11603</v>
      </c>
      <c r="C509" s="34" t="s">
        <v>11604</v>
      </c>
      <c r="D509" s="44" t="s">
        <v>10681</v>
      </c>
      <c r="E509" s="31"/>
      <c r="F509" s="31" t="s">
        <v>2171</v>
      </c>
      <c r="G509" s="31" t="n">
        <v>17</v>
      </c>
      <c r="H509" s="31" t="s">
        <v>1947</v>
      </c>
      <c r="I509" s="44" t="s">
        <v>2063</v>
      </c>
      <c r="J509" s="45" t="s">
        <v>2173</v>
      </c>
      <c r="K509" s="45" t="s">
        <v>2175</v>
      </c>
      <c r="L509" s="31" t="n">
        <f aca="false">COUNTIF($B$3:$B$2205,$B509)</f>
        <v>2</v>
      </c>
      <c r="M509" s="44" t="str">
        <f aca="false">IFERROR(INDEX(SENTENCES!$T$3:$T$1802,MATCH($F509,SENTENCES!$A$3:$A$1802,0)),"")</f>
        <v>• Chưa tới</v>
      </c>
    </row>
    <row r="510" customFormat="false" ht="15" hidden="false" customHeight="false" outlineLevel="0" collapsed="false">
      <c r="A510" s="31" t="n">
        <v>508</v>
      </c>
      <c r="B510" s="43" t="s">
        <v>11543</v>
      </c>
      <c r="C510" s="34" t="s">
        <v>11544</v>
      </c>
      <c r="D510" s="44" t="s">
        <v>10686</v>
      </c>
      <c r="E510" s="31"/>
      <c r="F510" s="31" t="s">
        <v>2177</v>
      </c>
      <c r="G510" s="31" t="n">
        <v>18</v>
      </c>
      <c r="H510" s="31" t="s">
        <v>1947</v>
      </c>
      <c r="I510" s="44" t="s">
        <v>2178</v>
      </c>
      <c r="J510" s="45" t="s">
        <v>2180</v>
      </c>
      <c r="K510" s="45" t="s">
        <v>2182</v>
      </c>
      <c r="L510" s="31" t="n">
        <f aca="false">COUNTIF($B$3:$B$2205,$B510)</f>
        <v>3</v>
      </c>
      <c r="M510" s="44" t="str">
        <f aca="false">IFERROR(INDEX(SENTENCES!$T$3:$T$1802,MATCH($F510,SENTENCES!$A$3:$A$1802,0)),"")</f>
        <v>• Chưa tới</v>
      </c>
    </row>
    <row r="511" customFormat="false" ht="15" hidden="false" customHeight="false" outlineLevel="0" collapsed="false">
      <c r="A511" s="31" t="n">
        <v>509</v>
      </c>
      <c r="B511" s="43" t="s">
        <v>11605</v>
      </c>
      <c r="C511" s="34" t="s">
        <v>11602</v>
      </c>
      <c r="D511" s="44" t="s">
        <v>10686</v>
      </c>
      <c r="E511" s="31"/>
      <c r="F511" s="31" t="s">
        <v>2184</v>
      </c>
      <c r="G511" s="31" t="n">
        <v>18</v>
      </c>
      <c r="H511" s="31" t="s">
        <v>1947</v>
      </c>
      <c r="I511" s="44" t="s">
        <v>2178</v>
      </c>
      <c r="J511" s="45" t="s">
        <v>2186</v>
      </c>
      <c r="K511" s="45" t="s">
        <v>2188</v>
      </c>
      <c r="L511" s="31" t="n">
        <f aca="false">COUNTIF($B$3:$B$2205,$B511)</f>
        <v>1</v>
      </c>
      <c r="M511" s="44" t="str">
        <f aca="false">IFERROR(INDEX(SENTENCES!$T$3:$T$1802,MATCH($F511,SENTENCES!$A$3:$A$1802,0)),"")</f>
        <v>• Chưa tới</v>
      </c>
    </row>
    <row r="512" customFormat="false" ht="15" hidden="false" customHeight="false" outlineLevel="0" collapsed="false">
      <c r="A512" s="31" t="n">
        <v>510</v>
      </c>
      <c r="B512" s="43" t="s">
        <v>10978</v>
      </c>
      <c r="C512" s="34" t="s">
        <v>10979</v>
      </c>
      <c r="D512" s="44" t="s">
        <v>10686</v>
      </c>
      <c r="E512" s="31"/>
      <c r="F512" s="31" t="s">
        <v>2190</v>
      </c>
      <c r="G512" s="31" t="n">
        <v>18</v>
      </c>
      <c r="H512" s="31" t="s">
        <v>1947</v>
      </c>
      <c r="I512" s="44" t="s">
        <v>2178</v>
      </c>
      <c r="J512" s="45" t="s">
        <v>2192</v>
      </c>
      <c r="K512" s="45" t="s">
        <v>2194</v>
      </c>
      <c r="L512" s="31" t="n">
        <f aca="false">COUNTIF($B$3:$B$2205,$B512)</f>
        <v>3</v>
      </c>
      <c r="M512" s="44" t="str">
        <f aca="false">IFERROR(INDEX(SENTENCES!$T$3:$T$1802,MATCH($F512,SENTENCES!$A$3:$A$1802,0)),"")</f>
        <v>• Chưa tới</v>
      </c>
    </row>
    <row r="513" customFormat="false" ht="15" hidden="false" customHeight="false" outlineLevel="0" collapsed="false">
      <c r="A513" s="31" t="n">
        <v>511</v>
      </c>
      <c r="B513" s="43" t="s">
        <v>10915</v>
      </c>
      <c r="C513" s="34" t="s">
        <v>10916</v>
      </c>
      <c r="D513" s="44" t="s">
        <v>10686</v>
      </c>
      <c r="E513" s="31"/>
      <c r="F513" s="31" t="s">
        <v>2196</v>
      </c>
      <c r="G513" s="31" t="n">
        <v>18</v>
      </c>
      <c r="H513" s="31" t="s">
        <v>1947</v>
      </c>
      <c r="I513" s="44" t="s">
        <v>2178</v>
      </c>
      <c r="J513" s="45" t="s">
        <v>2198</v>
      </c>
      <c r="K513" s="45" t="s">
        <v>2200</v>
      </c>
      <c r="L513" s="31" t="n">
        <f aca="false">COUNTIF($B$3:$B$2205,$B513)</f>
        <v>3</v>
      </c>
      <c r="M513" s="44" t="str">
        <f aca="false">IFERROR(INDEX(SENTENCES!$T$3:$T$1802,MATCH($F513,SENTENCES!$A$3:$A$1802,0)),"")</f>
        <v>• Chưa tới</v>
      </c>
    </row>
    <row r="514" customFormat="false" ht="15" hidden="false" customHeight="false" outlineLevel="0" collapsed="false">
      <c r="A514" s="31" t="n">
        <v>512</v>
      </c>
      <c r="B514" s="43" t="s">
        <v>11606</v>
      </c>
      <c r="C514" s="34" t="s">
        <v>11607</v>
      </c>
      <c r="D514" s="44" t="s">
        <v>10686</v>
      </c>
      <c r="E514" s="31"/>
      <c r="F514" s="31" t="s">
        <v>2201</v>
      </c>
      <c r="G514" s="31" t="n">
        <v>18</v>
      </c>
      <c r="H514" s="31" t="s">
        <v>1947</v>
      </c>
      <c r="I514" s="44" t="s">
        <v>2178</v>
      </c>
      <c r="J514" s="45" t="s">
        <v>2203</v>
      </c>
      <c r="K514" s="45" t="s">
        <v>2205</v>
      </c>
      <c r="L514" s="31" t="n">
        <f aca="false">COUNTIF($B$3:$B$2205,$B514)</f>
        <v>1</v>
      </c>
      <c r="M514" s="44" t="str">
        <f aca="false">IFERROR(INDEX(SENTENCES!$T$3:$T$1802,MATCH($F514,SENTENCES!$A$3:$A$1802,0)),"")</f>
        <v>• Chưa tới</v>
      </c>
    </row>
    <row r="515" customFormat="false" ht="15" hidden="false" customHeight="false" outlineLevel="0" collapsed="false">
      <c r="A515" s="31" t="n">
        <v>513</v>
      </c>
      <c r="B515" s="43" t="s">
        <v>11608</v>
      </c>
      <c r="C515" s="34" t="s">
        <v>11609</v>
      </c>
      <c r="D515" s="44" t="s">
        <v>10686</v>
      </c>
      <c r="E515" s="31"/>
      <c r="F515" s="31" t="s">
        <v>2207</v>
      </c>
      <c r="G515" s="31" t="n">
        <v>18</v>
      </c>
      <c r="H515" s="31" t="s">
        <v>1947</v>
      </c>
      <c r="I515" s="44" t="s">
        <v>2178</v>
      </c>
      <c r="J515" s="45" t="s">
        <v>2209</v>
      </c>
      <c r="K515" s="45" t="s">
        <v>2211</v>
      </c>
      <c r="L515" s="31" t="n">
        <f aca="false">COUNTIF($B$3:$B$2205,$B515)</f>
        <v>2</v>
      </c>
      <c r="M515" s="44" t="str">
        <f aca="false">IFERROR(INDEX(SENTENCES!$T$3:$T$1802,MATCH($F515,SENTENCES!$A$3:$A$1802,0)),"")</f>
        <v>• Chưa tới</v>
      </c>
    </row>
    <row r="516" customFormat="false" ht="15" hidden="false" customHeight="false" outlineLevel="0" collapsed="false">
      <c r="A516" s="31" t="n">
        <v>514</v>
      </c>
      <c r="B516" s="43" t="s">
        <v>11610</v>
      </c>
      <c r="C516" s="34" t="s">
        <v>10932</v>
      </c>
      <c r="D516" s="44" t="s">
        <v>10686</v>
      </c>
      <c r="E516" s="31"/>
      <c r="F516" s="31" t="s">
        <v>2213</v>
      </c>
      <c r="G516" s="31" t="n">
        <v>18</v>
      </c>
      <c r="H516" s="31" t="s">
        <v>1947</v>
      </c>
      <c r="I516" s="44" t="s">
        <v>2178</v>
      </c>
      <c r="J516" s="45" t="s">
        <v>2215</v>
      </c>
      <c r="K516" s="45" t="s">
        <v>2217</v>
      </c>
      <c r="L516" s="31" t="n">
        <f aca="false">COUNTIF($B$3:$B$2205,$B516)</f>
        <v>1</v>
      </c>
      <c r="M516" s="44" t="str">
        <f aca="false">IFERROR(INDEX(SENTENCES!$T$3:$T$1802,MATCH($F516,SENTENCES!$A$3:$A$1802,0)),"")</f>
        <v>• Chưa tới</v>
      </c>
    </row>
    <row r="517" customFormat="false" ht="15" hidden="false" customHeight="false" outlineLevel="0" collapsed="false">
      <c r="A517" s="31" t="n">
        <v>515</v>
      </c>
      <c r="B517" s="43" t="s">
        <v>11611</v>
      </c>
      <c r="C517" s="34" t="s">
        <v>11612</v>
      </c>
      <c r="D517" s="44" t="s">
        <v>10677</v>
      </c>
      <c r="E517" s="31" t="s">
        <v>10678</v>
      </c>
      <c r="F517" s="31" t="s">
        <v>2213</v>
      </c>
      <c r="G517" s="31" t="n">
        <v>18</v>
      </c>
      <c r="H517" s="31" t="s">
        <v>1947</v>
      </c>
      <c r="I517" s="44" t="s">
        <v>2178</v>
      </c>
      <c r="J517" s="45" t="s">
        <v>2215</v>
      </c>
      <c r="K517" s="45" t="s">
        <v>2217</v>
      </c>
      <c r="L517" s="31" t="n">
        <f aca="false">COUNTIF($B$3:$B$2205,$B517)</f>
        <v>2</v>
      </c>
      <c r="M517" s="44" t="str">
        <f aca="false">IFERROR(INDEX(SENTENCES!$T$3:$T$1802,MATCH($F517,SENTENCES!$A$3:$A$1802,0)),"")</f>
        <v>• Chưa tới</v>
      </c>
    </row>
    <row r="518" customFormat="false" ht="15" hidden="false" customHeight="false" outlineLevel="0" collapsed="false">
      <c r="A518" s="31" t="n">
        <v>516</v>
      </c>
      <c r="B518" s="43" t="s">
        <v>11613</v>
      </c>
      <c r="C518" s="34" t="s">
        <v>11614</v>
      </c>
      <c r="D518" s="44" t="s">
        <v>10686</v>
      </c>
      <c r="E518" s="31"/>
      <c r="F518" s="31" t="s">
        <v>2219</v>
      </c>
      <c r="G518" s="31" t="n">
        <v>18</v>
      </c>
      <c r="H518" s="31" t="s">
        <v>1947</v>
      </c>
      <c r="I518" s="44" t="s">
        <v>2178</v>
      </c>
      <c r="J518" s="45" t="s">
        <v>2221</v>
      </c>
      <c r="K518" s="45" t="s">
        <v>2223</v>
      </c>
      <c r="L518" s="31" t="n">
        <f aca="false">COUNTIF($B$3:$B$2205,$B518)</f>
        <v>2</v>
      </c>
      <c r="M518" s="44" t="str">
        <f aca="false">IFERROR(INDEX(SENTENCES!$T$3:$T$1802,MATCH($F518,SENTENCES!$A$3:$A$1802,0)),"")</f>
        <v>• Chưa tới</v>
      </c>
    </row>
    <row r="519" customFormat="false" ht="15" hidden="false" customHeight="false" outlineLevel="0" collapsed="false">
      <c r="A519" s="31" t="n">
        <v>517</v>
      </c>
      <c r="B519" s="43" t="s">
        <v>11615</v>
      </c>
      <c r="C519" s="34" t="s">
        <v>11616</v>
      </c>
      <c r="D519" s="44" t="s">
        <v>10686</v>
      </c>
      <c r="E519" s="31"/>
      <c r="F519" s="31" t="s">
        <v>2225</v>
      </c>
      <c r="G519" s="31" t="n">
        <v>18</v>
      </c>
      <c r="H519" s="31" t="s">
        <v>1947</v>
      </c>
      <c r="I519" s="44" t="s">
        <v>2178</v>
      </c>
      <c r="J519" s="45" t="s">
        <v>2227</v>
      </c>
      <c r="K519" s="45" t="s">
        <v>2229</v>
      </c>
      <c r="L519" s="31" t="n">
        <f aca="false">COUNTIF($B$3:$B$2205,$B519)</f>
        <v>3</v>
      </c>
      <c r="M519" s="44" t="str">
        <f aca="false">IFERROR(INDEX(SENTENCES!$T$3:$T$1802,MATCH($F519,SENTENCES!$A$3:$A$1802,0)),"")</f>
        <v>• Chưa tới</v>
      </c>
    </row>
    <row r="520" customFormat="false" ht="15" hidden="false" customHeight="false" outlineLevel="0" collapsed="false">
      <c r="A520" s="31" t="n">
        <v>518</v>
      </c>
      <c r="B520" s="43" t="s">
        <v>11617</v>
      </c>
      <c r="C520" s="34" t="s">
        <v>11618</v>
      </c>
      <c r="D520" s="44" t="s">
        <v>10686</v>
      </c>
      <c r="E520" s="31"/>
      <c r="F520" s="31" t="s">
        <v>2231</v>
      </c>
      <c r="G520" s="31" t="n">
        <v>18</v>
      </c>
      <c r="H520" s="31" t="s">
        <v>1947</v>
      </c>
      <c r="I520" s="44" t="s">
        <v>2178</v>
      </c>
      <c r="J520" s="45" t="s">
        <v>2233</v>
      </c>
      <c r="K520" s="45" t="s">
        <v>2235</v>
      </c>
      <c r="L520" s="31" t="n">
        <f aca="false">COUNTIF($B$3:$B$2205,$B520)</f>
        <v>3</v>
      </c>
      <c r="M520" s="44" t="str">
        <f aca="false">IFERROR(INDEX(SENTENCES!$T$3:$T$1802,MATCH($F520,SENTENCES!$A$3:$A$1802,0)),"")</f>
        <v>• Chưa tới</v>
      </c>
    </row>
    <row r="521" customFormat="false" ht="15" hidden="false" customHeight="false" outlineLevel="0" collapsed="false">
      <c r="A521" s="31" t="n">
        <v>519</v>
      </c>
      <c r="B521" s="43" t="s">
        <v>11619</v>
      </c>
      <c r="C521" s="34" t="s">
        <v>11620</v>
      </c>
      <c r="D521" s="44" t="s">
        <v>10686</v>
      </c>
      <c r="E521" s="31"/>
      <c r="F521" s="31" t="s">
        <v>2237</v>
      </c>
      <c r="G521" s="31" t="n">
        <v>18</v>
      </c>
      <c r="H521" s="31" t="s">
        <v>1947</v>
      </c>
      <c r="I521" s="44" t="s">
        <v>2178</v>
      </c>
      <c r="J521" s="45" t="s">
        <v>2239</v>
      </c>
      <c r="K521" s="45" t="s">
        <v>2241</v>
      </c>
      <c r="L521" s="31" t="n">
        <f aca="false">COUNTIF($B$3:$B$2205,$B521)</f>
        <v>1</v>
      </c>
      <c r="M521" s="44" t="str">
        <f aca="false">IFERROR(INDEX(SENTENCES!$T$3:$T$1802,MATCH($F521,SENTENCES!$A$3:$A$1802,0)),"")</f>
        <v>• Chưa tới</v>
      </c>
    </row>
    <row r="522" customFormat="false" ht="15" hidden="false" customHeight="false" outlineLevel="0" collapsed="false">
      <c r="A522" s="31" t="n">
        <v>520</v>
      </c>
      <c r="B522" s="43" t="s">
        <v>6117</v>
      </c>
      <c r="C522" s="34" t="s">
        <v>11621</v>
      </c>
      <c r="D522" s="44" t="s">
        <v>10686</v>
      </c>
      <c r="E522" s="31"/>
      <c r="F522" s="31" t="s">
        <v>2243</v>
      </c>
      <c r="G522" s="31" t="n">
        <v>18</v>
      </c>
      <c r="H522" s="31" t="s">
        <v>1947</v>
      </c>
      <c r="I522" s="44" t="s">
        <v>2178</v>
      </c>
      <c r="J522" s="45" t="s">
        <v>2245</v>
      </c>
      <c r="K522" s="45" t="s">
        <v>2247</v>
      </c>
      <c r="L522" s="31" t="n">
        <f aca="false">COUNTIF($B$3:$B$2205,$B522)</f>
        <v>2</v>
      </c>
      <c r="M522" s="44" t="str">
        <f aca="false">IFERROR(INDEX(SENTENCES!$T$3:$T$1802,MATCH($F522,SENTENCES!$A$3:$A$1802,0)),"")</f>
        <v>• Chưa tới</v>
      </c>
    </row>
    <row r="523" customFormat="false" ht="15" hidden="false" customHeight="false" outlineLevel="0" collapsed="false">
      <c r="A523" s="31" t="n">
        <v>521</v>
      </c>
      <c r="B523" s="43" t="s">
        <v>11622</v>
      </c>
      <c r="C523" s="34" t="s">
        <v>11623</v>
      </c>
      <c r="D523" s="44" t="s">
        <v>10677</v>
      </c>
      <c r="E523" s="31" t="s">
        <v>10747</v>
      </c>
      <c r="F523" s="31" t="s">
        <v>2243</v>
      </c>
      <c r="G523" s="31" t="n">
        <v>18</v>
      </c>
      <c r="H523" s="31" t="s">
        <v>1947</v>
      </c>
      <c r="I523" s="44" t="s">
        <v>2178</v>
      </c>
      <c r="J523" s="45" t="s">
        <v>2245</v>
      </c>
      <c r="K523" s="45" t="s">
        <v>2247</v>
      </c>
      <c r="L523" s="31" t="n">
        <f aca="false">COUNTIF($B$3:$B$2205,$B523)</f>
        <v>1</v>
      </c>
      <c r="M523" s="44" t="str">
        <f aca="false">IFERROR(INDEX(SENTENCES!$T$3:$T$1802,MATCH($F523,SENTENCES!$A$3:$A$1802,0)),"")</f>
        <v>• Chưa tới</v>
      </c>
    </row>
    <row r="524" customFormat="false" ht="15" hidden="false" customHeight="false" outlineLevel="0" collapsed="false">
      <c r="A524" s="31" t="n">
        <v>522</v>
      </c>
      <c r="B524" s="43" t="s">
        <v>11624</v>
      </c>
      <c r="C524" s="34" t="s">
        <v>11625</v>
      </c>
      <c r="D524" s="44" t="s">
        <v>10686</v>
      </c>
      <c r="E524" s="31"/>
      <c r="F524" s="31" t="s">
        <v>2249</v>
      </c>
      <c r="G524" s="31" t="n">
        <v>18</v>
      </c>
      <c r="H524" s="31" t="s">
        <v>1947</v>
      </c>
      <c r="I524" s="44" t="s">
        <v>2178</v>
      </c>
      <c r="J524" s="45" t="s">
        <v>2251</v>
      </c>
      <c r="K524" s="45" t="s">
        <v>2253</v>
      </c>
      <c r="L524" s="31" t="n">
        <f aca="false">COUNTIF($B$3:$B$2205,$B524)</f>
        <v>2</v>
      </c>
      <c r="M524" s="44" t="str">
        <f aca="false">IFERROR(INDEX(SENTENCES!$T$3:$T$1802,MATCH($F524,SENTENCES!$A$3:$A$1802,0)),"")</f>
        <v>• Chưa tới</v>
      </c>
    </row>
    <row r="525" customFormat="false" ht="15" hidden="false" customHeight="false" outlineLevel="0" collapsed="false">
      <c r="A525" s="31" t="n">
        <v>523</v>
      </c>
      <c r="B525" s="43" t="s">
        <v>11626</v>
      </c>
      <c r="C525" s="34" t="s">
        <v>11627</v>
      </c>
      <c r="D525" s="44" t="s">
        <v>10677</v>
      </c>
      <c r="E525" s="31" t="s">
        <v>10678</v>
      </c>
      <c r="F525" s="31" t="s">
        <v>2249</v>
      </c>
      <c r="G525" s="31" t="n">
        <v>18</v>
      </c>
      <c r="H525" s="31" t="s">
        <v>1947</v>
      </c>
      <c r="I525" s="44" t="s">
        <v>2178</v>
      </c>
      <c r="J525" s="45" t="s">
        <v>2251</v>
      </c>
      <c r="K525" s="45" t="s">
        <v>2253</v>
      </c>
      <c r="L525" s="31" t="n">
        <f aca="false">COUNTIF($B$3:$B$2205,$B525)</f>
        <v>3</v>
      </c>
      <c r="M525" s="44" t="str">
        <f aca="false">IFERROR(INDEX(SENTENCES!$T$3:$T$1802,MATCH($F525,SENTENCES!$A$3:$A$1802,0)),"")</f>
        <v>• Chưa tới</v>
      </c>
    </row>
    <row r="526" customFormat="false" ht="15" hidden="false" customHeight="false" outlineLevel="0" collapsed="false">
      <c r="A526" s="31" t="n">
        <v>524</v>
      </c>
      <c r="B526" s="43" t="s">
        <v>11628</v>
      </c>
      <c r="C526" s="34" t="s">
        <v>11629</v>
      </c>
      <c r="D526" s="44" t="s">
        <v>10686</v>
      </c>
      <c r="E526" s="31"/>
      <c r="F526" s="31" t="s">
        <v>2255</v>
      </c>
      <c r="G526" s="31" t="n">
        <v>18</v>
      </c>
      <c r="H526" s="31" t="s">
        <v>1947</v>
      </c>
      <c r="I526" s="44" t="s">
        <v>2178</v>
      </c>
      <c r="J526" s="45" t="s">
        <v>2257</v>
      </c>
      <c r="K526" s="45" t="s">
        <v>2259</v>
      </c>
      <c r="L526" s="31" t="n">
        <f aca="false">COUNTIF($B$3:$B$2205,$B526)</f>
        <v>1</v>
      </c>
      <c r="M526" s="44" t="str">
        <f aca="false">IFERROR(INDEX(SENTENCES!$T$3:$T$1802,MATCH($F526,SENTENCES!$A$3:$A$1802,0)),"")</f>
        <v>• Chưa tới</v>
      </c>
    </row>
    <row r="527" customFormat="false" ht="15" hidden="false" customHeight="false" outlineLevel="0" collapsed="false">
      <c r="A527" s="31" t="n">
        <v>525</v>
      </c>
      <c r="B527" s="43" t="s">
        <v>11302</v>
      </c>
      <c r="C527" s="34" t="s">
        <v>11630</v>
      </c>
      <c r="D527" s="44" t="s">
        <v>10686</v>
      </c>
      <c r="E527" s="31"/>
      <c r="F527" s="31" t="s">
        <v>2261</v>
      </c>
      <c r="G527" s="31" t="n">
        <v>18</v>
      </c>
      <c r="H527" s="31" t="s">
        <v>1947</v>
      </c>
      <c r="I527" s="44" t="s">
        <v>2178</v>
      </c>
      <c r="J527" s="45" t="s">
        <v>2263</v>
      </c>
      <c r="K527" s="45" t="s">
        <v>2265</v>
      </c>
      <c r="L527" s="31" t="n">
        <f aca="false">COUNTIF($B$3:$B$2205,$B527)</f>
        <v>3</v>
      </c>
      <c r="M527" s="44" t="str">
        <f aca="false">IFERROR(INDEX(SENTENCES!$T$3:$T$1802,MATCH($F527,SENTENCES!$A$3:$A$1802,0)),"")</f>
        <v>• Chưa tới</v>
      </c>
    </row>
    <row r="528" customFormat="false" ht="15" hidden="false" customHeight="false" outlineLevel="0" collapsed="false">
      <c r="A528" s="31" t="n">
        <v>526</v>
      </c>
      <c r="B528" s="43" t="s">
        <v>11608</v>
      </c>
      <c r="C528" s="34" t="s">
        <v>11631</v>
      </c>
      <c r="D528" s="44" t="s">
        <v>10686</v>
      </c>
      <c r="E528" s="31"/>
      <c r="F528" s="31" t="s">
        <v>2267</v>
      </c>
      <c r="G528" s="31" t="n">
        <v>18</v>
      </c>
      <c r="H528" s="31" t="s">
        <v>1947</v>
      </c>
      <c r="I528" s="44" t="s">
        <v>2178</v>
      </c>
      <c r="J528" s="45" t="s">
        <v>2269</v>
      </c>
      <c r="K528" s="45" t="s">
        <v>2271</v>
      </c>
      <c r="L528" s="31" t="n">
        <f aca="false">COUNTIF($B$3:$B$2205,$B528)</f>
        <v>2</v>
      </c>
      <c r="M528" s="44" t="str">
        <f aca="false">IFERROR(INDEX(SENTENCES!$T$3:$T$1802,MATCH($F528,SENTENCES!$A$3:$A$1802,0)),"")</f>
        <v>• Chưa tới</v>
      </c>
    </row>
    <row r="529" customFormat="false" ht="15" hidden="false" customHeight="false" outlineLevel="0" collapsed="false">
      <c r="A529" s="31" t="n">
        <v>527</v>
      </c>
      <c r="B529" s="43" t="s">
        <v>11632</v>
      </c>
      <c r="C529" s="34" t="s">
        <v>11633</v>
      </c>
      <c r="D529" s="44" t="s">
        <v>10686</v>
      </c>
      <c r="E529" s="31"/>
      <c r="F529" s="31" t="s">
        <v>2273</v>
      </c>
      <c r="G529" s="31" t="n">
        <v>18</v>
      </c>
      <c r="H529" s="31" t="s">
        <v>1947</v>
      </c>
      <c r="I529" s="44" t="s">
        <v>2178</v>
      </c>
      <c r="J529" s="45" t="s">
        <v>2275</v>
      </c>
      <c r="K529" s="45" t="s">
        <v>2277</v>
      </c>
      <c r="L529" s="31" t="n">
        <f aca="false">COUNTIF($B$3:$B$2205,$B529)</f>
        <v>1</v>
      </c>
      <c r="M529" s="44" t="str">
        <f aca="false">IFERROR(INDEX(SENTENCES!$T$3:$T$1802,MATCH($F529,SENTENCES!$A$3:$A$1802,0)),"")</f>
        <v>• Chưa tới</v>
      </c>
    </row>
    <row r="530" customFormat="false" ht="15" hidden="false" customHeight="false" outlineLevel="0" collapsed="false">
      <c r="A530" s="31" t="n">
        <v>528</v>
      </c>
      <c r="B530" s="43" t="s">
        <v>11634</v>
      </c>
      <c r="C530" s="34" t="s">
        <v>11635</v>
      </c>
      <c r="D530" s="44" t="s">
        <v>10677</v>
      </c>
      <c r="E530" s="31" t="s">
        <v>10707</v>
      </c>
      <c r="F530" s="31" t="s">
        <v>2273</v>
      </c>
      <c r="G530" s="31" t="n">
        <v>18</v>
      </c>
      <c r="H530" s="31" t="s">
        <v>1947</v>
      </c>
      <c r="I530" s="44" t="s">
        <v>2178</v>
      </c>
      <c r="J530" s="45" t="s">
        <v>2275</v>
      </c>
      <c r="K530" s="45" t="s">
        <v>2277</v>
      </c>
      <c r="L530" s="31" t="n">
        <f aca="false">COUNTIF($B$3:$B$2205,$B530)</f>
        <v>1</v>
      </c>
      <c r="M530" s="44" t="str">
        <f aca="false">IFERROR(INDEX(SENTENCES!$T$3:$T$1802,MATCH($F530,SENTENCES!$A$3:$A$1802,0)),"")</f>
        <v>• Chưa tới</v>
      </c>
    </row>
    <row r="531" customFormat="false" ht="15" hidden="false" customHeight="false" outlineLevel="0" collapsed="false">
      <c r="A531" s="31" t="n">
        <v>529</v>
      </c>
      <c r="B531" s="43" t="s">
        <v>11636</v>
      </c>
      <c r="C531" s="34" t="s">
        <v>11637</v>
      </c>
      <c r="D531" s="44" t="s">
        <v>10686</v>
      </c>
      <c r="E531" s="31"/>
      <c r="F531" s="31" t="s">
        <v>2279</v>
      </c>
      <c r="G531" s="31" t="n">
        <v>18</v>
      </c>
      <c r="H531" s="31" t="s">
        <v>1947</v>
      </c>
      <c r="I531" s="44" t="s">
        <v>2178</v>
      </c>
      <c r="J531" s="45" t="s">
        <v>2281</v>
      </c>
      <c r="K531" s="45" t="s">
        <v>2283</v>
      </c>
      <c r="L531" s="31" t="n">
        <f aca="false">COUNTIF($B$3:$B$2205,$B531)</f>
        <v>1</v>
      </c>
      <c r="M531" s="44" t="str">
        <f aca="false">IFERROR(INDEX(SENTENCES!$T$3:$T$1802,MATCH($F531,SENTENCES!$A$3:$A$1802,0)),"")</f>
        <v>• Chưa tới</v>
      </c>
    </row>
    <row r="532" customFormat="false" ht="15" hidden="false" customHeight="false" outlineLevel="0" collapsed="false">
      <c r="A532" s="31" t="n">
        <v>530</v>
      </c>
      <c r="B532" s="43" t="s">
        <v>11638</v>
      </c>
      <c r="C532" s="34" t="s">
        <v>11639</v>
      </c>
      <c r="D532" s="44" t="s">
        <v>10677</v>
      </c>
      <c r="E532" s="31" t="s">
        <v>10747</v>
      </c>
      <c r="F532" s="31" t="s">
        <v>2279</v>
      </c>
      <c r="G532" s="31" t="n">
        <v>18</v>
      </c>
      <c r="H532" s="31" t="s">
        <v>1947</v>
      </c>
      <c r="I532" s="44" t="s">
        <v>2178</v>
      </c>
      <c r="J532" s="45" t="s">
        <v>2281</v>
      </c>
      <c r="K532" s="45" t="s">
        <v>2283</v>
      </c>
      <c r="L532" s="31" t="n">
        <f aca="false">COUNTIF($B$3:$B$2205,$B532)</f>
        <v>1</v>
      </c>
      <c r="M532" s="44" t="str">
        <f aca="false">IFERROR(INDEX(SENTENCES!$T$3:$T$1802,MATCH($F532,SENTENCES!$A$3:$A$1802,0)),"")</f>
        <v>• Chưa tới</v>
      </c>
    </row>
    <row r="533" customFormat="false" ht="15" hidden="false" customHeight="false" outlineLevel="0" collapsed="false">
      <c r="A533" s="31" t="n">
        <v>531</v>
      </c>
      <c r="B533" s="43" t="s">
        <v>11640</v>
      </c>
      <c r="C533" s="34" t="s">
        <v>11641</v>
      </c>
      <c r="D533" s="44" t="s">
        <v>10677</v>
      </c>
      <c r="E533" s="31" t="s">
        <v>10707</v>
      </c>
      <c r="F533" s="31" t="s">
        <v>2285</v>
      </c>
      <c r="G533" s="31" t="n">
        <v>18</v>
      </c>
      <c r="H533" s="31" t="s">
        <v>1947</v>
      </c>
      <c r="I533" s="44" t="s">
        <v>2178</v>
      </c>
      <c r="J533" s="45" t="s">
        <v>2287</v>
      </c>
      <c r="K533" s="45" t="s">
        <v>2289</v>
      </c>
      <c r="L533" s="31" t="n">
        <f aca="false">COUNTIF($B$3:$B$2205,$B533)</f>
        <v>2</v>
      </c>
      <c r="M533" s="44" t="str">
        <f aca="false">IFERROR(INDEX(SENTENCES!$T$3:$T$1802,MATCH($F533,SENTENCES!$A$3:$A$1802,0)),"")</f>
        <v>• Chưa tới</v>
      </c>
    </row>
    <row r="534" customFormat="false" ht="15" hidden="false" customHeight="false" outlineLevel="0" collapsed="false">
      <c r="A534" s="31" t="n">
        <v>532</v>
      </c>
      <c r="B534" s="43" t="s">
        <v>11642</v>
      </c>
      <c r="C534" s="34" t="s">
        <v>11643</v>
      </c>
      <c r="D534" s="44" t="s">
        <v>10686</v>
      </c>
      <c r="E534" s="31"/>
      <c r="F534" s="31" t="s">
        <v>2291</v>
      </c>
      <c r="G534" s="31" t="n">
        <v>18</v>
      </c>
      <c r="H534" s="31" t="s">
        <v>1947</v>
      </c>
      <c r="I534" s="44" t="s">
        <v>2178</v>
      </c>
      <c r="J534" s="45" t="s">
        <v>2293</v>
      </c>
      <c r="K534" s="45" t="s">
        <v>2295</v>
      </c>
      <c r="L534" s="31" t="n">
        <f aca="false">COUNTIF($B$3:$B$2205,$B534)</f>
        <v>2</v>
      </c>
      <c r="M534" s="44" t="str">
        <f aca="false">IFERROR(INDEX(SENTENCES!$T$3:$T$1802,MATCH($F534,SENTENCES!$A$3:$A$1802,0)),"")</f>
        <v>• Chưa tới</v>
      </c>
    </row>
    <row r="535" customFormat="false" ht="15" hidden="false" customHeight="false" outlineLevel="0" collapsed="false">
      <c r="A535" s="31" t="n">
        <v>533</v>
      </c>
      <c r="B535" s="43" t="s">
        <v>11644</v>
      </c>
      <c r="C535" s="34" t="s">
        <v>11645</v>
      </c>
      <c r="D535" s="44" t="s">
        <v>10686</v>
      </c>
      <c r="E535" s="31"/>
      <c r="F535" s="31" t="s">
        <v>2297</v>
      </c>
      <c r="G535" s="31" t="n">
        <v>19</v>
      </c>
      <c r="H535" s="31" t="s">
        <v>1947</v>
      </c>
      <c r="I535" s="44" t="s">
        <v>2298</v>
      </c>
      <c r="J535" s="45" t="s">
        <v>2299</v>
      </c>
      <c r="K535" s="45" t="s">
        <v>2301</v>
      </c>
      <c r="L535" s="31" t="n">
        <f aca="false">COUNTIF($B$3:$B$2205,$B535)</f>
        <v>1</v>
      </c>
      <c r="M535" s="44" t="str">
        <f aca="false">IFERROR(INDEX(SENTENCES!$T$3:$T$1802,MATCH($F535,SENTENCES!$A$3:$A$1802,0)),"")</f>
        <v>• Chưa tới</v>
      </c>
    </row>
    <row r="536" customFormat="false" ht="15" hidden="false" customHeight="false" outlineLevel="0" collapsed="false">
      <c r="A536" s="31" t="n">
        <v>534</v>
      </c>
      <c r="B536" s="43" t="s">
        <v>11646</v>
      </c>
      <c r="C536" s="34" t="s">
        <v>11647</v>
      </c>
      <c r="D536" s="44" t="s">
        <v>10681</v>
      </c>
      <c r="E536" s="31"/>
      <c r="F536" s="31" t="s">
        <v>2303</v>
      </c>
      <c r="G536" s="31" t="n">
        <v>19</v>
      </c>
      <c r="H536" s="31" t="s">
        <v>1947</v>
      </c>
      <c r="I536" s="44" t="s">
        <v>2298</v>
      </c>
      <c r="J536" s="45" t="s">
        <v>2305</v>
      </c>
      <c r="K536" s="45" t="s">
        <v>2307</v>
      </c>
      <c r="L536" s="31" t="n">
        <f aca="false">COUNTIF($B$3:$B$2205,$B536)</f>
        <v>1</v>
      </c>
      <c r="M536" s="44" t="str">
        <f aca="false">IFERROR(INDEX(SENTENCES!$T$3:$T$1802,MATCH($F536,SENTENCES!$A$3:$A$1802,0)),"")</f>
        <v>• Chưa tới</v>
      </c>
    </row>
    <row r="537" customFormat="false" ht="15" hidden="false" customHeight="false" outlineLevel="0" collapsed="false">
      <c r="A537" s="31" t="n">
        <v>535</v>
      </c>
      <c r="B537" s="43" t="s">
        <v>11648</v>
      </c>
      <c r="C537" s="34" t="s">
        <v>11649</v>
      </c>
      <c r="D537" s="44" t="s">
        <v>10686</v>
      </c>
      <c r="E537" s="31"/>
      <c r="F537" s="31" t="s">
        <v>2303</v>
      </c>
      <c r="G537" s="31" t="n">
        <v>19</v>
      </c>
      <c r="H537" s="31" t="s">
        <v>1947</v>
      </c>
      <c r="I537" s="44" t="s">
        <v>2298</v>
      </c>
      <c r="J537" s="45" t="s">
        <v>2305</v>
      </c>
      <c r="K537" s="45" t="s">
        <v>2307</v>
      </c>
      <c r="L537" s="31" t="n">
        <f aca="false">COUNTIF($B$3:$B$2205,$B537)</f>
        <v>1</v>
      </c>
      <c r="M537" s="44" t="str">
        <f aca="false">IFERROR(INDEX(SENTENCES!$T$3:$T$1802,MATCH($F537,SENTENCES!$A$3:$A$1802,0)),"")</f>
        <v>• Chưa tới</v>
      </c>
    </row>
    <row r="538" customFormat="false" ht="15" hidden="false" customHeight="false" outlineLevel="0" collapsed="false">
      <c r="A538" s="31" t="n">
        <v>536</v>
      </c>
      <c r="B538" s="43" t="s">
        <v>11067</v>
      </c>
      <c r="C538" s="34" t="s">
        <v>11068</v>
      </c>
      <c r="D538" s="44" t="s">
        <v>10686</v>
      </c>
      <c r="E538" s="31"/>
      <c r="F538" s="31" t="s">
        <v>2309</v>
      </c>
      <c r="G538" s="31" t="n">
        <v>19</v>
      </c>
      <c r="H538" s="31" t="s">
        <v>1947</v>
      </c>
      <c r="I538" s="44" t="s">
        <v>2298</v>
      </c>
      <c r="J538" s="45" t="s">
        <v>2311</v>
      </c>
      <c r="K538" s="45" t="s">
        <v>2313</v>
      </c>
      <c r="L538" s="31" t="n">
        <f aca="false">COUNTIF($B$3:$B$2205,$B538)</f>
        <v>4</v>
      </c>
      <c r="M538" s="44" t="str">
        <f aca="false">IFERROR(INDEX(SENTENCES!$T$3:$T$1802,MATCH($F538,SENTENCES!$A$3:$A$1802,0)),"")</f>
        <v>• Chưa tới</v>
      </c>
    </row>
    <row r="539" customFormat="false" ht="15" hidden="false" customHeight="false" outlineLevel="0" collapsed="false">
      <c r="A539" s="31" t="n">
        <v>537</v>
      </c>
      <c r="B539" s="43" t="s">
        <v>11650</v>
      </c>
      <c r="C539" s="34" t="s">
        <v>11651</v>
      </c>
      <c r="D539" s="44" t="s">
        <v>10677</v>
      </c>
      <c r="E539" s="31" t="s">
        <v>10707</v>
      </c>
      <c r="F539" s="31" t="s">
        <v>2315</v>
      </c>
      <c r="G539" s="31" t="n">
        <v>19</v>
      </c>
      <c r="H539" s="31" t="s">
        <v>1947</v>
      </c>
      <c r="I539" s="44" t="s">
        <v>2298</v>
      </c>
      <c r="J539" s="45" t="s">
        <v>2317</v>
      </c>
      <c r="K539" s="45" t="s">
        <v>2319</v>
      </c>
      <c r="L539" s="31" t="n">
        <f aca="false">COUNTIF($B$3:$B$2205,$B539)</f>
        <v>2</v>
      </c>
      <c r="M539" s="44" t="str">
        <f aca="false">IFERROR(INDEX(SENTENCES!$T$3:$T$1802,MATCH($F539,SENTENCES!$A$3:$A$1802,0)),"")</f>
        <v>• Chưa tới</v>
      </c>
    </row>
    <row r="540" customFormat="false" ht="15" hidden="false" customHeight="false" outlineLevel="0" collapsed="false">
      <c r="A540" s="31" t="n">
        <v>538</v>
      </c>
      <c r="B540" s="43" t="s">
        <v>11652</v>
      </c>
      <c r="C540" s="34" t="s">
        <v>11653</v>
      </c>
      <c r="D540" s="44" t="s">
        <v>10681</v>
      </c>
      <c r="E540" s="31"/>
      <c r="F540" s="31" t="s">
        <v>2315</v>
      </c>
      <c r="G540" s="31" t="n">
        <v>19</v>
      </c>
      <c r="H540" s="31" t="s">
        <v>1947</v>
      </c>
      <c r="I540" s="44" t="s">
        <v>2298</v>
      </c>
      <c r="J540" s="45" t="s">
        <v>2317</v>
      </c>
      <c r="K540" s="45" t="s">
        <v>2319</v>
      </c>
      <c r="L540" s="31" t="n">
        <f aca="false">COUNTIF($B$3:$B$2205,$B540)</f>
        <v>1</v>
      </c>
      <c r="M540" s="44" t="str">
        <f aca="false">IFERROR(INDEX(SENTENCES!$T$3:$T$1802,MATCH($F540,SENTENCES!$A$3:$A$1802,0)),"")</f>
        <v>• Chưa tới</v>
      </c>
    </row>
    <row r="541" customFormat="false" ht="15" hidden="false" customHeight="false" outlineLevel="0" collapsed="false">
      <c r="A541" s="31" t="n">
        <v>539</v>
      </c>
      <c r="B541" s="43" t="s">
        <v>11654</v>
      </c>
      <c r="C541" s="34" t="s">
        <v>11655</v>
      </c>
      <c r="D541" s="44" t="s">
        <v>10677</v>
      </c>
      <c r="E541" s="31" t="s">
        <v>10747</v>
      </c>
      <c r="F541" s="31" t="s">
        <v>2321</v>
      </c>
      <c r="G541" s="31" t="n">
        <v>19</v>
      </c>
      <c r="H541" s="31" t="s">
        <v>1947</v>
      </c>
      <c r="I541" s="44" t="s">
        <v>2298</v>
      </c>
      <c r="J541" s="45" t="s">
        <v>2323</v>
      </c>
      <c r="K541" s="45" t="s">
        <v>2325</v>
      </c>
      <c r="L541" s="31" t="n">
        <f aca="false">COUNTIF($B$3:$B$2205,$B541)</f>
        <v>1</v>
      </c>
      <c r="M541" s="44" t="str">
        <f aca="false">IFERROR(INDEX(SENTENCES!$T$3:$T$1802,MATCH($F541,SENTENCES!$A$3:$A$1802,0)),"")</f>
        <v>• Chưa tới</v>
      </c>
    </row>
    <row r="542" customFormat="false" ht="15" hidden="false" customHeight="false" outlineLevel="0" collapsed="false">
      <c r="A542" s="31" t="n">
        <v>540</v>
      </c>
      <c r="B542" s="43" t="s">
        <v>11656</v>
      </c>
      <c r="C542" s="34" t="s">
        <v>11657</v>
      </c>
      <c r="D542" s="44" t="s">
        <v>10681</v>
      </c>
      <c r="E542" s="31"/>
      <c r="F542" s="31" t="s">
        <v>2321</v>
      </c>
      <c r="G542" s="31" t="n">
        <v>19</v>
      </c>
      <c r="H542" s="31" t="s">
        <v>1947</v>
      </c>
      <c r="I542" s="44" t="s">
        <v>2298</v>
      </c>
      <c r="J542" s="45" t="s">
        <v>2323</v>
      </c>
      <c r="K542" s="45" t="s">
        <v>2325</v>
      </c>
      <c r="L542" s="31" t="n">
        <f aca="false">COUNTIF($B$3:$B$2205,$B542)</f>
        <v>3</v>
      </c>
      <c r="M542" s="44" t="str">
        <f aca="false">IFERROR(INDEX(SENTENCES!$T$3:$T$1802,MATCH($F542,SENTENCES!$A$3:$A$1802,0)),"")</f>
        <v>• Chưa tới</v>
      </c>
    </row>
    <row r="543" customFormat="false" ht="15" hidden="false" customHeight="false" outlineLevel="0" collapsed="false">
      <c r="A543" s="31" t="n">
        <v>541</v>
      </c>
      <c r="B543" s="43" t="s">
        <v>11658</v>
      </c>
      <c r="C543" s="34" t="s">
        <v>11659</v>
      </c>
      <c r="D543" s="44" t="s">
        <v>10681</v>
      </c>
      <c r="E543" s="31"/>
      <c r="F543" s="31" t="s">
        <v>2327</v>
      </c>
      <c r="G543" s="31" t="n">
        <v>19</v>
      </c>
      <c r="H543" s="31" t="s">
        <v>1947</v>
      </c>
      <c r="I543" s="44" t="s">
        <v>2298</v>
      </c>
      <c r="J543" s="45" t="s">
        <v>2329</v>
      </c>
      <c r="K543" s="45" t="s">
        <v>2331</v>
      </c>
      <c r="L543" s="31" t="n">
        <f aca="false">COUNTIF($B$3:$B$2205,$B543)</f>
        <v>4</v>
      </c>
      <c r="M543" s="44" t="str">
        <f aca="false">IFERROR(INDEX(SENTENCES!$T$3:$T$1802,MATCH($F543,SENTENCES!$A$3:$A$1802,0)),"")</f>
        <v>• Chưa tới</v>
      </c>
    </row>
    <row r="544" customFormat="false" ht="15" hidden="false" customHeight="false" outlineLevel="0" collapsed="false">
      <c r="A544" s="31" t="n">
        <v>542</v>
      </c>
      <c r="B544" s="43" t="s">
        <v>11660</v>
      </c>
      <c r="C544" s="34" t="s">
        <v>11661</v>
      </c>
      <c r="D544" s="44" t="s">
        <v>10681</v>
      </c>
      <c r="E544" s="31"/>
      <c r="F544" s="31" t="s">
        <v>2333</v>
      </c>
      <c r="G544" s="31" t="n">
        <v>19</v>
      </c>
      <c r="H544" s="31" t="s">
        <v>1947</v>
      </c>
      <c r="I544" s="44" t="s">
        <v>2298</v>
      </c>
      <c r="J544" s="45" t="s">
        <v>2335</v>
      </c>
      <c r="K544" s="45" t="s">
        <v>2337</v>
      </c>
      <c r="L544" s="31" t="n">
        <f aca="false">COUNTIF($B$3:$B$2205,$B544)</f>
        <v>1</v>
      </c>
      <c r="M544" s="44" t="str">
        <f aca="false">IFERROR(INDEX(SENTENCES!$T$3:$T$1802,MATCH($F544,SENTENCES!$A$3:$A$1802,0)),"")</f>
        <v>• Chưa tới</v>
      </c>
    </row>
    <row r="545" customFormat="false" ht="15" hidden="false" customHeight="false" outlineLevel="0" collapsed="false">
      <c r="A545" s="31" t="n">
        <v>543</v>
      </c>
      <c r="B545" s="43" t="s">
        <v>11662</v>
      </c>
      <c r="C545" s="34" t="s">
        <v>11663</v>
      </c>
      <c r="D545" s="44" t="s">
        <v>10686</v>
      </c>
      <c r="E545" s="31"/>
      <c r="F545" s="31" t="s">
        <v>2339</v>
      </c>
      <c r="G545" s="31" t="n">
        <v>19</v>
      </c>
      <c r="H545" s="31" t="s">
        <v>1947</v>
      </c>
      <c r="I545" s="44" t="s">
        <v>2298</v>
      </c>
      <c r="J545" s="45" t="s">
        <v>2341</v>
      </c>
      <c r="K545" s="45" t="s">
        <v>2343</v>
      </c>
      <c r="L545" s="31" t="n">
        <f aca="false">COUNTIF($B$3:$B$2205,$B545)</f>
        <v>1</v>
      </c>
      <c r="M545" s="44" t="str">
        <f aca="false">IFERROR(INDEX(SENTENCES!$T$3:$T$1802,MATCH($F545,SENTENCES!$A$3:$A$1802,0)),"")</f>
        <v>• Chưa tới</v>
      </c>
    </row>
    <row r="546" customFormat="false" ht="15" hidden="false" customHeight="false" outlineLevel="0" collapsed="false">
      <c r="A546" s="31" t="n">
        <v>544</v>
      </c>
      <c r="B546" s="43" t="s">
        <v>11664</v>
      </c>
      <c r="C546" s="34" t="s">
        <v>10700</v>
      </c>
      <c r="D546" s="44" t="s">
        <v>10681</v>
      </c>
      <c r="E546" s="31"/>
      <c r="F546" s="31" t="s">
        <v>2339</v>
      </c>
      <c r="G546" s="31" t="n">
        <v>19</v>
      </c>
      <c r="H546" s="31" t="s">
        <v>1947</v>
      </c>
      <c r="I546" s="44" t="s">
        <v>2298</v>
      </c>
      <c r="J546" s="45" t="s">
        <v>2341</v>
      </c>
      <c r="K546" s="45" t="s">
        <v>2343</v>
      </c>
      <c r="L546" s="31" t="n">
        <f aca="false">COUNTIF($B$3:$B$2205,$B546)</f>
        <v>1</v>
      </c>
      <c r="M546" s="44" t="str">
        <f aca="false">IFERROR(INDEX(SENTENCES!$T$3:$T$1802,MATCH($F546,SENTENCES!$A$3:$A$1802,0)),"")</f>
        <v>• Chưa tới</v>
      </c>
    </row>
    <row r="547" customFormat="false" ht="15" hidden="false" customHeight="false" outlineLevel="0" collapsed="false">
      <c r="A547" s="31" t="n">
        <v>545</v>
      </c>
      <c r="B547" s="43" t="s">
        <v>11665</v>
      </c>
      <c r="C547" s="34" t="s">
        <v>11666</v>
      </c>
      <c r="D547" s="44" t="s">
        <v>10681</v>
      </c>
      <c r="E547" s="31"/>
      <c r="F547" s="31" t="s">
        <v>2345</v>
      </c>
      <c r="G547" s="31" t="n">
        <v>19</v>
      </c>
      <c r="H547" s="31" t="s">
        <v>1947</v>
      </c>
      <c r="I547" s="44" t="s">
        <v>2298</v>
      </c>
      <c r="J547" s="45" t="s">
        <v>2347</v>
      </c>
      <c r="K547" s="45" t="s">
        <v>2349</v>
      </c>
      <c r="L547" s="31" t="n">
        <f aca="false">COUNTIF($B$3:$B$2205,$B547)</f>
        <v>1</v>
      </c>
      <c r="M547" s="44" t="str">
        <f aca="false">IFERROR(INDEX(SENTENCES!$T$3:$T$1802,MATCH($F547,SENTENCES!$A$3:$A$1802,0)),"")</f>
        <v>• Chưa tới</v>
      </c>
    </row>
    <row r="548" customFormat="false" ht="15" hidden="false" customHeight="false" outlineLevel="0" collapsed="false">
      <c r="A548" s="31" t="n">
        <v>546</v>
      </c>
      <c r="B548" s="43" t="s">
        <v>11667</v>
      </c>
      <c r="C548" s="34" t="s">
        <v>11668</v>
      </c>
      <c r="D548" s="44" t="s">
        <v>10677</v>
      </c>
      <c r="E548" s="31" t="s">
        <v>10747</v>
      </c>
      <c r="F548" s="31" t="s">
        <v>2345</v>
      </c>
      <c r="G548" s="31" t="n">
        <v>19</v>
      </c>
      <c r="H548" s="31" t="s">
        <v>1947</v>
      </c>
      <c r="I548" s="44" t="s">
        <v>2298</v>
      </c>
      <c r="J548" s="45" t="s">
        <v>2347</v>
      </c>
      <c r="K548" s="45" t="s">
        <v>2349</v>
      </c>
      <c r="L548" s="31" t="n">
        <f aca="false">COUNTIF($B$3:$B$2205,$B548)</f>
        <v>1</v>
      </c>
      <c r="M548" s="44" t="str">
        <f aca="false">IFERROR(INDEX(SENTENCES!$T$3:$T$1802,MATCH($F548,SENTENCES!$A$3:$A$1802,0)),"")</f>
        <v>• Chưa tới</v>
      </c>
    </row>
    <row r="549" customFormat="false" ht="15" hidden="false" customHeight="false" outlineLevel="0" collapsed="false">
      <c r="A549" s="31" t="n">
        <v>547</v>
      </c>
      <c r="B549" s="43" t="s">
        <v>11392</v>
      </c>
      <c r="C549" s="34" t="s">
        <v>11393</v>
      </c>
      <c r="D549" s="44" t="s">
        <v>10681</v>
      </c>
      <c r="E549" s="31"/>
      <c r="F549" s="31" t="s">
        <v>2351</v>
      </c>
      <c r="G549" s="31" t="n">
        <v>19</v>
      </c>
      <c r="H549" s="31" t="s">
        <v>1947</v>
      </c>
      <c r="I549" s="44" t="s">
        <v>2298</v>
      </c>
      <c r="J549" s="45" t="s">
        <v>2353</v>
      </c>
      <c r="K549" s="45" t="s">
        <v>2355</v>
      </c>
      <c r="L549" s="31" t="n">
        <f aca="false">COUNTIF($B$3:$B$2205,$B549)</f>
        <v>2</v>
      </c>
      <c r="M549" s="44" t="str">
        <f aca="false">IFERROR(INDEX(SENTENCES!$T$3:$T$1802,MATCH($F549,SENTENCES!$A$3:$A$1802,0)),"")</f>
        <v>• Chưa tới</v>
      </c>
    </row>
    <row r="550" customFormat="false" ht="15" hidden="false" customHeight="false" outlineLevel="0" collapsed="false">
      <c r="A550" s="31" t="n">
        <v>548</v>
      </c>
      <c r="B550" s="43" t="s">
        <v>11182</v>
      </c>
      <c r="C550" s="34" t="s">
        <v>11183</v>
      </c>
      <c r="D550" s="44" t="s">
        <v>10686</v>
      </c>
      <c r="E550" s="31"/>
      <c r="F550" s="31" t="s">
        <v>2356</v>
      </c>
      <c r="G550" s="31" t="n">
        <v>19</v>
      </c>
      <c r="H550" s="31" t="s">
        <v>1947</v>
      </c>
      <c r="I550" s="44" t="s">
        <v>2298</v>
      </c>
      <c r="J550" s="45" t="s">
        <v>2358</v>
      </c>
      <c r="K550" s="45" t="s">
        <v>2360</v>
      </c>
      <c r="L550" s="31" t="n">
        <f aca="false">COUNTIF($B$3:$B$2205,$B550)</f>
        <v>2</v>
      </c>
      <c r="M550" s="44" t="str">
        <f aca="false">IFERROR(INDEX(SENTENCES!$T$3:$T$1802,MATCH($F550,SENTENCES!$A$3:$A$1802,0)),"")</f>
        <v>• Chưa tới</v>
      </c>
    </row>
    <row r="551" customFormat="false" ht="15" hidden="false" customHeight="false" outlineLevel="0" collapsed="false">
      <c r="A551" s="31" t="n">
        <v>549</v>
      </c>
      <c r="B551" s="43" t="s">
        <v>11669</v>
      </c>
      <c r="C551" s="34" t="s">
        <v>11670</v>
      </c>
      <c r="D551" s="44" t="s">
        <v>10681</v>
      </c>
      <c r="E551" s="31"/>
      <c r="F551" s="31" t="s">
        <v>2362</v>
      </c>
      <c r="G551" s="31" t="n">
        <v>19</v>
      </c>
      <c r="H551" s="31" t="s">
        <v>1947</v>
      </c>
      <c r="I551" s="44" t="s">
        <v>2298</v>
      </c>
      <c r="J551" s="45" t="s">
        <v>2364</v>
      </c>
      <c r="K551" s="45" t="s">
        <v>2366</v>
      </c>
      <c r="L551" s="31" t="n">
        <f aca="false">COUNTIF($B$3:$B$2205,$B551)</f>
        <v>1</v>
      </c>
      <c r="M551" s="44" t="str">
        <f aca="false">IFERROR(INDEX(SENTENCES!$T$3:$T$1802,MATCH($F551,SENTENCES!$A$3:$A$1802,0)),"")</f>
        <v>• Chưa tới</v>
      </c>
    </row>
    <row r="552" customFormat="false" ht="15" hidden="false" customHeight="false" outlineLevel="0" collapsed="false">
      <c r="A552" s="31" t="n">
        <v>550</v>
      </c>
      <c r="B552" s="43" t="s">
        <v>11671</v>
      </c>
      <c r="C552" s="34" t="s">
        <v>11672</v>
      </c>
      <c r="D552" s="44" t="s">
        <v>10681</v>
      </c>
      <c r="E552" s="31"/>
      <c r="F552" s="31" t="s">
        <v>2368</v>
      </c>
      <c r="G552" s="31" t="n">
        <v>19</v>
      </c>
      <c r="H552" s="31" t="s">
        <v>1947</v>
      </c>
      <c r="I552" s="44" t="s">
        <v>2298</v>
      </c>
      <c r="J552" s="45" t="s">
        <v>2370</v>
      </c>
      <c r="K552" s="45" t="s">
        <v>2372</v>
      </c>
      <c r="L552" s="31" t="n">
        <f aca="false">COUNTIF($B$3:$B$2205,$B552)</f>
        <v>2</v>
      </c>
      <c r="M552" s="44" t="str">
        <f aca="false">IFERROR(INDEX(SENTENCES!$T$3:$T$1802,MATCH($F552,SENTENCES!$A$3:$A$1802,0)),"")</f>
        <v>• Chưa tới</v>
      </c>
    </row>
    <row r="553" customFormat="false" ht="15" hidden="false" customHeight="false" outlineLevel="0" collapsed="false">
      <c r="A553" s="31" t="n">
        <v>551</v>
      </c>
      <c r="B553" s="43" t="s">
        <v>11673</v>
      </c>
      <c r="C553" s="34" t="s">
        <v>11674</v>
      </c>
      <c r="D553" s="44" t="s">
        <v>10794</v>
      </c>
      <c r="E553" s="31"/>
      <c r="F553" s="31" t="s">
        <v>2374</v>
      </c>
      <c r="G553" s="31" t="n">
        <v>19</v>
      </c>
      <c r="H553" s="31" t="s">
        <v>1947</v>
      </c>
      <c r="I553" s="44" t="s">
        <v>2298</v>
      </c>
      <c r="J553" s="45" t="s">
        <v>2376</v>
      </c>
      <c r="K553" s="45" t="s">
        <v>2378</v>
      </c>
      <c r="L553" s="31" t="n">
        <f aca="false">COUNTIF($B$3:$B$2205,$B553)</f>
        <v>2</v>
      </c>
      <c r="M553" s="44" t="str">
        <f aca="false">IFERROR(INDEX(SENTENCES!$T$3:$T$1802,MATCH($F553,SENTENCES!$A$3:$A$1802,0)),"")</f>
        <v>• Chưa tới</v>
      </c>
    </row>
    <row r="554" customFormat="false" ht="15" hidden="false" customHeight="false" outlineLevel="0" collapsed="false">
      <c r="A554" s="31" t="n">
        <v>552</v>
      </c>
      <c r="B554" s="43" t="s">
        <v>11121</v>
      </c>
      <c r="C554" s="34" t="s">
        <v>11122</v>
      </c>
      <c r="D554" s="44" t="s">
        <v>10677</v>
      </c>
      <c r="E554" s="31" t="s">
        <v>10678</v>
      </c>
      <c r="F554" s="31" t="s">
        <v>2380</v>
      </c>
      <c r="G554" s="31" t="n">
        <v>19</v>
      </c>
      <c r="H554" s="31" t="s">
        <v>1947</v>
      </c>
      <c r="I554" s="44" t="s">
        <v>2298</v>
      </c>
      <c r="J554" s="45" t="s">
        <v>2382</v>
      </c>
      <c r="K554" s="45" t="s">
        <v>2384</v>
      </c>
      <c r="L554" s="31" t="n">
        <f aca="false">COUNTIF($B$3:$B$2205,$B554)</f>
        <v>4</v>
      </c>
      <c r="M554" s="44" t="str">
        <f aca="false">IFERROR(INDEX(SENTENCES!$T$3:$T$1802,MATCH($F554,SENTENCES!$A$3:$A$1802,0)),"")</f>
        <v>• Chưa tới</v>
      </c>
    </row>
    <row r="555" customFormat="false" ht="15" hidden="false" customHeight="false" outlineLevel="0" collapsed="false">
      <c r="A555" s="31" t="n">
        <v>553</v>
      </c>
      <c r="B555" s="43" t="s">
        <v>11675</v>
      </c>
      <c r="C555" s="34" t="s">
        <v>11676</v>
      </c>
      <c r="D555" s="44" t="s">
        <v>10686</v>
      </c>
      <c r="E555" s="31"/>
      <c r="F555" s="31" t="s">
        <v>2385</v>
      </c>
      <c r="G555" s="31" t="n">
        <v>19</v>
      </c>
      <c r="H555" s="31" t="s">
        <v>1947</v>
      </c>
      <c r="I555" s="44" t="s">
        <v>2298</v>
      </c>
      <c r="J555" s="45" t="s">
        <v>2387</v>
      </c>
      <c r="K555" s="45" t="s">
        <v>2389</v>
      </c>
      <c r="L555" s="31" t="n">
        <f aca="false">COUNTIF($B$3:$B$2205,$B555)</f>
        <v>1</v>
      </c>
      <c r="M555" s="44" t="str">
        <f aca="false">IFERROR(INDEX(SENTENCES!$T$3:$T$1802,MATCH($F555,SENTENCES!$A$3:$A$1802,0)),"")</f>
        <v>• Chưa tới</v>
      </c>
    </row>
    <row r="556" customFormat="false" ht="15" hidden="false" customHeight="false" outlineLevel="0" collapsed="false">
      <c r="A556" s="31" t="n">
        <v>554</v>
      </c>
      <c r="B556" s="43" t="s">
        <v>11677</v>
      </c>
      <c r="C556" s="34" t="s">
        <v>11678</v>
      </c>
      <c r="D556" s="44" t="s">
        <v>10677</v>
      </c>
      <c r="E556" s="31" t="s">
        <v>10707</v>
      </c>
      <c r="F556" s="31" t="s">
        <v>2385</v>
      </c>
      <c r="G556" s="31" t="n">
        <v>19</v>
      </c>
      <c r="H556" s="31" t="s">
        <v>1947</v>
      </c>
      <c r="I556" s="44" t="s">
        <v>2298</v>
      </c>
      <c r="J556" s="45" t="s">
        <v>2387</v>
      </c>
      <c r="K556" s="45" t="s">
        <v>2389</v>
      </c>
      <c r="L556" s="31" t="n">
        <f aca="false">COUNTIF($B$3:$B$2205,$B556)</f>
        <v>2</v>
      </c>
      <c r="M556" s="44" t="str">
        <f aca="false">IFERROR(INDEX(SENTENCES!$T$3:$T$1802,MATCH($F556,SENTENCES!$A$3:$A$1802,0)),"")</f>
        <v>• Chưa tới</v>
      </c>
    </row>
    <row r="557" customFormat="false" ht="15" hidden="false" customHeight="false" outlineLevel="0" collapsed="false">
      <c r="A557" s="31" t="n">
        <v>555</v>
      </c>
      <c r="B557" s="43" t="s">
        <v>11679</v>
      </c>
      <c r="C557" s="34" t="s">
        <v>11680</v>
      </c>
      <c r="D557" s="44" t="s">
        <v>10677</v>
      </c>
      <c r="E557" s="31" t="s">
        <v>10678</v>
      </c>
      <c r="F557" s="31" t="s">
        <v>2391</v>
      </c>
      <c r="G557" s="31" t="n">
        <v>19</v>
      </c>
      <c r="H557" s="31" t="s">
        <v>1947</v>
      </c>
      <c r="I557" s="44" t="s">
        <v>2298</v>
      </c>
      <c r="J557" s="45" t="s">
        <v>2393</v>
      </c>
      <c r="K557" s="45" t="s">
        <v>2395</v>
      </c>
      <c r="L557" s="31" t="n">
        <f aca="false">COUNTIF($B$3:$B$2205,$B557)</f>
        <v>1</v>
      </c>
      <c r="M557" s="44" t="str">
        <f aca="false">IFERROR(INDEX(SENTENCES!$T$3:$T$1802,MATCH($F557,SENTENCES!$A$3:$A$1802,0)),"")</f>
        <v>• Chưa tới</v>
      </c>
    </row>
    <row r="558" customFormat="false" ht="15" hidden="false" customHeight="false" outlineLevel="0" collapsed="false">
      <c r="A558" s="31" t="n">
        <v>556</v>
      </c>
      <c r="B558" s="43" t="s">
        <v>11681</v>
      </c>
      <c r="C558" s="34" t="s">
        <v>11682</v>
      </c>
      <c r="D558" s="44" t="s">
        <v>10677</v>
      </c>
      <c r="E558" s="31" t="s">
        <v>10678</v>
      </c>
      <c r="F558" s="31" t="s">
        <v>2397</v>
      </c>
      <c r="G558" s="31" t="n">
        <v>19</v>
      </c>
      <c r="H558" s="31" t="s">
        <v>1947</v>
      </c>
      <c r="I558" s="44" t="s">
        <v>2298</v>
      </c>
      <c r="J558" s="45" t="s">
        <v>2399</v>
      </c>
      <c r="K558" s="45" t="s">
        <v>2401</v>
      </c>
      <c r="L558" s="31" t="n">
        <f aca="false">COUNTIF($B$3:$B$2205,$B558)</f>
        <v>1</v>
      </c>
      <c r="M558" s="44" t="str">
        <f aca="false">IFERROR(INDEX(SENTENCES!$T$3:$T$1802,MATCH($F558,SENTENCES!$A$3:$A$1802,0)),"")</f>
        <v>• Chưa tới</v>
      </c>
    </row>
    <row r="559" customFormat="false" ht="15" hidden="false" customHeight="false" outlineLevel="0" collapsed="false">
      <c r="A559" s="31" t="n">
        <v>557</v>
      </c>
      <c r="B559" s="43" t="s">
        <v>11683</v>
      </c>
      <c r="C559" s="34" t="s">
        <v>11684</v>
      </c>
      <c r="D559" s="44" t="s">
        <v>10681</v>
      </c>
      <c r="E559" s="31"/>
      <c r="F559" s="31" t="s">
        <v>2397</v>
      </c>
      <c r="G559" s="31" t="n">
        <v>19</v>
      </c>
      <c r="H559" s="31" t="s">
        <v>1947</v>
      </c>
      <c r="I559" s="44" t="s">
        <v>2298</v>
      </c>
      <c r="J559" s="45" t="s">
        <v>2399</v>
      </c>
      <c r="K559" s="45" t="s">
        <v>2401</v>
      </c>
      <c r="L559" s="31" t="n">
        <f aca="false">COUNTIF($B$3:$B$2205,$B559)</f>
        <v>1</v>
      </c>
      <c r="M559" s="44" t="str">
        <f aca="false">IFERROR(INDEX(SENTENCES!$T$3:$T$1802,MATCH($F559,SENTENCES!$A$3:$A$1802,0)),"")</f>
        <v>• Chưa tới</v>
      </c>
    </row>
    <row r="560" customFormat="false" ht="15" hidden="false" customHeight="false" outlineLevel="0" collapsed="false">
      <c r="A560" s="31" t="n">
        <v>558</v>
      </c>
      <c r="B560" s="43" t="s">
        <v>11658</v>
      </c>
      <c r="C560" s="34" t="s">
        <v>11659</v>
      </c>
      <c r="D560" s="44" t="s">
        <v>10681</v>
      </c>
      <c r="E560" s="31"/>
      <c r="F560" s="31" t="s">
        <v>2403</v>
      </c>
      <c r="G560" s="31" t="n">
        <v>19</v>
      </c>
      <c r="H560" s="31" t="s">
        <v>1947</v>
      </c>
      <c r="I560" s="44" t="s">
        <v>2298</v>
      </c>
      <c r="J560" s="45" t="s">
        <v>2405</v>
      </c>
      <c r="K560" s="45" t="s">
        <v>2407</v>
      </c>
      <c r="L560" s="31" t="n">
        <f aca="false">COUNTIF($B$3:$B$2205,$B560)</f>
        <v>4</v>
      </c>
      <c r="M560" s="44" t="str">
        <f aca="false">IFERROR(INDEX(SENTENCES!$T$3:$T$1802,MATCH($F560,SENTENCES!$A$3:$A$1802,0)),"")</f>
        <v>• Chưa tới</v>
      </c>
    </row>
    <row r="561" customFormat="false" ht="15" hidden="false" customHeight="false" outlineLevel="0" collapsed="false">
      <c r="A561" s="31" t="n">
        <v>559</v>
      </c>
      <c r="B561" s="43" t="s">
        <v>11685</v>
      </c>
      <c r="C561" s="34" t="s">
        <v>11686</v>
      </c>
      <c r="D561" s="44" t="s">
        <v>10681</v>
      </c>
      <c r="E561" s="31"/>
      <c r="F561" s="31" t="s">
        <v>2408</v>
      </c>
      <c r="G561" s="31" t="n">
        <v>19</v>
      </c>
      <c r="H561" s="31" t="s">
        <v>1947</v>
      </c>
      <c r="I561" s="44" t="s">
        <v>2298</v>
      </c>
      <c r="J561" s="45" t="s">
        <v>2410</v>
      </c>
      <c r="K561" s="45" t="s">
        <v>2412</v>
      </c>
      <c r="L561" s="31" t="n">
        <f aca="false">COUNTIF($B$3:$B$2205,$B561)</f>
        <v>1</v>
      </c>
      <c r="M561" s="44" t="str">
        <f aca="false">IFERROR(INDEX(SENTENCES!$T$3:$T$1802,MATCH($F561,SENTENCES!$A$3:$A$1802,0)),"")</f>
        <v>• Chưa tới</v>
      </c>
    </row>
    <row r="562" customFormat="false" ht="15" hidden="false" customHeight="false" outlineLevel="0" collapsed="false">
      <c r="A562" s="31" t="n">
        <v>560</v>
      </c>
      <c r="B562" s="43" t="s">
        <v>11536</v>
      </c>
      <c r="C562" s="34" t="s">
        <v>11537</v>
      </c>
      <c r="D562" s="44" t="s">
        <v>10686</v>
      </c>
      <c r="E562" s="31"/>
      <c r="F562" s="31" t="s">
        <v>2414</v>
      </c>
      <c r="G562" s="31" t="n">
        <v>20</v>
      </c>
      <c r="H562" s="31" t="s">
        <v>1947</v>
      </c>
      <c r="I562" s="44" t="s">
        <v>2415</v>
      </c>
      <c r="J562" s="45" t="s">
        <v>2417</v>
      </c>
      <c r="K562" s="45" t="s">
        <v>2419</v>
      </c>
      <c r="L562" s="31" t="n">
        <f aca="false">COUNTIF($B$3:$B$2205,$B562)</f>
        <v>5</v>
      </c>
      <c r="M562" s="44" t="str">
        <f aca="false">IFERROR(INDEX(SENTENCES!$T$3:$T$1802,MATCH($F562,SENTENCES!$A$3:$A$1802,0)),"")</f>
        <v>• Chưa tới</v>
      </c>
    </row>
    <row r="563" customFormat="false" ht="15" hidden="false" customHeight="false" outlineLevel="0" collapsed="false">
      <c r="A563" s="31" t="n">
        <v>561</v>
      </c>
      <c r="B563" s="43" t="s">
        <v>11078</v>
      </c>
      <c r="C563" s="34" t="s">
        <v>11079</v>
      </c>
      <c r="D563" s="44" t="s">
        <v>10686</v>
      </c>
      <c r="E563" s="31"/>
      <c r="F563" s="31" t="s">
        <v>2420</v>
      </c>
      <c r="G563" s="31" t="n">
        <v>20</v>
      </c>
      <c r="H563" s="31" t="s">
        <v>1947</v>
      </c>
      <c r="I563" s="44" t="s">
        <v>2415</v>
      </c>
      <c r="J563" s="45" t="s">
        <v>2422</v>
      </c>
      <c r="K563" s="45" t="s">
        <v>2424</v>
      </c>
      <c r="L563" s="31" t="n">
        <f aca="false">COUNTIF($B$3:$B$2205,$B563)</f>
        <v>3</v>
      </c>
      <c r="M563" s="44" t="str">
        <f aca="false">IFERROR(INDEX(SENTENCES!$T$3:$T$1802,MATCH($F563,SENTENCES!$A$3:$A$1802,0)),"")</f>
        <v>• Chưa tới</v>
      </c>
    </row>
    <row r="564" customFormat="false" ht="15" hidden="false" customHeight="false" outlineLevel="0" collapsed="false">
      <c r="A564" s="31" t="n">
        <v>562</v>
      </c>
      <c r="B564" s="43" t="s">
        <v>11687</v>
      </c>
      <c r="C564" s="34" t="s">
        <v>11688</v>
      </c>
      <c r="D564" s="44" t="s">
        <v>10677</v>
      </c>
      <c r="E564" s="31" t="s">
        <v>10678</v>
      </c>
      <c r="F564" s="31" t="s">
        <v>2426</v>
      </c>
      <c r="G564" s="31" t="n">
        <v>20</v>
      </c>
      <c r="H564" s="31" t="s">
        <v>1947</v>
      </c>
      <c r="I564" s="44" t="s">
        <v>2415</v>
      </c>
      <c r="J564" s="45" t="s">
        <v>2428</v>
      </c>
      <c r="K564" s="45" t="s">
        <v>2430</v>
      </c>
      <c r="L564" s="31" t="n">
        <f aca="false">COUNTIF($B$3:$B$2205,$B564)</f>
        <v>1</v>
      </c>
      <c r="M564" s="44" t="str">
        <f aca="false">IFERROR(INDEX(SENTENCES!$T$3:$T$1802,MATCH($F564,SENTENCES!$A$3:$A$1802,0)),"")</f>
        <v>• Chưa tới</v>
      </c>
    </row>
    <row r="565" customFormat="false" ht="15" hidden="false" customHeight="false" outlineLevel="0" collapsed="false">
      <c r="A565" s="31" t="n">
        <v>563</v>
      </c>
      <c r="B565" s="43" t="s">
        <v>11689</v>
      </c>
      <c r="C565" s="34" t="s">
        <v>11690</v>
      </c>
      <c r="D565" s="44" t="s">
        <v>10677</v>
      </c>
      <c r="E565" s="31" t="s">
        <v>10747</v>
      </c>
      <c r="F565" s="31" t="s">
        <v>2426</v>
      </c>
      <c r="G565" s="31" t="n">
        <v>20</v>
      </c>
      <c r="H565" s="31" t="s">
        <v>1947</v>
      </c>
      <c r="I565" s="44" t="s">
        <v>2415</v>
      </c>
      <c r="J565" s="45" t="s">
        <v>2428</v>
      </c>
      <c r="K565" s="45" t="s">
        <v>2430</v>
      </c>
      <c r="L565" s="31" t="n">
        <f aca="false">COUNTIF($B$3:$B$2205,$B565)</f>
        <v>1</v>
      </c>
      <c r="M565" s="44" t="str">
        <f aca="false">IFERROR(INDEX(SENTENCES!$T$3:$T$1802,MATCH($F565,SENTENCES!$A$3:$A$1802,0)),"")</f>
        <v>• Chưa tới</v>
      </c>
    </row>
    <row r="566" customFormat="false" ht="15" hidden="false" customHeight="false" outlineLevel="0" collapsed="false">
      <c r="A566" s="31" t="n">
        <v>564</v>
      </c>
      <c r="B566" s="43" t="s">
        <v>11186</v>
      </c>
      <c r="C566" s="34" t="s">
        <v>11187</v>
      </c>
      <c r="D566" s="44" t="s">
        <v>10686</v>
      </c>
      <c r="E566" s="31"/>
      <c r="F566" s="31" t="s">
        <v>2432</v>
      </c>
      <c r="G566" s="31" t="n">
        <v>20</v>
      </c>
      <c r="H566" s="31" t="s">
        <v>1947</v>
      </c>
      <c r="I566" s="44" t="s">
        <v>2415</v>
      </c>
      <c r="J566" s="45" t="s">
        <v>2434</v>
      </c>
      <c r="K566" s="45" t="s">
        <v>2436</v>
      </c>
      <c r="L566" s="31" t="n">
        <f aca="false">COUNTIF($B$3:$B$2205,$B566)</f>
        <v>4</v>
      </c>
      <c r="M566" s="44" t="str">
        <f aca="false">IFERROR(INDEX(SENTENCES!$T$3:$T$1802,MATCH($F566,SENTENCES!$A$3:$A$1802,0)),"")</f>
        <v>• Chưa tới</v>
      </c>
    </row>
    <row r="567" customFormat="false" ht="15" hidden="false" customHeight="false" outlineLevel="0" collapsed="false">
      <c r="A567" s="31" t="n">
        <v>565</v>
      </c>
      <c r="B567" s="43" t="s">
        <v>11506</v>
      </c>
      <c r="C567" s="34" t="s">
        <v>11691</v>
      </c>
      <c r="D567" s="44" t="s">
        <v>10686</v>
      </c>
      <c r="E567" s="31"/>
      <c r="F567" s="31" t="s">
        <v>2438</v>
      </c>
      <c r="G567" s="31" t="n">
        <v>20</v>
      </c>
      <c r="H567" s="31" t="s">
        <v>1947</v>
      </c>
      <c r="I567" s="44" t="s">
        <v>2415</v>
      </c>
      <c r="J567" s="45" t="s">
        <v>2440</v>
      </c>
      <c r="K567" s="45" t="s">
        <v>2442</v>
      </c>
      <c r="L567" s="31" t="n">
        <f aca="false">COUNTIF($B$3:$B$2205,$B567)</f>
        <v>2</v>
      </c>
      <c r="M567" s="44" t="str">
        <f aca="false">IFERROR(INDEX(SENTENCES!$T$3:$T$1802,MATCH($F567,SENTENCES!$A$3:$A$1802,0)),"")</f>
        <v>• Chưa tới</v>
      </c>
    </row>
    <row r="568" customFormat="false" ht="15" hidden="false" customHeight="false" outlineLevel="0" collapsed="false">
      <c r="A568" s="31" t="n">
        <v>566</v>
      </c>
      <c r="B568" s="43" t="s">
        <v>11210</v>
      </c>
      <c r="C568" s="34" t="s">
        <v>10692</v>
      </c>
      <c r="D568" s="44" t="s">
        <v>10686</v>
      </c>
      <c r="E568" s="31"/>
      <c r="F568" s="31" t="s">
        <v>2444</v>
      </c>
      <c r="G568" s="31" t="n">
        <v>20</v>
      </c>
      <c r="H568" s="31" t="s">
        <v>1947</v>
      </c>
      <c r="I568" s="44" t="s">
        <v>2415</v>
      </c>
      <c r="J568" s="45" t="s">
        <v>2446</v>
      </c>
      <c r="K568" s="45" t="s">
        <v>2448</v>
      </c>
      <c r="L568" s="31" t="n">
        <f aca="false">COUNTIF($B$3:$B$2205,$B568)</f>
        <v>2</v>
      </c>
      <c r="M568" s="44" t="str">
        <f aca="false">IFERROR(INDEX(SENTENCES!$T$3:$T$1802,MATCH($F568,SENTENCES!$A$3:$A$1802,0)),"")</f>
        <v>• Chưa tới</v>
      </c>
    </row>
    <row r="569" customFormat="false" ht="15" hidden="false" customHeight="false" outlineLevel="0" collapsed="false">
      <c r="A569" s="31" t="n">
        <v>567</v>
      </c>
      <c r="B569" s="43" t="s">
        <v>10743</v>
      </c>
      <c r="C569" s="34" t="s">
        <v>11692</v>
      </c>
      <c r="D569" s="44" t="s">
        <v>10681</v>
      </c>
      <c r="E569" s="31"/>
      <c r="F569" s="31" t="s">
        <v>2450</v>
      </c>
      <c r="G569" s="31" t="n">
        <v>20</v>
      </c>
      <c r="H569" s="31" t="s">
        <v>1947</v>
      </c>
      <c r="I569" s="44" t="s">
        <v>2415</v>
      </c>
      <c r="J569" s="45" t="s">
        <v>2452</v>
      </c>
      <c r="K569" s="45" t="s">
        <v>2454</v>
      </c>
      <c r="L569" s="31" t="n">
        <f aca="false">COUNTIF($B$3:$B$2205,$B569)</f>
        <v>2</v>
      </c>
      <c r="M569" s="44" t="str">
        <f aca="false">IFERROR(INDEX(SENTENCES!$T$3:$T$1802,MATCH($F569,SENTENCES!$A$3:$A$1802,0)),"")</f>
        <v>• Chưa tới</v>
      </c>
    </row>
    <row r="570" customFormat="false" ht="15" hidden="false" customHeight="false" outlineLevel="0" collapsed="false">
      <c r="A570" s="31" t="n">
        <v>568</v>
      </c>
      <c r="B570" s="43" t="s">
        <v>11104</v>
      </c>
      <c r="C570" s="34" t="s">
        <v>11105</v>
      </c>
      <c r="D570" s="44" t="s">
        <v>10686</v>
      </c>
      <c r="E570" s="31"/>
      <c r="F570" s="31" t="s">
        <v>2456</v>
      </c>
      <c r="G570" s="31" t="n">
        <v>20</v>
      </c>
      <c r="H570" s="31" t="s">
        <v>1947</v>
      </c>
      <c r="I570" s="44" t="s">
        <v>2415</v>
      </c>
      <c r="J570" s="45" t="s">
        <v>2458</v>
      </c>
      <c r="K570" s="45" t="s">
        <v>2460</v>
      </c>
      <c r="L570" s="31" t="n">
        <f aca="false">COUNTIF($B$3:$B$2205,$B570)</f>
        <v>5</v>
      </c>
      <c r="M570" s="44" t="str">
        <f aca="false">IFERROR(INDEX(SENTENCES!$T$3:$T$1802,MATCH($F570,SENTENCES!$A$3:$A$1802,0)),"")</f>
        <v>• Chưa tới</v>
      </c>
    </row>
    <row r="571" customFormat="false" ht="15" hidden="false" customHeight="false" outlineLevel="0" collapsed="false">
      <c r="A571" s="31" t="n">
        <v>569</v>
      </c>
      <c r="B571" s="43" t="s">
        <v>11693</v>
      </c>
      <c r="C571" s="34" t="s">
        <v>11694</v>
      </c>
      <c r="D571" s="44" t="s">
        <v>10677</v>
      </c>
      <c r="E571" s="31" t="s">
        <v>10678</v>
      </c>
      <c r="F571" s="31" t="s">
        <v>2462</v>
      </c>
      <c r="G571" s="31" t="n">
        <v>20</v>
      </c>
      <c r="H571" s="31" t="s">
        <v>1947</v>
      </c>
      <c r="I571" s="44" t="s">
        <v>2415</v>
      </c>
      <c r="J571" s="45" t="s">
        <v>2464</v>
      </c>
      <c r="K571" s="45" t="s">
        <v>2466</v>
      </c>
      <c r="L571" s="31" t="n">
        <f aca="false">COUNTIF($B$3:$B$2205,$B571)</f>
        <v>1</v>
      </c>
      <c r="M571" s="44" t="str">
        <f aca="false">IFERROR(INDEX(SENTENCES!$T$3:$T$1802,MATCH($F571,SENTENCES!$A$3:$A$1802,0)),"")</f>
        <v>• Chưa tới</v>
      </c>
    </row>
    <row r="572" customFormat="false" ht="15" hidden="false" customHeight="false" outlineLevel="0" collapsed="false">
      <c r="A572" s="31" t="n">
        <v>570</v>
      </c>
      <c r="B572" s="43" t="s">
        <v>11695</v>
      </c>
      <c r="C572" s="34" t="s">
        <v>11696</v>
      </c>
      <c r="D572" s="44" t="s">
        <v>10686</v>
      </c>
      <c r="E572" s="31"/>
      <c r="F572" s="31" t="s">
        <v>2468</v>
      </c>
      <c r="G572" s="31" t="n">
        <v>20</v>
      </c>
      <c r="H572" s="31" t="s">
        <v>1947</v>
      </c>
      <c r="I572" s="44" t="s">
        <v>2415</v>
      </c>
      <c r="J572" s="45" t="s">
        <v>2470</v>
      </c>
      <c r="K572" s="45" t="s">
        <v>2472</v>
      </c>
      <c r="L572" s="31" t="n">
        <f aca="false">COUNTIF($B$3:$B$2205,$B572)</f>
        <v>2</v>
      </c>
      <c r="M572" s="44" t="str">
        <f aca="false">IFERROR(INDEX(SENTENCES!$T$3:$T$1802,MATCH($F572,SENTENCES!$A$3:$A$1802,0)),"")</f>
        <v>• Chưa tới</v>
      </c>
    </row>
    <row r="573" customFormat="false" ht="15" hidden="false" customHeight="false" outlineLevel="0" collapsed="false">
      <c r="A573" s="31" t="n">
        <v>571</v>
      </c>
      <c r="B573" s="43" t="s">
        <v>11461</v>
      </c>
      <c r="C573" s="34" t="s">
        <v>11462</v>
      </c>
      <c r="D573" s="44" t="s">
        <v>10686</v>
      </c>
      <c r="E573" s="31"/>
      <c r="F573" s="31" t="s">
        <v>2474</v>
      </c>
      <c r="G573" s="31" t="n">
        <v>20</v>
      </c>
      <c r="H573" s="31" t="s">
        <v>1947</v>
      </c>
      <c r="I573" s="44" t="s">
        <v>2415</v>
      </c>
      <c r="J573" s="45" t="s">
        <v>2476</v>
      </c>
      <c r="K573" s="45" t="s">
        <v>2478</v>
      </c>
      <c r="L573" s="31" t="n">
        <f aca="false">COUNTIF($B$3:$B$2205,$B573)</f>
        <v>4</v>
      </c>
      <c r="M573" s="44" t="str">
        <f aca="false">IFERROR(INDEX(SENTENCES!$T$3:$T$1802,MATCH($F573,SENTENCES!$A$3:$A$1802,0)),"")</f>
        <v>• Chưa tới</v>
      </c>
    </row>
    <row r="574" customFormat="false" ht="15" hidden="false" customHeight="false" outlineLevel="0" collapsed="false">
      <c r="A574" s="31" t="n">
        <v>572</v>
      </c>
      <c r="B574" s="43" t="s">
        <v>11697</v>
      </c>
      <c r="C574" s="34" t="s">
        <v>11698</v>
      </c>
      <c r="D574" s="44" t="s">
        <v>10677</v>
      </c>
      <c r="E574" s="31" t="s">
        <v>10678</v>
      </c>
      <c r="F574" s="31" t="s">
        <v>2480</v>
      </c>
      <c r="G574" s="31" t="n">
        <v>20</v>
      </c>
      <c r="H574" s="31" t="s">
        <v>1947</v>
      </c>
      <c r="I574" s="44" t="s">
        <v>2415</v>
      </c>
      <c r="J574" s="45" t="s">
        <v>2482</v>
      </c>
      <c r="K574" s="45" t="s">
        <v>2484</v>
      </c>
      <c r="L574" s="31" t="n">
        <f aca="false">COUNTIF($B$3:$B$2205,$B574)</f>
        <v>1</v>
      </c>
      <c r="M574" s="44" t="str">
        <f aca="false">IFERROR(INDEX(SENTENCES!$T$3:$T$1802,MATCH($F574,SENTENCES!$A$3:$A$1802,0)),"")</f>
        <v>• Chưa tới</v>
      </c>
    </row>
    <row r="575" customFormat="false" ht="15" hidden="false" customHeight="false" outlineLevel="0" collapsed="false">
      <c r="A575" s="31" t="n">
        <v>573</v>
      </c>
      <c r="B575" s="43" t="s">
        <v>10974</v>
      </c>
      <c r="C575" s="34" t="s">
        <v>10975</v>
      </c>
      <c r="D575" s="44" t="s">
        <v>10681</v>
      </c>
      <c r="E575" s="31"/>
      <c r="F575" s="31" t="s">
        <v>2486</v>
      </c>
      <c r="G575" s="31" t="n">
        <v>20</v>
      </c>
      <c r="H575" s="31" t="s">
        <v>1947</v>
      </c>
      <c r="I575" s="44" t="s">
        <v>2415</v>
      </c>
      <c r="J575" s="45" t="s">
        <v>2488</v>
      </c>
      <c r="K575" s="45" t="s">
        <v>2490</v>
      </c>
      <c r="L575" s="31" t="n">
        <f aca="false">COUNTIF($B$3:$B$2205,$B575)</f>
        <v>3</v>
      </c>
      <c r="M575" s="44" t="str">
        <f aca="false">IFERROR(INDEX(SENTENCES!$T$3:$T$1802,MATCH($F575,SENTENCES!$A$3:$A$1802,0)),"")</f>
        <v>• Chưa tới</v>
      </c>
    </row>
    <row r="576" customFormat="false" ht="15" hidden="false" customHeight="false" outlineLevel="0" collapsed="false">
      <c r="A576" s="31" t="n">
        <v>574</v>
      </c>
      <c r="B576" s="43" t="s">
        <v>11076</v>
      </c>
      <c r="C576" s="34" t="s">
        <v>11077</v>
      </c>
      <c r="D576" s="44" t="s">
        <v>10681</v>
      </c>
      <c r="E576" s="31"/>
      <c r="F576" s="31" t="s">
        <v>2491</v>
      </c>
      <c r="G576" s="31" t="n">
        <v>20</v>
      </c>
      <c r="H576" s="31" t="s">
        <v>1947</v>
      </c>
      <c r="I576" s="44" t="s">
        <v>2415</v>
      </c>
      <c r="J576" s="45" t="s">
        <v>2493</v>
      </c>
      <c r="K576" s="45" t="s">
        <v>2495</v>
      </c>
      <c r="L576" s="31" t="n">
        <f aca="false">COUNTIF($B$3:$B$2205,$B576)</f>
        <v>2</v>
      </c>
      <c r="M576" s="44" t="str">
        <f aca="false">IFERROR(INDEX(SENTENCES!$T$3:$T$1802,MATCH($F576,SENTENCES!$A$3:$A$1802,0)),"")</f>
        <v>• Chưa tới</v>
      </c>
    </row>
    <row r="577" customFormat="false" ht="15" hidden="false" customHeight="false" outlineLevel="0" collapsed="false">
      <c r="A577" s="31" t="n">
        <v>575</v>
      </c>
      <c r="B577" s="43" t="s">
        <v>11018</v>
      </c>
      <c r="C577" s="34" t="s">
        <v>11019</v>
      </c>
      <c r="D577" s="44" t="s">
        <v>10677</v>
      </c>
      <c r="E577" s="31" t="s">
        <v>10707</v>
      </c>
      <c r="F577" s="31" t="s">
        <v>2497</v>
      </c>
      <c r="G577" s="31" t="n">
        <v>20</v>
      </c>
      <c r="H577" s="31" t="s">
        <v>1947</v>
      </c>
      <c r="I577" s="44" t="s">
        <v>2415</v>
      </c>
      <c r="J577" s="45" t="s">
        <v>2499</v>
      </c>
      <c r="K577" s="45" t="s">
        <v>2501</v>
      </c>
      <c r="L577" s="31" t="n">
        <f aca="false">COUNTIF($B$3:$B$2205,$B577)</f>
        <v>2</v>
      </c>
      <c r="M577" s="44" t="str">
        <f aca="false">IFERROR(INDEX(SENTENCES!$T$3:$T$1802,MATCH($F577,SENTENCES!$A$3:$A$1802,0)),"")</f>
        <v>• Chưa tới</v>
      </c>
    </row>
    <row r="578" customFormat="false" ht="15" hidden="false" customHeight="false" outlineLevel="0" collapsed="false">
      <c r="A578" s="31" t="n">
        <v>576</v>
      </c>
      <c r="B578" s="43" t="s">
        <v>11561</v>
      </c>
      <c r="C578" s="34" t="s">
        <v>11562</v>
      </c>
      <c r="D578" s="44" t="s">
        <v>10686</v>
      </c>
      <c r="E578" s="31"/>
      <c r="F578" s="31" t="s">
        <v>2503</v>
      </c>
      <c r="G578" s="31" t="n">
        <v>20</v>
      </c>
      <c r="H578" s="31" t="s">
        <v>1947</v>
      </c>
      <c r="I578" s="44" t="s">
        <v>2415</v>
      </c>
      <c r="J578" s="45" t="s">
        <v>2505</v>
      </c>
      <c r="K578" s="45" t="s">
        <v>2507</v>
      </c>
      <c r="L578" s="31" t="n">
        <f aca="false">COUNTIF($B$3:$B$2205,$B578)</f>
        <v>2</v>
      </c>
      <c r="M578" s="44" t="str">
        <f aca="false">IFERROR(INDEX(SENTENCES!$T$3:$T$1802,MATCH($F578,SENTENCES!$A$3:$A$1802,0)),"")</f>
        <v>• Chưa tới</v>
      </c>
    </row>
    <row r="579" customFormat="false" ht="15" hidden="false" customHeight="false" outlineLevel="0" collapsed="false">
      <c r="A579" s="31" t="n">
        <v>577</v>
      </c>
      <c r="B579" s="43" t="s">
        <v>11699</v>
      </c>
      <c r="C579" s="34" t="s">
        <v>11700</v>
      </c>
      <c r="D579" s="44" t="s">
        <v>10681</v>
      </c>
      <c r="E579" s="31"/>
      <c r="F579" s="31" t="s">
        <v>2509</v>
      </c>
      <c r="G579" s="31" t="n">
        <v>20</v>
      </c>
      <c r="H579" s="31" t="s">
        <v>1947</v>
      </c>
      <c r="I579" s="44" t="s">
        <v>2415</v>
      </c>
      <c r="J579" s="45" t="s">
        <v>2511</v>
      </c>
      <c r="K579" s="45" t="s">
        <v>2513</v>
      </c>
      <c r="L579" s="31" t="n">
        <f aca="false">COUNTIF($B$3:$B$2205,$B579)</f>
        <v>1</v>
      </c>
      <c r="M579" s="44" t="str">
        <f aca="false">IFERROR(INDEX(SENTENCES!$T$3:$T$1802,MATCH($F579,SENTENCES!$A$3:$A$1802,0)),"")</f>
        <v>• Chưa tới</v>
      </c>
    </row>
    <row r="580" customFormat="false" ht="15" hidden="false" customHeight="false" outlineLevel="0" collapsed="false">
      <c r="A580" s="31" t="n">
        <v>578</v>
      </c>
      <c r="B580" s="43" t="s">
        <v>11603</v>
      </c>
      <c r="C580" s="34" t="s">
        <v>11604</v>
      </c>
      <c r="D580" s="44" t="s">
        <v>10681</v>
      </c>
      <c r="E580" s="31"/>
      <c r="F580" s="31" t="s">
        <v>2509</v>
      </c>
      <c r="G580" s="31" t="n">
        <v>20</v>
      </c>
      <c r="H580" s="31" t="s">
        <v>1947</v>
      </c>
      <c r="I580" s="44" t="s">
        <v>2415</v>
      </c>
      <c r="J580" s="45" t="s">
        <v>2511</v>
      </c>
      <c r="K580" s="45" t="s">
        <v>2513</v>
      </c>
      <c r="L580" s="31" t="n">
        <f aca="false">COUNTIF($B$3:$B$2205,$B580)</f>
        <v>2</v>
      </c>
      <c r="M580" s="44" t="str">
        <f aca="false">IFERROR(INDEX(SENTENCES!$T$3:$T$1802,MATCH($F580,SENTENCES!$A$3:$A$1802,0)),"")</f>
        <v>• Chưa tới</v>
      </c>
    </row>
    <row r="581" customFormat="false" ht="15" hidden="false" customHeight="false" outlineLevel="0" collapsed="false">
      <c r="A581" s="31" t="n">
        <v>579</v>
      </c>
      <c r="B581" s="43" t="s">
        <v>11041</v>
      </c>
      <c r="C581" s="34" t="s">
        <v>11701</v>
      </c>
      <c r="D581" s="44" t="s">
        <v>10681</v>
      </c>
      <c r="E581" s="31"/>
      <c r="F581" s="31" t="s">
        <v>2515</v>
      </c>
      <c r="G581" s="31" t="n">
        <v>20</v>
      </c>
      <c r="H581" s="31" t="s">
        <v>1947</v>
      </c>
      <c r="I581" s="44" t="s">
        <v>2415</v>
      </c>
      <c r="J581" s="45" t="s">
        <v>2517</v>
      </c>
      <c r="K581" s="45" t="s">
        <v>2519</v>
      </c>
      <c r="L581" s="31" t="n">
        <f aca="false">COUNTIF($B$3:$B$2205,$B581)</f>
        <v>3</v>
      </c>
      <c r="M581" s="44" t="str">
        <f aca="false">IFERROR(INDEX(SENTENCES!$T$3:$T$1802,MATCH($F581,SENTENCES!$A$3:$A$1802,0)),"")</f>
        <v>• Chưa tới</v>
      </c>
    </row>
    <row r="582" customFormat="false" ht="15" hidden="false" customHeight="false" outlineLevel="0" collapsed="false">
      <c r="A582" s="31" t="n">
        <v>580</v>
      </c>
      <c r="B582" s="43" t="s">
        <v>11702</v>
      </c>
      <c r="C582" s="34" t="s">
        <v>11703</v>
      </c>
      <c r="D582" s="44" t="s">
        <v>10794</v>
      </c>
      <c r="E582" s="31"/>
      <c r="F582" s="31" t="s">
        <v>2521</v>
      </c>
      <c r="G582" s="31" t="n">
        <v>20</v>
      </c>
      <c r="H582" s="31" t="s">
        <v>1947</v>
      </c>
      <c r="I582" s="44" t="s">
        <v>2415</v>
      </c>
      <c r="J582" s="45" t="s">
        <v>2523</v>
      </c>
      <c r="K582" s="45" t="s">
        <v>2525</v>
      </c>
      <c r="L582" s="31" t="n">
        <f aca="false">COUNTIF($B$3:$B$2205,$B582)</f>
        <v>3</v>
      </c>
      <c r="M582" s="44" t="str">
        <f aca="false">IFERROR(INDEX(SENTENCES!$T$3:$T$1802,MATCH($F582,SENTENCES!$A$3:$A$1802,0)),"")</f>
        <v>• Chưa tới</v>
      </c>
    </row>
    <row r="583" customFormat="false" ht="15" hidden="false" customHeight="false" outlineLevel="0" collapsed="false">
      <c r="A583" s="31" t="n">
        <v>581</v>
      </c>
      <c r="B583" s="43" t="s">
        <v>11704</v>
      </c>
      <c r="C583" s="34" t="s">
        <v>11705</v>
      </c>
      <c r="D583" s="44" t="s">
        <v>10686</v>
      </c>
      <c r="E583" s="31"/>
      <c r="F583" s="31" t="s">
        <v>2527</v>
      </c>
      <c r="G583" s="31" t="n">
        <v>20</v>
      </c>
      <c r="H583" s="31" t="s">
        <v>1947</v>
      </c>
      <c r="I583" s="44" t="s">
        <v>2415</v>
      </c>
      <c r="J583" s="45" t="s">
        <v>2529</v>
      </c>
      <c r="K583" s="45" t="s">
        <v>2531</v>
      </c>
      <c r="L583" s="31" t="n">
        <f aca="false">COUNTIF($B$3:$B$2205,$B583)</f>
        <v>2</v>
      </c>
      <c r="M583" s="44" t="str">
        <f aca="false">IFERROR(INDEX(SENTENCES!$T$3:$T$1802,MATCH($F583,SENTENCES!$A$3:$A$1802,0)),"")</f>
        <v>• Chưa tới</v>
      </c>
    </row>
    <row r="584" customFormat="false" ht="15" hidden="false" customHeight="false" outlineLevel="0" collapsed="false">
      <c r="A584" s="31" t="n">
        <v>582</v>
      </c>
      <c r="B584" s="43" t="s">
        <v>11706</v>
      </c>
      <c r="C584" s="34" t="s">
        <v>11707</v>
      </c>
      <c r="D584" s="44" t="s">
        <v>10677</v>
      </c>
      <c r="E584" s="31" t="s">
        <v>10747</v>
      </c>
      <c r="F584" s="31" t="s">
        <v>2533</v>
      </c>
      <c r="G584" s="31" t="n">
        <v>21</v>
      </c>
      <c r="H584" s="31" t="s">
        <v>1947</v>
      </c>
      <c r="I584" s="44" t="s">
        <v>2534</v>
      </c>
      <c r="J584" s="45" t="s">
        <v>2536</v>
      </c>
      <c r="K584" s="45" t="s">
        <v>2538</v>
      </c>
      <c r="L584" s="31" t="n">
        <f aca="false">COUNTIF($B$3:$B$2205,$B584)</f>
        <v>1</v>
      </c>
      <c r="M584" s="44" t="str">
        <f aca="false">IFERROR(INDEX(SENTENCES!$T$3:$T$1802,MATCH($F584,SENTENCES!$A$3:$A$1802,0)),"")</f>
        <v>• Chưa tới</v>
      </c>
    </row>
    <row r="585" customFormat="false" ht="15" hidden="false" customHeight="false" outlineLevel="0" collapsed="false">
      <c r="A585" s="31" t="n">
        <v>583</v>
      </c>
      <c r="B585" s="43" t="s">
        <v>11708</v>
      </c>
      <c r="C585" s="34" t="s">
        <v>11709</v>
      </c>
      <c r="D585" s="44" t="s">
        <v>10677</v>
      </c>
      <c r="E585" s="31" t="s">
        <v>10707</v>
      </c>
      <c r="F585" s="31" t="s">
        <v>2533</v>
      </c>
      <c r="G585" s="31" t="n">
        <v>21</v>
      </c>
      <c r="H585" s="31" t="s">
        <v>1947</v>
      </c>
      <c r="I585" s="44" t="s">
        <v>2534</v>
      </c>
      <c r="J585" s="45" t="s">
        <v>2536</v>
      </c>
      <c r="K585" s="45" t="s">
        <v>2538</v>
      </c>
      <c r="L585" s="31" t="n">
        <f aca="false">COUNTIF($B$3:$B$2205,$B585)</f>
        <v>1</v>
      </c>
      <c r="M585" s="44" t="str">
        <f aca="false">IFERROR(INDEX(SENTENCES!$T$3:$T$1802,MATCH($F585,SENTENCES!$A$3:$A$1802,0)),"")</f>
        <v>• Chưa tới</v>
      </c>
    </row>
    <row r="586" customFormat="false" ht="15" hidden="false" customHeight="false" outlineLevel="0" collapsed="false">
      <c r="A586" s="31" t="n">
        <v>584</v>
      </c>
      <c r="B586" s="43" t="s">
        <v>11656</v>
      </c>
      <c r="C586" s="34" t="s">
        <v>11657</v>
      </c>
      <c r="D586" s="44" t="s">
        <v>10681</v>
      </c>
      <c r="E586" s="31"/>
      <c r="F586" s="31" t="s">
        <v>2540</v>
      </c>
      <c r="G586" s="31" t="n">
        <v>21</v>
      </c>
      <c r="H586" s="31" t="s">
        <v>1947</v>
      </c>
      <c r="I586" s="44" t="s">
        <v>2534</v>
      </c>
      <c r="J586" s="45" t="s">
        <v>2542</v>
      </c>
      <c r="K586" s="45" t="s">
        <v>2544</v>
      </c>
      <c r="L586" s="31" t="n">
        <f aca="false">COUNTIF($B$3:$B$2205,$B586)</f>
        <v>3</v>
      </c>
      <c r="M586" s="44" t="str">
        <f aca="false">IFERROR(INDEX(SENTENCES!$T$3:$T$1802,MATCH($F586,SENTENCES!$A$3:$A$1802,0)),"")</f>
        <v>• Chưa tới</v>
      </c>
    </row>
    <row r="587" customFormat="false" ht="15" hidden="false" customHeight="false" outlineLevel="0" collapsed="false">
      <c r="A587" s="31" t="n">
        <v>585</v>
      </c>
      <c r="B587" s="43" t="s">
        <v>10806</v>
      </c>
      <c r="C587" s="34" t="s">
        <v>10807</v>
      </c>
      <c r="D587" s="44" t="s">
        <v>10681</v>
      </c>
      <c r="E587" s="31"/>
      <c r="F587" s="31" t="s">
        <v>2546</v>
      </c>
      <c r="G587" s="31" t="n">
        <v>21</v>
      </c>
      <c r="H587" s="31" t="s">
        <v>1947</v>
      </c>
      <c r="I587" s="44" t="s">
        <v>2534</v>
      </c>
      <c r="J587" s="45" t="s">
        <v>2548</v>
      </c>
      <c r="K587" s="45" t="s">
        <v>2550</v>
      </c>
      <c r="L587" s="31" t="n">
        <f aca="false">COUNTIF($B$3:$B$2205,$B587)</f>
        <v>4</v>
      </c>
      <c r="M587" s="44" t="str">
        <f aca="false">IFERROR(INDEX(SENTENCES!$T$3:$T$1802,MATCH($F587,SENTENCES!$A$3:$A$1802,0)),"")</f>
        <v>• Chưa tới</v>
      </c>
    </row>
    <row r="588" customFormat="false" ht="15" hidden="false" customHeight="false" outlineLevel="0" collapsed="false">
      <c r="A588" s="31" t="n">
        <v>586</v>
      </c>
      <c r="B588" s="43" t="s">
        <v>11710</v>
      </c>
      <c r="C588" s="34" t="s">
        <v>11711</v>
      </c>
      <c r="D588" s="44" t="s">
        <v>10681</v>
      </c>
      <c r="E588" s="31"/>
      <c r="F588" s="31" t="s">
        <v>2552</v>
      </c>
      <c r="G588" s="31" t="n">
        <v>21</v>
      </c>
      <c r="H588" s="31" t="s">
        <v>1947</v>
      </c>
      <c r="I588" s="44" t="s">
        <v>2534</v>
      </c>
      <c r="J588" s="45" t="s">
        <v>2554</v>
      </c>
      <c r="K588" s="45" t="s">
        <v>2556</v>
      </c>
      <c r="L588" s="31" t="n">
        <f aca="false">COUNTIF($B$3:$B$2205,$B588)</f>
        <v>1</v>
      </c>
      <c r="M588" s="44" t="str">
        <f aca="false">IFERROR(INDEX(SENTENCES!$T$3:$T$1802,MATCH($F588,SENTENCES!$A$3:$A$1802,0)),"")</f>
        <v>• Chưa tới</v>
      </c>
    </row>
    <row r="589" customFormat="false" ht="15" hidden="false" customHeight="false" outlineLevel="0" collapsed="false">
      <c r="A589" s="31" t="n">
        <v>587</v>
      </c>
      <c r="B589" s="43" t="s">
        <v>11712</v>
      </c>
      <c r="C589" s="34" t="s">
        <v>11713</v>
      </c>
      <c r="D589" s="44" t="s">
        <v>10677</v>
      </c>
      <c r="E589" s="31" t="s">
        <v>10707</v>
      </c>
      <c r="F589" s="31" t="s">
        <v>2558</v>
      </c>
      <c r="G589" s="31" t="n">
        <v>21</v>
      </c>
      <c r="H589" s="31" t="s">
        <v>1947</v>
      </c>
      <c r="I589" s="44" t="s">
        <v>2534</v>
      </c>
      <c r="J589" s="45" t="s">
        <v>2559</v>
      </c>
      <c r="K589" s="45" t="s">
        <v>2561</v>
      </c>
      <c r="L589" s="31" t="n">
        <f aca="false">COUNTIF($B$3:$B$2205,$B589)</f>
        <v>1</v>
      </c>
      <c r="M589" s="44" t="str">
        <f aca="false">IFERROR(INDEX(SENTENCES!$T$3:$T$1802,MATCH($F589,SENTENCES!$A$3:$A$1802,0)),"")</f>
        <v>• Chưa tới</v>
      </c>
    </row>
    <row r="590" customFormat="false" ht="15" hidden="false" customHeight="false" outlineLevel="0" collapsed="false">
      <c r="A590" s="31" t="n">
        <v>588</v>
      </c>
      <c r="B590" s="43" t="s">
        <v>10816</v>
      </c>
      <c r="C590" s="34" t="s">
        <v>11714</v>
      </c>
      <c r="D590" s="44" t="s">
        <v>10681</v>
      </c>
      <c r="E590" s="31"/>
      <c r="F590" s="31" t="s">
        <v>2563</v>
      </c>
      <c r="G590" s="31" t="n">
        <v>21</v>
      </c>
      <c r="H590" s="31" t="s">
        <v>1947</v>
      </c>
      <c r="I590" s="44" t="s">
        <v>2534</v>
      </c>
      <c r="J590" s="45" t="s">
        <v>2565</v>
      </c>
      <c r="K590" s="45" t="s">
        <v>2567</v>
      </c>
      <c r="L590" s="31" t="n">
        <f aca="false">COUNTIF($B$3:$B$2205,$B590)</f>
        <v>2</v>
      </c>
      <c r="M590" s="44" t="str">
        <f aca="false">IFERROR(INDEX(SENTENCES!$T$3:$T$1802,MATCH($F590,SENTENCES!$A$3:$A$1802,0)),"")</f>
        <v>• Chưa tới</v>
      </c>
    </row>
    <row r="591" customFormat="false" ht="15" hidden="false" customHeight="false" outlineLevel="0" collapsed="false">
      <c r="A591" s="31" t="n">
        <v>589</v>
      </c>
      <c r="B591" s="43" t="s">
        <v>11715</v>
      </c>
      <c r="C591" s="34" t="s">
        <v>11716</v>
      </c>
      <c r="D591" s="44" t="s">
        <v>10681</v>
      </c>
      <c r="E591" s="31"/>
      <c r="F591" s="31" t="s">
        <v>2569</v>
      </c>
      <c r="G591" s="31" t="n">
        <v>21</v>
      </c>
      <c r="H591" s="31" t="s">
        <v>1947</v>
      </c>
      <c r="I591" s="44" t="s">
        <v>2534</v>
      </c>
      <c r="J591" s="45" t="s">
        <v>2571</v>
      </c>
      <c r="K591" s="45" t="s">
        <v>2573</v>
      </c>
      <c r="L591" s="31" t="n">
        <f aca="false">COUNTIF($B$3:$B$2205,$B591)</f>
        <v>1</v>
      </c>
      <c r="M591" s="44" t="str">
        <f aca="false">IFERROR(INDEX(SENTENCES!$T$3:$T$1802,MATCH($F591,SENTENCES!$A$3:$A$1802,0)),"")</f>
        <v>• Chưa tới</v>
      </c>
    </row>
    <row r="592" customFormat="false" ht="15" hidden="false" customHeight="false" outlineLevel="0" collapsed="false">
      <c r="A592" s="31" t="n">
        <v>590</v>
      </c>
      <c r="B592" s="43" t="s">
        <v>11513</v>
      </c>
      <c r="C592" s="34" t="s">
        <v>11717</v>
      </c>
      <c r="D592" s="44" t="s">
        <v>10681</v>
      </c>
      <c r="E592" s="31"/>
      <c r="F592" s="31" t="s">
        <v>2569</v>
      </c>
      <c r="G592" s="31" t="n">
        <v>21</v>
      </c>
      <c r="H592" s="31" t="s">
        <v>1947</v>
      </c>
      <c r="I592" s="44" t="s">
        <v>2534</v>
      </c>
      <c r="J592" s="45" t="s">
        <v>2571</v>
      </c>
      <c r="K592" s="45" t="s">
        <v>2573</v>
      </c>
      <c r="L592" s="31" t="n">
        <f aca="false">COUNTIF($B$3:$B$2205,$B592)</f>
        <v>2</v>
      </c>
      <c r="M592" s="44" t="str">
        <f aca="false">IFERROR(INDEX(SENTENCES!$T$3:$T$1802,MATCH($F592,SENTENCES!$A$3:$A$1802,0)),"")</f>
        <v>• Chưa tới</v>
      </c>
    </row>
    <row r="593" customFormat="false" ht="15" hidden="false" customHeight="false" outlineLevel="0" collapsed="false">
      <c r="A593" s="31" t="n">
        <v>591</v>
      </c>
      <c r="B593" s="43" t="s">
        <v>11599</v>
      </c>
      <c r="C593" s="34" t="s">
        <v>10770</v>
      </c>
      <c r="D593" s="44" t="s">
        <v>10681</v>
      </c>
      <c r="E593" s="31"/>
      <c r="F593" s="31" t="s">
        <v>2575</v>
      </c>
      <c r="G593" s="31" t="n">
        <v>21</v>
      </c>
      <c r="H593" s="31" t="s">
        <v>1947</v>
      </c>
      <c r="I593" s="44" t="s">
        <v>2534</v>
      </c>
      <c r="J593" s="45" t="s">
        <v>2576</v>
      </c>
      <c r="K593" s="45" t="s">
        <v>2578</v>
      </c>
      <c r="L593" s="31" t="n">
        <f aca="false">COUNTIF($B$3:$B$2205,$B593)</f>
        <v>3</v>
      </c>
      <c r="M593" s="44" t="str">
        <f aca="false">IFERROR(INDEX(SENTENCES!$T$3:$T$1802,MATCH($F593,SENTENCES!$A$3:$A$1802,0)),"")</f>
        <v>• Chưa tới</v>
      </c>
    </row>
    <row r="594" customFormat="false" ht="15" hidden="false" customHeight="false" outlineLevel="0" collapsed="false">
      <c r="A594" s="31" t="n">
        <v>592</v>
      </c>
      <c r="B594" s="43" t="s">
        <v>11718</v>
      </c>
      <c r="C594" s="34" t="s">
        <v>11719</v>
      </c>
      <c r="D594" s="44" t="s">
        <v>10681</v>
      </c>
      <c r="E594" s="31"/>
      <c r="F594" s="31" t="s">
        <v>2580</v>
      </c>
      <c r="G594" s="31" t="n">
        <v>21</v>
      </c>
      <c r="H594" s="31" t="s">
        <v>1947</v>
      </c>
      <c r="I594" s="44" t="s">
        <v>2534</v>
      </c>
      <c r="J594" s="45" t="s">
        <v>2582</v>
      </c>
      <c r="K594" s="45" t="s">
        <v>2584</v>
      </c>
      <c r="L594" s="31" t="n">
        <f aca="false">COUNTIF($B$3:$B$2205,$B594)</f>
        <v>1</v>
      </c>
      <c r="M594" s="44" t="str">
        <f aca="false">IFERROR(INDEX(SENTENCES!$T$3:$T$1802,MATCH($F594,SENTENCES!$A$3:$A$1802,0)),"")</f>
        <v>• Chưa tới</v>
      </c>
    </row>
    <row r="595" customFormat="false" ht="15" hidden="false" customHeight="false" outlineLevel="0" collapsed="false">
      <c r="A595" s="31" t="n">
        <v>593</v>
      </c>
      <c r="B595" s="43" t="s">
        <v>11720</v>
      </c>
      <c r="C595" s="34" t="s">
        <v>11721</v>
      </c>
      <c r="D595" s="44" t="s">
        <v>10677</v>
      </c>
      <c r="E595" s="31" t="s">
        <v>10747</v>
      </c>
      <c r="F595" s="31" t="s">
        <v>2580</v>
      </c>
      <c r="G595" s="31" t="n">
        <v>21</v>
      </c>
      <c r="H595" s="31" t="s">
        <v>1947</v>
      </c>
      <c r="I595" s="44" t="s">
        <v>2534</v>
      </c>
      <c r="J595" s="45" t="s">
        <v>2582</v>
      </c>
      <c r="K595" s="45" t="s">
        <v>2584</v>
      </c>
      <c r="L595" s="31" t="n">
        <f aca="false">COUNTIF($B$3:$B$2205,$B595)</f>
        <v>1</v>
      </c>
      <c r="M595" s="44" t="str">
        <f aca="false">IFERROR(INDEX(SENTENCES!$T$3:$T$1802,MATCH($F595,SENTENCES!$A$3:$A$1802,0)),"")</f>
        <v>• Chưa tới</v>
      </c>
    </row>
    <row r="596" customFormat="false" ht="15" hidden="false" customHeight="false" outlineLevel="0" collapsed="false">
      <c r="A596" s="31" t="n">
        <v>594</v>
      </c>
      <c r="B596" s="43" t="s">
        <v>11722</v>
      </c>
      <c r="C596" s="34" t="s">
        <v>10772</v>
      </c>
      <c r="D596" s="44" t="s">
        <v>10681</v>
      </c>
      <c r="E596" s="31"/>
      <c r="F596" s="31" t="s">
        <v>2586</v>
      </c>
      <c r="G596" s="31" t="n">
        <v>21</v>
      </c>
      <c r="H596" s="31" t="s">
        <v>1947</v>
      </c>
      <c r="I596" s="44" t="s">
        <v>2534</v>
      </c>
      <c r="J596" s="45" t="s">
        <v>2588</v>
      </c>
      <c r="K596" s="45" t="s">
        <v>2590</v>
      </c>
      <c r="L596" s="31" t="n">
        <f aca="false">COUNTIF($B$3:$B$2205,$B596)</f>
        <v>1</v>
      </c>
      <c r="M596" s="44" t="str">
        <f aca="false">IFERROR(INDEX(SENTENCES!$T$3:$T$1802,MATCH($F596,SENTENCES!$A$3:$A$1802,0)),"")</f>
        <v>• Chưa tới</v>
      </c>
    </row>
    <row r="597" customFormat="false" ht="15" hidden="false" customHeight="false" outlineLevel="0" collapsed="false">
      <c r="A597" s="31" t="n">
        <v>595</v>
      </c>
      <c r="B597" s="43" t="s">
        <v>10710</v>
      </c>
      <c r="C597" s="34" t="s">
        <v>10711</v>
      </c>
      <c r="D597" s="44" t="s">
        <v>10681</v>
      </c>
      <c r="E597" s="31"/>
      <c r="F597" s="31" t="s">
        <v>2586</v>
      </c>
      <c r="G597" s="31" t="n">
        <v>21</v>
      </c>
      <c r="H597" s="31" t="s">
        <v>1947</v>
      </c>
      <c r="I597" s="44" t="s">
        <v>2534</v>
      </c>
      <c r="J597" s="45" t="s">
        <v>2588</v>
      </c>
      <c r="K597" s="45" t="s">
        <v>2590</v>
      </c>
      <c r="L597" s="31" t="n">
        <f aca="false">COUNTIF($B$3:$B$2205,$B597)</f>
        <v>2</v>
      </c>
      <c r="M597" s="44" t="str">
        <f aca="false">IFERROR(INDEX(SENTENCES!$T$3:$T$1802,MATCH($F597,SENTENCES!$A$3:$A$1802,0)),"")</f>
        <v>• Chưa tới</v>
      </c>
    </row>
    <row r="598" customFormat="false" ht="15" hidden="false" customHeight="false" outlineLevel="0" collapsed="false">
      <c r="A598" s="31" t="n">
        <v>596</v>
      </c>
      <c r="B598" s="43" t="s">
        <v>11269</v>
      </c>
      <c r="C598" s="34" t="s">
        <v>11270</v>
      </c>
      <c r="D598" s="44" t="s">
        <v>10677</v>
      </c>
      <c r="E598" s="31" t="s">
        <v>10678</v>
      </c>
      <c r="F598" s="31" t="s">
        <v>2592</v>
      </c>
      <c r="G598" s="31" t="n">
        <v>21</v>
      </c>
      <c r="H598" s="31" t="s">
        <v>1947</v>
      </c>
      <c r="I598" s="44" t="s">
        <v>2534</v>
      </c>
      <c r="J598" s="45" t="s">
        <v>2594</v>
      </c>
      <c r="K598" s="45" t="s">
        <v>2596</v>
      </c>
      <c r="L598" s="31" t="n">
        <f aca="false">COUNTIF($B$3:$B$2205,$B598)</f>
        <v>3</v>
      </c>
      <c r="M598" s="44" t="str">
        <f aca="false">IFERROR(INDEX(SENTENCES!$T$3:$T$1802,MATCH($F598,SENTENCES!$A$3:$A$1802,0)),"")</f>
        <v>• Chưa tới</v>
      </c>
    </row>
    <row r="599" customFormat="false" ht="15" hidden="false" customHeight="false" outlineLevel="0" collapsed="false">
      <c r="A599" s="31" t="n">
        <v>597</v>
      </c>
      <c r="B599" s="43" t="s">
        <v>11723</v>
      </c>
      <c r="C599" s="34" t="s">
        <v>11724</v>
      </c>
      <c r="D599" s="44" t="s">
        <v>10677</v>
      </c>
      <c r="E599" s="31" t="s">
        <v>10747</v>
      </c>
      <c r="F599" s="31" t="s">
        <v>2598</v>
      </c>
      <c r="G599" s="31" t="n">
        <v>21</v>
      </c>
      <c r="H599" s="31" t="s">
        <v>1947</v>
      </c>
      <c r="I599" s="44" t="s">
        <v>2534</v>
      </c>
      <c r="J599" s="45" t="s">
        <v>2600</v>
      </c>
      <c r="K599" s="45" t="s">
        <v>2602</v>
      </c>
      <c r="L599" s="31" t="n">
        <f aca="false">COUNTIF($B$3:$B$2205,$B599)</f>
        <v>1</v>
      </c>
      <c r="M599" s="44" t="str">
        <f aca="false">IFERROR(INDEX(SENTENCES!$T$3:$T$1802,MATCH($F599,SENTENCES!$A$3:$A$1802,0)),"")</f>
        <v>• Chưa tới</v>
      </c>
    </row>
    <row r="600" customFormat="false" ht="15" hidden="false" customHeight="false" outlineLevel="0" collapsed="false">
      <c r="A600" s="31" t="n">
        <v>598</v>
      </c>
      <c r="B600" s="43" t="s">
        <v>11725</v>
      </c>
      <c r="C600" s="34" t="s">
        <v>11726</v>
      </c>
      <c r="D600" s="44" t="s">
        <v>10677</v>
      </c>
      <c r="E600" s="31" t="s">
        <v>10678</v>
      </c>
      <c r="F600" s="31" t="s">
        <v>2604</v>
      </c>
      <c r="G600" s="31" t="n">
        <v>21</v>
      </c>
      <c r="H600" s="31" t="s">
        <v>1947</v>
      </c>
      <c r="I600" s="44" t="s">
        <v>2534</v>
      </c>
      <c r="J600" s="45" t="s">
        <v>2606</v>
      </c>
      <c r="K600" s="45" t="s">
        <v>2608</v>
      </c>
      <c r="L600" s="31" t="n">
        <f aca="false">COUNTIF($B$3:$B$2205,$B600)</f>
        <v>2</v>
      </c>
      <c r="M600" s="44" t="str">
        <f aca="false">IFERROR(INDEX(SENTENCES!$T$3:$T$1802,MATCH($F600,SENTENCES!$A$3:$A$1802,0)),"")</f>
        <v>• Chưa tới</v>
      </c>
    </row>
    <row r="601" customFormat="false" ht="15" hidden="false" customHeight="false" outlineLevel="0" collapsed="false">
      <c r="A601" s="31" t="n">
        <v>599</v>
      </c>
      <c r="B601" s="43" t="s">
        <v>11727</v>
      </c>
      <c r="C601" s="34" t="s">
        <v>11728</v>
      </c>
      <c r="D601" s="44" t="s">
        <v>10677</v>
      </c>
      <c r="E601" s="31" t="s">
        <v>10747</v>
      </c>
      <c r="F601" s="31" t="s">
        <v>2610</v>
      </c>
      <c r="G601" s="31" t="n">
        <v>21</v>
      </c>
      <c r="H601" s="31" t="s">
        <v>1947</v>
      </c>
      <c r="I601" s="44" t="s">
        <v>2534</v>
      </c>
      <c r="J601" s="45" t="s">
        <v>2612</v>
      </c>
      <c r="K601" s="45" t="s">
        <v>2614</v>
      </c>
      <c r="L601" s="31" t="n">
        <f aca="false">COUNTIF($B$3:$B$2205,$B601)</f>
        <v>3</v>
      </c>
      <c r="M601" s="44" t="str">
        <f aca="false">IFERROR(INDEX(SENTENCES!$T$3:$T$1802,MATCH($F601,SENTENCES!$A$3:$A$1802,0)),"")</f>
        <v>• Chưa tới</v>
      </c>
    </row>
    <row r="602" customFormat="false" ht="15" hidden="false" customHeight="false" outlineLevel="0" collapsed="false">
      <c r="A602" s="31" t="n">
        <v>600</v>
      </c>
      <c r="B602" s="43" t="s">
        <v>10851</v>
      </c>
      <c r="C602" s="34" t="s">
        <v>10852</v>
      </c>
      <c r="D602" s="44" t="s">
        <v>10677</v>
      </c>
      <c r="E602" s="31" t="s">
        <v>10678</v>
      </c>
      <c r="F602" s="31" t="s">
        <v>2616</v>
      </c>
      <c r="G602" s="31" t="n">
        <v>21</v>
      </c>
      <c r="H602" s="31" t="s">
        <v>1947</v>
      </c>
      <c r="I602" s="44" t="s">
        <v>2534</v>
      </c>
      <c r="J602" s="45" t="s">
        <v>2617</v>
      </c>
      <c r="K602" s="45" t="s">
        <v>2619</v>
      </c>
      <c r="L602" s="31" t="n">
        <f aca="false">COUNTIF($B$3:$B$2205,$B602)</f>
        <v>2</v>
      </c>
      <c r="M602" s="44" t="str">
        <f aca="false">IFERROR(INDEX(SENTENCES!$T$3:$T$1802,MATCH($F602,SENTENCES!$A$3:$A$1802,0)),"")</f>
        <v>• Chưa tới</v>
      </c>
    </row>
    <row r="603" customFormat="false" ht="15" hidden="false" customHeight="false" outlineLevel="0" collapsed="false">
      <c r="A603" s="31" t="n">
        <v>601</v>
      </c>
      <c r="B603" s="43" t="s">
        <v>11729</v>
      </c>
      <c r="C603" s="34" t="s">
        <v>11730</v>
      </c>
      <c r="D603" s="44" t="s">
        <v>10681</v>
      </c>
      <c r="E603" s="31"/>
      <c r="F603" s="31" t="s">
        <v>2621</v>
      </c>
      <c r="G603" s="31" t="n">
        <v>21</v>
      </c>
      <c r="H603" s="31" t="s">
        <v>1947</v>
      </c>
      <c r="I603" s="44" t="s">
        <v>2534</v>
      </c>
      <c r="J603" s="45" t="s">
        <v>2623</v>
      </c>
      <c r="K603" s="45" t="s">
        <v>2625</v>
      </c>
      <c r="L603" s="31" t="n">
        <f aca="false">COUNTIF($B$3:$B$2205,$B603)</f>
        <v>1</v>
      </c>
      <c r="M603" s="44" t="str">
        <f aca="false">IFERROR(INDEX(SENTENCES!$T$3:$T$1802,MATCH($F603,SENTENCES!$A$3:$A$1802,0)),"")</f>
        <v>• Chưa tới</v>
      </c>
    </row>
    <row r="604" customFormat="false" ht="15" hidden="false" customHeight="false" outlineLevel="0" collapsed="false">
      <c r="A604" s="31" t="n">
        <v>602</v>
      </c>
      <c r="B604" s="43" t="s">
        <v>11731</v>
      </c>
      <c r="C604" s="34" t="s">
        <v>11732</v>
      </c>
      <c r="D604" s="44" t="s">
        <v>10677</v>
      </c>
      <c r="E604" s="31" t="s">
        <v>10747</v>
      </c>
      <c r="F604" s="31" t="s">
        <v>2627</v>
      </c>
      <c r="G604" s="31" t="n">
        <v>21</v>
      </c>
      <c r="H604" s="31" t="s">
        <v>1947</v>
      </c>
      <c r="I604" s="44" t="s">
        <v>2534</v>
      </c>
      <c r="J604" s="45" t="s">
        <v>2629</v>
      </c>
      <c r="K604" s="45" t="s">
        <v>2631</v>
      </c>
      <c r="L604" s="31" t="n">
        <f aca="false">COUNTIF($B$3:$B$2205,$B604)</f>
        <v>2</v>
      </c>
      <c r="M604" s="44" t="str">
        <f aca="false">IFERROR(INDEX(SENTENCES!$T$3:$T$1802,MATCH($F604,SENTENCES!$A$3:$A$1802,0)),"")</f>
        <v>• Chưa tới</v>
      </c>
    </row>
    <row r="605" customFormat="false" ht="15" hidden="false" customHeight="false" outlineLevel="0" collapsed="false">
      <c r="A605" s="31" t="n">
        <v>603</v>
      </c>
      <c r="B605" s="43" t="s">
        <v>11733</v>
      </c>
      <c r="C605" s="34" t="s">
        <v>11734</v>
      </c>
      <c r="D605" s="44" t="s">
        <v>10681</v>
      </c>
      <c r="E605" s="31"/>
      <c r="F605" s="31" t="s">
        <v>2633</v>
      </c>
      <c r="G605" s="31" t="n">
        <v>21</v>
      </c>
      <c r="H605" s="31" t="s">
        <v>1947</v>
      </c>
      <c r="I605" s="44" t="s">
        <v>2534</v>
      </c>
      <c r="J605" s="45" t="s">
        <v>2635</v>
      </c>
      <c r="K605" s="45" t="s">
        <v>2637</v>
      </c>
      <c r="L605" s="31" t="n">
        <f aca="false">COUNTIF($B$3:$B$2205,$B605)</f>
        <v>1</v>
      </c>
      <c r="M605" s="44" t="str">
        <f aca="false">IFERROR(INDEX(SENTENCES!$T$3:$T$1802,MATCH($F605,SENTENCES!$A$3:$A$1802,0)),"")</f>
        <v>• Chưa tới</v>
      </c>
    </row>
    <row r="606" customFormat="false" ht="15" hidden="false" customHeight="false" outlineLevel="0" collapsed="false">
      <c r="A606" s="31" t="n">
        <v>604</v>
      </c>
      <c r="B606" s="43" t="s">
        <v>11735</v>
      </c>
      <c r="C606" s="34" t="s">
        <v>11736</v>
      </c>
      <c r="D606" s="44" t="s">
        <v>10677</v>
      </c>
      <c r="E606" s="31" t="s">
        <v>10678</v>
      </c>
      <c r="F606" s="31" t="s">
        <v>2639</v>
      </c>
      <c r="G606" s="31" t="n">
        <v>21</v>
      </c>
      <c r="H606" s="31" t="s">
        <v>1947</v>
      </c>
      <c r="I606" s="44" t="s">
        <v>2534</v>
      </c>
      <c r="J606" s="45" t="s">
        <v>2641</v>
      </c>
      <c r="K606" s="45" t="s">
        <v>2643</v>
      </c>
      <c r="L606" s="31" t="n">
        <f aca="false">COUNTIF($B$3:$B$2205,$B606)</f>
        <v>1</v>
      </c>
      <c r="M606" s="44" t="str">
        <f aca="false">IFERROR(INDEX(SENTENCES!$T$3:$T$1802,MATCH($F606,SENTENCES!$A$3:$A$1802,0)),"")</f>
        <v>• Chưa tới</v>
      </c>
    </row>
    <row r="607" customFormat="false" ht="15" hidden="false" customHeight="false" outlineLevel="0" collapsed="false">
      <c r="A607" s="31" t="n">
        <v>605</v>
      </c>
      <c r="B607" s="43" t="s">
        <v>11737</v>
      </c>
      <c r="C607" s="34" t="s">
        <v>11738</v>
      </c>
      <c r="D607" s="44" t="s">
        <v>10681</v>
      </c>
      <c r="E607" s="31"/>
      <c r="F607" s="31" t="s">
        <v>2639</v>
      </c>
      <c r="G607" s="31" t="n">
        <v>21</v>
      </c>
      <c r="H607" s="31" t="s">
        <v>1947</v>
      </c>
      <c r="I607" s="44" t="s">
        <v>2534</v>
      </c>
      <c r="J607" s="45" t="s">
        <v>2641</v>
      </c>
      <c r="K607" s="45" t="s">
        <v>2643</v>
      </c>
      <c r="L607" s="31" t="n">
        <f aca="false">COUNTIF($B$3:$B$2205,$B607)</f>
        <v>1</v>
      </c>
      <c r="M607" s="44" t="str">
        <f aca="false">IFERROR(INDEX(SENTENCES!$T$3:$T$1802,MATCH($F607,SENTENCES!$A$3:$A$1802,0)),"")</f>
        <v>• Chưa tới</v>
      </c>
    </row>
    <row r="608" customFormat="false" ht="15" hidden="false" customHeight="false" outlineLevel="0" collapsed="false">
      <c r="A608" s="31" t="n">
        <v>606</v>
      </c>
      <c r="B608" s="43" t="s">
        <v>11739</v>
      </c>
      <c r="C608" s="34" t="s">
        <v>11643</v>
      </c>
      <c r="D608" s="44" t="s">
        <v>10677</v>
      </c>
      <c r="E608" s="31" t="s">
        <v>10678</v>
      </c>
      <c r="F608" s="31" t="s">
        <v>2645</v>
      </c>
      <c r="G608" s="31" t="n">
        <v>21</v>
      </c>
      <c r="H608" s="31" t="s">
        <v>1947</v>
      </c>
      <c r="I608" s="44" t="s">
        <v>2534</v>
      </c>
      <c r="J608" s="45" t="s">
        <v>2646</v>
      </c>
      <c r="K608" s="45" t="s">
        <v>2648</v>
      </c>
      <c r="L608" s="31" t="n">
        <f aca="false">COUNTIF($B$3:$B$2205,$B608)</f>
        <v>2</v>
      </c>
      <c r="M608" s="44" t="str">
        <f aca="false">IFERROR(INDEX(SENTENCES!$T$3:$T$1802,MATCH($F608,SENTENCES!$A$3:$A$1802,0)),"")</f>
        <v>• Chưa tới</v>
      </c>
    </row>
    <row r="609" customFormat="false" ht="15" hidden="false" customHeight="false" outlineLevel="0" collapsed="false">
      <c r="A609" s="31" t="n">
        <v>607</v>
      </c>
      <c r="B609" s="43" t="s">
        <v>11740</v>
      </c>
      <c r="C609" s="34" t="s">
        <v>11741</v>
      </c>
      <c r="D609" s="44" t="s">
        <v>10677</v>
      </c>
      <c r="E609" s="31" t="s">
        <v>10747</v>
      </c>
      <c r="F609" s="31" t="s">
        <v>2650</v>
      </c>
      <c r="G609" s="31" t="n">
        <v>22</v>
      </c>
      <c r="H609" s="31" t="s">
        <v>1947</v>
      </c>
      <c r="I609" s="44" t="s">
        <v>2651</v>
      </c>
      <c r="J609" s="45" t="s">
        <v>2653</v>
      </c>
      <c r="K609" s="45" t="s">
        <v>2655</v>
      </c>
      <c r="L609" s="31" t="n">
        <f aca="false">COUNTIF($B$3:$B$2205,$B609)</f>
        <v>1</v>
      </c>
      <c r="M609" s="44" t="str">
        <f aca="false">IFERROR(INDEX(SENTENCES!$T$3:$T$1802,MATCH($F609,SENTENCES!$A$3:$A$1802,0)),"")</f>
        <v>• Chưa tới</v>
      </c>
    </row>
    <row r="610" customFormat="false" ht="15" hidden="false" customHeight="false" outlineLevel="0" collapsed="false">
      <c r="A610" s="31" t="n">
        <v>608</v>
      </c>
      <c r="B610" s="43" t="s">
        <v>11742</v>
      </c>
      <c r="C610" s="34" t="s">
        <v>11743</v>
      </c>
      <c r="D610" s="44" t="s">
        <v>10686</v>
      </c>
      <c r="E610" s="31"/>
      <c r="F610" s="31" t="s">
        <v>2650</v>
      </c>
      <c r="G610" s="31" t="n">
        <v>22</v>
      </c>
      <c r="H610" s="31" t="s">
        <v>1947</v>
      </c>
      <c r="I610" s="44" t="s">
        <v>2651</v>
      </c>
      <c r="J610" s="45" t="s">
        <v>2653</v>
      </c>
      <c r="K610" s="45" t="s">
        <v>2655</v>
      </c>
      <c r="L610" s="31" t="n">
        <f aca="false">COUNTIF($B$3:$B$2205,$B610)</f>
        <v>2</v>
      </c>
      <c r="M610" s="44" t="str">
        <f aca="false">IFERROR(INDEX(SENTENCES!$T$3:$T$1802,MATCH($F610,SENTENCES!$A$3:$A$1802,0)),"")</f>
        <v>• Chưa tới</v>
      </c>
    </row>
    <row r="611" customFormat="false" ht="15" hidden="false" customHeight="false" outlineLevel="0" collapsed="false">
      <c r="A611" s="31" t="n">
        <v>609</v>
      </c>
      <c r="B611" s="43" t="s">
        <v>11742</v>
      </c>
      <c r="C611" s="34" t="s">
        <v>11744</v>
      </c>
      <c r="D611" s="44" t="s">
        <v>10686</v>
      </c>
      <c r="E611" s="31"/>
      <c r="F611" s="31" t="s">
        <v>2657</v>
      </c>
      <c r="G611" s="31" t="n">
        <v>22</v>
      </c>
      <c r="H611" s="31" t="s">
        <v>1947</v>
      </c>
      <c r="I611" s="44" t="s">
        <v>2651</v>
      </c>
      <c r="J611" s="45" t="s">
        <v>2659</v>
      </c>
      <c r="K611" s="45" t="s">
        <v>2661</v>
      </c>
      <c r="L611" s="31" t="n">
        <f aca="false">COUNTIF($B$3:$B$2205,$B611)</f>
        <v>2</v>
      </c>
      <c r="M611" s="44" t="str">
        <f aca="false">IFERROR(INDEX(SENTENCES!$T$3:$T$1802,MATCH($F611,SENTENCES!$A$3:$A$1802,0)),"")</f>
        <v>• Chưa tới</v>
      </c>
    </row>
    <row r="612" customFormat="false" ht="15" hidden="false" customHeight="false" outlineLevel="0" collapsed="false">
      <c r="A612" s="31" t="n">
        <v>610</v>
      </c>
      <c r="B612" s="43" t="s">
        <v>11745</v>
      </c>
      <c r="C612" s="34" t="s">
        <v>11746</v>
      </c>
      <c r="D612" s="44" t="s">
        <v>10677</v>
      </c>
      <c r="E612" s="31" t="s">
        <v>10747</v>
      </c>
      <c r="F612" s="31" t="s">
        <v>2663</v>
      </c>
      <c r="G612" s="31" t="n">
        <v>22</v>
      </c>
      <c r="H612" s="31" t="s">
        <v>1947</v>
      </c>
      <c r="I612" s="44" t="s">
        <v>2651</v>
      </c>
      <c r="J612" s="45" t="s">
        <v>2665</v>
      </c>
      <c r="K612" s="45" t="s">
        <v>2667</v>
      </c>
      <c r="L612" s="31" t="n">
        <f aca="false">COUNTIF($B$3:$B$2205,$B612)</f>
        <v>1</v>
      </c>
      <c r="M612" s="44" t="str">
        <f aca="false">IFERROR(INDEX(SENTENCES!$T$3:$T$1802,MATCH($F612,SENTENCES!$A$3:$A$1802,0)),"")</f>
        <v>• Chưa tới</v>
      </c>
    </row>
    <row r="613" customFormat="false" ht="15" hidden="false" customHeight="false" outlineLevel="0" collapsed="false">
      <c r="A613" s="31" t="n">
        <v>611</v>
      </c>
      <c r="B613" s="43" t="s">
        <v>11747</v>
      </c>
      <c r="C613" s="34" t="s">
        <v>11748</v>
      </c>
      <c r="D613" s="44" t="s">
        <v>10686</v>
      </c>
      <c r="E613" s="31"/>
      <c r="F613" s="31" t="s">
        <v>2669</v>
      </c>
      <c r="G613" s="31" t="n">
        <v>22</v>
      </c>
      <c r="H613" s="31" t="s">
        <v>1947</v>
      </c>
      <c r="I613" s="44" t="s">
        <v>2651</v>
      </c>
      <c r="J613" s="45" t="s">
        <v>2671</v>
      </c>
      <c r="K613" s="45" t="s">
        <v>2673</v>
      </c>
      <c r="L613" s="31" t="n">
        <f aca="false">COUNTIF($B$3:$B$2205,$B613)</f>
        <v>1</v>
      </c>
      <c r="M613" s="44" t="str">
        <f aca="false">IFERROR(INDEX(SENTENCES!$T$3:$T$1802,MATCH($F613,SENTENCES!$A$3:$A$1802,0)),"")</f>
        <v>• Chưa tới</v>
      </c>
    </row>
    <row r="614" customFormat="false" ht="15" hidden="false" customHeight="false" outlineLevel="0" collapsed="false">
      <c r="A614" s="31" t="n">
        <v>612</v>
      </c>
      <c r="B614" s="43" t="s">
        <v>11677</v>
      </c>
      <c r="C614" s="34" t="s">
        <v>11678</v>
      </c>
      <c r="D614" s="44" t="s">
        <v>10677</v>
      </c>
      <c r="E614" s="31" t="s">
        <v>10707</v>
      </c>
      <c r="F614" s="31" t="s">
        <v>2675</v>
      </c>
      <c r="G614" s="31" t="n">
        <v>22</v>
      </c>
      <c r="H614" s="31" t="s">
        <v>1947</v>
      </c>
      <c r="I614" s="44" t="s">
        <v>2651</v>
      </c>
      <c r="J614" s="45" t="s">
        <v>2677</v>
      </c>
      <c r="K614" s="45" t="s">
        <v>2679</v>
      </c>
      <c r="L614" s="31" t="n">
        <f aca="false">COUNTIF($B$3:$B$2205,$B614)</f>
        <v>2</v>
      </c>
      <c r="M614" s="44" t="str">
        <f aca="false">IFERROR(INDEX(SENTENCES!$T$3:$T$1802,MATCH($F614,SENTENCES!$A$3:$A$1802,0)),"")</f>
        <v>• Chưa tới</v>
      </c>
    </row>
    <row r="615" customFormat="false" ht="15" hidden="false" customHeight="false" outlineLevel="0" collapsed="false">
      <c r="A615" s="31" t="n">
        <v>613</v>
      </c>
      <c r="B615" s="43" t="s">
        <v>10684</v>
      </c>
      <c r="C615" s="34" t="s">
        <v>11749</v>
      </c>
      <c r="D615" s="44" t="s">
        <v>10686</v>
      </c>
      <c r="E615" s="31"/>
      <c r="F615" s="31" t="s">
        <v>2681</v>
      </c>
      <c r="G615" s="31" t="n">
        <v>22</v>
      </c>
      <c r="H615" s="31" t="s">
        <v>1947</v>
      </c>
      <c r="I615" s="44" t="s">
        <v>2651</v>
      </c>
      <c r="J615" s="45" t="s">
        <v>2683</v>
      </c>
      <c r="K615" s="45" t="s">
        <v>2685</v>
      </c>
      <c r="L615" s="31" t="n">
        <f aca="false">COUNTIF($B$3:$B$2205,$B615)</f>
        <v>2</v>
      </c>
      <c r="M615" s="44" t="str">
        <f aca="false">IFERROR(INDEX(SENTENCES!$T$3:$T$1802,MATCH($F615,SENTENCES!$A$3:$A$1802,0)),"")</f>
        <v>• Chưa tới</v>
      </c>
    </row>
    <row r="616" customFormat="false" ht="15" hidden="false" customHeight="false" outlineLevel="0" collapsed="false">
      <c r="A616" s="31" t="n">
        <v>614</v>
      </c>
      <c r="B616" s="43" t="s">
        <v>11750</v>
      </c>
      <c r="C616" s="34" t="s">
        <v>11751</v>
      </c>
      <c r="D616" s="44" t="s">
        <v>10681</v>
      </c>
      <c r="E616" s="31"/>
      <c r="F616" s="31" t="s">
        <v>2687</v>
      </c>
      <c r="G616" s="31" t="n">
        <v>22</v>
      </c>
      <c r="H616" s="31" t="s">
        <v>1947</v>
      </c>
      <c r="I616" s="44" t="s">
        <v>2651</v>
      </c>
      <c r="J616" s="45" t="s">
        <v>2689</v>
      </c>
      <c r="K616" s="45" t="s">
        <v>2691</v>
      </c>
      <c r="L616" s="31" t="n">
        <f aca="false">COUNTIF($B$3:$B$2205,$B616)</f>
        <v>1</v>
      </c>
      <c r="M616" s="44" t="str">
        <f aca="false">IFERROR(INDEX(SENTENCES!$T$3:$T$1802,MATCH($F616,SENTENCES!$A$3:$A$1802,0)),"")</f>
        <v>• Chưa tới</v>
      </c>
    </row>
    <row r="617" customFormat="false" ht="15" hidden="false" customHeight="false" outlineLevel="0" collapsed="false">
      <c r="A617" s="31" t="n">
        <v>615</v>
      </c>
      <c r="B617" s="43" t="s">
        <v>11752</v>
      </c>
      <c r="C617" s="34" t="s">
        <v>11753</v>
      </c>
      <c r="D617" s="44" t="s">
        <v>10686</v>
      </c>
      <c r="E617" s="31"/>
      <c r="F617" s="31" t="s">
        <v>2693</v>
      </c>
      <c r="G617" s="31" t="n">
        <v>22</v>
      </c>
      <c r="H617" s="31" t="s">
        <v>1947</v>
      </c>
      <c r="I617" s="44" t="s">
        <v>2651</v>
      </c>
      <c r="J617" s="45" t="s">
        <v>2695</v>
      </c>
      <c r="K617" s="45" t="s">
        <v>2697</v>
      </c>
      <c r="L617" s="31" t="n">
        <f aca="false">COUNTIF($B$3:$B$2205,$B617)</f>
        <v>1</v>
      </c>
      <c r="M617" s="44" t="str">
        <f aca="false">IFERROR(INDEX(SENTENCES!$T$3:$T$1802,MATCH($F617,SENTENCES!$A$3:$A$1802,0)),"")</f>
        <v>• Chưa tới</v>
      </c>
    </row>
    <row r="618" customFormat="false" ht="15" hidden="false" customHeight="false" outlineLevel="0" collapsed="false">
      <c r="A618" s="31" t="n">
        <v>616</v>
      </c>
      <c r="B618" s="43" t="s">
        <v>11658</v>
      </c>
      <c r="C618" s="34" t="s">
        <v>11659</v>
      </c>
      <c r="D618" s="44" t="s">
        <v>10681</v>
      </c>
      <c r="E618" s="31"/>
      <c r="F618" s="31" t="s">
        <v>2699</v>
      </c>
      <c r="G618" s="31" t="n">
        <v>22</v>
      </c>
      <c r="H618" s="31" t="s">
        <v>1947</v>
      </c>
      <c r="I618" s="44" t="s">
        <v>2651</v>
      </c>
      <c r="J618" s="45" t="s">
        <v>2701</v>
      </c>
      <c r="K618" s="45" t="s">
        <v>2703</v>
      </c>
      <c r="L618" s="31" t="n">
        <f aca="false">COUNTIF($B$3:$B$2205,$B618)</f>
        <v>4</v>
      </c>
      <c r="M618" s="44" t="str">
        <f aca="false">IFERROR(INDEX(SENTENCES!$T$3:$T$1802,MATCH($F618,SENTENCES!$A$3:$A$1802,0)),"")</f>
        <v>• Chưa tới</v>
      </c>
    </row>
    <row r="619" customFormat="false" ht="15" hidden="false" customHeight="false" outlineLevel="0" collapsed="false">
      <c r="A619" s="31" t="n">
        <v>617</v>
      </c>
      <c r="B619" s="43" t="s">
        <v>11754</v>
      </c>
      <c r="C619" s="34" t="s">
        <v>11755</v>
      </c>
      <c r="D619" s="44" t="s">
        <v>10677</v>
      </c>
      <c r="E619" s="31" t="s">
        <v>10747</v>
      </c>
      <c r="F619" s="31" t="s">
        <v>2699</v>
      </c>
      <c r="G619" s="31" t="n">
        <v>22</v>
      </c>
      <c r="H619" s="31" t="s">
        <v>1947</v>
      </c>
      <c r="I619" s="44" t="s">
        <v>2651</v>
      </c>
      <c r="J619" s="45" t="s">
        <v>2701</v>
      </c>
      <c r="K619" s="45" t="s">
        <v>2703</v>
      </c>
      <c r="L619" s="31" t="n">
        <f aca="false">COUNTIF($B$3:$B$2205,$B619)</f>
        <v>1</v>
      </c>
      <c r="M619" s="44" t="str">
        <f aca="false">IFERROR(INDEX(SENTENCES!$T$3:$T$1802,MATCH($F619,SENTENCES!$A$3:$A$1802,0)),"")</f>
        <v>• Chưa tới</v>
      </c>
    </row>
    <row r="620" customFormat="false" ht="15" hidden="false" customHeight="false" outlineLevel="0" collapsed="false">
      <c r="A620" s="31" t="n">
        <v>618</v>
      </c>
      <c r="B620" s="43" t="s">
        <v>11223</v>
      </c>
      <c r="C620" s="34" t="s">
        <v>11224</v>
      </c>
      <c r="D620" s="44" t="s">
        <v>10677</v>
      </c>
      <c r="E620" s="31" t="s">
        <v>10747</v>
      </c>
      <c r="F620" s="31" t="s">
        <v>2705</v>
      </c>
      <c r="G620" s="31" t="n">
        <v>22</v>
      </c>
      <c r="H620" s="31" t="s">
        <v>1947</v>
      </c>
      <c r="I620" s="44" t="s">
        <v>2651</v>
      </c>
      <c r="J620" s="45" t="s">
        <v>2707</v>
      </c>
      <c r="K620" s="45" t="s">
        <v>2709</v>
      </c>
      <c r="L620" s="31" t="n">
        <f aca="false">COUNTIF($B$3:$B$2205,$B620)</f>
        <v>2</v>
      </c>
      <c r="M620" s="44" t="str">
        <f aca="false">IFERROR(INDEX(SENTENCES!$T$3:$T$1802,MATCH($F620,SENTENCES!$A$3:$A$1802,0)),"")</f>
        <v>• Chưa tới</v>
      </c>
    </row>
    <row r="621" customFormat="false" ht="15" hidden="false" customHeight="false" outlineLevel="0" collapsed="false">
      <c r="A621" s="31" t="n">
        <v>619</v>
      </c>
      <c r="B621" s="43" t="s">
        <v>11756</v>
      </c>
      <c r="C621" s="34" t="s">
        <v>11757</v>
      </c>
      <c r="D621" s="44" t="s">
        <v>10681</v>
      </c>
      <c r="E621" s="31"/>
      <c r="F621" s="31" t="s">
        <v>2711</v>
      </c>
      <c r="G621" s="31" t="n">
        <v>22</v>
      </c>
      <c r="H621" s="31" t="s">
        <v>1947</v>
      </c>
      <c r="I621" s="44" t="s">
        <v>2651</v>
      </c>
      <c r="J621" s="45" t="s">
        <v>2713</v>
      </c>
      <c r="K621" s="45" t="s">
        <v>2715</v>
      </c>
      <c r="L621" s="31" t="n">
        <f aca="false">COUNTIF($B$3:$B$2205,$B621)</f>
        <v>1</v>
      </c>
      <c r="M621" s="44" t="str">
        <f aca="false">IFERROR(INDEX(SENTENCES!$T$3:$T$1802,MATCH($F621,SENTENCES!$A$3:$A$1802,0)),"")</f>
        <v>• Chưa tới</v>
      </c>
    </row>
    <row r="622" customFormat="false" ht="15" hidden="false" customHeight="false" outlineLevel="0" collapsed="false">
      <c r="A622" s="31" t="n">
        <v>620</v>
      </c>
      <c r="B622" s="43" t="s">
        <v>11090</v>
      </c>
      <c r="C622" s="34" t="s">
        <v>11758</v>
      </c>
      <c r="D622" s="44" t="s">
        <v>10681</v>
      </c>
      <c r="E622" s="31"/>
      <c r="F622" s="31" t="s">
        <v>2717</v>
      </c>
      <c r="G622" s="31" t="n">
        <v>22</v>
      </c>
      <c r="H622" s="31" t="s">
        <v>1947</v>
      </c>
      <c r="I622" s="44" t="s">
        <v>2651</v>
      </c>
      <c r="J622" s="45" t="s">
        <v>2719</v>
      </c>
      <c r="K622" s="45" t="s">
        <v>2721</v>
      </c>
      <c r="L622" s="31" t="n">
        <f aca="false">COUNTIF($B$3:$B$2205,$B622)</f>
        <v>3</v>
      </c>
      <c r="M622" s="44" t="str">
        <f aca="false">IFERROR(INDEX(SENTENCES!$T$3:$T$1802,MATCH($F622,SENTENCES!$A$3:$A$1802,0)),"")</f>
        <v>• Chưa tới</v>
      </c>
    </row>
    <row r="623" customFormat="false" ht="15" hidden="false" customHeight="false" outlineLevel="0" collapsed="false">
      <c r="A623" s="31" t="n">
        <v>621</v>
      </c>
      <c r="B623" s="43" t="s">
        <v>11759</v>
      </c>
      <c r="C623" s="34" t="s">
        <v>11760</v>
      </c>
      <c r="D623" s="44" t="s">
        <v>10754</v>
      </c>
      <c r="E623" s="31"/>
      <c r="F623" s="31" t="s">
        <v>2723</v>
      </c>
      <c r="G623" s="31" t="n">
        <v>22</v>
      </c>
      <c r="H623" s="31" t="s">
        <v>1947</v>
      </c>
      <c r="I623" s="44" t="s">
        <v>2651</v>
      </c>
      <c r="J623" s="45" t="s">
        <v>2725</v>
      </c>
      <c r="K623" s="45" t="s">
        <v>2727</v>
      </c>
      <c r="L623" s="31" t="n">
        <f aca="false">COUNTIF($B$3:$B$2205,$B623)</f>
        <v>1</v>
      </c>
      <c r="M623" s="44" t="str">
        <f aca="false">IFERROR(INDEX(SENTENCES!$T$3:$T$1802,MATCH($F623,SENTENCES!$A$3:$A$1802,0)),"")</f>
        <v>• Chưa tới</v>
      </c>
    </row>
    <row r="624" customFormat="false" ht="15" hidden="false" customHeight="false" outlineLevel="0" collapsed="false">
      <c r="A624" s="31" t="n">
        <v>622</v>
      </c>
      <c r="B624" s="43" t="s">
        <v>11761</v>
      </c>
      <c r="C624" s="34" t="s">
        <v>11762</v>
      </c>
      <c r="D624" s="44" t="s">
        <v>10686</v>
      </c>
      <c r="E624" s="31"/>
      <c r="F624" s="31" t="s">
        <v>2729</v>
      </c>
      <c r="G624" s="31" t="n">
        <v>22</v>
      </c>
      <c r="H624" s="31" t="s">
        <v>1947</v>
      </c>
      <c r="I624" s="44" t="s">
        <v>2651</v>
      </c>
      <c r="J624" s="45" t="s">
        <v>2731</v>
      </c>
      <c r="K624" s="45" t="s">
        <v>2733</v>
      </c>
      <c r="L624" s="31" t="n">
        <f aca="false">COUNTIF($B$3:$B$2205,$B624)</f>
        <v>1</v>
      </c>
      <c r="M624" s="44" t="str">
        <f aca="false">IFERROR(INDEX(SENTENCES!$T$3:$T$1802,MATCH($F624,SENTENCES!$A$3:$A$1802,0)),"")</f>
        <v>• Chưa tới</v>
      </c>
    </row>
    <row r="625" customFormat="false" ht="15" hidden="false" customHeight="false" outlineLevel="0" collapsed="false">
      <c r="A625" s="31" t="n">
        <v>623</v>
      </c>
      <c r="B625" s="43" t="s">
        <v>11763</v>
      </c>
      <c r="C625" s="34" t="s">
        <v>11764</v>
      </c>
      <c r="D625" s="44" t="s">
        <v>10686</v>
      </c>
      <c r="E625" s="31"/>
      <c r="F625" s="31" t="s">
        <v>2735</v>
      </c>
      <c r="G625" s="31" t="n">
        <v>22</v>
      </c>
      <c r="H625" s="31" t="s">
        <v>1947</v>
      </c>
      <c r="I625" s="44" t="s">
        <v>2651</v>
      </c>
      <c r="J625" s="45" t="s">
        <v>2737</v>
      </c>
      <c r="K625" s="45" t="s">
        <v>2739</v>
      </c>
      <c r="L625" s="31" t="n">
        <f aca="false">COUNTIF($B$3:$B$2205,$B625)</f>
        <v>1</v>
      </c>
      <c r="M625" s="44" t="str">
        <f aca="false">IFERROR(INDEX(SENTENCES!$T$3:$T$1802,MATCH($F625,SENTENCES!$A$3:$A$1802,0)),"")</f>
        <v>• Chưa tới</v>
      </c>
    </row>
    <row r="626" customFormat="false" ht="15" hidden="false" customHeight="false" outlineLevel="0" collapsed="false">
      <c r="A626" s="31" t="n">
        <v>624</v>
      </c>
      <c r="B626" s="43" t="s">
        <v>11227</v>
      </c>
      <c r="C626" s="34" t="s">
        <v>11228</v>
      </c>
      <c r="D626" s="44" t="s">
        <v>10686</v>
      </c>
      <c r="E626" s="31"/>
      <c r="F626" s="31" t="s">
        <v>2741</v>
      </c>
      <c r="G626" s="31" t="n">
        <v>22</v>
      </c>
      <c r="H626" s="31" t="s">
        <v>1947</v>
      </c>
      <c r="I626" s="44" t="s">
        <v>2651</v>
      </c>
      <c r="J626" s="45" t="s">
        <v>2743</v>
      </c>
      <c r="K626" s="45" t="s">
        <v>2745</v>
      </c>
      <c r="L626" s="31" t="n">
        <f aca="false">COUNTIF($B$3:$B$2205,$B626)</f>
        <v>2</v>
      </c>
      <c r="M626" s="44" t="str">
        <f aca="false">IFERROR(INDEX(SENTENCES!$T$3:$T$1802,MATCH($F626,SENTENCES!$A$3:$A$1802,0)),"")</f>
        <v>• Chưa tới</v>
      </c>
    </row>
    <row r="627" customFormat="false" ht="15" hidden="false" customHeight="false" outlineLevel="0" collapsed="false">
      <c r="A627" s="31" t="n">
        <v>625</v>
      </c>
      <c r="B627" s="43" t="s">
        <v>11626</v>
      </c>
      <c r="C627" s="34" t="s">
        <v>11627</v>
      </c>
      <c r="D627" s="44" t="s">
        <v>10677</v>
      </c>
      <c r="E627" s="31" t="s">
        <v>10678</v>
      </c>
      <c r="F627" s="31" t="s">
        <v>2747</v>
      </c>
      <c r="G627" s="31" t="n">
        <v>22</v>
      </c>
      <c r="H627" s="31" t="s">
        <v>1947</v>
      </c>
      <c r="I627" s="44" t="s">
        <v>2651</v>
      </c>
      <c r="J627" s="45" t="s">
        <v>2749</v>
      </c>
      <c r="K627" s="45" t="s">
        <v>2751</v>
      </c>
      <c r="L627" s="31" t="n">
        <f aca="false">COUNTIF($B$3:$B$2205,$B627)</f>
        <v>3</v>
      </c>
      <c r="M627" s="44" t="str">
        <f aca="false">IFERROR(INDEX(SENTENCES!$T$3:$T$1802,MATCH($F627,SENTENCES!$A$3:$A$1802,0)),"")</f>
        <v>• Chưa tới</v>
      </c>
    </row>
    <row r="628" customFormat="false" ht="15" hidden="false" customHeight="false" outlineLevel="0" collapsed="false">
      <c r="A628" s="31" t="n">
        <v>626</v>
      </c>
      <c r="B628" s="43" t="s">
        <v>11765</v>
      </c>
      <c r="C628" s="34" t="s">
        <v>11766</v>
      </c>
      <c r="D628" s="44" t="s">
        <v>10677</v>
      </c>
      <c r="E628" s="31" t="s">
        <v>10678</v>
      </c>
      <c r="F628" s="31" t="s">
        <v>2753</v>
      </c>
      <c r="G628" s="31" t="n">
        <v>22</v>
      </c>
      <c r="H628" s="31" t="s">
        <v>1947</v>
      </c>
      <c r="I628" s="44" t="s">
        <v>2651</v>
      </c>
      <c r="J628" s="45" t="s">
        <v>2755</v>
      </c>
      <c r="K628" s="45" t="s">
        <v>2757</v>
      </c>
      <c r="L628" s="31" t="n">
        <f aca="false">COUNTIF($B$3:$B$2205,$B628)</f>
        <v>1</v>
      </c>
      <c r="M628" s="44" t="str">
        <f aca="false">IFERROR(INDEX(SENTENCES!$T$3:$T$1802,MATCH($F628,SENTENCES!$A$3:$A$1802,0)),"")</f>
        <v>• Chưa tới</v>
      </c>
    </row>
    <row r="629" customFormat="false" ht="15" hidden="false" customHeight="false" outlineLevel="0" collapsed="false">
      <c r="A629" s="31" t="n">
        <v>627</v>
      </c>
      <c r="B629" s="43" t="s">
        <v>11767</v>
      </c>
      <c r="C629" s="34" t="s">
        <v>11768</v>
      </c>
      <c r="D629" s="44" t="s">
        <v>10677</v>
      </c>
      <c r="E629" s="31" t="s">
        <v>10678</v>
      </c>
      <c r="F629" s="31" t="s">
        <v>2759</v>
      </c>
      <c r="G629" s="31" t="n">
        <v>22</v>
      </c>
      <c r="H629" s="31" t="s">
        <v>1947</v>
      </c>
      <c r="I629" s="44" t="s">
        <v>2651</v>
      </c>
      <c r="J629" s="45" t="s">
        <v>2761</v>
      </c>
      <c r="K629" s="45" t="s">
        <v>2763</v>
      </c>
      <c r="L629" s="31" t="n">
        <f aca="false">COUNTIF($B$3:$B$2205,$B629)</f>
        <v>1</v>
      </c>
      <c r="M629" s="44" t="str">
        <f aca="false">IFERROR(INDEX(SENTENCES!$T$3:$T$1802,MATCH($F629,SENTENCES!$A$3:$A$1802,0)),"")</f>
        <v>• Chưa tới</v>
      </c>
    </row>
    <row r="630" customFormat="false" ht="15" hidden="false" customHeight="false" outlineLevel="0" collapsed="false">
      <c r="A630" s="31" t="n">
        <v>628</v>
      </c>
      <c r="B630" s="43" t="s">
        <v>11769</v>
      </c>
      <c r="C630" s="34" t="s">
        <v>11770</v>
      </c>
      <c r="D630" s="44" t="s">
        <v>10677</v>
      </c>
      <c r="E630" s="31" t="s">
        <v>10747</v>
      </c>
      <c r="F630" s="31" t="s">
        <v>2765</v>
      </c>
      <c r="G630" s="31" t="n">
        <v>22</v>
      </c>
      <c r="H630" s="31" t="s">
        <v>1947</v>
      </c>
      <c r="I630" s="44" t="s">
        <v>2651</v>
      </c>
      <c r="J630" s="45" t="s">
        <v>2767</v>
      </c>
      <c r="K630" s="45" t="s">
        <v>2769</v>
      </c>
      <c r="L630" s="31" t="n">
        <f aca="false">COUNTIF($B$3:$B$2205,$B630)</f>
        <v>2</v>
      </c>
      <c r="M630" s="44" t="str">
        <f aca="false">IFERROR(INDEX(SENTENCES!$T$3:$T$1802,MATCH($F630,SENTENCES!$A$3:$A$1802,0)),"")</f>
        <v>• Chưa tới</v>
      </c>
    </row>
    <row r="631" customFormat="false" ht="15" hidden="false" customHeight="false" outlineLevel="0" collapsed="false">
      <c r="A631" s="31" t="n">
        <v>629</v>
      </c>
      <c r="B631" s="43" t="s">
        <v>11771</v>
      </c>
      <c r="C631" s="34" t="s">
        <v>11772</v>
      </c>
      <c r="D631" s="44" t="s">
        <v>10677</v>
      </c>
      <c r="E631" s="31" t="s">
        <v>10707</v>
      </c>
      <c r="F631" s="31" t="s">
        <v>2765</v>
      </c>
      <c r="G631" s="31" t="n">
        <v>22</v>
      </c>
      <c r="H631" s="31" t="s">
        <v>1947</v>
      </c>
      <c r="I631" s="44" t="s">
        <v>2651</v>
      </c>
      <c r="J631" s="45" t="s">
        <v>2767</v>
      </c>
      <c r="K631" s="45" t="s">
        <v>2769</v>
      </c>
      <c r="L631" s="31" t="n">
        <f aca="false">COUNTIF($B$3:$B$2205,$B631)</f>
        <v>1</v>
      </c>
      <c r="M631" s="44" t="str">
        <f aca="false">IFERROR(INDEX(SENTENCES!$T$3:$T$1802,MATCH($F631,SENTENCES!$A$3:$A$1802,0)),"")</f>
        <v>• Chưa tới</v>
      </c>
    </row>
    <row r="632" customFormat="false" ht="15" hidden="false" customHeight="false" outlineLevel="0" collapsed="false">
      <c r="A632" s="31" t="n">
        <v>630</v>
      </c>
      <c r="B632" s="43" t="s">
        <v>11773</v>
      </c>
      <c r="C632" s="34" t="s">
        <v>11774</v>
      </c>
      <c r="D632" s="44" t="s">
        <v>10681</v>
      </c>
      <c r="E632" s="31"/>
      <c r="F632" s="31" t="s">
        <v>2771</v>
      </c>
      <c r="G632" s="31" t="n">
        <v>23</v>
      </c>
      <c r="H632" s="31" t="s">
        <v>1947</v>
      </c>
      <c r="I632" s="44" t="s">
        <v>2772</v>
      </c>
      <c r="J632" s="45" t="s">
        <v>2774</v>
      </c>
      <c r="K632" s="45" t="s">
        <v>2776</v>
      </c>
      <c r="L632" s="31" t="n">
        <f aca="false">COUNTIF($B$3:$B$2205,$B632)</f>
        <v>1</v>
      </c>
      <c r="M632" s="44" t="str">
        <f aca="false">IFERROR(INDEX(SENTENCES!$T$3:$T$1802,MATCH($F632,SENTENCES!$A$3:$A$1802,0)),"")</f>
        <v>• Chưa tới</v>
      </c>
    </row>
    <row r="633" customFormat="false" ht="15" hidden="false" customHeight="false" outlineLevel="0" collapsed="false">
      <c r="A633" s="31" t="n">
        <v>631</v>
      </c>
      <c r="B633" s="43" t="s">
        <v>11775</v>
      </c>
      <c r="C633" s="34" t="s">
        <v>11776</v>
      </c>
      <c r="D633" s="44" t="s">
        <v>10686</v>
      </c>
      <c r="E633" s="31"/>
      <c r="F633" s="31" t="s">
        <v>2778</v>
      </c>
      <c r="G633" s="31" t="n">
        <v>23</v>
      </c>
      <c r="H633" s="31" t="s">
        <v>1947</v>
      </c>
      <c r="I633" s="44" t="s">
        <v>2772</v>
      </c>
      <c r="J633" s="45" t="s">
        <v>2780</v>
      </c>
      <c r="K633" s="45" t="s">
        <v>2782</v>
      </c>
      <c r="L633" s="31" t="n">
        <f aca="false">COUNTIF($B$3:$B$2205,$B633)</f>
        <v>1</v>
      </c>
      <c r="M633" s="44" t="str">
        <f aca="false">IFERROR(INDEX(SENTENCES!$T$3:$T$1802,MATCH($F633,SENTENCES!$A$3:$A$1802,0)),"")</f>
        <v>• Chưa tới</v>
      </c>
    </row>
    <row r="634" customFormat="false" ht="15" hidden="false" customHeight="false" outlineLevel="0" collapsed="false">
      <c r="A634" s="31" t="n">
        <v>632</v>
      </c>
      <c r="B634" s="43" t="s">
        <v>11777</v>
      </c>
      <c r="C634" s="34" t="s">
        <v>11778</v>
      </c>
      <c r="D634" s="44" t="s">
        <v>10686</v>
      </c>
      <c r="E634" s="31"/>
      <c r="F634" s="31" t="s">
        <v>2784</v>
      </c>
      <c r="G634" s="31" t="n">
        <v>23</v>
      </c>
      <c r="H634" s="31" t="s">
        <v>1947</v>
      </c>
      <c r="I634" s="44" t="s">
        <v>2772</v>
      </c>
      <c r="J634" s="45" t="s">
        <v>2786</v>
      </c>
      <c r="K634" s="45" t="s">
        <v>2788</v>
      </c>
      <c r="L634" s="31" t="n">
        <f aca="false">COUNTIF($B$3:$B$2205,$B634)</f>
        <v>1</v>
      </c>
      <c r="M634" s="44" t="str">
        <f aca="false">IFERROR(INDEX(SENTENCES!$T$3:$T$1802,MATCH($F634,SENTENCES!$A$3:$A$1802,0)),"")</f>
        <v>• Chưa tới</v>
      </c>
    </row>
    <row r="635" customFormat="false" ht="15" hidden="false" customHeight="false" outlineLevel="0" collapsed="false">
      <c r="A635" s="31" t="n">
        <v>633</v>
      </c>
      <c r="B635" s="43" t="s">
        <v>11779</v>
      </c>
      <c r="C635" s="34" t="s">
        <v>11780</v>
      </c>
      <c r="D635" s="44" t="s">
        <v>10681</v>
      </c>
      <c r="E635" s="31"/>
      <c r="F635" s="31" t="s">
        <v>2790</v>
      </c>
      <c r="G635" s="31" t="n">
        <v>23</v>
      </c>
      <c r="H635" s="31" t="s">
        <v>1947</v>
      </c>
      <c r="I635" s="44" t="s">
        <v>2772</v>
      </c>
      <c r="J635" s="45" t="s">
        <v>2792</v>
      </c>
      <c r="K635" s="45" t="s">
        <v>2794</v>
      </c>
      <c r="L635" s="31" t="n">
        <f aca="false">COUNTIF($B$3:$B$2205,$B635)</f>
        <v>1</v>
      </c>
      <c r="M635" s="44" t="str">
        <f aca="false">IFERROR(INDEX(SENTENCES!$T$3:$T$1802,MATCH($F635,SENTENCES!$A$3:$A$1802,0)),"")</f>
        <v>• Chưa tới</v>
      </c>
    </row>
    <row r="636" customFormat="false" ht="15" hidden="false" customHeight="false" outlineLevel="0" collapsed="false">
      <c r="A636" s="31" t="n">
        <v>634</v>
      </c>
      <c r="B636" s="43" t="s">
        <v>11781</v>
      </c>
      <c r="C636" s="34" t="s">
        <v>11782</v>
      </c>
      <c r="D636" s="44" t="s">
        <v>10677</v>
      </c>
      <c r="E636" s="31" t="s">
        <v>10707</v>
      </c>
      <c r="F636" s="31" t="s">
        <v>2796</v>
      </c>
      <c r="G636" s="31" t="n">
        <v>23</v>
      </c>
      <c r="H636" s="31" t="s">
        <v>1947</v>
      </c>
      <c r="I636" s="44" t="s">
        <v>2772</v>
      </c>
      <c r="J636" s="45" t="s">
        <v>2798</v>
      </c>
      <c r="K636" s="45" t="s">
        <v>2800</v>
      </c>
      <c r="L636" s="31" t="n">
        <f aca="false">COUNTIF($B$3:$B$2205,$B636)</f>
        <v>1</v>
      </c>
      <c r="M636" s="44" t="str">
        <f aca="false">IFERROR(INDEX(SENTENCES!$T$3:$T$1802,MATCH($F636,SENTENCES!$A$3:$A$1802,0)),"")</f>
        <v>• Chưa tới</v>
      </c>
    </row>
    <row r="637" customFormat="false" ht="15" hidden="false" customHeight="false" outlineLevel="0" collapsed="false">
      <c r="A637" s="31" t="n">
        <v>635</v>
      </c>
      <c r="B637" s="43" t="s">
        <v>11783</v>
      </c>
      <c r="C637" s="34" t="s">
        <v>11784</v>
      </c>
      <c r="D637" s="44" t="s">
        <v>10686</v>
      </c>
      <c r="E637" s="31"/>
      <c r="F637" s="31" t="s">
        <v>2802</v>
      </c>
      <c r="G637" s="31" t="n">
        <v>23</v>
      </c>
      <c r="H637" s="31" t="s">
        <v>1947</v>
      </c>
      <c r="I637" s="44" t="s">
        <v>2772</v>
      </c>
      <c r="J637" s="45" t="s">
        <v>2804</v>
      </c>
      <c r="K637" s="45" t="s">
        <v>2806</v>
      </c>
      <c r="L637" s="31" t="n">
        <f aca="false">COUNTIF($B$3:$B$2205,$B637)</f>
        <v>1</v>
      </c>
      <c r="M637" s="44" t="str">
        <f aca="false">IFERROR(INDEX(SENTENCES!$T$3:$T$1802,MATCH($F637,SENTENCES!$A$3:$A$1802,0)),"")</f>
        <v>• Chưa tới</v>
      </c>
    </row>
    <row r="638" customFormat="false" ht="15" hidden="false" customHeight="false" outlineLevel="0" collapsed="false">
      <c r="A638" s="31" t="n">
        <v>636</v>
      </c>
      <c r="B638" s="43" t="s">
        <v>11785</v>
      </c>
      <c r="C638" s="34" t="s">
        <v>11786</v>
      </c>
      <c r="D638" s="44" t="s">
        <v>10681</v>
      </c>
      <c r="E638" s="31"/>
      <c r="F638" s="31" t="s">
        <v>2808</v>
      </c>
      <c r="G638" s="31" t="n">
        <v>23</v>
      </c>
      <c r="H638" s="31" t="s">
        <v>1947</v>
      </c>
      <c r="I638" s="44" t="s">
        <v>2772</v>
      </c>
      <c r="J638" s="45" t="s">
        <v>2809</v>
      </c>
      <c r="K638" s="45" t="s">
        <v>2811</v>
      </c>
      <c r="L638" s="31" t="n">
        <f aca="false">COUNTIF($B$3:$B$2205,$B638)</f>
        <v>1</v>
      </c>
      <c r="M638" s="44" t="str">
        <f aca="false">IFERROR(INDEX(SENTENCES!$T$3:$T$1802,MATCH($F638,SENTENCES!$A$3:$A$1802,0)),"")</f>
        <v>• Chưa tới</v>
      </c>
    </row>
    <row r="639" customFormat="false" ht="15" hidden="false" customHeight="false" outlineLevel="0" collapsed="false">
      <c r="A639" s="31" t="n">
        <v>637</v>
      </c>
      <c r="B639" s="43" t="s">
        <v>11787</v>
      </c>
      <c r="C639" s="34" t="s">
        <v>11788</v>
      </c>
      <c r="D639" s="44" t="s">
        <v>10686</v>
      </c>
      <c r="E639" s="31"/>
      <c r="F639" s="31" t="s">
        <v>2813</v>
      </c>
      <c r="G639" s="31" t="n">
        <v>23</v>
      </c>
      <c r="H639" s="31" t="s">
        <v>1947</v>
      </c>
      <c r="I639" s="44" t="s">
        <v>2772</v>
      </c>
      <c r="J639" s="45" t="s">
        <v>2815</v>
      </c>
      <c r="K639" s="45" t="s">
        <v>2817</v>
      </c>
      <c r="L639" s="31" t="n">
        <f aca="false">COUNTIF($B$3:$B$2205,$B639)</f>
        <v>1</v>
      </c>
      <c r="M639" s="44" t="str">
        <f aca="false">IFERROR(INDEX(SENTENCES!$T$3:$T$1802,MATCH($F639,SENTENCES!$A$3:$A$1802,0)),"")</f>
        <v>• Chưa tới</v>
      </c>
    </row>
    <row r="640" customFormat="false" ht="15" hidden="false" customHeight="false" outlineLevel="0" collapsed="false">
      <c r="A640" s="31" t="n">
        <v>638</v>
      </c>
      <c r="B640" s="43" t="s">
        <v>11789</v>
      </c>
      <c r="C640" s="34" t="s">
        <v>11790</v>
      </c>
      <c r="D640" s="44" t="s">
        <v>10686</v>
      </c>
      <c r="E640" s="31"/>
      <c r="F640" s="31" t="s">
        <v>2819</v>
      </c>
      <c r="G640" s="31" t="n">
        <v>23</v>
      </c>
      <c r="H640" s="31" t="s">
        <v>1947</v>
      </c>
      <c r="I640" s="44" t="s">
        <v>2772</v>
      </c>
      <c r="J640" s="45" t="s">
        <v>2821</v>
      </c>
      <c r="K640" s="45" t="s">
        <v>2823</v>
      </c>
      <c r="L640" s="31" t="n">
        <f aca="false">COUNTIF($B$3:$B$2205,$B640)</f>
        <v>1</v>
      </c>
      <c r="M640" s="44" t="str">
        <f aca="false">IFERROR(INDEX(SENTENCES!$T$3:$T$1802,MATCH($F640,SENTENCES!$A$3:$A$1802,0)),"")</f>
        <v>• Chưa tới</v>
      </c>
    </row>
    <row r="641" customFormat="false" ht="15" hidden="false" customHeight="false" outlineLevel="0" collapsed="false">
      <c r="A641" s="31" t="n">
        <v>639</v>
      </c>
      <c r="B641" s="43" t="s">
        <v>11298</v>
      </c>
      <c r="C641" s="34" t="s">
        <v>11299</v>
      </c>
      <c r="D641" s="44" t="s">
        <v>10677</v>
      </c>
      <c r="E641" s="31" t="s">
        <v>10747</v>
      </c>
      <c r="F641" s="31" t="s">
        <v>2825</v>
      </c>
      <c r="G641" s="31" t="n">
        <v>23</v>
      </c>
      <c r="H641" s="31" t="s">
        <v>1947</v>
      </c>
      <c r="I641" s="44" t="s">
        <v>2772</v>
      </c>
      <c r="J641" s="45" t="s">
        <v>2827</v>
      </c>
      <c r="K641" s="45" t="s">
        <v>2829</v>
      </c>
      <c r="L641" s="31" t="n">
        <f aca="false">COUNTIF($B$3:$B$2205,$B641)</f>
        <v>2</v>
      </c>
      <c r="M641" s="44" t="str">
        <f aca="false">IFERROR(INDEX(SENTENCES!$T$3:$T$1802,MATCH($F641,SENTENCES!$A$3:$A$1802,0)),"")</f>
        <v>• Chưa tới</v>
      </c>
    </row>
    <row r="642" customFormat="false" ht="15" hidden="false" customHeight="false" outlineLevel="0" collapsed="false">
      <c r="A642" s="31" t="n">
        <v>640</v>
      </c>
      <c r="B642" s="43" t="s">
        <v>11791</v>
      </c>
      <c r="C642" s="34" t="s">
        <v>11792</v>
      </c>
      <c r="D642" s="44" t="s">
        <v>10681</v>
      </c>
      <c r="E642" s="31"/>
      <c r="F642" s="31" t="s">
        <v>2831</v>
      </c>
      <c r="G642" s="31" t="n">
        <v>23</v>
      </c>
      <c r="H642" s="31" t="s">
        <v>1947</v>
      </c>
      <c r="I642" s="44" t="s">
        <v>2772</v>
      </c>
      <c r="J642" s="45" t="s">
        <v>2833</v>
      </c>
      <c r="K642" s="45" t="s">
        <v>2835</v>
      </c>
      <c r="L642" s="31" t="n">
        <f aca="false">COUNTIF($B$3:$B$2205,$B642)</f>
        <v>1</v>
      </c>
      <c r="M642" s="44" t="str">
        <f aca="false">IFERROR(INDEX(SENTENCES!$T$3:$T$1802,MATCH($F642,SENTENCES!$A$3:$A$1802,0)),"")</f>
        <v>• Chưa tới</v>
      </c>
    </row>
    <row r="643" customFormat="false" ht="15" hidden="false" customHeight="false" outlineLevel="0" collapsed="false">
      <c r="A643" s="31" t="n">
        <v>641</v>
      </c>
      <c r="B643" s="43" t="s">
        <v>11793</v>
      </c>
      <c r="C643" s="34" t="s">
        <v>11794</v>
      </c>
      <c r="D643" s="44" t="s">
        <v>10677</v>
      </c>
      <c r="E643" s="31" t="s">
        <v>10707</v>
      </c>
      <c r="F643" s="31" t="s">
        <v>2837</v>
      </c>
      <c r="G643" s="31" t="n">
        <v>23</v>
      </c>
      <c r="H643" s="31" t="s">
        <v>1947</v>
      </c>
      <c r="I643" s="44" t="s">
        <v>2772</v>
      </c>
      <c r="J643" s="45" t="s">
        <v>2839</v>
      </c>
      <c r="K643" s="45" t="s">
        <v>2841</v>
      </c>
      <c r="L643" s="31" t="n">
        <f aca="false">COUNTIF($B$3:$B$2205,$B643)</f>
        <v>2</v>
      </c>
      <c r="M643" s="44" t="str">
        <f aca="false">IFERROR(INDEX(SENTENCES!$T$3:$T$1802,MATCH($F643,SENTENCES!$A$3:$A$1802,0)),"")</f>
        <v>• Chưa tới</v>
      </c>
    </row>
    <row r="644" customFormat="false" ht="15" hidden="false" customHeight="false" outlineLevel="0" collapsed="false">
      <c r="A644" s="31" t="n">
        <v>642</v>
      </c>
      <c r="B644" s="43" t="s">
        <v>11795</v>
      </c>
      <c r="C644" s="34" t="s">
        <v>11796</v>
      </c>
      <c r="D644" s="44" t="s">
        <v>10686</v>
      </c>
      <c r="E644" s="31"/>
      <c r="F644" s="31" t="s">
        <v>2837</v>
      </c>
      <c r="G644" s="31" t="n">
        <v>23</v>
      </c>
      <c r="H644" s="31" t="s">
        <v>1947</v>
      </c>
      <c r="I644" s="44" t="s">
        <v>2772</v>
      </c>
      <c r="J644" s="45" t="s">
        <v>2839</v>
      </c>
      <c r="K644" s="45" t="s">
        <v>2841</v>
      </c>
      <c r="L644" s="31" t="n">
        <f aca="false">COUNTIF($B$3:$B$2205,$B644)</f>
        <v>3</v>
      </c>
      <c r="M644" s="44" t="str">
        <f aca="false">IFERROR(INDEX(SENTENCES!$T$3:$T$1802,MATCH($F644,SENTENCES!$A$3:$A$1802,0)),"")</f>
        <v>• Chưa tới</v>
      </c>
    </row>
    <row r="645" customFormat="false" ht="15" hidden="false" customHeight="false" outlineLevel="0" collapsed="false">
      <c r="A645" s="31" t="n">
        <v>643</v>
      </c>
      <c r="B645" s="43" t="s">
        <v>11797</v>
      </c>
      <c r="C645" s="34" t="s">
        <v>11798</v>
      </c>
      <c r="D645" s="44" t="s">
        <v>10686</v>
      </c>
      <c r="E645" s="31"/>
      <c r="F645" s="31" t="s">
        <v>2843</v>
      </c>
      <c r="G645" s="31" t="n">
        <v>23</v>
      </c>
      <c r="H645" s="31" t="s">
        <v>1947</v>
      </c>
      <c r="I645" s="44" t="s">
        <v>2772</v>
      </c>
      <c r="J645" s="45" t="s">
        <v>2845</v>
      </c>
      <c r="K645" s="45" t="s">
        <v>2847</v>
      </c>
      <c r="L645" s="31" t="n">
        <f aca="false">COUNTIF($B$3:$B$2205,$B645)</f>
        <v>1</v>
      </c>
      <c r="M645" s="44" t="str">
        <f aca="false">IFERROR(INDEX(SENTENCES!$T$3:$T$1802,MATCH($F645,SENTENCES!$A$3:$A$1802,0)),"")</f>
        <v>• Chưa tới</v>
      </c>
    </row>
    <row r="646" customFormat="false" ht="15" hidden="false" customHeight="false" outlineLevel="0" collapsed="false">
      <c r="A646" s="31" t="n">
        <v>644</v>
      </c>
      <c r="B646" s="43" t="s">
        <v>11799</v>
      </c>
      <c r="C646" s="34" t="s">
        <v>11800</v>
      </c>
      <c r="D646" s="44" t="s">
        <v>10686</v>
      </c>
      <c r="E646" s="31"/>
      <c r="F646" s="31" t="s">
        <v>2849</v>
      </c>
      <c r="G646" s="31" t="n">
        <v>23</v>
      </c>
      <c r="H646" s="31" t="s">
        <v>1947</v>
      </c>
      <c r="I646" s="44" t="s">
        <v>2772</v>
      </c>
      <c r="J646" s="45" t="s">
        <v>2851</v>
      </c>
      <c r="K646" s="45" t="s">
        <v>2853</v>
      </c>
      <c r="L646" s="31" t="n">
        <f aca="false">COUNTIF($B$3:$B$2205,$B646)</f>
        <v>1</v>
      </c>
      <c r="M646" s="44" t="str">
        <f aca="false">IFERROR(INDEX(SENTENCES!$T$3:$T$1802,MATCH($F646,SENTENCES!$A$3:$A$1802,0)),"")</f>
        <v>• Chưa tới</v>
      </c>
    </row>
    <row r="647" customFormat="false" ht="15" hidden="false" customHeight="false" outlineLevel="0" collapsed="false">
      <c r="A647" s="31" t="n">
        <v>645</v>
      </c>
      <c r="B647" s="43" t="s">
        <v>11801</v>
      </c>
      <c r="C647" s="34" t="s">
        <v>11802</v>
      </c>
      <c r="D647" s="44" t="s">
        <v>10681</v>
      </c>
      <c r="E647" s="31"/>
      <c r="F647" s="31" t="s">
        <v>2855</v>
      </c>
      <c r="G647" s="31" t="n">
        <v>23</v>
      </c>
      <c r="H647" s="31" t="s">
        <v>1947</v>
      </c>
      <c r="I647" s="44" t="s">
        <v>2772</v>
      </c>
      <c r="J647" s="45" t="s">
        <v>2857</v>
      </c>
      <c r="K647" s="45" t="s">
        <v>2859</v>
      </c>
      <c r="L647" s="31" t="n">
        <f aca="false">COUNTIF($B$3:$B$2205,$B647)</f>
        <v>1</v>
      </c>
      <c r="M647" s="44" t="str">
        <f aca="false">IFERROR(INDEX(SENTENCES!$T$3:$T$1802,MATCH($F647,SENTENCES!$A$3:$A$1802,0)),"")</f>
        <v>• Chưa tới</v>
      </c>
    </row>
    <row r="648" customFormat="false" ht="15" hidden="false" customHeight="false" outlineLevel="0" collapsed="false">
      <c r="A648" s="31" t="n">
        <v>646</v>
      </c>
      <c r="B648" s="43" t="s">
        <v>11803</v>
      </c>
      <c r="C648" s="34" t="s">
        <v>11804</v>
      </c>
      <c r="D648" s="44" t="s">
        <v>10686</v>
      </c>
      <c r="E648" s="31"/>
      <c r="F648" s="31" t="s">
        <v>2861</v>
      </c>
      <c r="G648" s="31" t="n">
        <v>23</v>
      </c>
      <c r="H648" s="31" t="s">
        <v>1947</v>
      </c>
      <c r="I648" s="44" t="s">
        <v>2772</v>
      </c>
      <c r="J648" s="45" t="s">
        <v>2863</v>
      </c>
      <c r="K648" s="45" t="s">
        <v>2865</v>
      </c>
      <c r="L648" s="31" t="n">
        <f aca="false">COUNTIF($B$3:$B$2205,$B648)</f>
        <v>1</v>
      </c>
      <c r="M648" s="44" t="str">
        <f aca="false">IFERROR(INDEX(SENTENCES!$T$3:$T$1802,MATCH($F648,SENTENCES!$A$3:$A$1802,0)),"")</f>
        <v>• Chưa tới</v>
      </c>
    </row>
    <row r="649" customFormat="false" ht="15" hidden="false" customHeight="false" outlineLevel="0" collapsed="false">
      <c r="A649" s="31" t="n">
        <v>647</v>
      </c>
      <c r="B649" s="43" t="s">
        <v>11805</v>
      </c>
      <c r="C649" s="34" t="s">
        <v>11806</v>
      </c>
      <c r="D649" s="44" t="s">
        <v>10681</v>
      </c>
      <c r="E649" s="31"/>
      <c r="F649" s="31" t="s">
        <v>2867</v>
      </c>
      <c r="G649" s="31" t="n">
        <v>23</v>
      </c>
      <c r="H649" s="31" t="s">
        <v>1947</v>
      </c>
      <c r="I649" s="44" t="s">
        <v>2772</v>
      </c>
      <c r="J649" s="45" t="s">
        <v>2868</v>
      </c>
      <c r="K649" s="45" t="s">
        <v>2870</v>
      </c>
      <c r="L649" s="31" t="n">
        <f aca="false">COUNTIF($B$3:$B$2205,$B649)</f>
        <v>1</v>
      </c>
      <c r="M649" s="44" t="str">
        <f aca="false">IFERROR(INDEX(SENTENCES!$T$3:$T$1802,MATCH($F649,SENTENCES!$A$3:$A$1802,0)),"")</f>
        <v>• Chưa tới</v>
      </c>
    </row>
    <row r="650" customFormat="false" ht="15" hidden="false" customHeight="false" outlineLevel="0" collapsed="false">
      <c r="A650" s="31" t="n">
        <v>648</v>
      </c>
      <c r="B650" s="43" t="s">
        <v>11279</v>
      </c>
      <c r="C650" s="34" t="s">
        <v>11717</v>
      </c>
      <c r="D650" s="44" t="s">
        <v>10681</v>
      </c>
      <c r="E650" s="31"/>
      <c r="F650" s="31" t="s">
        <v>2872</v>
      </c>
      <c r="G650" s="31" t="n">
        <v>23</v>
      </c>
      <c r="H650" s="31" t="s">
        <v>1947</v>
      </c>
      <c r="I650" s="44" t="s">
        <v>2772</v>
      </c>
      <c r="J650" s="45" t="s">
        <v>2874</v>
      </c>
      <c r="K650" s="45" t="s">
        <v>2876</v>
      </c>
      <c r="L650" s="31" t="n">
        <f aca="false">COUNTIF($B$3:$B$2205,$B650)</f>
        <v>2</v>
      </c>
      <c r="M650" s="44" t="str">
        <f aca="false">IFERROR(INDEX(SENTENCES!$T$3:$T$1802,MATCH($F650,SENTENCES!$A$3:$A$1802,0)),"")</f>
        <v>• Chưa tới</v>
      </c>
    </row>
    <row r="651" customFormat="false" ht="15" hidden="false" customHeight="false" outlineLevel="0" collapsed="false">
      <c r="A651" s="31" t="n">
        <v>649</v>
      </c>
      <c r="B651" s="43" t="s">
        <v>11807</v>
      </c>
      <c r="C651" s="34" t="s">
        <v>11808</v>
      </c>
      <c r="D651" s="44" t="s">
        <v>10681</v>
      </c>
      <c r="E651" s="31"/>
      <c r="F651" s="31" t="s">
        <v>2877</v>
      </c>
      <c r="G651" s="31" t="n">
        <v>23</v>
      </c>
      <c r="H651" s="31" t="s">
        <v>1947</v>
      </c>
      <c r="I651" s="44" t="s">
        <v>2772</v>
      </c>
      <c r="J651" s="45" t="s">
        <v>2879</v>
      </c>
      <c r="K651" s="45" t="s">
        <v>2881</v>
      </c>
      <c r="L651" s="31" t="n">
        <f aca="false">COUNTIF($B$3:$B$2205,$B651)</f>
        <v>1</v>
      </c>
      <c r="M651" s="44" t="str">
        <f aca="false">IFERROR(INDEX(SENTENCES!$T$3:$T$1802,MATCH($F651,SENTENCES!$A$3:$A$1802,0)),"")</f>
        <v>• Chưa tới</v>
      </c>
    </row>
    <row r="652" customFormat="false" ht="15" hidden="false" customHeight="false" outlineLevel="0" collapsed="false">
      <c r="A652" s="31" t="n">
        <v>650</v>
      </c>
      <c r="B652" s="43" t="s">
        <v>11090</v>
      </c>
      <c r="C652" s="34" t="s">
        <v>11091</v>
      </c>
      <c r="D652" s="44" t="s">
        <v>10681</v>
      </c>
      <c r="E652" s="31"/>
      <c r="F652" s="31" t="s">
        <v>2883</v>
      </c>
      <c r="G652" s="31" t="n">
        <v>23</v>
      </c>
      <c r="H652" s="31" t="s">
        <v>1947</v>
      </c>
      <c r="I652" s="44" t="s">
        <v>2772</v>
      </c>
      <c r="J652" s="45" t="s">
        <v>2885</v>
      </c>
      <c r="K652" s="45" t="s">
        <v>2887</v>
      </c>
      <c r="L652" s="31" t="n">
        <f aca="false">COUNTIF($B$3:$B$2205,$B652)</f>
        <v>3</v>
      </c>
      <c r="M652" s="44" t="str">
        <f aca="false">IFERROR(INDEX(SENTENCES!$T$3:$T$1802,MATCH($F652,SENTENCES!$A$3:$A$1802,0)),"")</f>
        <v>• Chưa tới</v>
      </c>
    </row>
    <row r="653" customFormat="false" ht="15" hidden="false" customHeight="false" outlineLevel="0" collapsed="false">
      <c r="A653" s="31" t="n">
        <v>651</v>
      </c>
      <c r="B653" s="43" t="s">
        <v>11809</v>
      </c>
      <c r="C653" s="34" t="s">
        <v>11810</v>
      </c>
      <c r="D653" s="44" t="s">
        <v>10686</v>
      </c>
      <c r="E653" s="31"/>
      <c r="F653" s="31" t="s">
        <v>2889</v>
      </c>
      <c r="G653" s="31" t="n">
        <v>24</v>
      </c>
      <c r="H653" s="31" t="s">
        <v>1947</v>
      </c>
      <c r="I653" s="44" t="s">
        <v>2890</v>
      </c>
      <c r="J653" s="45" t="s">
        <v>2892</v>
      </c>
      <c r="K653" s="45" t="s">
        <v>2894</v>
      </c>
      <c r="L653" s="31" t="n">
        <f aca="false">COUNTIF($B$3:$B$2205,$B653)</f>
        <v>1</v>
      </c>
      <c r="M653" s="44" t="str">
        <f aca="false">IFERROR(INDEX(SENTENCES!$T$3:$T$1802,MATCH($F653,SENTENCES!$A$3:$A$1802,0)),"")</f>
        <v>• Chưa tới</v>
      </c>
    </row>
    <row r="654" customFormat="false" ht="15" hidden="false" customHeight="false" outlineLevel="0" collapsed="false">
      <c r="A654" s="31" t="n">
        <v>652</v>
      </c>
      <c r="B654" s="43" t="s">
        <v>11811</v>
      </c>
      <c r="C654" s="34" t="s">
        <v>11812</v>
      </c>
      <c r="D654" s="44" t="s">
        <v>10686</v>
      </c>
      <c r="E654" s="31"/>
      <c r="F654" s="31" t="s">
        <v>2896</v>
      </c>
      <c r="G654" s="31" t="n">
        <v>24</v>
      </c>
      <c r="H654" s="31" t="s">
        <v>1947</v>
      </c>
      <c r="I654" s="44" t="s">
        <v>2890</v>
      </c>
      <c r="J654" s="45" t="s">
        <v>2898</v>
      </c>
      <c r="K654" s="45" t="s">
        <v>2900</v>
      </c>
      <c r="L654" s="31" t="n">
        <f aca="false">COUNTIF($B$3:$B$2205,$B654)</f>
        <v>1</v>
      </c>
      <c r="M654" s="44" t="str">
        <f aca="false">IFERROR(INDEX(SENTENCES!$T$3:$T$1802,MATCH($F654,SENTENCES!$A$3:$A$1802,0)),"")</f>
        <v>• Chưa tới</v>
      </c>
    </row>
    <row r="655" customFormat="false" ht="15" hidden="false" customHeight="false" outlineLevel="0" collapsed="false">
      <c r="A655" s="31" t="n">
        <v>653</v>
      </c>
      <c r="B655" s="43" t="s">
        <v>11813</v>
      </c>
      <c r="C655" s="34" t="s">
        <v>11814</v>
      </c>
      <c r="D655" s="44" t="s">
        <v>10686</v>
      </c>
      <c r="E655" s="31"/>
      <c r="F655" s="31" t="s">
        <v>2902</v>
      </c>
      <c r="G655" s="31" t="n">
        <v>24</v>
      </c>
      <c r="H655" s="31" t="s">
        <v>1947</v>
      </c>
      <c r="I655" s="44" t="s">
        <v>2890</v>
      </c>
      <c r="J655" s="45" t="s">
        <v>2904</v>
      </c>
      <c r="K655" s="45" t="s">
        <v>2906</v>
      </c>
      <c r="L655" s="31" t="n">
        <f aca="false">COUNTIF($B$3:$B$2205,$B655)</f>
        <v>1</v>
      </c>
      <c r="M655" s="44" t="str">
        <f aca="false">IFERROR(INDEX(SENTENCES!$T$3:$T$1802,MATCH($F655,SENTENCES!$A$3:$A$1802,0)),"")</f>
        <v>• Chưa tới</v>
      </c>
    </row>
    <row r="656" customFormat="false" ht="15" hidden="false" customHeight="false" outlineLevel="0" collapsed="false">
      <c r="A656" s="31" t="n">
        <v>654</v>
      </c>
      <c r="B656" s="43" t="s">
        <v>11815</v>
      </c>
      <c r="C656" s="34" t="s">
        <v>11816</v>
      </c>
      <c r="D656" s="44" t="s">
        <v>10686</v>
      </c>
      <c r="E656" s="31"/>
      <c r="F656" s="31" t="s">
        <v>2908</v>
      </c>
      <c r="G656" s="31" t="n">
        <v>24</v>
      </c>
      <c r="H656" s="31" t="s">
        <v>1947</v>
      </c>
      <c r="I656" s="44" t="s">
        <v>2890</v>
      </c>
      <c r="J656" s="45" t="s">
        <v>2910</v>
      </c>
      <c r="K656" s="45" t="s">
        <v>2912</v>
      </c>
      <c r="L656" s="31" t="n">
        <f aca="false">COUNTIF($B$3:$B$2205,$B656)</f>
        <v>1</v>
      </c>
      <c r="M656" s="44" t="str">
        <f aca="false">IFERROR(INDEX(SENTENCES!$T$3:$T$1802,MATCH($F656,SENTENCES!$A$3:$A$1802,0)),"")</f>
        <v>• Chưa tới</v>
      </c>
    </row>
    <row r="657" customFormat="false" ht="15" hidden="false" customHeight="false" outlineLevel="0" collapsed="false">
      <c r="A657" s="31" t="n">
        <v>655</v>
      </c>
      <c r="B657" s="43" t="s">
        <v>11817</v>
      </c>
      <c r="C657" s="34" t="s">
        <v>11818</v>
      </c>
      <c r="D657" s="44" t="s">
        <v>10686</v>
      </c>
      <c r="E657" s="31"/>
      <c r="F657" s="31" t="s">
        <v>2914</v>
      </c>
      <c r="G657" s="31" t="n">
        <v>24</v>
      </c>
      <c r="H657" s="31" t="s">
        <v>1947</v>
      </c>
      <c r="I657" s="44" t="s">
        <v>2890</v>
      </c>
      <c r="J657" s="45" t="s">
        <v>2916</v>
      </c>
      <c r="K657" s="45" t="s">
        <v>2918</v>
      </c>
      <c r="L657" s="31" t="n">
        <f aca="false">COUNTIF($B$3:$B$2205,$B657)</f>
        <v>1</v>
      </c>
      <c r="M657" s="44" t="str">
        <f aca="false">IFERROR(INDEX(SENTENCES!$T$3:$T$1802,MATCH($F657,SENTENCES!$A$3:$A$1802,0)),"")</f>
        <v>• Chưa tới</v>
      </c>
    </row>
    <row r="658" customFormat="false" ht="15" hidden="false" customHeight="false" outlineLevel="0" collapsed="false">
      <c r="A658" s="31" t="n">
        <v>656</v>
      </c>
      <c r="B658" s="43" t="s">
        <v>11819</v>
      </c>
      <c r="C658" s="34" t="s">
        <v>11820</v>
      </c>
      <c r="D658" s="44" t="s">
        <v>10686</v>
      </c>
      <c r="E658" s="31"/>
      <c r="F658" s="31" t="s">
        <v>2920</v>
      </c>
      <c r="G658" s="31" t="n">
        <v>24</v>
      </c>
      <c r="H658" s="31" t="s">
        <v>1947</v>
      </c>
      <c r="I658" s="44" t="s">
        <v>2890</v>
      </c>
      <c r="J658" s="45" t="s">
        <v>2922</v>
      </c>
      <c r="K658" s="45" t="s">
        <v>2924</v>
      </c>
      <c r="L658" s="31" t="n">
        <f aca="false">COUNTIF($B$3:$B$2205,$B658)</f>
        <v>1</v>
      </c>
      <c r="M658" s="44" t="str">
        <f aca="false">IFERROR(INDEX(SENTENCES!$T$3:$T$1802,MATCH($F658,SENTENCES!$A$3:$A$1802,0)),"")</f>
        <v>• Chưa tới</v>
      </c>
    </row>
    <row r="659" customFormat="false" ht="15" hidden="false" customHeight="false" outlineLevel="0" collapsed="false">
      <c r="A659" s="31" t="n">
        <v>657</v>
      </c>
      <c r="B659" s="43" t="s">
        <v>11821</v>
      </c>
      <c r="C659" s="34" t="s">
        <v>11822</v>
      </c>
      <c r="D659" s="44" t="s">
        <v>10686</v>
      </c>
      <c r="E659" s="31"/>
      <c r="F659" s="31" t="s">
        <v>2926</v>
      </c>
      <c r="G659" s="31" t="n">
        <v>24</v>
      </c>
      <c r="H659" s="31" t="s">
        <v>1947</v>
      </c>
      <c r="I659" s="44" t="s">
        <v>2890</v>
      </c>
      <c r="J659" s="45" t="s">
        <v>2928</v>
      </c>
      <c r="K659" s="45" t="s">
        <v>2930</v>
      </c>
      <c r="L659" s="31" t="n">
        <f aca="false">COUNTIF($B$3:$B$2205,$B659)</f>
        <v>1</v>
      </c>
      <c r="M659" s="44" t="str">
        <f aca="false">IFERROR(INDEX(SENTENCES!$T$3:$T$1802,MATCH($F659,SENTENCES!$A$3:$A$1802,0)),"")</f>
        <v>• Chưa tới</v>
      </c>
    </row>
    <row r="660" customFormat="false" ht="15" hidden="false" customHeight="false" outlineLevel="0" collapsed="false">
      <c r="A660" s="31" t="n">
        <v>658</v>
      </c>
      <c r="B660" s="43" t="s">
        <v>11823</v>
      </c>
      <c r="C660" s="34" t="s">
        <v>11824</v>
      </c>
      <c r="D660" s="44" t="s">
        <v>10681</v>
      </c>
      <c r="E660" s="31"/>
      <c r="F660" s="31" t="s">
        <v>2926</v>
      </c>
      <c r="G660" s="31" t="n">
        <v>24</v>
      </c>
      <c r="H660" s="31" t="s">
        <v>1947</v>
      </c>
      <c r="I660" s="44" t="s">
        <v>2890</v>
      </c>
      <c r="J660" s="45" t="s">
        <v>2928</v>
      </c>
      <c r="K660" s="45" t="s">
        <v>2930</v>
      </c>
      <c r="L660" s="31" t="n">
        <f aca="false">COUNTIF($B$3:$B$2205,$B660)</f>
        <v>1</v>
      </c>
      <c r="M660" s="44" t="str">
        <f aca="false">IFERROR(INDEX(SENTENCES!$T$3:$T$1802,MATCH($F660,SENTENCES!$A$3:$A$1802,0)),"")</f>
        <v>• Chưa tới</v>
      </c>
    </row>
    <row r="661" customFormat="false" ht="15" hidden="false" customHeight="false" outlineLevel="0" collapsed="false">
      <c r="A661" s="31" t="n">
        <v>659</v>
      </c>
      <c r="B661" s="43" t="s">
        <v>11825</v>
      </c>
      <c r="C661" s="34" t="s">
        <v>11826</v>
      </c>
      <c r="D661" s="44" t="s">
        <v>10794</v>
      </c>
      <c r="E661" s="31"/>
      <c r="F661" s="31" t="s">
        <v>2932</v>
      </c>
      <c r="G661" s="31" t="n">
        <v>24</v>
      </c>
      <c r="H661" s="31" t="s">
        <v>1947</v>
      </c>
      <c r="I661" s="44" t="s">
        <v>2890</v>
      </c>
      <c r="J661" s="45" t="s">
        <v>2934</v>
      </c>
      <c r="K661" s="45" t="s">
        <v>2936</v>
      </c>
      <c r="L661" s="31" t="n">
        <f aca="false">COUNTIF($B$3:$B$2205,$B661)</f>
        <v>1</v>
      </c>
      <c r="M661" s="44" t="str">
        <f aca="false">IFERROR(INDEX(SENTENCES!$T$3:$T$1802,MATCH($F661,SENTENCES!$A$3:$A$1802,0)),"")</f>
        <v>• Chưa tới</v>
      </c>
    </row>
    <row r="662" customFormat="false" ht="15" hidden="false" customHeight="false" outlineLevel="0" collapsed="false">
      <c r="A662" s="31" t="n">
        <v>660</v>
      </c>
      <c r="B662" s="43" t="s">
        <v>11827</v>
      </c>
      <c r="C662" s="34" t="s">
        <v>11828</v>
      </c>
      <c r="D662" s="44" t="s">
        <v>10686</v>
      </c>
      <c r="E662" s="31"/>
      <c r="F662" s="31" t="s">
        <v>2938</v>
      </c>
      <c r="G662" s="31" t="n">
        <v>24</v>
      </c>
      <c r="H662" s="31" t="s">
        <v>1947</v>
      </c>
      <c r="I662" s="44" t="s">
        <v>2890</v>
      </c>
      <c r="J662" s="45" t="s">
        <v>2940</v>
      </c>
      <c r="K662" s="45" t="s">
        <v>2942</v>
      </c>
      <c r="L662" s="31" t="n">
        <f aca="false">COUNTIF($B$3:$B$2205,$B662)</f>
        <v>1</v>
      </c>
      <c r="M662" s="44" t="str">
        <f aca="false">IFERROR(INDEX(SENTENCES!$T$3:$T$1802,MATCH($F662,SENTENCES!$A$3:$A$1802,0)),"")</f>
        <v>• Chưa tới</v>
      </c>
    </row>
    <row r="663" customFormat="false" ht="15" hidden="false" customHeight="false" outlineLevel="0" collapsed="false">
      <c r="A663" s="31" t="n">
        <v>661</v>
      </c>
      <c r="B663" s="43" t="s">
        <v>10861</v>
      </c>
      <c r="C663" s="34" t="s">
        <v>10862</v>
      </c>
      <c r="D663" s="44" t="s">
        <v>10686</v>
      </c>
      <c r="E663" s="31"/>
      <c r="F663" s="31" t="s">
        <v>2944</v>
      </c>
      <c r="G663" s="31" t="n">
        <v>24</v>
      </c>
      <c r="H663" s="31" t="s">
        <v>1947</v>
      </c>
      <c r="I663" s="44" t="s">
        <v>2890</v>
      </c>
      <c r="J663" s="45" t="s">
        <v>2946</v>
      </c>
      <c r="K663" s="45" t="s">
        <v>2948</v>
      </c>
      <c r="L663" s="31" t="n">
        <f aca="false">COUNTIF($B$3:$B$2205,$B663)</f>
        <v>3</v>
      </c>
      <c r="M663" s="44" t="str">
        <f aca="false">IFERROR(INDEX(SENTENCES!$T$3:$T$1802,MATCH($F663,SENTENCES!$A$3:$A$1802,0)),"")</f>
        <v>• Chưa tới</v>
      </c>
    </row>
    <row r="664" customFormat="false" ht="15" hidden="false" customHeight="false" outlineLevel="0" collapsed="false">
      <c r="A664" s="31" t="n">
        <v>662</v>
      </c>
      <c r="B664" s="43" t="s">
        <v>11829</v>
      </c>
      <c r="C664" s="34" t="s">
        <v>11830</v>
      </c>
      <c r="D664" s="44" t="s">
        <v>10794</v>
      </c>
      <c r="E664" s="31"/>
      <c r="F664" s="31" t="s">
        <v>2950</v>
      </c>
      <c r="G664" s="31" t="n">
        <v>24</v>
      </c>
      <c r="H664" s="31" t="s">
        <v>1947</v>
      </c>
      <c r="I664" s="44" t="s">
        <v>2890</v>
      </c>
      <c r="J664" s="45" t="s">
        <v>2952</v>
      </c>
      <c r="K664" s="45" t="s">
        <v>2954</v>
      </c>
      <c r="L664" s="31" t="n">
        <f aca="false">COUNTIF($B$3:$B$2205,$B664)</f>
        <v>1</v>
      </c>
      <c r="M664" s="44" t="str">
        <f aca="false">IFERROR(INDEX(SENTENCES!$T$3:$T$1802,MATCH($F664,SENTENCES!$A$3:$A$1802,0)),"")</f>
        <v>• Chưa tới</v>
      </c>
    </row>
    <row r="665" customFormat="false" ht="15" hidden="false" customHeight="false" outlineLevel="0" collapsed="false">
      <c r="A665" s="31" t="n">
        <v>663</v>
      </c>
      <c r="B665" s="43" t="s">
        <v>11831</v>
      </c>
      <c r="C665" s="34" t="s">
        <v>11832</v>
      </c>
      <c r="D665" s="44" t="s">
        <v>10686</v>
      </c>
      <c r="E665" s="31"/>
      <c r="F665" s="31" t="s">
        <v>2950</v>
      </c>
      <c r="G665" s="31" t="n">
        <v>24</v>
      </c>
      <c r="H665" s="31" t="s">
        <v>1947</v>
      </c>
      <c r="I665" s="44" t="s">
        <v>2890</v>
      </c>
      <c r="J665" s="45" t="s">
        <v>2952</v>
      </c>
      <c r="K665" s="45" t="s">
        <v>2954</v>
      </c>
      <c r="L665" s="31" t="n">
        <f aca="false">COUNTIF($B$3:$B$2205,$B665)</f>
        <v>1</v>
      </c>
      <c r="M665" s="44" t="str">
        <f aca="false">IFERROR(INDEX(SENTENCES!$T$3:$T$1802,MATCH($F665,SENTENCES!$A$3:$A$1802,0)),"")</f>
        <v>• Chưa tới</v>
      </c>
    </row>
    <row r="666" customFormat="false" ht="15" hidden="false" customHeight="false" outlineLevel="0" collapsed="false">
      <c r="A666" s="31" t="n">
        <v>664</v>
      </c>
      <c r="B666" s="43" t="s">
        <v>11833</v>
      </c>
      <c r="C666" s="34" t="s">
        <v>11834</v>
      </c>
      <c r="D666" s="44" t="s">
        <v>10686</v>
      </c>
      <c r="E666" s="31"/>
      <c r="F666" s="31" t="s">
        <v>2956</v>
      </c>
      <c r="G666" s="31" t="n">
        <v>24</v>
      </c>
      <c r="H666" s="31" t="s">
        <v>1947</v>
      </c>
      <c r="I666" s="44" t="s">
        <v>2890</v>
      </c>
      <c r="J666" s="45" t="s">
        <v>2958</v>
      </c>
      <c r="K666" s="45" t="s">
        <v>2960</v>
      </c>
      <c r="L666" s="31" t="n">
        <f aca="false">COUNTIF($B$3:$B$2205,$B666)</f>
        <v>2</v>
      </c>
      <c r="M666" s="44" t="str">
        <f aca="false">IFERROR(INDEX(SENTENCES!$T$3:$T$1802,MATCH($F666,SENTENCES!$A$3:$A$1802,0)),"")</f>
        <v>• Chưa tới</v>
      </c>
    </row>
    <row r="667" customFormat="false" ht="15" hidden="false" customHeight="false" outlineLevel="0" collapsed="false">
      <c r="A667" s="31" t="n">
        <v>665</v>
      </c>
      <c r="B667" s="43" t="s">
        <v>11835</v>
      </c>
      <c r="C667" s="34" t="s">
        <v>11836</v>
      </c>
      <c r="D667" s="44" t="s">
        <v>10686</v>
      </c>
      <c r="E667" s="31"/>
      <c r="F667" s="31" t="s">
        <v>2962</v>
      </c>
      <c r="G667" s="31" t="n">
        <v>24</v>
      </c>
      <c r="H667" s="31" t="s">
        <v>1947</v>
      </c>
      <c r="I667" s="44" t="s">
        <v>2890</v>
      </c>
      <c r="J667" s="45" t="s">
        <v>2964</v>
      </c>
      <c r="K667" s="45" t="s">
        <v>2966</v>
      </c>
      <c r="L667" s="31" t="n">
        <f aca="false">COUNTIF($B$3:$B$2205,$B667)</f>
        <v>1</v>
      </c>
      <c r="M667" s="44" t="str">
        <f aca="false">IFERROR(INDEX(SENTENCES!$T$3:$T$1802,MATCH($F667,SENTENCES!$A$3:$A$1802,0)),"")</f>
        <v>• Chưa tới</v>
      </c>
    </row>
    <row r="668" customFormat="false" ht="15" hidden="false" customHeight="false" outlineLevel="0" collapsed="false">
      <c r="A668" s="31" t="n">
        <v>666</v>
      </c>
      <c r="B668" s="43" t="s">
        <v>11837</v>
      </c>
      <c r="C668" s="34" t="s">
        <v>11838</v>
      </c>
      <c r="D668" s="44" t="s">
        <v>10686</v>
      </c>
      <c r="E668" s="31"/>
      <c r="F668" s="31" t="s">
        <v>2968</v>
      </c>
      <c r="G668" s="31" t="n">
        <v>24</v>
      </c>
      <c r="H668" s="31" t="s">
        <v>1947</v>
      </c>
      <c r="I668" s="44" t="s">
        <v>2890</v>
      </c>
      <c r="J668" s="45" t="s">
        <v>2970</v>
      </c>
      <c r="K668" s="45" t="s">
        <v>2972</v>
      </c>
      <c r="L668" s="31" t="n">
        <f aca="false">COUNTIF($B$3:$B$2205,$B668)</f>
        <v>2</v>
      </c>
      <c r="M668" s="44" t="str">
        <f aca="false">IFERROR(INDEX(SENTENCES!$T$3:$T$1802,MATCH($F668,SENTENCES!$A$3:$A$1802,0)),"")</f>
        <v>• Chưa tới</v>
      </c>
    </row>
    <row r="669" customFormat="false" ht="15" hidden="false" customHeight="false" outlineLevel="0" collapsed="false">
      <c r="A669" s="31" t="n">
        <v>667</v>
      </c>
      <c r="B669" s="43" t="s">
        <v>11176</v>
      </c>
      <c r="C669" s="34" t="s">
        <v>11177</v>
      </c>
      <c r="D669" s="44" t="s">
        <v>10677</v>
      </c>
      <c r="E669" s="31" t="s">
        <v>10678</v>
      </c>
      <c r="F669" s="31" t="s">
        <v>2974</v>
      </c>
      <c r="G669" s="31" t="n">
        <v>24</v>
      </c>
      <c r="H669" s="31" t="s">
        <v>1947</v>
      </c>
      <c r="I669" s="44" t="s">
        <v>2890</v>
      </c>
      <c r="J669" s="45" t="s">
        <v>2975</v>
      </c>
      <c r="K669" s="45" t="s">
        <v>2977</v>
      </c>
      <c r="L669" s="31" t="n">
        <f aca="false">COUNTIF($B$3:$B$2205,$B669)</f>
        <v>2</v>
      </c>
      <c r="M669" s="44" t="str">
        <f aca="false">IFERROR(INDEX(SENTENCES!$T$3:$T$1802,MATCH($F669,SENTENCES!$A$3:$A$1802,0)),"")</f>
        <v>• Chưa tới</v>
      </c>
    </row>
    <row r="670" customFormat="false" ht="15" hidden="false" customHeight="false" outlineLevel="0" collapsed="false">
      <c r="A670" s="31" t="n">
        <v>668</v>
      </c>
      <c r="B670" s="43" t="s">
        <v>11731</v>
      </c>
      <c r="C670" s="34" t="s">
        <v>11732</v>
      </c>
      <c r="D670" s="44" t="s">
        <v>10677</v>
      </c>
      <c r="E670" s="31" t="s">
        <v>10747</v>
      </c>
      <c r="F670" s="31" t="s">
        <v>2979</v>
      </c>
      <c r="G670" s="31" t="n">
        <v>24</v>
      </c>
      <c r="H670" s="31" t="s">
        <v>1947</v>
      </c>
      <c r="I670" s="44" t="s">
        <v>2890</v>
      </c>
      <c r="J670" s="45" t="s">
        <v>2981</v>
      </c>
      <c r="K670" s="45" t="s">
        <v>2983</v>
      </c>
      <c r="L670" s="31" t="n">
        <f aca="false">COUNTIF($B$3:$B$2205,$B670)</f>
        <v>2</v>
      </c>
      <c r="M670" s="44" t="str">
        <f aca="false">IFERROR(INDEX(SENTENCES!$T$3:$T$1802,MATCH($F670,SENTENCES!$A$3:$A$1802,0)),"")</f>
        <v>• Chưa tới</v>
      </c>
    </row>
    <row r="671" customFormat="false" ht="15" hidden="false" customHeight="false" outlineLevel="0" collapsed="false">
      <c r="A671" s="31" t="n">
        <v>669</v>
      </c>
      <c r="B671" s="43" t="s">
        <v>11839</v>
      </c>
      <c r="C671" s="34" t="s">
        <v>11840</v>
      </c>
      <c r="D671" s="44" t="s">
        <v>10686</v>
      </c>
      <c r="E671" s="31"/>
      <c r="F671" s="31" t="s">
        <v>2984</v>
      </c>
      <c r="G671" s="31" t="n">
        <v>24</v>
      </c>
      <c r="H671" s="31" t="s">
        <v>1947</v>
      </c>
      <c r="I671" s="44" t="s">
        <v>2890</v>
      </c>
      <c r="J671" s="45" t="s">
        <v>2986</v>
      </c>
      <c r="K671" s="45" t="s">
        <v>2988</v>
      </c>
      <c r="L671" s="31" t="n">
        <f aca="false">COUNTIF($B$3:$B$2205,$B671)</f>
        <v>1</v>
      </c>
      <c r="M671" s="44" t="str">
        <f aca="false">IFERROR(INDEX(SENTENCES!$T$3:$T$1802,MATCH($F671,SENTENCES!$A$3:$A$1802,0)),"")</f>
        <v>• Chưa tới</v>
      </c>
    </row>
    <row r="672" customFormat="false" ht="15" hidden="false" customHeight="false" outlineLevel="0" collapsed="false">
      <c r="A672" s="31" t="n">
        <v>670</v>
      </c>
      <c r="B672" s="43" t="s">
        <v>11841</v>
      </c>
      <c r="C672" s="34" t="s">
        <v>11812</v>
      </c>
      <c r="D672" s="44" t="s">
        <v>10686</v>
      </c>
      <c r="E672" s="31"/>
      <c r="F672" s="31" t="s">
        <v>2990</v>
      </c>
      <c r="G672" s="31" t="n">
        <v>24</v>
      </c>
      <c r="H672" s="31" t="s">
        <v>1947</v>
      </c>
      <c r="I672" s="44" t="s">
        <v>2890</v>
      </c>
      <c r="J672" s="45" t="s">
        <v>2992</v>
      </c>
      <c r="K672" s="45" t="s">
        <v>2994</v>
      </c>
      <c r="L672" s="31" t="n">
        <f aca="false">COUNTIF($B$3:$B$2205,$B672)</f>
        <v>1</v>
      </c>
      <c r="M672" s="44" t="str">
        <f aca="false">IFERROR(INDEX(SENTENCES!$T$3:$T$1802,MATCH($F672,SENTENCES!$A$3:$A$1802,0)),"")</f>
        <v>• Chưa tới</v>
      </c>
    </row>
    <row r="673" customFormat="false" ht="15" hidden="false" customHeight="false" outlineLevel="0" collapsed="false">
      <c r="A673" s="31" t="n">
        <v>671</v>
      </c>
      <c r="B673" s="43" t="s">
        <v>11842</v>
      </c>
      <c r="C673" s="34" t="s">
        <v>11843</v>
      </c>
      <c r="D673" s="44" t="s">
        <v>10686</v>
      </c>
      <c r="E673" s="31"/>
      <c r="F673" s="31" t="s">
        <v>2996</v>
      </c>
      <c r="G673" s="31" t="n">
        <v>24</v>
      </c>
      <c r="H673" s="31" t="s">
        <v>1947</v>
      </c>
      <c r="I673" s="44" t="s">
        <v>2890</v>
      </c>
      <c r="J673" s="45" t="s">
        <v>2998</v>
      </c>
      <c r="K673" s="45" t="s">
        <v>3000</v>
      </c>
      <c r="L673" s="31" t="n">
        <f aca="false">COUNTIF($B$3:$B$2205,$B673)</f>
        <v>1</v>
      </c>
      <c r="M673" s="44" t="str">
        <f aca="false">IFERROR(INDEX(SENTENCES!$T$3:$T$1802,MATCH($F673,SENTENCES!$A$3:$A$1802,0)),"")</f>
        <v>• Chưa tới</v>
      </c>
    </row>
    <row r="674" customFormat="false" ht="15" hidden="false" customHeight="false" outlineLevel="0" collapsed="false">
      <c r="A674" s="31" t="n">
        <v>672</v>
      </c>
      <c r="B674" s="43" t="s">
        <v>11844</v>
      </c>
      <c r="C674" s="34" t="s">
        <v>11845</v>
      </c>
      <c r="D674" s="44" t="s">
        <v>10686</v>
      </c>
      <c r="E674" s="31"/>
      <c r="F674" s="31" t="s">
        <v>3002</v>
      </c>
      <c r="G674" s="31" t="n">
        <v>24</v>
      </c>
      <c r="H674" s="31" t="s">
        <v>1947</v>
      </c>
      <c r="I674" s="44" t="s">
        <v>2890</v>
      </c>
      <c r="J674" s="45" t="s">
        <v>3004</v>
      </c>
      <c r="K674" s="45" t="s">
        <v>3006</v>
      </c>
      <c r="L674" s="31" t="n">
        <f aca="false">COUNTIF($B$3:$B$2205,$B674)</f>
        <v>2</v>
      </c>
      <c r="M674" s="44" t="str">
        <f aca="false">IFERROR(INDEX(SENTENCES!$T$3:$T$1802,MATCH($F674,SENTENCES!$A$3:$A$1802,0)),"")</f>
        <v>• Chưa tới</v>
      </c>
    </row>
    <row r="675" customFormat="false" ht="15" hidden="false" customHeight="false" outlineLevel="0" collapsed="false">
      <c r="A675" s="31" t="n">
        <v>673</v>
      </c>
      <c r="B675" s="43" t="s">
        <v>11846</v>
      </c>
      <c r="C675" s="34" t="s">
        <v>11847</v>
      </c>
      <c r="D675" s="44" t="s">
        <v>10677</v>
      </c>
      <c r="E675" s="31" t="s">
        <v>10707</v>
      </c>
      <c r="F675" s="31" t="s">
        <v>3008</v>
      </c>
      <c r="G675" s="31" t="n">
        <v>25</v>
      </c>
      <c r="H675" s="31" t="s">
        <v>1947</v>
      </c>
      <c r="I675" s="44" t="s">
        <v>3009</v>
      </c>
      <c r="J675" s="45" t="s">
        <v>3010</v>
      </c>
      <c r="K675" s="45" t="s">
        <v>3012</v>
      </c>
      <c r="L675" s="31" t="n">
        <f aca="false">COUNTIF($B$3:$B$2205,$B675)</f>
        <v>1</v>
      </c>
      <c r="M675" s="44" t="str">
        <f aca="false">IFERROR(INDEX(SENTENCES!$T$3:$T$1802,MATCH($F675,SENTENCES!$A$3:$A$1802,0)),"")</f>
        <v>• Chưa tới</v>
      </c>
    </row>
    <row r="676" customFormat="false" ht="15" hidden="false" customHeight="false" outlineLevel="0" collapsed="false">
      <c r="A676" s="31" t="n">
        <v>674</v>
      </c>
      <c r="B676" s="43" t="s">
        <v>11848</v>
      </c>
      <c r="C676" s="34" t="s">
        <v>11849</v>
      </c>
      <c r="D676" s="44" t="s">
        <v>10677</v>
      </c>
      <c r="E676" s="31" t="s">
        <v>10747</v>
      </c>
      <c r="F676" s="31" t="s">
        <v>3014</v>
      </c>
      <c r="G676" s="31" t="n">
        <v>25</v>
      </c>
      <c r="H676" s="31" t="s">
        <v>1947</v>
      </c>
      <c r="I676" s="44" t="s">
        <v>3009</v>
      </c>
      <c r="J676" s="45" t="s">
        <v>3015</v>
      </c>
      <c r="K676" s="45" t="s">
        <v>3017</v>
      </c>
      <c r="L676" s="31" t="n">
        <f aca="false">COUNTIF($B$3:$B$2205,$B676)</f>
        <v>1</v>
      </c>
      <c r="M676" s="44" t="str">
        <f aca="false">IFERROR(INDEX(SENTENCES!$T$3:$T$1802,MATCH($F676,SENTENCES!$A$3:$A$1802,0)),"")</f>
        <v>• Chưa tới</v>
      </c>
    </row>
    <row r="677" customFormat="false" ht="15" hidden="false" customHeight="false" outlineLevel="0" collapsed="false">
      <c r="A677" s="31" t="n">
        <v>675</v>
      </c>
      <c r="B677" s="43" t="s">
        <v>11850</v>
      </c>
      <c r="C677" s="34" t="s">
        <v>11851</v>
      </c>
      <c r="D677" s="44" t="s">
        <v>10677</v>
      </c>
      <c r="E677" s="31" t="s">
        <v>10747</v>
      </c>
      <c r="F677" s="31" t="s">
        <v>3019</v>
      </c>
      <c r="G677" s="31" t="n">
        <v>25</v>
      </c>
      <c r="H677" s="31" t="s">
        <v>1947</v>
      </c>
      <c r="I677" s="44" t="s">
        <v>3009</v>
      </c>
      <c r="J677" s="45" t="s">
        <v>3020</v>
      </c>
      <c r="K677" s="45" t="s">
        <v>3022</v>
      </c>
      <c r="L677" s="31" t="n">
        <f aca="false">COUNTIF($B$3:$B$2205,$B677)</f>
        <v>1</v>
      </c>
      <c r="M677" s="44" t="str">
        <f aca="false">IFERROR(INDEX(SENTENCES!$T$3:$T$1802,MATCH($F677,SENTENCES!$A$3:$A$1802,0)),"")</f>
        <v>• Chưa tới</v>
      </c>
    </row>
    <row r="678" customFormat="false" ht="15" hidden="false" customHeight="false" outlineLevel="0" collapsed="false">
      <c r="A678" s="31" t="n">
        <v>676</v>
      </c>
      <c r="B678" s="43" t="s">
        <v>11852</v>
      </c>
      <c r="C678" s="34" t="s">
        <v>11853</v>
      </c>
      <c r="D678" s="44" t="s">
        <v>10681</v>
      </c>
      <c r="E678" s="31"/>
      <c r="F678" s="31" t="s">
        <v>3019</v>
      </c>
      <c r="G678" s="31" t="n">
        <v>25</v>
      </c>
      <c r="H678" s="31" t="s">
        <v>1947</v>
      </c>
      <c r="I678" s="44" t="s">
        <v>3009</v>
      </c>
      <c r="J678" s="45" t="s">
        <v>3020</v>
      </c>
      <c r="K678" s="45" t="s">
        <v>3022</v>
      </c>
      <c r="L678" s="31" t="n">
        <f aca="false">COUNTIF($B$3:$B$2205,$B678)</f>
        <v>1</v>
      </c>
      <c r="M678" s="44" t="str">
        <f aca="false">IFERROR(INDEX(SENTENCES!$T$3:$T$1802,MATCH($F678,SENTENCES!$A$3:$A$1802,0)),"")</f>
        <v>• Chưa tới</v>
      </c>
    </row>
    <row r="679" customFormat="false" ht="15" hidden="false" customHeight="false" outlineLevel="0" collapsed="false">
      <c r="A679" s="31" t="n">
        <v>677</v>
      </c>
      <c r="B679" s="43" t="s">
        <v>11854</v>
      </c>
      <c r="C679" s="34" t="s">
        <v>11855</v>
      </c>
      <c r="D679" s="44" t="s">
        <v>10677</v>
      </c>
      <c r="E679" s="31" t="s">
        <v>10707</v>
      </c>
      <c r="F679" s="31" t="s">
        <v>3024</v>
      </c>
      <c r="G679" s="31" t="n">
        <v>25</v>
      </c>
      <c r="H679" s="31" t="s">
        <v>1947</v>
      </c>
      <c r="I679" s="44" t="s">
        <v>3009</v>
      </c>
      <c r="J679" s="45" t="s">
        <v>3026</v>
      </c>
      <c r="K679" s="45" t="s">
        <v>3028</v>
      </c>
      <c r="L679" s="31" t="n">
        <f aca="false">COUNTIF($B$3:$B$2205,$B679)</f>
        <v>1</v>
      </c>
      <c r="M679" s="44" t="str">
        <f aca="false">IFERROR(INDEX(SENTENCES!$T$3:$T$1802,MATCH($F679,SENTENCES!$A$3:$A$1802,0)),"")</f>
        <v>• Chưa tới</v>
      </c>
    </row>
    <row r="680" customFormat="false" ht="15" hidden="false" customHeight="false" outlineLevel="0" collapsed="false">
      <c r="A680" s="31" t="n">
        <v>678</v>
      </c>
      <c r="B680" s="43" t="s">
        <v>6889</v>
      </c>
      <c r="C680" s="34" t="s">
        <v>11856</v>
      </c>
      <c r="D680" s="44" t="s">
        <v>10686</v>
      </c>
      <c r="E680" s="31"/>
      <c r="F680" s="31" t="s">
        <v>3024</v>
      </c>
      <c r="G680" s="31" t="n">
        <v>25</v>
      </c>
      <c r="H680" s="31" t="s">
        <v>1947</v>
      </c>
      <c r="I680" s="44" t="s">
        <v>3009</v>
      </c>
      <c r="J680" s="45" t="s">
        <v>3026</v>
      </c>
      <c r="K680" s="45" t="s">
        <v>3028</v>
      </c>
      <c r="L680" s="31" t="n">
        <f aca="false">COUNTIF($B$3:$B$2205,$B680)</f>
        <v>1</v>
      </c>
      <c r="M680" s="44" t="str">
        <f aca="false">IFERROR(INDEX(SENTENCES!$T$3:$T$1802,MATCH($F680,SENTENCES!$A$3:$A$1802,0)),"")</f>
        <v>• Chưa tới</v>
      </c>
    </row>
    <row r="681" customFormat="false" ht="15" hidden="false" customHeight="false" outlineLevel="0" collapsed="false">
      <c r="A681" s="31" t="n">
        <v>679</v>
      </c>
      <c r="B681" s="43" t="s">
        <v>11857</v>
      </c>
      <c r="C681" s="34" t="s">
        <v>11858</v>
      </c>
      <c r="D681" s="44" t="s">
        <v>10681</v>
      </c>
      <c r="E681" s="31"/>
      <c r="F681" s="31" t="s">
        <v>3030</v>
      </c>
      <c r="G681" s="31" t="n">
        <v>25</v>
      </c>
      <c r="H681" s="31" t="s">
        <v>1947</v>
      </c>
      <c r="I681" s="44" t="s">
        <v>3009</v>
      </c>
      <c r="J681" s="45" t="s">
        <v>3032</v>
      </c>
      <c r="K681" s="45" t="s">
        <v>3034</v>
      </c>
      <c r="L681" s="31" t="n">
        <f aca="false">COUNTIF($B$3:$B$2205,$B681)</f>
        <v>1</v>
      </c>
      <c r="M681" s="44" t="str">
        <f aca="false">IFERROR(INDEX(SENTENCES!$T$3:$T$1802,MATCH($F681,SENTENCES!$A$3:$A$1802,0)),"")</f>
        <v>• Chưa tới</v>
      </c>
    </row>
    <row r="682" customFormat="false" ht="15" hidden="false" customHeight="false" outlineLevel="0" collapsed="false">
      <c r="A682" s="31" t="n">
        <v>680</v>
      </c>
      <c r="B682" s="43" t="s">
        <v>11859</v>
      </c>
      <c r="C682" s="34" t="s">
        <v>11860</v>
      </c>
      <c r="D682" s="44" t="s">
        <v>10677</v>
      </c>
      <c r="E682" s="31" t="s">
        <v>10678</v>
      </c>
      <c r="F682" s="31" t="s">
        <v>3036</v>
      </c>
      <c r="G682" s="31" t="n">
        <v>25</v>
      </c>
      <c r="H682" s="31" t="s">
        <v>1947</v>
      </c>
      <c r="I682" s="44" t="s">
        <v>3009</v>
      </c>
      <c r="J682" s="45" t="s">
        <v>3038</v>
      </c>
      <c r="K682" s="45" t="s">
        <v>3040</v>
      </c>
      <c r="L682" s="31" t="n">
        <f aca="false">COUNTIF($B$3:$B$2205,$B682)</f>
        <v>1</v>
      </c>
      <c r="M682" s="44" t="str">
        <f aca="false">IFERROR(INDEX(SENTENCES!$T$3:$T$1802,MATCH($F682,SENTENCES!$A$3:$A$1802,0)),"")</f>
        <v>• Chưa tới</v>
      </c>
    </row>
    <row r="683" customFormat="false" ht="15" hidden="false" customHeight="false" outlineLevel="0" collapsed="false">
      <c r="A683" s="31" t="n">
        <v>681</v>
      </c>
      <c r="B683" s="43" t="s">
        <v>11861</v>
      </c>
      <c r="C683" s="34" t="s">
        <v>11862</v>
      </c>
      <c r="D683" s="44" t="s">
        <v>10677</v>
      </c>
      <c r="E683" s="31" t="s">
        <v>10678</v>
      </c>
      <c r="F683" s="31" t="s">
        <v>3036</v>
      </c>
      <c r="G683" s="31" t="n">
        <v>25</v>
      </c>
      <c r="H683" s="31" t="s">
        <v>1947</v>
      </c>
      <c r="I683" s="44" t="s">
        <v>3009</v>
      </c>
      <c r="J683" s="45" t="s">
        <v>3038</v>
      </c>
      <c r="K683" s="45" t="s">
        <v>3040</v>
      </c>
      <c r="L683" s="31" t="n">
        <f aca="false">COUNTIF($B$3:$B$2205,$B683)</f>
        <v>1</v>
      </c>
      <c r="M683" s="44" t="str">
        <f aca="false">IFERROR(INDEX(SENTENCES!$T$3:$T$1802,MATCH($F683,SENTENCES!$A$3:$A$1802,0)),"")</f>
        <v>• Chưa tới</v>
      </c>
    </row>
    <row r="684" customFormat="false" ht="15" hidden="false" customHeight="false" outlineLevel="0" collapsed="false">
      <c r="A684" s="31" t="n">
        <v>682</v>
      </c>
      <c r="B684" s="43" t="s">
        <v>11863</v>
      </c>
      <c r="C684" s="34" t="s">
        <v>11864</v>
      </c>
      <c r="D684" s="44" t="s">
        <v>10677</v>
      </c>
      <c r="E684" s="31" t="s">
        <v>10678</v>
      </c>
      <c r="F684" s="31" t="s">
        <v>3042</v>
      </c>
      <c r="G684" s="31" t="n">
        <v>25</v>
      </c>
      <c r="H684" s="31" t="s">
        <v>1947</v>
      </c>
      <c r="I684" s="44" t="s">
        <v>3009</v>
      </c>
      <c r="J684" s="45" t="s">
        <v>3044</v>
      </c>
      <c r="K684" s="45" t="s">
        <v>3046</v>
      </c>
      <c r="L684" s="31" t="n">
        <f aca="false">COUNTIF($B$3:$B$2205,$B684)</f>
        <v>1</v>
      </c>
      <c r="M684" s="44" t="str">
        <f aca="false">IFERROR(INDEX(SENTENCES!$T$3:$T$1802,MATCH($F684,SENTENCES!$A$3:$A$1802,0)),"")</f>
        <v>• Chưa tới</v>
      </c>
    </row>
    <row r="685" customFormat="false" ht="15" hidden="false" customHeight="false" outlineLevel="0" collapsed="false">
      <c r="A685" s="31" t="n">
        <v>683</v>
      </c>
      <c r="B685" s="43" t="s">
        <v>11865</v>
      </c>
      <c r="C685" s="34" t="s">
        <v>11866</v>
      </c>
      <c r="D685" s="44" t="s">
        <v>10677</v>
      </c>
      <c r="E685" s="31" t="s">
        <v>10747</v>
      </c>
      <c r="F685" s="31" t="s">
        <v>3048</v>
      </c>
      <c r="G685" s="31" t="n">
        <v>25</v>
      </c>
      <c r="H685" s="31" t="s">
        <v>1947</v>
      </c>
      <c r="I685" s="44" t="s">
        <v>3009</v>
      </c>
      <c r="J685" s="45" t="s">
        <v>3049</v>
      </c>
      <c r="K685" s="45" t="s">
        <v>3051</v>
      </c>
      <c r="L685" s="31" t="n">
        <f aca="false">COUNTIF($B$3:$B$2205,$B685)</f>
        <v>1</v>
      </c>
      <c r="M685" s="44" t="str">
        <f aca="false">IFERROR(INDEX(SENTENCES!$T$3:$T$1802,MATCH($F685,SENTENCES!$A$3:$A$1802,0)),"")</f>
        <v>• Chưa tới</v>
      </c>
    </row>
    <row r="686" customFormat="false" ht="15" hidden="false" customHeight="false" outlineLevel="0" collapsed="false">
      <c r="A686" s="31" t="n">
        <v>684</v>
      </c>
      <c r="B686" s="43" t="s">
        <v>11867</v>
      </c>
      <c r="C686" s="34" t="s">
        <v>11868</v>
      </c>
      <c r="D686" s="44" t="s">
        <v>10686</v>
      </c>
      <c r="E686" s="31"/>
      <c r="F686" s="31" t="s">
        <v>3053</v>
      </c>
      <c r="G686" s="31" t="n">
        <v>25</v>
      </c>
      <c r="H686" s="31" t="s">
        <v>1947</v>
      </c>
      <c r="I686" s="44" t="s">
        <v>3009</v>
      </c>
      <c r="J686" s="45" t="s">
        <v>3055</v>
      </c>
      <c r="K686" s="45" t="s">
        <v>3057</v>
      </c>
      <c r="L686" s="31" t="n">
        <f aca="false">COUNTIF($B$3:$B$2205,$B686)</f>
        <v>1</v>
      </c>
      <c r="M686" s="44" t="str">
        <f aca="false">IFERROR(INDEX(SENTENCES!$T$3:$T$1802,MATCH($F686,SENTENCES!$A$3:$A$1802,0)),"")</f>
        <v>• Chưa tới</v>
      </c>
    </row>
    <row r="687" customFormat="false" ht="15" hidden="false" customHeight="false" outlineLevel="0" collapsed="false">
      <c r="A687" s="31" t="n">
        <v>685</v>
      </c>
      <c r="B687" s="43" t="s">
        <v>11869</v>
      </c>
      <c r="C687" s="34" t="s">
        <v>11870</v>
      </c>
      <c r="D687" s="44" t="s">
        <v>10677</v>
      </c>
      <c r="E687" s="31" t="s">
        <v>10678</v>
      </c>
      <c r="F687" s="31" t="s">
        <v>3059</v>
      </c>
      <c r="G687" s="31" t="n">
        <v>25</v>
      </c>
      <c r="H687" s="31" t="s">
        <v>1947</v>
      </c>
      <c r="I687" s="44" t="s">
        <v>3009</v>
      </c>
      <c r="J687" s="45" t="s">
        <v>3060</v>
      </c>
      <c r="K687" s="45" t="s">
        <v>3062</v>
      </c>
      <c r="L687" s="31" t="n">
        <f aca="false">COUNTIF($B$3:$B$2205,$B687)</f>
        <v>1</v>
      </c>
      <c r="M687" s="44" t="str">
        <f aca="false">IFERROR(INDEX(SENTENCES!$T$3:$T$1802,MATCH($F687,SENTENCES!$A$3:$A$1802,0)),"")</f>
        <v>• Chưa tới</v>
      </c>
    </row>
    <row r="688" customFormat="false" ht="15" hidden="false" customHeight="false" outlineLevel="0" collapsed="false">
      <c r="A688" s="31" t="n">
        <v>686</v>
      </c>
      <c r="B688" s="43" t="s">
        <v>11871</v>
      </c>
      <c r="C688" s="34" t="s">
        <v>11872</v>
      </c>
      <c r="D688" s="44" t="s">
        <v>10677</v>
      </c>
      <c r="E688" s="31" t="s">
        <v>10747</v>
      </c>
      <c r="F688" s="31" t="s">
        <v>3059</v>
      </c>
      <c r="G688" s="31" t="n">
        <v>25</v>
      </c>
      <c r="H688" s="31" t="s">
        <v>1947</v>
      </c>
      <c r="I688" s="44" t="s">
        <v>3009</v>
      </c>
      <c r="J688" s="45" t="s">
        <v>3060</v>
      </c>
      <c r="K688" s="45" t="s">
        <v>3062</v>
      </c>
      <c r="L688" s="31" t="n">
        <f aca="false">COUNTIF($B$3:$B$2205,$B688)</f>
        <v>1</v>
      </c>
      <c r="M688" s="44" t="str">
        <f aca="false">IFERROR(INDEX(SENTENCES!$T$3:$T$1802,MATCH($F688,SENTENCES!$A$3:$A$1802,0)),"")</f>
        <v>• Chưa tới</v>
      </c>
    </row>
    <row r="689" customFormat="false" ht="15" hidden="false" customHeight="false" outlineLevel="0" collapsed="false">
      <c r="A689" s="31" t="n">
        <v>687</v>
      </c>
      <c r="B689" s="43" t="s">
        <v>11873</v>
      </c>
      <c r="C689" s="34" t="s">
        <v>11874</v>
      </c>
      <c r="D689" s="44" t="s">
        <v>10677</v>
      </c>
      <c r="E689" s="31" t="s">
        <v>10707</v>
      </c>
      <c r="F689" s="31" t="s">
        <v>3064</v>
      </c>
      <c r="G689" s="31" t="n">
        <v>25</v>
      </c>
      <c r="H689" s="31" t="s">
        <v>1947</v>
      </c>
      <c r="I689" s="44" t="s">
        <v>3009</v>
      </c>
      <c r="J689" s="45" t="s">
        <v>3066</v>
      </c>
      <c r="K689" s="45" t="s">
        <v>3068</v>
      </c>
      <c r="L689" s="31" t="n">
        <f aca="false">COUNTIF($B$3:$B$2205,$B689)</f>
        <v>1</v>
      </c>
      <c r="M689" s="44" t="str">
        <f aca="false">IFERROR(INDEX(SENTENCES!$T$3:$T$1802,MATCH($F689,SENTENCES!$A$3:$A$1802,0)),"")</f>
        <v>• Chưa tới</v>
      </c>
    </row>
    <row r="690" customFormat="false" ht="15" hidden="false" customHeight="false" outlineLevel="0" collapsed="false">
      <c r="A690" s="31" t="n">
        <v>688</v>
      </c>
      <c r="B690" s="43" t="s">
        <v>11875</v>
      </c>
      <c r="C690" s="34" t="s">
        <v>11876</v>
      </c>
      <c r="D690" s="44" t="s">
        <v>10686</v>
      </c>
      <c r="E690" s="31"/>
      <c r="F690" s="31" t="s">
        <v>3064</v>
      </c>
      <c r="G690" s="31" t="n">
        <v>25</v>
      </c>
      <c r="H690" s="31" t="s">
        <v>1947</v>
      </c>
      <c r="I690" s="44" t="s">
        <v>3009</v>
      </c>
      <c r="J690" s="45" t="s">
        <v>3066</v>
      </c>
      <c r="K690" s="45" t="s">
        <v>3068</v>
      </c>
      <c r="L690" s="31" t="n">
        <f aca="false">COUNTIF($B$3:$B$2205,$B690)</f>
        <v>2</v>
      </c>
      <c r="M690" s="44" t="str">
        <f aca="false">IFERROR(INDEX(SENTENCES!$T$3:$T$1802,MATCH($F690,SENTENCES!$A$3:$A$1802,0)),"")</f>
        <v>• Chưa tới</v>
      </c>
    </row>
    <row r="691" customFormat="false" ht="15" hidden="false" customHeight="false" outlineLevel="0" collapsed="false">
      <c r="A691" s="31" t="n">
        <v>689</v>
      </c>
      <c r="B691" s="43" t="s">
        <v>11235</v>
      </c>
      <c r="C691" s="34" t="s">
        <v>11236</v>
      </c>
      <c r="D691" s="44" t="s">
        <v>10677</v>
      </c>
      <c r="E691" s="31" t="s">
        <v>10678</v>
      </c>
      <c r="F691" s="31" t="s">
        <v>3070</v>
      </c>
      <c r="G691" s="31" t="n">
        <v>25</v>
      </c>
      <c r="H691" s="31" t="s">
        <v>1947</v>
      </c>
      <c r="I691" s="44" t="s">
        <v>3009</v>
      </c>
      <c r="J691" s="45" t="s">
        <v>3071</v>
      </c>
      <c r="K691" s="45" t="s">
        <v>3073</v>
      </c>
      <c r="L691" s="31" t="n">
        <f aca="false">COUNTIF($B$3:$B$2205,$B691)</f>
        <v>2</v>
      </c>
      <c r="M691" s="44" t="str">
        <f aca="false">IFERROR(INDEX(SENTENCES!$T$3:$T$1802,MATCH($F691,SENTENCES!$A$3:$A$1802,0)),"")</f>
        <v>• Chưa tới</v>
      </c>
    </row>
    <row r="692" customFormat="false" ht="15" hidden="false" customHeight="false" outlineLevel="0" collapsed="false">
      <c r="A692" s="31" t="n">
        <v>690</v>
      </c>
      <c r="B692" s="43" t="s">
        <v>11877</v>
      </c>
      <c r="C692" s="34" t="s">
        <v>11878</v>
      </c>
      <c r="D692" s="44" t="s">
        <v>10677</v>
      </c>
      <c r="E692" s="31" t="s">
        <v>10747</v>
      </c>
      <c r="F692" s="31" t="s">
        <v>3075</v>
      </c>
      <c r="G692" s="31" t="n">
        <v>25</v>
      </c>
      <c r="H692" s="31" t="s">
        <v>1947</v>
      </c>
      <c r="I692" s="44" t="s">
        <v>3009</v>
      </c>
      <c r="J692" s="45" t="s">
        <v>3076</v>
      </c>
      <c r="K692" s="45" t="s">
        <v>3078</v>
      </c>
      <c r="L692" s="31" t="n">
        <f aca="false">COUNTIF($B$3:$B$2205,$B692)</f>
        <v>1</v>
      </c>
      <c r="M692" s="44" t="str">
        <f aca="false">IFERROR(INDEX(SENTENCES!$T$3:$T$1802,MATCH($F692,SENTENCES!$A$3:$A$1802,0)),"")</f>
        <v>• Chưa tới</v>
      </c>
    </row>
    <row r="693" customFormat="false" ht="15" hidden="false" customHeight="false" outlineLevel="0" collapsed="false">
      <c r="A693" s="31" t="n">
        <v>691</v>
      </c>
      <c r="B693" s="43" t="s">
        <v>11879</v>
      </c>
      <c r="C693" s="34" t="s">
        <v>11880</v>
      </c>
      <c r="D693" s="44" t="s">
        <v>10677</v>
      </c>
      <c r="E693" s="31" t="s">
        <v>10707</v>
      </c>
      <c r="F693" s="31" t="s">
        <v>3080</v>
      </c>
      <c r="G693" s="31" t="n">
        <v>25</v>
      </c>
      <c r="H693" s="31" t="s">
        <v>1947</v>
      </c>
      <c r="I693" s="44" t="s">
        <v>3009</v>
      </c>
      <c r="J693" s="45" t="s">
        <v>3082</v>
      </c>
      <c r="K693" s="45" t="s">
        <v>3084</v>
      </c>
      <c r="L693" s="31" t="n">
        <f aca="false">COUNTIF($B$3:$B$2205,$B693)</f>
        <v>1</v>
      </c>
      <c r="M693" s="44" t="str">
        <f aca="false">IFERROR(INDEX(SENTENCES!$T$3:$T$1802,MATCH($F693,SENTENCES!$A$3:$A$1802,0)),"")</f>
        <v>• Chưa tới</v>
      </c>
    </row>
    <row r="694" customFormat="false" ht="15" hidden="false" customHeight="false" outlineLevel="0" collapsed="false">
      <c r="A694" s="31" t="n">
        <v>692</v>
      </c>
      <c r="B694" s="43" t="s">
        <v>11461</v>
      </c>
      <c r="C694" s="34" t="s">
        <v>11462</v>
      </c>
      <c r="D694" s="44" t="s">
        <v>10686</v>
      </c>
      <c r="E694" s="31"/>
      <c r="F694" s="31" t="s">
        <v>3086</v>
      </c>
      <c r="G694" s="31" t="n">
        <v>25</v>
      </c>
      <c r="H694" s="31" t="s">
        <v>1947</v>
      </c>
      <c r="I694" s="44" t="s">
        <v>3009</v>
      </c>
      <c r="J694" s="45" t="s">
        <v>3087</v>
      </c>
      <c r="K694" s="45" t="s">
        <v>3089</v>
      </c>
      <c r="L694" s="31" t="n">
        <f aca="false">COUNTIF($B$3:$B$2205,$B694)</f>
        <v>4</v>
      </c>
      <c r="M694" s="44" t="str">
        <f aca="false">IFERROR(INDEX(SENTENCES!$T$3:$T$1802,MATCH($F694,SENTENCES!$A$3:$A$1802,0)),"")</f>
        <v>• Chưa tới</v>
      </c>
    </row>
    <row r="695" customFormat="false" ht="15" hidden="false" customHeight="false" outlineLevel="0" collapsed="false">
      <c r="A695" s="31" t="n">
        <v>693</v>
      </c>
      <c r="B695" s="43" t="s">
        <v>11310</v>
      </c>
      <c r="C695" s="34" t="s">
        <v>11881</v>
      </c>
      <c r="D695" s="44" t="s">
        <v>10681</v>
      </c>
      <c r="E695" s="31"/>
      <c r="F695" s="31" t="s">
        <v>3086</v>
      </c>
      <c r="G695" s="31" t="n">
        <v>25</v>
      </c>
      <c r="H695" s="31" t="s">
        <v>1947</v>
      </c>
      <c r="I695" s="44" t="s">
        <v>3009</v>
      </c>
      <c r="J695" s="45" t="s">
        <v>3087</v>
      </c>
      <c r="K695" s="45" t="s">
        <v>3089</v>
      </c>
      <c r="L695" s="31" t="n">
        <f aca="false">COUNTIF($B$3:$B$2205,$B695)</f>
        <v>2</v>
      </c>
      <c r="M695" s="44" t="str">
        <f aca="false">IFERROR(INDEX(SENTENCES!$T$3:$T$1802,MATCH($F695,SENTENCES!$A$3:$A$1802,0)),"")</f>
        <v>• Chưa tới</v>
      </c>
    </row>
    <row r="696" customFormat="false" ht="15" hidden="false" customHeight="false" outlineLevel="0" collapsed="false">
      <c r="A696" s="31" t="n">
        <v>694</v>
      </c>
      <c r="B696" s="43" t="s">
        <v>11882</v>
      </c>
      <c r="C696" s="34" t="s">
        <v>11883</v>
      </c>
      <c r="D696" s="44" t="s">
        <v>10677</v>
      </c>
      <c r="E696" s="31" t="s">
        <v>10707</v>
      </c>
      <c r="F696" s="31" t="s">
        <v>3091</v>
      </c>
      <c r="G696" s="31" t="n">
        <v>25</v>
      </c>
      <c r="H696" s="31" t="s">
        <v>1947</v>
      </c>
      <c r="I696" s="44" t="s">
        <v>3009</v>
      </c>
      <c r="J696" s="45" t="s">
        <v>3093</v>
      </c>
      <c r="K696" s="45" t="s">
        <v>3095</v>
      </c>
      <c r="L696" s="31" t="n">
        <f aca="false">COUNTIF($B$3:$B$2205,$B696)</f>
        <v>1</v>
      </c>
      <c r="M696" s="44" t="str">
        <f aca="false">IFERROR(INDEX(SENTENCES!$T$3:$T$1802,MATCH($F696,SENTENCES!$A$3:$A$1802,0)),"")</f>
        <v>• Chưa tới</v>
      </c>
    </row>
    <row r="697" customFormat="false" ht="15" hidden="false" customHeight="false" outlineLevel="0" collapsed="false">
      <c r="A697" s="31" t="n">
        <v>695</v>
      </c>
      <c r="B697" s="43" t="s">
        <v>11884</v>
      </c>
      <c r="C697" s="34" t="s">
        <v>11885</v>
      </c>
      <c r="D697" s="44" t="s">
        <v>10677</v>
      </c>
      <c r="E697" s="31" t="s">
        <v>10678</v>
      </c>
      <c r="F697" s="31" t="s">
        <v>3097</v>
      </c>
      <c r="G697" s="31" t="n">
        <v>25</v>
      </c>
      <c r="H697" s="31" t="s">
        <v>1947</v>
      </c>
      <c r="I697" s="44" t="s">
        <v>3009</v>
      </c>
      <c r="J697" s="45" t="s">
        <v>3099</v>
      </c>
      <c r="K697" s="45" t="s">
        <v>3101</v>
      </c>
      <c r="L697" s="31" t="n">
        <f aca="false">COUNTIF($B$3:$B$2205,$B697)</f>
        <v>2</v>
      </c>
      <c r="M697" s="44" t="str">
        <f aca="false">IFERROR(INDEX(SENTENCES!$T$3:$T$1802,MATCH($F697,SENTENCES!$A$3:$A$1802,0)),"")</f>
        <v>• Chưa tới</v>
      </c>
    </row>
    <row r="698" customFormat="false" ht="15" hidden="false" customHeight="false" outlineLevel="0" collapsed="false">
      <c r="A698" s="31" t="n">
        <v>696</v>
      </c>
      <c r="B698" s="43" t="s">
        <v>11886</v>
      </c>
      <c r="C698" s="34" t="s">
        <v>11887</v>
      </c>
      <c r="D698" s="44" t="s">
        <v>10677</v>
      </c>
      <c r="E698" s="31" t="s">
        <v>10678</v>
      </c>
      <c r="F698" s="31" t="s">
        <v>3103</v>
      </c>
      <c r="G698" s="31" t="n">
        <v>25</v>
      </c>
      <c r="H698" s="31" t="s">
        <v>1947</v>
      </c>
      <c r="I698" s="44" t="s">
        <v>3009</v>
      </c>
      <c r="J698" s="45" t="s">
        <v>3104</v>
      </c>
      <c r="K698" s="45" t="s">
        <v>3106</v>
      </c>
      <c r="L698" s="31" t="n">
        <f aca="false">COUNTIF($B$3:$B$2205,$B698)</f>
        <v>1</v>
      </c>
      <c r="M698" s="44" t="str">
        <f aca="false">IFERROR(INDEX(SENTENCES!$T$3:$T$1802,MATCH($F698,SENTENCES!$A$3:$A$1802,0)),"")</f>
        <v>• Chưa tới</v>
      </c>
    </row>
    <row r="699" customFormat="false" ht="15" hidden="false" customHeight="false" outlineLevel="0" collapsed="false">
      <c r="A699" s="31" t="n">
        <v>697</v>
      </c>
      <c r="B699" s="43" t="s">
        <v>11888</v>
      </c>
      <c r="C699" s="34" t="s">
        <v>11889</v>
      </c>
      <c r="D699" s="44" t="s">
        <v>10677</v>
      </c>
      <c r="E699" s="31" t="s">
        <v>10707</v>
      </c>
      <c r="F699" s="31" t="s">
        <v>3103</v>
      </c>
      <c r="G699" s="31" t="n">
        <v>25</v>
      </c>
      <c r="H699" s="31" t="s">
        <v>1947</v>
      </c>
      <c r="I699" s="44" t="s">
        <v>3009</v>
      </c>
      <c r="J699" s="45" t="s">
        <v>3104</v>
      </c>
      <c r="K699" s="45" t="s">
        <v>3106</v>
      </c>
      <c r="L699" s="31" t="n">
        <f aca="false">COUNTIF($B$3:$B$2205,$B699)</f>
        <v>1</v>
      </c>
      <c r="M699" s="44" t="str">
        <f aca="false">IFERROR(INDEX(SENTENCES!$T$3:$T$1802,MATCH($F699,SENTENCES!$A$3:$A$1802,0)),"")</f>
        <v>• Chưa tới</v>
      </c>
    </row>
    <row r="700" customFormat="false" ht="15" hidden="false" customHeight="false" outlineLevel="0" collapsed="false">
      <c r="A700" s="31" t="n">
        <v>698</v>
      </c>
      <c r="B700" s="43" t="s">
        <v>11890</v>
      </c>
      <c r="C700" s="34" t="s">
        <v>11891</v>
      </c>
      <c r="D700" s="44" t="s">
        <v>10677</v>
      </c>
      <c r="E700" s="31" t="s">
        <v>10678</v>
      </c>
      <c r="F700" s="31" t="s">
        <v>3108</v>
      </c>
      <c r="G700" s="31" t="n">
        <v>25</v>
      </c>
      <c r="H700" s="31" t="s">
        <v>1947</v>
      </c>
      <c r="I700" s="44" t="s">
        <v>3009</v>
      </c>
      <c r="J700" s="45" t="s">
        <v>3110</v>
      </c>
      <c r="K700" s="45" t="s">
        <v>3112</v>
      </c>
      <c r="L700" s="31" t="n">
        <f aca="false">COUNTIF($B$3:$B$2205,$B700)</f>
        <v>1</v>
      </c>
      <c r="M700" s="44" t="str">
        <f aca="false">IFERROR(INDEX(SENTENCES!$T$3:$T$1802,MATCH($F700,SENTENCES!$A$3:$A$1802,0)),"")</f>
        <v>• Chưa tới</v>
      </c>
    </row>
    <row r="701" customFormat="false" ht="15" hidden="false" customHeight="false" outlineLevel="0" collapsed="false">
      <c r="A701" s="31" t="n">
        <v>699</v>
      </c>
      <c r="B701" s="43" t="s">
        <v>11892</v>
      </c>
      <c r="C701" s="34" t="s">
        <v>11893</v>
      </c>
      <c r="D701" s="44" t="s">
        <v>10681</v>
      </c>
      <c r="E701" s="31"/>
      <c r="F701" s="31" t="s">
        <v>3108</v>
      </c>
      <c r="G701" s="31" t="n">
        <v>25</v>
      </c>
      <c r="H701" s="31" t="s">
        <v>1947</v>
      </c>
      <c r="I701" s="44" t="s">
        <v>3009</v>
      </c>
      <c r="J701" s="45" t="s">
        <v>3110</v>
      </c>
      <c r="K701" s="45" t="s">
        <v>3112</v>
      </c>
      <c r="L701" s="31" t="n">
        <f aca="false">COUNTIF($B$3:$B$2205,$B701)</f>
        <v>1</v>
      </c>
      <c r="M701" s="44" t="str">
        <f aca="false">IFERROR(INDEX(SENTENCES!$T$3:$T$1802,MATCH($F701,SENTENCES!$A$3:$A$1802,0)),"")</f>
        <v>• Chưa tới</v>
      </c>
    </row>
    <row r="702" customFormat="false" ht="15" hidden="false" customHeight="false" outlineLevel="0" collapsed="false">
      <c r="A702" s="31" t="n">
        <v>700</v>
      </c>
      <c r="B702" s="43" t="s">
        <v>11894</v>
      </c>
      <c r="C702" s="34" t="s">
        <v>11895</v>
      </c>
      <c r="D702" s="44" t="s">
        <v>10794</v>
      </c>
      <c r="E702" s="31"/>
      <c r="F702" s="31" t="s">
        <v>3114</v>
      </c>
      <c r="G702" s="31" t="n">
        <v>25</v>
      </c>
      <c r="H702" s="31" t="s">
        <v>1947</v>
      </c>
      <c r="I702" s="44" t="s">
        <v>3009</v>
      </c>
      <c r="J702" s="45" t="s">
        <v>3116</v>
      </c>
      <c r="K702" s="45" t="s">
        <v>3118</v>
      </c>
      <c r="L702" s="31" t="n">
        <f aca="false">COUNTIF($B$3:$B$2205,$B702)</f>
        <v>1</v>
      </c>
      <c r="M702" s="44" t="str">
        <f aca="false">IFERROR(INDEX(SENTENCES!$T$3:$T$1802,MATCH($F702,SENTENCES!$A$3:$A$1802,0)),"")</f>
        <v>• Chưa tới</v>
      </c>
    </row>
    <row r="703" customFormat="false" ht="15" hidden="false" customHeight="false" outlineLevel="0" collapsed="false">
      <c r="A703" s="31" t="n">
        <v>701</v>
      </c>
      <c r="B703" s="43" t="s">
        <v>11896</v>
      </c>
      <c r="C703" s="34" t="s">
        <v>11897</v>
      </c>
      <c r="D703" s="44" t="s">
        <v>10677</v>
      </c>
      <c r="E703" s="31" t="s">
        <v>10678</v>
      </c>
      <c r="F703" s="31" t="s">
        <v>3114</v>
      </c>
      <c r="G703" s="31" t="n">
        <v>25</v>
      </c>
      <c r="H703" s="31" t="s">
        <v>1947</v>
      </c>
      <c r="I703" s="44" t="s">
        <v>3009</v>
      </c>
      <c r="J703" s="45" t="s">
        <v>3116</v>
      </c>
      <c r="K703" s="45" t="s">
        <v>3118</v>
      </c>
      <c r="L703" s="31" t="n">
        <f aca="false">COUNTIF($B$3:$B$2205,$B703)</f>
        <v>1</v>
      </c>
      <c r="M703" s="44" t="str">
        <f aca="false">IFERROR(INDEX(SENTENCES!$T$3:$T$1802,MATCH($F703,SENTENCES!$A$3:$A$1802,0)),"")</f>
        <v>• Chưa tới</v>
      </c>
    </row>
    <row r="704" customFormat="false" ht="15" hidden="false" customHeight="false" outlineLevel="0" collapsed="false">
      <c r="A704" s="31" t="n">
        <v>702</v>
      </c>
      <c r="B704" s="43" t="s">
        <v>11626</v>
      </c>
      <c r="C704" s="34" t="s">
        <v>11627</v>
      </c>
      <c r="D704" s="44" t="s">
        <v>10677</v>
      </c>
      <c r="E704" s="31" t="s">
        <v>10678</v>
      </c>
      <c r="F704" s="31" t="s">
        <v>3120</v>
      </c>
      <c r="G704" s="31" t="n">
        <v>26</v>
      </c>
      <c r="H704" s="31" t="s">
        <v>1947</v>
      </c>
      <c r="I704" s="44" t="s">
        <v>3121</v>
      </c>
      <c r="J704" s="45" t="s">
        <v>3123</v>
      </c>
      <c r="K704" s="45" t="s">
        <v>3125</v>
      </c>
      <c r="L704" s="31" t="n">
        <f aca="false">COUNTIF($B$3:$B$2205,$B704)</f>
        <v>3</v>
      </c>
      <c r="M704" s="44" t="str">
        <f aca="false">IFERROR(INDEX(SENTENCES!$T$3:$T$1802,MATCH($F704,SENTENCES!$A$3:$A$1802,0)),"")</f>
        <v>• Chưa tới</v>
      </c>
    </row>
    <row r="705" customFormat="false" ht="15" hidden="false" customHeight="false" outlineLevel="0" collapsed="false">
      <c r="A705" s="31" t="n">
        <v>703</v>
      </c>
      <c r="B705" s="43" t="s">
        <v>11898</v>
      </c>
      <c r="C705" s="34" t="s">
        <v>11899</v>
      </c>
      <c r="D705" s="44" t="s">
        <v>10681</v>
      </c>
      <c r="E705" s="31"/>
      <c r="F705" s="31" t="s">
        <v>3126</v>
      </c>
      <c r="G705" s="31" t="n">
        <v>26</v>
      </c>
      <c r="H705" s="31" t="s">
        <v>1947</v>
      </c>
      <c r="I705" s="44" t="s">
        <v>3121</v>
      </c>
      <c r="J705" s="45" t="s">
        <v>3128</v>
      </c>
      <c r="K705" s="45" t="s">
        <v>3130</v>
      </c>
      <c r="L705" s="31" t="n">
        <f aca="false">COUNTIF($B$3:$B$2205,$B705)</f>
        <v>1</v>
      </c>
      <c r="M705" s="44" t="str">
        <f aca="false">IFERROR(INDEX(SENTENCES!$T$3:$T$1802,MATCH($F705,SENTENCES!$A$3:$A$1802,0)),"")</f>
        <v>• Chưa tới</v>
      </c>
    </row>
    <row r="706" customFormat="false" ht="15" hidden="false" customHeight="false" outlineLevel="0" collapsed="false">
      <c r="A706" s="31" t="n">
        <v>704</v>
      </c>
      <c r="B706" s="43" t="s">
        <v>11900</v>
      </c>
      <c r="C706" s="34" t="s">
        <v>11901</v>
      </c>
      <c r="D706" s="44" t="s">
        <v>10677</v>
      </c>
      <c r="E706" s="31" t="s">
        <v>10707</v>
      </c>
      <c r="F706" s="31" t="s">
        <v>3126</v>
      </c>
      <c r="G706" s="31" t="n">
        <v>26</v>
      </c>
      <c r="H706" s="31" t="s">
        <v>1947</v>
      </c>
      <c r="I706" s="44" t="s">
        <v>3121</v>
      </c>
      <c r="J706" s="45" t="s">
        <v>3128</v>
      </c>
      <c r="K706" s="45" t="s">
        <v>3130</v>
      </c>
      <c r="L706" s="31" t="n">
        <f aca="false">COUNTIF($B$3:$B$2205,$B706)</f>
        <v>1</v>
      </c>
      <c r="M706" s="44" t="str">
        <f aca="false">IFERROR(INDEX(SENTENCES!$T$3:$T$1802,MATCH($F706,SENTENCES!$A$3:$A$1802,0)),"")</f>
        <v>• Chưa tới</v>
      </c>
    </row>
    <row r="707" customFormat="false" ht="15" hidden="false" customHeight="false" outlineLevel="0" collapsed="false">
      <c r="A707" s="31" t="n">
        <v>705</v>
      </c>
      <c r="B707" s="43" t="s">
        <v>11902</v>
      </c>
      <c r="C707" s="34" t="s">
        <v>11903</v>
      </c>
      <c r="D707" s="44" t="s">
        <v>10686</v>
      </c>
      <c r="E707" s="31"/>
      <c r="F707" s="31" t="s">
        <v>3132</v>
      </c>
      <c r="G707" s="31" t="n">
        <v>26</v>
      </c>
      <c r="H707" s="31" t="s">
        <v>1947</v>
      </c>
      <c r="I707" s="44" t="s">
        <v>3121</v>
      </c>
      <c r="J707" s="45" t="s">
        <v>3134</v>
      </c>
      <c r="K707" s="45" t="s">
        <v>3136</v>
      </c>
      <c r="L707" s="31" t="n">
        <f aca="false">COUNTIF($B$3:$B$2205,$B707)</f>
        <v>1</v>
      </c>
      <c r="M707" s="44" t="str">
        <f aca="false">IFERROR(INDEX(SENTENCES!$T$3:$T$1802,MATCH($F707,SENTENCES!$A$3:$A$1802,0)),"")</f>
        <v>• Chưa tới</v>
      </c>
    </row>
    <row r="708" customFormat="false" ht="15" hidden="false" customHeight="false" outlineLevel="0" collapsed="false">
      <c r="A708" s="31" t="n">
        <v>706</v>
      </c>
      <c r="B708" s="43" t="s">
        <v>11904</v>
      </c>
      <c r="C708" s="34" t="s">
        <v>11905</v>
      </c>
      <c r="D708" s="44" t="s">
        <v>10681</v>
      </c>
      <c r="E708" s="31"/>
      <c r="F708" s="31" t="s">
        <v>3132</v>
      </c>
      <c r="G708" s="31" t="n">
        <v>26</v>
      </c>
      <c r="H708" s="31" t="s">
        <v>1947</v>
      </c>
      <c r="I708" s="44" t="s">
        <v>3121</v>
      </c>
      <c r="J708" s="45" t="s">
        <v>3134</v>
      </c>
      <c r="K708" s="45" t="s">
        <v>3136</v>
      </c>
      <c r="L708" s="31" t="n">
        <f aca="false">COUNTIF($B$3:$B$2205,$B708)</f>
        <v>1</v>
      </c>
      <c r="M708" s="44" t="str">
        <f aca="false">IFERROR(INDEX(SENTENCES!$T$3:$T$1802,MATCH($F708,SENTENCES!$A$3:$A$1802,0)),"")</f>
        <v>• Chưa tới</v>
      </c>
    </row>
    <row r="709" customFormat="false" ht="15" hidden="false" customHeight="false" outlineLevel="0" collapsed="false">
      <c r="A709" s="31" t="n">
        <v>707</v>
      </c>
      <c r="B709" s="43" t="s">
        <v>11906</v>
      </c>
      <c r="C709" s="34" t="s">
        <v>11907</v>
      </c>
      <c r="D709" s="44" t="s">
        <v>10677</v>
      </c>
      <c r="E709" s="31" t="s">
        <v>10707</v>
      </c>
      <c r="F709" s="31" t="s">
        <v>3138</v>
      </c>
      <c r="G709" s="31" t="n">
        <v>26</v>
      </c>
      <c r="H709" s="31" t="s">
        <v>1947</v>
      </c>
      <c r="I709" s="44" t="s">
        <v>3121</v>
      </c>
      <c r="J709" s="45" t="s">
        <v>3140</v>
      </c>
      <c r="K709" s="45" t="s">
        <v>3142</v>
      </c>
      <c r="L709" s="31" t="n">
        <f aca="false">COUNTIF($B$3:$B$2205,$B709)</f>
        <v>1</v>
      </c>
      <c r="M709" s="44" t="str">
        <f aca="false">IFERROR(INDEX(SENTENCES!$T$3:$T$1802,MATCH($F709,SENTENCES!$A$3:$A$1802,0)),"")</f>
        <v>• Chưa tới</v>
      </c>
    </row>
    <row r="710" customFormat="false" ht="15" hidden="false" customHeight="false" outlineLevel="0" collapsed="false">
      <c r="A710" s="31" t="n">
        <v>708</v>
      </c>
      <c r="B710" s="43" t="s">
        <v>11908</v>
      </c>
      <c r="C710" s="34" t="s">
        <v>11909</v>
      </c>
      <c r="D710" s="44" t="s">
        <v>10681</v>
      </c>
      <c r="E710" s="31"/>
      <c r="F710" s="31" t="s">
        <v>3138</v>
      </c>
      <c r="G710" s="31" t="n">
        <v>26</v>
      </c>
      <c r="H710" s="31" t="s">
        <v>1947</v>
      </c>
      <c r="I710" s="44" t="s">
        <v>3121</v>
      </c>
      <c r="J710" s="45" t="s">
        <v>3140</v>
      </c>
      <c r="K710" s="45" t="s">
        <v>3142</v>
      </c>
      <c r="L710" s="31" t="n">
        <f aca="false">COUNTIF($B$3:$B$2205,$B710)</f>
        <v>1</v>
      </c>
      <c r="M710" s="44" t="str">
        <f aca="false">IFERROR(INDEX(SENTENCES!$T$3:$T$1802,MATCH($F710,SENTENCES!$A$3:$A$1802,0)),"")</f>
        <v>• Chưa tới</v>
      </c>
    </row>
    <row r="711" customFormat="false" ht="15" hidden="false" customHeight="false" outlineLevel="0" collapsed="false">
      <c r="A711" s="31" t="n">
        <v>709</v>
      </c>
      <c r="B711" s="43" t="s">
        <v>11910</v>
      </c>
      <c r="C711" s="34" t="s">
        <v>11911</v>
      </c>
      <c r="D711" s="44" t="s">
        <v>10681</v>
      </c>
      <c r="E711" s="31"/>
      <c r="F711" s="31" t="s">
        <v>3144</v>
      </c>
      <c r="G711" s="31" t="n">
        <v>26</v>
      </c>
      <c r="H711" s="31" t="s">
        <v>1947</v>
      </c>
      <c r="I711" s="44" t="s">
        <v>3121</v>
      </c>
      <c r="J711" s="45" t="s">
        <v>3146</v>
      </c>
      <c r="K711" s="45" t="s">
        <v>3148</v>
      </c>
      <c r="L711" s="31" t="n">
        <f aca="false">COUNTIF($B$3:$B$2205,$B711)</f>
        <v>1</v>
      </c>
      <c r="M711" s="44" t="str">
        <f aca="false">IFERROR(INDEX(SENTENCES!$T$3:$T$1802,MATCH($F711,SENTENCES!$A$3:$A$1802,0)),"")</f>
        <v>• Chưa tới</v>
      </c>
    </row>
    <row r="712" customFormat="false" ht="15" hidden="false" customHeight="false" outlineLevel="0" collapsed="false">
      <c r="A712" s="31" t="n">
        <v>710</v>
      </c>
      <c r="B712" s="43" t="s">
        <v>11912</v>
      </c>
      <c r="C712" s="34" t="s">
        <v>11913</v>
      </c>
      <c r="D712" s="44" t="s">
        <v>10794</v>
      </c>
      <c r="E712" s="31"/>
      <c r="F712" s="31" t="s">
        <v>3150</v>
      </c>
      <c r="G712" s="31" t="n">
        <v>26</v>
      </c>
      <c r="H712" s="31" t="s">
        <v>1947</v>
      </c>
      <c r="I712" s="44" t="s">
        <v>3121</v>
      </c>
      <c r="J712" s="45" t="s">
        <v>3152</v>
      </c>
      <c r="K712" s="45" t="s">
        <v>3154</v>
      </c>
      <c r="L712" s="31" t="n">
        <f aca="false">COUNTIF($B$3:$B$2205,$B712)</f>
        <v>1</v>
      </c>
      <c r="M712" s="44" t="str">
        <f aca="false">IFERROR(INDEX(SENTENCES!$T$3:$T$1802,MATCH($F712,SENTENCES!$A$3:$A$1802,0)),"")</f>
        <v>• Chưa tới</v>
      </c>
    </row>
    <row r="713" customFormat="false" ht="15" hidden="false" customHeight="false" outlineLevel="0" collapsed="false">
      <c r="A713" s="31" t="n">
        <v>711</v>
      </c>
      <c r="B713" s="43" t="s">
        <v>11914</v>
      </c>
      <c r="C713" s="34" t="s">
        <v>11915</v>
      </c>
      <c r="D713" s="44" t="s">
        <v>10677</v>
      </c>
      <c r="E713" s="31" t="s">
        <v>10707</v>
      </c>
      <c r="F713" s="31" t="s">
        <v>3156</v>
      </c>
      <c r="G713" s="31" t="n">
        <v>26</v>
      </c>
      <c r="H713" s="31" t="s">
        <v>1947</v>
      </c>
      <c r="I713" s="44" t="s">
        <v>3121</v>
      </c>
      <c r="J713" s="45" t="s">
        <v>3158</v>
      </c>
      <c r="K713" s="45" t="s">
        <v>3160</v>
      </c>
      <c r="L713" s="31" t="n">
        <f aca="false">COUNTIF($B$3:$B$2205,$B713)</f>
        <v>1</v>
      </c>
      <c r="M713" s="44" t="str">
        <f aca="false">IFERROR(INDEX(SENTENCES!$T$3:$T$1802,MATCH($F713,SENTENCES!$A$3:$A$1802,0)),"")</f>
        <v>• Chưa tới</v>
      </c>
    </row>
    <row r="714" customFormat="false" ht="15" hidden="false" customHeight="false" outlineLevel="0" collapsed="false">
      <c r="A714" s="31" t="n">
        <v>712</v>
      </c>
      <c r="B714" s="43" t="s">
        <v>11916</v>
      </c>
      <c r="C714" s="34" t="s">
        <v>11917</v>
      </c>
      <c r="D714" s="44" t="s">
        <v>10677</v>
      </c>
      <c r="E714" s="31" t="s">
        <v>10707</v>
      </c>
      <c r="F714" s="31" t="s">
        <v>3156</v>
      </c>
      <c r="G714" s="31" t="n">
        <v>26</v>
      </c>
      <c r="H714" s="31" t="s">
        <v>1947</v>
      </c>
      <c r="I714" s="44" t="s">
        <v>3121</v>
      </c>
      <c r="J714" s="45" t="s">
        <v>3158</v>
      </c>
      <c r="K714" s="45" t="s">
        <v>3160</v>
      </c>
      <c r="L714" s="31" t="n">
        <f aca="false">COUNTIF($B$3:$B$2205,$B714)</f>
        <v>1</v>
      </c>
      <c r="M714" s="44" t="str">
        <f aca="false">IFERROR(INDEX(SENTENCES!$T$3:$T$1802,MATCH($F714,SENTENCES!$A$3:$A$1802,0)),"")</f>
        <v>• Chưa tới</v>
      </c>
    </row>
    <row r="715" customFormat="false" ht="15" hidden="false" customHeight="false" outlineLevel="0" collapsed="false">
      <c r="A715" s="31" t="n">
        <v>713</v>
      </c>
      <c r="B715" s="43" t="s">
        <v>11918</v>
      </c>
      <c r="C715" s="34" t="s">
        <v>11919</v>
      </c>
      <c r="D715" s="44" t="s">
        <v>10686</v>
      </c>
      <c r="E715" s="31"/>
      <c r="F715" s="31" t="s">
        <v>3162</v>
      </c>
      <c r="G715" s="31" t="n">
        <v>26</v>
      </c>
      <c r="H715" s="31" t="s">
        <v>1947</v>
      </c>
      <c r="I715" s="44" t="s">
        <v>3121</v>
      </c>
      <c r="J715" s="45" t="s">
        <v>3164</v>
      </c>
      <c r="K715" s="45" t="s">
        <v>3166</v>
      </c>
      <c r="L715" s="31" t="n">
        <f aca="false">COUNTIF($B$3:$B$2205,$B715)</f>
        <v>1</v>
      </c>
      <c r="M715" s="44" t="str">
        <f aca="false">IFERROR(INDEX(SENTENCES!$T$3:$T$1802,MATCH($F715,SENTENCES!$A$3:$A$1802,0)),"")</f>
        <v>• Chưa tới</v>
      </c>
    </row>
    <row r="716" customFormat="false" ht="15" hidden="false" customHeight="false" outlineLevel="0" collapsed="false">
      <c r="A716" s="31" t="n">
        <v>714</v>
      </c>
      <c r="B716" s="43" t="s">
        <v>11920</v>
      </c>
      <c r="C716" s="34" t="s">
        <v>11921</v>
      </c>
      <c r="D716" s="44" t="s">
        <v>10686</v>
      </c>
      <c r="E716" s="31"/>
      <c r="F716" s="31" t="s">
        <v>3168</v>
      </c>
      <c r="G716" s="31" t="n">
        <v>26</v>
      </c>
      <c r="H716" s="31" t="s">
        <v>1947</v>
      </c>
      <c r="I716" s="44" t="s">
        <v>3121</v>
      </c>
      <c r="J716" s="45" t="s">
        <v>3170</v>
      </c>
      <c r="K716" s="45" t="s">
        <v>3172</v>
      </c>
      <c r="L716" s="31" t="n">
        <f aca="false">COUNTIF($B$3:$B$2205,$B716)</f>
        <v>1</v>
      </c>
      <c r="M716" s="44" t="str">
        <f aca="false">IFERROR(INDEX(SENTENCES!$T$3:$T$1802,MATCH($F716,SENTENCES!$A$3:$A$1802,0)),"")</f>
        <v>• Chưa tới</v>
      </c>
    </row>
    <row r="717" customFormat="false" ht="15" hidden="false" customHeight="false" outlineLevel="0" collapsed="false">
      <c r="A717" s="31" t="n">
        <v>715</v>
      </c>
      <c r="B717" s="43" t="s">
        <v>11922</v>
      </c>
      <c r="C717" s="34" t="s">
        <v>11923</v>
      </c>
      <c r="D717" s="44" t="s">
        <v>10686</v>
      </c>
      <c r="E717" s="31"/>
      <c r="F717" s="31" t="s">
        <v>3174</v>
      </c>
      <c r="G717" s="31" t="n">
        <v>26</v>
      </c>
      <c r="H717" s="31" t="s">
        <v>1947</v>
      </c>
      <c r="I717" s="44" t="s">
        <v>3121</v>
      </c>
      <c r="J717" s="45" t="s">
        <v>3176</v>
      </c>
      <c r="K717" s="45" t="s">
        <v>3178</v>
      </c>
      <c r="L717" s="31" t="n">
        <f aca="false">COUNTIF($B$3:$B$2205,$B717)</f>
        <v>3</v>
      </c>
      <c r="M717" s="44" t="str">
        <f aca="false">IFERROR(INDEX(SENTENCES!$T$3:$T$1802,MATCH($F717,SENTENCES!$A$3:$A$1802,0)),"")</f>
        <v>• Chưa tới</v>
      </c>
    </row>
    <row r="718" customFormat="false" ht="15" hidden="false" customHeight="false" outlineLevel="0" collapsed="false">
      <c r="A718" s="31" t="n">
        <v>716</v>
      </c>
      <c r="B718" s="43" t="s">
        <v>11067</v>
      </c>
      <c r="C718" s="34" t="s">
        <v>11924</v>
      </c>
      <c r="D718" s="44" t="s">
        <v>10686</v>
      </c>
      <c r="E718" s="31"/>
      <c r="F718" s="31" t="s">
        <v>3180</v>
      </c>
      <c r="G718" s="31" t="n">
        <v>26</v>
      </c>
      <c r="H718" s="31" t="s">
        <v>1947</v>
      </c>
      <c r="I718" s="44" t="s">
        <v>3121</v>
      </c>
      <c r="J718" s="45" t="s">
        <v>3182</v>
      </c>
      <c r="K718" s="45" t="s">
        <v>3184</v>
      </c>
      <c r="L718" s="31" t="n">
        <f aca="false">COUNTIF($B$3:$B$2205,$B718)</f>
        <v>4</v>
      </c>
      <c r="M718" s="44" t="str">
        <f aca="false">IFERROR(INDEX(SENTENCES!$T$3:$T$1802,MATCH($F718,SENTENCES!$A$3:$A$1802,0)),"")</f>
        <v>• Chưa tới</v>
      </c>
    </row>
    <row r="719" customFormat="false" ht="15" hidden="false" customHeight="false" outlineLevel="0" collapsed="false">
      <c r="A719" s="31" t="n">
        <v>717</v>
      </c>
      <c r="B719" s="43" t="s">
        <v>11925</v>
      </c>
      <c r="C719" s="34" t="s">
        <v>11926</v>
      </c>
      <c r="D719" s="44" t="s">
        <v>10681</v>
      </c>
      <c r="E719" s="31"/>
      <c r="F719" s="31" t="s">
        <v>3186</v>
      </c>
      <c r="G719" s="31" t="n">
        <v>26</v>
      </c>
      <c r="H719" s="31" t="s">
        <v>1947</v>
      </c>
      <c r="I719" s="44" t="s">
        <v>3121</v>
      </c>
      <c r="J719" s="45" t="s">
        <v>3188</v>
      </c>
      <c r="K719" s="45" t="s">
        <v>3190</v>
      </c>
      <c r="L719" s="31" t="n">
        <f aca="false">COUNTIF($B$3:$B$2205,$B719)</f>
        <v>1</v>
      </c>
      <c r="M719" s="44" t="str">
        <f aca="false">IFERROR(INDEX(SENTENCES!$T$3:$T$1802,MATCH($F719,SENTENCES!$A$3:$A$1802,0)),"")</f>
        <v>• Chưa tới</v>
      </c>
    </row>
    <row r="720" customFormat="false" ht="15" hidden="false" customHeight="false" outlineLevel="0" collapsed="false">
      <c r="A720" s="31" t="n">
        <v>718</v>
      </c>
      <c r="B720" s="43" t="s">
        <v>11927</v>
      </c>
      <c r="C720" s="34" t="s">
        <v>11928</v>
      </c>
      <c r="D720" s="44" t="s">
        <v>10677</v>
      </c>
      <c r="E720" s="31" t="s">
        <v>10707</v>
      </c>
      <c r="F720" s="31" t="s">
        <v>3192</v>
      </c>
      <c r="G720" s="31" t="n">
        <v>26</v>
      </c>
      <c r="H720" s="31" t="s">
        <v>1947</v>
      </c>
      <c r="I720" s="44" t="s">
        <v>3121</v>
      </c>
      <c r="J720" s="45" t="s">
        <v>3194</v>
      </c>
      <c r="K720" s="45" t="s">
        <v>3196</v>
      </c>
      <c r="L720" s="31" t="n">
        <f aca="false">COUNTIF($B$3:$B$2205,$B720)</f>
        <v>1</v>
      </c>
      <c r="M720" s="44" t="str">
        <f aca="false">IFERROR(INDEX(SENTENCES!$T$3:$T$1802,MATCH($F720,SENTENCES!$A$3:$A$1802,0)),"")</f>
        <v>• Chưa tới</v>
      </c>
    </row>
    <row r="721" customFormat="false" ht="15" hidden="false" customHeight="false" outlineLevel="0" collapsed="false">
      <c r="A721" s="31" t="n">
        <v>719</v>
      </c>
      <c r="B721" s="43" t="s">
        <v>11929</v>
      </c>
      <c r="C721" s="34" t="s">
        <v>11930</v>
      </c>
      <c r="D721" s="44" t="s">
        <v>10794</v>
      </c>
      <c r="E721" s="31"/>
      <c r="F721" s="31" t="s">
        <v>3198</v>
      </c>
      <c r="G721" s="31" t="n">
        <v>26</v>
      </c>
      <c r="H721" s="31" t="s">
        <v>1947</v>
      </c>
      <c r="I721" s="44" t="s">
        <v>3121</v>
      </c>
      <c r="J721" s="45" t="s">
        <v>3200</v>
      </c>
      <c r="K721" s="45" t="s">
        <v>3202</v>
      </c>
      <c r="L721" s="31" t="n">
        <f aca="false">COUNTIF($B$3:$B$2205,$B721)</f>
        <v>1</v>
      </c>
      <c r="M721" s="44" t="str">
        <f aca="false">IFERROR(INDEX(SENTENCES!$T$3:$T$1802,MATCH($F721,SENTENCES!$A$3:$A$1802,0)),"")</f>
        <v>• Chưa tới</v>
      </c>
    </row>
    <row r="722" customFormat="false" ht="15" hidden="false" customHeight="false" outlineLevel="0" collapsed="false">
      <c r="A722" s="31" t="n">
        <v>720</v>
      </c>
      <c r="B722" s="43" t="s">
        <v>11931</v>
      </c>
      <c r="C722" s="34" t="s">
        <v>11932</v>
      </c>
      <c r="D722" s="44" t="s">
        <v>10677</v>
      </c>
      <c r="E722" s="31" t="s">
        <v>10707</v>
      </c>
      <c r="F722" s="31" t="s">
        <v>3204</v>
      </c>
      <c r="G722" s="31" t="n">
        <v>26</v>
      </c>
      <c r="H722" s="31" t="s">
        <v>1947</v>
      </c>
      <c r="I722" s="44" t="s">
        <v>3121</v>
      </c>
      <c r="J722" s="45" t="s">
        <v>3206</v>
      </c>
      <c r="K722" s="45" t="s">
        <v>3208</v>
      </c>
      <c r="L722" s="31" t="n">
        <f aca="false">COUNTIF($B$3:$B$2205,$B722)</f>
        <v>3</v>
      </c>
      <c r="M722" s="44" t="str">
        <f aca="false">IFERROR(INDEX(SENTENCES!$T$3:$T$1802,MATCH($F722,SENTENCES!$A$3:$A$1802,0)),"")</f>
        <v>• Chưa tới</v>
      </c>
    </row>
    <row r="723" customFormat="false" ht="15" hidden="false" customHeight="false" outlineLevel="0" collapsed="false">
      <c r="A723" s="31" t="n">
        <v>721</v>
      </c>
      <c r="B723" s="43" t="s">
        <v>11933</v>
      </c>
      <c r="C723" s="34" t="s">
        <v>11934</v>
      </c>
      <c r="D723" s="44" t="s">
        <v>10677</v>
      </c>
      <c r="E723" s="31" t="s">
        <v>10747</v>
      </c>
      <c r="F723" s="31" t="s">
        <v>3210</v>
      </c>
      <c r="G723" s="31" t="n">
        <v>26</v>
      </c>
      <c r="H723" s="31" t="s">
        <v>1947</v>
      </c>
      <c r="I723" s="44" t="s">
        <v>3121</v>
      </c>
      <c r="J723" s="45" t="s">
        <v>3211</v>
      </c>
      <c r="K723" s="45" t="s">
        <v>3213</v>
      </c>
      <c r="L723" s="31" t="n">
        <f aca="false">COUNTIF($B$3:$B$2205,$B723)</f>
        <v>1</v>
      </c>
      <c r="M723" s="44" t="str">
        <f aca="false">IFERROR(INDEX(SENTENCES!$T$3:$T$1802,MATCH($F723,SENTENCES!$A$3:$A$1802,0)),"")</f>
        <v>• Chưa tới</v>
      </c>
    </row>
    <row r="724" customFormat="false" ht="15" hidden="false" customHeight="false" outlineLevel="0" collapsed="false">
      <c r="A724" s="31" t="n">
        <v>722</v>
      </c>
      <c r="B724" s="43" t="s">
        <v>11548</v>
      </c>
      <c r="C724" s="34" t="s">
        <v>11549</v>
      </c>
      <c r="D724" s="44" t="s">
        <v>10686</v>
      </c>
      <c r="E724" s="31"/>
      <c r="F724" s="31" t="s">
        <v>3215</v>
      </c>
      <c r="G724" s="31" t="n">
        <v>26</v>
      </c>
      <c r="H724" s="31" t="s">
        <v>1947</v>
      </c>
      <c r="I724" s="44" t="s">
        <v>3121</v>
      </c>
      <c r="J724" s="45" t="s">
        <v>3216</v>
      </c>
      <c r="K724" s="45" t="s">
        <v>2014</v>
      </c>
      <c r="L724" s="31" t="n">
        <f aca="false">COUNTIF($B$3:$B$2205,$B724)</f>
        <v>2</v>
      </c>
      <c r="M724" s="44" t="str">
        <f aca="false">IFERROR(INDEX(SENTENCES!$T$3:$T$1802,MATCH($F724,SENTENCES!$A$3:$A$1802,0)),"")</f>
        <v>• Chưa tới</v>
      </c>
    </row>
    <row r="725" customFormat="false" ht="15" hidden="false" customHeight="false" outlineLevel="0" collapsed="false">
      <c r="A725" s="31" t="n">
        <v>723</v>
      </c>
      <c r="B725" s="43" t="s">
        <v>11935</v>
      </c>
      <c r="C725" s="34" t="s">
        <v>11936</v>
      </c>
      <c r="D725" s="44" t="s">
        <v>10686</v>
      </c>
      <c r="E725" s="31"/>
      <c r="F725" s="31" t="s">
        <v>3218</v>
      </c>
      <c r="G725" s="31" t="n">
        <v>26</v>
      </c>
      <c r="H725" s="31" t="s">
        <v>1947</v>
      </c>
      <c r="I725" s="44" t="s">
        <v>3121</v>
      </c>
      <c r="J725" s="45" t="s">
        <v>3220</v>
      </c>
      <c r="K725" s="45" t="s">
        <v>3222</v>
      </c>
      <c r="L725" s="31" t="n">
        <f aca="false">COUNTIF($B$3:$B$2205,$B725)</f>
        <v>2</v>
      </c>
      <c r="M725" s="44" t="str">
        <f aca="false">IFERROR(INDEX(SENTENCES!$T$3:$T$1802,MATCH($F725,SENTENCES!$A$3:$A$1802,0)),"")</f>
        <v>• Chưa tới</v>
      </c>
    </row>
    <row r="726" customFormat="false" ht="15" hidden="false" customHeight="false" outlineLevel="0" collapsed="false">
      <c r="A726" s="31" t="n">
        <v>724</v>
      </c>
      <c r="B726" s="43" t="s">
        <v>11937</v>
      </c>
      <c r="C726" s="34" t="s">
        <v>11938</v>
      </c>
      <c r="D726" s="44" t="s">
        <v>10681</v>
      </c>
      <c r="E726" s="31"/>
      <c r="F726" s="31" t="s">
        <v>3218</v>
      </c>
      <c r="G726" s="31" t="n">
        <v>26</v>
      </c>
      <c r="H726" s="31" t="s">
        <v>1947</v>
      </c>
      <c r="I726" s="44" t="s">
        <v>3121</v>
      </c>
      <c r="J726" s="45" t="s">
        <v>3220</v>
      </c>
      <c r="K726" s="45" t="s">
        <v>3222</v>
      </c>
      <c r="L726" s="31" t="n">
        <f aca="false">COUNTIF($B$3:$B$2205,$B726)</f>
        <v>1</v>
      </c>
      <c r="M726" s="44" t="str">
        <f aca="false">IFERROR(INDEX(SENTENCES!$T$3:$T$1802,MATCH($F726,SENTENCES!$A$3:$A$1802,0)),"")</f>
        <v>• Chưa tới</v>
      </c>
    </row>
    <row r="727" customFormat="false" ht="15" hidden="false" customHeight="false" outlineLevel="0" collapsed="false">
      <c r="A727" s="31" t="n">
        <v>725</v>
      </c>
      <c r="B727" s="43" t="s">
        <v>11198</v>
      </c>
      <c r="C727" s="34" t="s">
        <v>11939</v>
      </c>
      <c r="D727" s="44" t="s">
        <v>10677</v>
      </c>
      <c r="E727" s="31" t="s">
        <v>10707</v>
      </c>
      <c r="F727" s="31" t="s">
        <v>3224</v>
      </c>
      <c r="G727" s="31" t="n">
        <v>26</v>
      </c>
      <c r="H727" s="31" t="s">
        <v>1947</v>
      </c>
      <c r="I727" s="44" t="s">
        <v>3121</v>
      </c>
      <c r="J727" s="45" t="s">
        <v>3226</v>
      </c>
      <c r="K727" s="45" t="s">
        <v>3228</v>
      </c>
      <c r="L727" s="31" t="n">
        <f aca="false">COUNTIF($B$3:$B$2205,$B727)</f>
        <v>4</v>
      </c>
      <c r="M727" s="44" t="str">
        <f aca="false">IFERROR(INDEX(SENTENCES!$T$3:$T$1802,MATCH($F727,SENTENCES!$A$3:$A$1802,0)),"")</f>
        <v>• Chưa tới</v>
      </c>
    </row>
    <row r="728" customFormat="false" ht="15" hidden="false" customHeight="false" outlineLevel="0" collapsed="false">
      <c r="A728" s="31" t="n">
        <v>726</v>
      </c>
      <c r="B728" s="43" t="s">
        <v>11940</v>
      </c>
      <c r="C728" s="34" t="s">
        <v>11941</v>
      </c>
      <c r="D728" s="44" t="s">
        <v>10754</v>
      </c>
      <c r="E728" s="31"/>
      <c r="F728" s="31" t="s">
        <v>3230</v>
      </c>
      <c r="G728" s="31" t="n">
        <v>26</v>
      </c>
      <c r="H728" s="31" t="s">
        <v>1947</v>
      </c>
      <c r="I728" s="44" t="s">
        <v>3121</v>
      </c>
      <c r="J728" s="45" t="s">
        <v>3232</v>
      </c>
      <c r="K728" s="45" t="s">
        <v>3234</v>
      </c>
      <c r="L728" s="31" t="n">
        <f aca="false">COUNTIF($B$3:$B$2205,$B728)</f>
        <v>1</v>
      </c>
      <c r="M728" s="44" t="str">
        <f aca="false">IFERROR(INDEX(SENTENCES!$T$3:$T$1802,MATCH($F728,SENTENCES!$A$3:$A$1802,0)),"")</f>
        <v>• Chưa tới</v>
      </c>
    </row>
    <row r="729" customFormat="false" ht="15" hidden="false" customHeight="false" outlineLevel="0" collapsed="false">
      <c r="A729" s="31" t="n">
        <v>727</v>
      </c>
      <c r="B729" s="43" t="s">
        <v>11942</v>
      </c>
      <c r="C729" s="34" t="s">
        <v>11943</v>
      </c>
      <c r="D729" s="44" t="s">
        <v>10754</v>
      </c>
      <c r="E729" s="31"/>
      <c r="F729" s="31" t="s">
        <v>3236</v>
      </c>
      <c r="G729" s="31" t="n">
        <v>27</v>
      </c>
      <c r="H729" s="31" t="s">
        <v>1947</v>
      </c>
      <c r="I729" s="44" t="s">
        <v>3237</v>
      </c>
      <c r="J729" s="45" t="s">
        <v>3239</v>
      </c>
      <c r="K729" s="45" t="s">
        <v>3241</v>
      </c>
      <c r="L729" s="31" t="n">
        <f aca="false">COUNTIF($B$3:$B$2205,$B729)</f>
        <v>1</v>
      </c>
      <c r="M729" s="44" t="str">
        <f aca="false">IFERROR(INDEX(SENTENCES!$T$3:$T$1802,MATCH($F729,SENTENCES!$A$3:$A$1802,0)),"")</f>
        <v>• Chưa tới</v>
      </c>
    </row>
    <row r="730" customFormat="false" ht="15" hidden="false" customHeight="false" outlineLevel="0" collapsed="false">
      <c r="A730" s="31" t="n">
        <v>728</v>
      </c>
      <c r="B730" s="43" t="s">
        <v>11944</v>
      </c>
      <c r="C730" s="34" t="s">
        <v>11945</v>
      </c>
      <c r="D730" s="44" t="s">
        <v>10677</v>
      </c>
      <c r="E730" s="31" t="s">
        <v>10707</v>
      </c>
      <c r="F730" s="31" t="s">
        <v>3243</v>
      </c>
      <c r="G730" s="31" t="n">
        <v>27</v>
      </c>
      <c r="H730" s="31" t="s">
        <v>1947</v>
      </c>
      <c r="I730" s="44" t="s">
        <v>3237</v>
      </c>
      <c r="J730" s="45" t="s">
        <v>3244</v>
      </c>
      <c r="K730" s="45" t="s">
        <v>3246</v>
      </c>
      <c r="L730" s="31" t="n">
        <f aca="false">COUNTIF($B$3:$B$2205,$B730)</f>
        <v>1</v>
      </c>
      <c r="M730" s="44" t="str">
        <f aca="false">IFERROR(INDEX(SENTENCES!$T$3:$T$1802,MATCH($F730,SENTENCES!$A$3:$A$1802,0)),"")</f>
        <v>• Chưa tới</v>
      </c>
    </row>
    <row r="731" customFormat="false" ht="15" hidden="false" customHeight="false" outlineLevel="0" collapsed="false">
      <c r="A731" s="31" t="n">
        <v>729</v>
      </c>
      <c r="B731" s="43" t="s">
        <v>11946</v>
      </c>
      <c r="C731" s="34" t="s">
        <v>11947</v>
      </c>
      <c r="D731" s="44" t="s">
        <v>10681</v>
      </c>
      <c r="E731" s="31"/>
      <c r="F731" s="31" t="s">
        <v>3243</v>
      </c>
      <c r="G731" s="31" t="n">
        <v>27</v>
      </c>
      <c r="H731" s="31" t="s">
        <v>1947</v>
      </c>
      <c r="I731" s="44" t="s">
        <v>3237</v>
      </c>
      <c r="J731" s="45" t="s">
        <v>3244</v>
      </c>
      <c r="K731" s="45" t="s">
        <v>3246</v>
      </c>
      <c r="L731" s="31" t="n">
        <f aca="false">COUNTIF($B$3:$B$2205,$B731)</f>
        <v>1</v>
      </c>
      <c r="M731" s="44" t="str">
        <f aca="false">IFERROR(INDEX(SENTENCES!$T$3:$T$1802,MATCH($F731,SENTENCES!$A$3:$A$1802,0)),"")</f>
        <v>• Chưa tới</v>
      </c>
    </row>
    <row r="732" customFormat="false" ht="15" hidden="false" customHeight="false" outlineLevel="0" collapsed="false">
      <c r="A732" s="31" t="n">
        <v>730</v>
      </c>
      <c r="B732" s="43" t="s">
        <v>11948</v>
      </c>
      <c r="C732" s="34" t="s">
        <v>11949</v>
      </c>
      <c r="D732" s="44" t="s">
        <v>10681</v>
      </c>
      <c r="E732" s="31"/>
      <c r="F732" s="31" t="s">
        <v>3248</v>
      </c>
      <c r="G732" s="31" t="n">
        <v>27</v>
      </c>
      <c r="H732" s="31" t="s">
        <v>1947</v>
      </c>
      <c r="I732" s="44" t="s">
        <v>3237</v>
      </c>
      <c r="J732" s="45" t="s">
        <v>3250</v>
      </c>
      <c r="K732" s="45" t="s">
        <v>3252</v>
      </c>
      <c r="L732" s="31" t="n">
        <f aca="false">COUNTIF($B$3:$B$2205,$B732)</f>
        <v>1</v>
      </c>
      <c r="M732" s="44" t="str">
        <f aca="false">IFERROR(INDEX(SENTENCES!$T$3:$T$1802,MATCH($F732,SENTENCES!$A$3:$A$1802,0)),"")</f>
        <v>• Chưa tới</v>
      </c>
    </row>
    <row r="733" customFormat="false" ht="15" hidden="false" customHeight="false" outlineLevel="0" collapsed="false">
      <c r="A733" s="31" t="n">
        <v>731</v>
      </c>
      <c r="B733" s="43" t="s">
        <v>11950</v>
      </c>
      <c r="C733" s="34" t="s">
        <v>11951</v>
      </c>
      <c r="D733" s="44" t="s">
        <v>10677</v>
      </c>
      <c r="E733" s="31" t="s">
        <v>10678</v>
      </c>
      <c r="F733" s="31" t="s">
        <v>3248</v>
      </c>
      <c r="G733" s="31" t="n">
        <v>27</v>
      </c>
      <c r="H733" s="31" t="s">
        <v>1947</v>
      </c>
      <c r="I733" s="44" t="s">
        <v>3237</v>
      </c>
      <c r="J733" s="45" t="s">
        <v>3250</v>
      </c>
      <c r="K733" s="45" t="s">
        <v>3252</v>
      </c>
      <c r="L733" s="31" t="n">
        <f aca="false">COUNTIF($B$3:$B$2205,$B733)</f>
        <v>1</v>
      </c>
      <c r="M733" s="44" t="str">
        <f aca="false">IFERROR(INDEX(SENTENCES!$T$3:$T$1802,MATCH($F733,SENTENCES!$A$3:$A$1802,0)),"")</f>
        <v>• Chưa tới</v>
      </c>
    </row>
    <row r="734" customFormat="false" ht="15" hidden="false" customHeight="false" outlineLevel="0" collapsed="false">
      <c r="A734" s="31" t="n">
        <v>732</v>
      </c>
      <c r="B734" s="43" t="s">
        <v>11123</v>
      </c>
      <c r="C734" s="34" t="s">
        <v>11124</v>
      </c>
      <c r="D734" s="44" t="s">
        <v>10686</v>
      </c>
      <c r="E734" s="31"/>
      <c r="F734" s="31" t="s">
        <v>3254</v>
      </c>
      <c r="G734" s="31" t="n">
        <v>27</v>
      </c>
      <c r="H734" s="31" t="s">
        <v>1947</v>
      </c>
      <c r="I734" s="44" t="s">
        <v>3237</v>
      </c>
      <c r="J734" s="45" t="s">
        <v>3256</v>
      </c>
      <c r="K734" s="45" t="s">
        <v>3258</v>
      </c>
      <c r="L734" s="31" t="n">
        <f aca="false">COUNTIF($B$3:$B$2205,$B734)</f>
        <v>3</v>
      </c>
      <c r="M734" s="44" t="str">
        <f aca="false">IFERROR(INDEX(SENTENCES!$T$3:$T$1802,MATCH($F734,SENTENCES!$A$3:$A$1802,0)),"")</f>
        <v>• Chưa tới</v>
      </c>
    </row>
    <row r="735" customFormat="false" ht="15" hidden="false" customHeight="false" outlineLevel="0" collapsed="false">
      <c r="A735" s="31" t="n">
        <v>733</v>
      </c>
      <c r="B735" s="43" t="s">
        <v>11952</v>
      </c>
      <c r="C735" s="34" t="s">
        <v>11953</v>
      </c>
      <c r="D735" s="44" t="s">
        <v>10677</v>
      </c>
      <c r="E735" s="31" t="s">
        <v>10747</v>
      </c>
      <c r="F735" s="31" t="s">
        <v>3260</v>
      </c>
      <c r="G735" s="31" t="n">
        <v>27</v>
      </c>
      <c r="H735" s="31" t="s">
        <v>1947</v>
      </c>
      <c r="I735" s="44" t="s">
        <v>3237</v>
      </c>
      <c r="J735" s="45" t="s">
        <v>3261</v>
      </c>
      <c r="K735" s="45" t="s">
        <v>3263</v>
      </c>
      <c r="L735" s="31" t="n">
        <f aca="false">COUNTIF($B$3:$B$2205,$B735)</f>
        <v>1</v>
      </c>
      <c r="M735" s="44" t="str">
        <f aca="false">IFERROR(INDEX(SENTENCES!$T$3:$T$1802,MATCH($F735,SENTENCES!$A$3:$A$1802,0)),"")</f>
        <v>• Chưa tới</v>
      </c>
    </row>
    <row r="736" customFormat="false" ht="15" hidden="false" customHeight="false" outlineLevel="0" collapsed="false">
      <c r="A736" s="31" t="n">
        <v>734</v>
      </c>
      <c r="B736" s="43" t="s">
        <v>11954</v>
      </c>
      <c r="C736" s="34" t="s">
        <v>11955</v>
      </c>
      <c r="D736" s="44" t="s">
        <v>10677</v>
      </c>
      <c r="E736" s="31" t="s">
        <v>10707</v>
      </c>
      <c r="F736" s="31" t="s">
        <v>3265</v>
      </c>
      <c r="G736" s="31" t="n">
        <v>27</v>
      </c>
      <c r="H736" s="31" t="s">
        <v>1947</v>
      </c>
      <c r="I736" s="44" t="s">
        <v>3237</v>
      </c>
      <c r="J736" s="45" t="s">
        <v>3267</v>
      </c>
      <c r="K736" s="45" t="s">
        <v>3269</v>
      </c>
      <c r="L736" s="31" t="n">
        <f aca="false">COUNTIF($B$3:$B$2205,$B736)</f>
        <v>1</v>
      </c>
      <c r="M736" s="44" t="str">
        <f aca="false">IFERROR(INDEX(SENTENCES!$T$3:$T$1802,MATCH($F736,SENTENCES!$A$3:$A$1802,0)),"")</f>
        <v>• Chưa tới</v>
      </c>
    </row>
    <row r="737" customFormat="false" ht="15" hidden="false" customHeight="false" outlineLevel="0" collapsed="false">
      <c r="A737" s="31" t="n">
        <v>735</v>
      </c>
      <c r="B737" s="43" t="s">
        <v>11129</v>
      </c>
      <c r="C737" s="34" t="s">
        <v>11130</v>
      </c>
      <c r="D737" s="44" t="s">
        <v>10681</v>
      </c>
      <c r="E737" s="31"/>
      <c r="F737" s="31" t="s">
        <v>3271</v>
      </c>
      <c r="G737" s="31" t="n">
        <v>27</v>
      </c>
      <c r="H737" s="31" t="s">
        <v>1947</v>
      </c>
      <c r="I737" s="44" t="s">
        <v>3237</v>
      </c>
      <c r="J737" s="45" t="s">
        <v>3272</v>
      </c>
      <c r="K737" s="45" t="s">
        <v>3274</v>
      </c>
      <c r="L737" s="31" t="n">
        <f aca="false">COUNTIF($B$3:$B$2205,$B737)</f>
        <v>3</v>
      </c>
      <c r="M737" s="44" t="str">
        <f aca="false">IFERROR(INDEX(SENTENCES!$T$3:$T$1802,MATCH($F737,SENTENCES!$A$3:$A$1802,0)),"")</f>
        <v>• Chưa tới</v>
      </c>
    </row>
    <row r="738" customFormat="false" ht="15" hidden="false" customHeight="false" outlineLevel="0" collapsed="false">
      <c r="A738" s="31" t="n">
        <v>736</v>
      </c>
      <c r="B738" s="43" t="s">
        <v>11956</v>
      </c>
      <c r="C738" s="34" t="s">
        <v>11957</v>
      </c>
      <c r="D738" s="44" t="s">
        <v>10681</v>
      </c>
      <c r="E738" s="31"/>
      <c r="F738" s="31" t="s">
        <v>3276</v>
      </c>
      <c r="G738" s="31" t="n">
        <v>27</v>
      </c>
      <c r="H738" s="31" t="s">
        <v>1947</v>
      </c>
      <c r="I738" s="44" t="s">
        <v>3237</v>
      </c>
      <c r="J738" s="45" t="s">
        <v>3277</v>
      </c>
      <c r="K738" s="45" t="s">
        <v>3279</v>
      </c>
      <c r="L738" s="31" t="n">
        <f aca="false">COUNTIF($B$3:$B$2205,$B738)</f>
        <v>1</v>
      </c>
      <c r="M738" s="44" t="str">
        <f aca="false">IFERROR(INDEX(SENTENCES!$T$3:$T$1802,MATCH($F738,SENTENCES!$A$3:$A$1802,0)),"")</f>
        <v>• Chưa tới</v>
      </c>
    </row>
    <row r="739" customFormat="false" ht="15" hidden="false" customHeight="false" outlineLevel="0" collapsed="false">
      <c r="A739" s="31" t="n">
        <v>737</v>
      </c>
      <c r="B739" s="43" t="s">
        <v>11958</v>
      </c>
      <c r="C739" s="34" t="s">
        <v>11959</v>
      </c>
      <c r="D739" s="44" t="s">
        <v>10686</v>
      </c>
      <c r="E739" s="31"/>
      <c r="F739" s="31" t="s">
        <v>3281</v>
      </c>
      <c r="G739" s="31" t="n">
        <v>27</v>
      </c>
      <c r="H739" s="31" t="s">
        <v>1947</v>
      </c>
      <c r="I739" s="44" t="s">
        <v>3237</v>
      </c>
      <c r="J739" s="45" t="s">
        <v>3282</v>
      </c>
      <c r="K739" s="45" t="s">
        <v>3284</v>
      </c>
      <c r="L739" s="31" t="n">
        <f aca="false">COUNTIF($B$3:$B$2205,$B739)</f>
        <v>2</v>
      </c>
      <c r="M739" s="44" t="str">
        <f aca="false">IFERROR(INDEX(SENTENCES!$T$3:$T$1802,MATCH($F739,SENTENCES!$A$3:$A$1802,0)),"")</f>
        <v>• Chưa tới</v>
      </c>
    </row>
    <row r="740" customFormat="false" ht="15" hidden="false" customHeight="false" outlineLevel="0" collapsed="false">
      <c r="A740" s="31" t="n">
        <v>738</v>
      </c>
      <c r="B740" s="43" t="s">
        <v>11960</v>
      </c>
      <c r="C740" s="34" t="s">
        <v>11961</v>
      </c>
      <c r="D740" s="44" t="s">
        <v>10677</v>
      </c>
      <c r="E740" s="31" t="s">
        <v>10747</v>
      </c>
      <c r="F740" s="31" t="s">
        <v>3281</v>
      </c>
      <c r="G740" s="31" t="n">
        <v>27</v>
      </c>
      <c r="H740" s="31" t="s">
        <v>1947</v>
      </c>
      <c r="I740" s="44" t="s">
        <v>3237</v>
      </c>
      <c r="J740" s="45" t="s">
        <v>3282</v>
      </c>
      <c r="K740" s="45" t="s">
        <v>3284</v>
      </c>
      <c r="L740" s="31" t="n">
        <f aca="false">COUNTIF($B$3:$B$2205,$B740)</f>
        <v>1</v>
      </c>
      <c r="M740" s="44" t="str">
        <f aca="false">IFERROR(INDEX(SENTENCES!$T$3:$T$1802,MATCH($F740,SENTENCES!$A$3:$A$1802,0)),"")</f>
        <v>• Chưa tới</v>
      </c>
    </row>
    <row r="741" customFormat="false" ht="15" hidden="false" customHeight="false" outlineLevel="0" collapsed="false">
      <c r="A741" s="31" t="n">
        <v>739</v>
      </c>
      <c r="B741" s="43" t="s">
        <v>11962</v>
      </c>
      <c r="C741" s="34" t="s">
        <v>11963</v>
      </c>
      <c r="D741" s="44" t="s">
        <v>10677</v>
      </c>
      <c r="E741" s="31" t="s">
        <v>10707</v>
      </c>
      <c r="F741" s="31" t="s">
        <v>3286</v>
      </c>
      <c r="G741" s="31" t="n">
        <v>27</v>
      </c>
      <c r="H741" s="31" t="s">
        <v>1947</v>
      </c>
      <c r="I741" s="44" t="s">
        <v>3237</v>
      </c>
      <c r="J741" s="45" t="s">
        <v>3288</v>
      </c>
      <c r="K741" s="45" t="s">
        <v>3290</v>
      </c>
      <c r="L741" s="31" t="n">
        <f aca="false">COUNTIF($B$3:$B$2205,$B741)</f>
        <v>1</v>
      </c>
      <c r="M741" s="44" t="str">
        <f aca="false">IFERROR(INDEX(SENTENCES!$T$3:$T$1802,MATCH($F741,SENTENCES!$A$3:$A$1802,0)),"")</f>
        <v>• Chưa tới</v>
      </c>
    </row>
    <row r="742" customFormat="false" ht="15" hidden="false" customHeight="false" outlineLevel="0" collapsed="false">
      <c r="A742" s="31" t="n">
        <v>740</v>
      </c>
      <c r="B742" s="43" t="s">
        <v>11964</v>
      </c>
      <c r="C742" s="34" t="s">
        <v>11965</v>
      </c>
      <c r="D742" s="44" t="s">
        <v>10681</v>
      </c>
      <c r="E742" s="31"/>
      <c r="F742" s="31" t="s">
        <v>3286</v>
      </c>
      <c r="G742" s="31" t="n">
        <v>27</v>
      </c>
      <c r="H742" s="31" t="s">
        <v>1947</v>
      </c>
      <c r="I742" s="44" t="s">
        <v>3237</v>
      </c>
      <c r="J742" s="45" t="s">
        <v>3288</v>
      </c>
      <c r="K742" s="45" t="s">
        <v>3290</v>
      </c>
      <c r="L742" s="31" t="n">
        <f aca="false">COUNTIF($B$3:$B$2205,$B742)</f>
        <v>2</v>
      </c>
      <c r="M742" s="44" t="str">
        <f aca="false">IFERROR(INDEX(SENTENCES!$T$3:$T$1802,MATCH($F742,SENTENCES!$A$3:$A$1802,0)),"")</f>
        <v>• Chưa tới</v>
      </c>
    </row>
    <row r="743" customFormat="false" ht="15" hidden="false" customHeight="false" outlineLevel="0" collapsed="false">
      <c r="A743" s="31" t="n">
        <v>741</v>
      </c>
      <c r="B743" s="43" t="s">
        <v>11966</v>
      </c>
      <c r="C743" s="34" t="s">
        <v>11967</v>
      </c>
      <c r="D743" s="44" t="s">
        <v>10677</v>
      </c>
      <c r="E743" s="31" t="s">
        <v>10678</v>
      </c>
      <c r="F743" s="31" t="s">
        <v>3292</v>
      </c>
      <c r="G743" s="31" t="n">
        <v>27</v>
      </c>
      <c r="H743" s="31" t="s">
        <v>1947</v>
      </c>
      <c r="I743" s="44" t="s">
        <v>3237</v>
      </c>
      <c r="J743" s="45" t="s">
        <v>3293</v>
      </c>
      <c r="K743" s="45" t="s">
        <v>3295</v>
      </c>
      <c r="L743" s="31" t="n">
        <f aca="false">COUNTIF($B$3:$B$2205,$B743)</f>
        <v>1</v>
      </c>
      <c r="M743" s="44" t="str">
        <f aca="false">IFERROR(INDEX(SENTENCES!$T$3:$T$1802,MATCH($F743,SENTENCES!$A$3:$A$1802,0)),"")</f>
        <v>• Chưa tới</v>
      </c>
    </row>
    <row r="744" customFormat="false" ht="15" hidden="false" customHeight="false" outlineLevel="0" collapsed="false">
      <c r="A744" s="31" t="n">
        <v>742</v>
      </c>
      <c r="B744" s="43" t="s">
        <v>11968</v>
      </c>
      <c r="C744" s="34" t="s">
        <v>11969</v>
      </c>
      <c r="D744" s="44" t="s">
        <v>10677</v>
      </c>
      <c r="E744" s="31" t="s">
        <v>10707</v>
      </c>
      <c r="F744" s="31" t="s">
        <v>3297</v>
      </c>
      <c r="G744" s="31" t="n">
        <v>27</v>
      </c>
      <c r="H744" s="31" t="s">
        <v>1947</v>
      </c>
      <c r="I744" s="44" t="s">
        <v>3237</v>
      </c>
      <c r="J744" s="45" t="s">
        <v>3299</v>
      </c>
      <c r="K744" s="45" t="s">
        <v>3301</v>
      </c>
      <c r="L744" s="31" t="n">
        <f aca="false">COUNTIF($B$3:$B$2205,$B744)</f>
        <v>2</v>
      </c>
      <c r="M744" s="44" t="str">
        <f aca="false">IFERROR(INDEX(SENTENCES!$T$3:$T$1802,MATCH($F744,SENTENCES!$A$3:$A$1802,0)),"")</f>
        <v>• Chưa tới</v>
      </c>
    </row>
    <row r="745" customFormat="false" ht="15" hidden="false" customHeight="false" outlineLevel="0" collapsed="false">
      <c r="A745" s="31" t="n">
        <v>743</v>
      </c>
      <c r="B745" s="43" t="s">
        <v>11585</v>
      </c>
      <c r="C745" s="34" t="s">
        <v>11586</v>
      </c>
      <c r="D745" s="44" t="s">
        <v>10754</v>
      </c>
      <c r="E745" s="31"/>
      <c r="F745" s="31" t="s">
        <v>3303</v>
      </c>
      <c r="G745" s="31" t="n">
        <v>27</v>
      </c>
      <c r="H745" s="31" t="s">
        <v>1947</v>
      </c>
      <c r="I745" s="44" t="s">
        <v>3237</v>
      </c>
      <c r="J745" s="45" t="s">
        <v>3305</v>
      </c>
      <c r="K745" s="45" t="s">
        <v>3307</v>
      </c>
      <c r="L745" s="31" t="n">
        <f aca="false">COUNTIF($B$3:$B$2205,$B745)</f>
        <v>3</v>
      </c>
      <c r="M745" s="44" t="str">
        <f aca="false">IFERROR(INDEX(SENTENCES!$T$3:$T$1802,MATCH($F745,SENTENCES!$A$3:$A$1802,0)),"")</f>
        <v>• Chưa tới</v>
      </c>
    </row>
    <row r="746" customFormat="false" ht="15" hidden="false" customHeight="false" outlineLevel="0" collapsed="false">
      <c r="A746" s="31" t="n">
        <v>744</v>
      </c>
      <c r="B746" s="43" t="s">
        <v>11970</v>
      </c>
      <c r="C746" s="34" t="s">
        <v>11971</v>
      </c>
      <c r="D746" s="44" t="s">
        <v>10794</v>
      </c>
      <c r="E746" s="31"/>
      <c r="F746" s="31" t="s">
        <v>3303</v>
      </c>
      <c r="G746" s="31" t="n">
        <v>27</v>
      </c>
      <c r="H746" s="31" t="s">
        <v>1947</v>
      </c>
      <c r="I746" s="44" t="s">
        <v>3237</v>
      </c>
      <c r="J746" s="45" t="s">
        <v>3305</v>
      </c>
      <c r="K746" s="45" t="s">
        <v>3307</v>
      </c>
      <c r="L746" s="31" t="n">
        <f aca="false">COUNTIF($B$3:$B$2205,$B746)</f>
        <v>1</v>
      </c>
      <c r="M746" s="44" t="str">
        <f aca="false">IFERROR(INDEX(SENTENCES!$T$3:$T$1802,MATCH($F746,SENTENCES!$A$3:$A$1802,0)),"")</f>
        <v>• Chưa tới</v>
      </c>
    </row>
    <row r="747" customFormat="false" ht="15" hidden="false" customHeight="false" outlineLevel="0" collapsed="false">
      <c r="A747" s="31" t="n">
        <v>745</v>
      </c>
      <c r="B747" s="43" t="s">
        <v>11972</v>
      </c>
      <c r="C747" s="34" t="s">
        <v>11973</v>
      </c>
      <c r="D747" s="44" t="s">
        <v>10677</v>
      </c>
      <c r="E747" s="31" t="s">
        <v>10678</v>
      </c>
      <c r="F747" s="31" t="s">
        <v>3309</v>
      </c>
      <c r="G747" s="31" t="n">
        <v>27</v>
      </c>
      <c r="H747" s="31" t="s">
        <v>1947</v>
      </c>
      <c r="I747" s="44" t="s">
        <v>3237</v>
      </c>
      <c r="J747" s="45" t="s">
        <v>3310</v>
      </c>
      <c r="K747" s="45" t="s">
        <v>3312</v>
      </c>
      <c r="L747" s="31" t="n">
        <f aca="false">COUNTIF($B$3:$B$2205,$B747)</f>
        <v>1</v>
      </c>
      <c r="M747" s="44" t="str">
        <f aca="false">IFERROR(INDEX(SENTENCES!$T$3:$T$1802,MATCH($F747,SENTENCES!$A$3:$A$1802,0)),"")</f>
        <v>• Chưa tới</v>
      </c>
    </row>
    <row r="748" customFormat="false" ht="15" hidden="false" customHeight="false" outlineLevel="0" collapsed="false">
      <c r="A748" s="31" t="n">
        <v>746</v>
      </c>
      <c r="B748" s="43" t="s">
        <v>11974</v>
      </c>
      <c r="C748" s="34" t="s">
        <v>11975</v>
      </c>
      <c r="D748" s="44" t="s">
        <v>10677</v>
      </c>
      <c r="E748" s="31" t="s">
        <v>10678</v>
      </c>
      <c r="F748" s="31" t="s">
        <v>3314</v>
      </c>
      <c r="G748" s="31" t="n">
        <v>27</v>
      </c>
      <c r="H748" s="31" t="s">
        <v>1947</v>
      </c>
      <c r="I748" s="44" t="s">
        <v>3237</v>
      </c>
      <c r="J748" s="45" t="s">
        <v>3316</v>
      </c>
      <c r="K748" s="45" t="s">
        <v>3318</v>
      </c>
      <c r="L748" s="31" t="n">
        <f aca="false">COUNTIF($B$3:$B$2205,$B748)</f>
        <v>1</v>
      </c>
      <c r="M748" s="44" t="str">
        <f aca="false">IFERROR(INDEX(SENTENCES!$T$3:$T$1802,MATCH($F748,SENTENCES!$A$3:$A$1802,0)),"")</f>
        <v>• Chưa tới</v>
      </c>
    </row>
    <row r="749" customFormat="false" ht="15" hidden="false" customHeight="false" outlineLevel="0" collapsed="false">
      <c r="A749" s="31" t="n">
        <v>747</v>
      </c>
      <c r="B749" s="43" t="s">
        <v>11143</v>
      </c>
      <c r="C749" s="34" t="s">
        <v>11144</v>
      </c>
      <c r="D749" s="44" t="s">
        <v>10681</v>
      </c>
      <c r="E749" s="31"/>
      <c r="F749" s="31" t="s">
        <v>3320</v>
      </c>
      <c r="G749" s="31" t="n">
        <v>27</v>
      </c>
      <c r="H749" s="31" t="s">
        <v>1947</v>
      </c>
      <c r="I749" s="44" t="s">
        <v>3237</v>
      </c>
      <c r="J749" s="45" t="s">
        <v>3322</v>
      </c>
      <c r="K749" s="45" t="s">
        <v>3324</v>
      </c>
      <c r="L749" s="31" t="n">
        <f aca="false">COUNTIF($B$3:$B$2205,$B749)</f>
        <v>2</v>
      </c>
      <c r="M749" s="44" t="str">
        <f aca="false">IFERROR(INDEX(SENTENCES!$T$3:$T$1802,MATCH($F749,SENTENCES!$A$3:$A$1802,0)),"")</f>
        <v>• Chưa tới</v>
      </c>
    </row>
    <row r="750" customFormat="false" ht="15" hidden="false" customHeight="false" outlineLevel="0" collapsed="false">
      <c r="A750" s="31" t="n">
        <v>748</v>
      </c>
      <c r="B750" s="43" t="s">
        <v>11976</v>
      </c>
      <c r="C750" s="34" t="s">
        <v>11977</v>
      </c>
      <c r="D750" s="44" t="s">
        <v>10681</v>
      </c>
      <c r="E750" s="31"/>
      <c r="F750" s="31" t="s">
        <v>3326</v>
      </c>
      <c r="G750" s="31" t="n">
        <v>27</v>
      </c>
      <c r="H750" s="31" t="s">
        <v>1947</v>
      </c>
      <c r="I750" s="44" t="s">
        <v>3237</v>
      </c>
      <c r="J750" s="45" t="s">
        <v>3328</v>
      </c>
      <c r="K750" s="45" t="s">
        <v>3330</v>
      </c>
      <c r="L750" s="31" t="n">
        <f aca="false">COUNTIF($B$3:$B$2205,$B750)</f>
        <v>1</v>
      </c>
      <c r="M750" s="44" t="str">
        <f aca="false">IFERROR(INDEX(SENTENCES!$T$3:$T$1802,MATCH($F750,SENTENCES!$A$3:$A$1802,0)),"")</f>
        <v>• Chưa tới</v>
      </c>
    </row>
    <row r="751" customFormat="false" ht="15" hidden="false" customHeight="false" outlineLevel="0" collapsed="false">
      <c r="A751" s="31" t="n">
        <v>749</v>
      </c>
      <c r="B751" s="43" t="s">
        <v>11978</v>
      </c>
      <c r="C751" s="34" t="s">
        <v>11979</v>
      </c>
      <c r="D751" s="44" t="s">
        <v>10686</v>
      </c>
      <c r="E751" s="31"/>
      <c r="F751" s="31" t="s">
        <v>3326</v>
      </c>
      <c r="G751" s="31" t="n">
        <v>27</v>
      </c>
      <c r="H751" s="31" t="s">
        <v>1947</v>
      </c>
      <c r="I751" s="44" t="s">
        <v>3237</v>
      </c>
      <c r="J751" s="45" t="s">
        <v>3328</v>
      </c>
      <c r="K751" s="45" t="s">
        <v>3330</v>
      </c>
      <c r="L751" s="31" t="n">
        <f aca="false">COUNTIF($B$3:$B$2205,$B751)</f>
        <v>3</v>
      </c>
      <c r="M751" s="44" t="str">
        <f aca="false">IFERROR(INDEX(SENTENCES!$T$3:$T$1802,MATCH($F751,SENTENCES!$A$3:$A$1802,0)),"")</f>
        <v>• Chưa tới</v>
      </c>
    </row>
    <row r="752" customFormat="false" ht="15" hidden="false" customHeight="false" outlineLevel="0" collapsed="false">
      <c r="A752" s="31" t="n">
        <v>750</v>
      </c>
      <c r="B752" s="43" t="s">
        <v>11980</v>
      </c>
      <c r="C752" s="34" t="s">
        <v>11981</v>
      </c>
      <c r="D752" s="44" t="s">
        <v>10677</v>
      </c>
      <c r="E752" s="31" t="s">
        <v>10707</v>
      </c>
      <c r="F752" s="31" t="s">
        <v>3332</v>
      </c>
      <c r="G752" s="31" t="n">
        <v>27</v>
      </c>
      <c r="H752" s="31" t="s">
        <v>1947</v>
      </c>
      <c r="I752" s="44" t="s">
        <v>3237</v>
      </c>
      <c r="J752" s="45" t="s">
        <v>3333</v>
      </c>
      <c r="K752" s="45" t="s">
        <v>3335</v>
      </c>
      <c r="L752" s="31" t="n">
        <f aca="false">COUNTIF($B$3:$B$2205,$B752)</f>
        <v>1</v>
      </c>
      <c r="M752" s="44" t="str">
        <f aca="false">IFERROR(INDEX(SENTENCES!$T$3:$T$1802,MATCH($F752,SENTENCES!$A$3:$A$1802,0)),"")</f>
        <v>• Chưa tới</v>
      </c>
    </row>
    <row r="753" customFormat="false" ht="15" hidden="false" customHeight="false" outlineLevel="0" collapsed="false">
      <c r="A753" s="31" t="n">
        <v>751</v>
      </c>
      <c r="B753" s="43" t="s">
        <v>11982</v>
      </c>
      <c r="C753" s="34" t="s">
        <v>11983</v>
      </c>
      <c r="D753" s="44" t="s">
        <v>10754</v>
      </c>
      <c r="E753" s="31"/>
      <c r="F753" s="31" t="s">
        <v>3337</v>
      </c>
      <c r="G753" s="31" t="n">
        <v>27</v>
      </c>
      <c r="H753" s="31" t="s">
        <v>1947</v>
      </c>
      <c r="I753" s="44" t="s">
        <v>3237</v>
      </c>
      <c r="J753" s="45" t="s">
        <v>3339</v>
      </c>
      <c r="K753" s="45" t="s">
        <v>3341</v>
      </c>
      <c r="L753" s="31" t="n">
        <f aca="false">COUNTIF($B$3:$B$2205,$B753)</f>
        <v>1</v>
      </c>
      <c r="M753" s="44" t="str">
        <f aca="false">IFERROR(INDEX(SENTENCES!$T$3:$T$1802,MATCH($F753,SENTENCES!$A$3:$A$1802,0)),"")</f>
        <v>• Chưa tới</v>
      </c>
    </row>
    <row r="754" customFormat="false" ht="15" hidden="false" customHeight="false" outlineLevel="0" collapsed="false">
      <c r="A754" s="31" t="n">
        <v>752</v>
      </c>
      <c r="B754" s="43" t="s">
        <v>11028</v>
      </c>
      <c r="C754" s="34" t="s">
        <v>11029</v>
      </c>
      <c r="D754" s="44" t="s">
        <v>10677</v>
      </c>
      <c r="E754" s="31" t="s">
        <v>10747</v>
      </c>
      <c r="F754" s="31" t="s">
        <v>3343</v>
      </c>
      <c r="G754" s="31" t="n">
        <v>27</v>
      </c>
      <c r="H754" s="31" t="s">
        <v>1947</v>
      </c>
      <c r="I754" s="44" t="s">
        <v>3237</v>
      </c>
      <c r="J754" s="45" t="s">
        <v>3344</v>
      </c>
      <c r="K754" s="45" t="s">
        <v>3346</v>
      </c>
      <c r="L754" s="31" t="n">
        <f aca="false">COUNTIF($B$3:$B$2205,$B754)</f>
        <v>2</v>
      </c>
      <c r="M754" s="44" t="str">
        <f aca="false">IFERROR(INDEX(SENTENCES!$T$3:$T$1802,MATCH($F754,SENTENCES!$A$3:$A$1802,0)),"")</f>
        <v>• Chưa tới</v>
      </c>
    </row>
    <row r="755" customFormat="false" ht="15" hidden="false" customHeight="false" outlineLevel="0" collapsed="false">
      <c r="A755" s="31" t="n">
        <v>753</v>
      </c>
      <c r="B755" s="43" t="s">
        <v>11984</v>
      </c>
      <c r="C755" s="34" t="s">
        <v>11985</v>
      </c>
      <c r="D755" s="44" t="s">
        <v>10681</v>
      </c>
      <c r="E755" s="31"/>
      <c r="F755" s="31" t="s">
        <v>3348</v>
      </c>
      <c r="G755" s="31" t="n">
        <v>28</v>
      </c>
      <c r="H755" s="31" t="s">
        <v>1947</v>
      </c>
      <c r="I755" s="44" t="s">
        <v>3349</v>
      </c>
      <c r="J755" s="45" t="s">
        <v>3350</v>
      </c>
      <c r="K755" s="45" t="s">
        <v>3352</v>
      </c>
      <c r="L755" s="31" t="n">
        <f aca="false">COUNTIF($B$3:$B$2205,$B755)</f>
        <v>1</v>
      </c>
      <c r="M755" s="44" t="str">
        <f aca="false">IFERROR(INDEX(SENTENCES!$T$3:$T$1802,MATCH($F755,SENTENCES!$A$3:$A$1802,0)),"")</f>
        <v>• Chưa tới</v>
      </c>
    </row>
    <row r="756" customFormat="false" ht="15" hidden="false" customHeight="false" outlineLevel="0" collapsed="false">
      <c r="A756" s="31" t="n">
        <v>754</v>
      </c>
      <c r="B756" s="43" t="s">
        <v>11986</v>
      </c>
      <c r="C756" s="34" t="s">
        <v>11736</v>
      </c>
      <c r="D756" s="44" t="s">
        <v>10686</v>
      </c>
      <c r="E756" s="31"/>
      <c r="F756" s="31" t="s">
        <v>3354</v>
      </c>
      <c r="G756" s="31" t="n">
        <v>28</v>
      </c>
      <c r="H756" s="31" t="s">
        <v>1947</v>
      </c>
      <c r="I756" s="44" t="s">
        <v>3349</v>
      </c>
      <c r="J756" s="45" t="s">
        <v>3356</v>
      </c>
      <c r="K756" s="45" t="s">
        <v>3358</v>
      </c>
      <c r="L756" s="31" t="n">
        <f aca="false">COUNTIF($B$3:$B$2205,$B756)</f>
        <v>1</v>
      </c>
      <c r="M756" s="44" t="str">
        <f aca="false">IFERROR(INDEX(SENTENCES!$T$3:$T$1802,MATCH($F756,SENTENCES!$A$3:$A$1802,0)),"")</f>
        <v>• Chưa tới</v>
      </c>
    </row>
    <row r="757" customFormat="false" ht="15" hidden="false" customHeight="false" outlineLevel="0" collapsed="false">
      <c r="A757" s="31" t="n">
        <v>755</v>
      </c>
      <c r="B757" s="43" t="s">
        <v>11987</v>
      </c>
      <c r="C757" s="34" t="s">
        <v>11988</v>
      </c>
      <c r="D757" s="44" t="s">
        <v>10686</v>
      </c>
      <c r="E757" s="31"/>
      <c r="F757" s="31" t="s">
        <v>3360</v>
      </c>
      <c r="G757" s="31" t="n">
        <v>28</v>
      </c>
      <c r="H757" s="31" t="s">
        <v>1947</v>
      </c>
      <c r="I757" s="44" t="s">
        <v>3349</v>
      </c>
      <c r="J757" s="45" t="s">
        <v>3362</v>
      </c>
      <c r="K757" s="45" t="s">
        <v>3364</v>
      </c>
      <c r="L757" s="31" t="n">
        <f aca="false">COUNTIF($B$3:$B$2205,$B757)</f>
        <v>1</v>
      </c>
      <c r="M757" s="44" t="str">
        <f aca="false">IFERROR(INDEX(SENTENCES!$T$3:$T$1802,MATCH($F757,SENTENCES!$A$3:$A$1802,0)),"")</f>
        <v>• Chưa tới</v>
      </c>
    </row>
    <row r="758" customFormat="false" ht="15" hidden="false" customHeight="false" outlineLevel="0" collapsed="false">
      <c r="A758" s="31" t="n">
        <v>756</v>
      </c>
      <c r="B758" s="43" t="s">
        <v>11989</v>
      </c>
      <c r="C758" s="34" t="s">
        <v>11990</v>
      </c>
      <c r="D758" s="44" t="s">
        <v>10677</v>
      </c>
      <c r="E758" s="31" t="s">
        <v>10678</v>
      </c>
      <c r="F758" s="31" t="s">
        <v>3366</v>
      </c>
      <c r="G758" s="31" t="n">
        <v>28</v>
      </c>
      <c r="H758" s="31" t="s">
        <v>1947</v>
      </c>
      <c r="I758" s="44" t="s">
        <v>3349</v>
      </c>
      <c r="J758" s="45" t="s">
        <v>3368</v>
      </c>
      <c r="K758" s="45" t="s">
        <v>3370</v>
      </c>
      <c r="L758" s="31" t="n">
        <f aca="false">COUNTIF($B$3:$B$2205,$B758)</f>
        <v>1</v>
      </c>
      <c r="M758" s="44" t="str">
        <f aca="false">IFERROR(INDEX(SENTENCES!$T$3:$T$1802,MATCH($F758,SENTENCES!$A$3:$A$1802,0)),"")</f>
        <v>• Chưa tới</v>
      </c>
    </row>
    <row r="759" customFormat="false" ht="15" hidden="false" customHeight="false" outlineLevel="0" collapsed="false">
      <c r="A759" s="31" t="n">
        <v>757</v>
      </c>
      <c r="B759" s="43" t="s">
        <v>11502</v>
      </c>
      <c r="C759" s="34" t="s">
        <v>11503</v>
      </c>
      <c r="D759" s="44" t="s">
        <v>10677</v>
      </c>
      <c r="E759" s="31" t="s">
        <v>10678</v>
      </c>
      <c r="F759" s="31" t="s">
        <v>3372</v>
      </c>
      <c r="G759" s="31" t="n">
        <v>28</v>
      </c>
      <c r="H759" s="31" t="s">
        <v>1947</v>
      </c>
      <c r="I759" s="44" t="s">
        <v>3349</v>
      </c>
      <c r="J759" s="45" t="s">
        <v>3374</v>
      </c>
      <c r="K759" s="45" t="s">
        <v>3376</v>
      </c>
      <c r="L759" s="31" t="n">
        <f aca="false">COUNTIF($B$3:$B$2205,$B759)</f>
        <v>2</v>
      </c>
      <c r="M759" s="44" t="str">
        <f aca="false">IFERROR(INDEX(SENTENCES!$T$3:$T$1802,MATCH($F759,SENTENCES!$A$3:$A$1802,0)),"")</f>
        <v>• Chưa tới</v>
      </c>
    </row>
    <row r="760" customFormat="false" ht="15" hidden="false" customHeight="false" outlineLevel="0" collapsed="false">
      <c r="A760" s="31" t="n">
        <v>758</v>
      </c>
      <c r="B760" s="43" t="s">
        <v>11991</v>
      </c>
      <c r="C760" s="34" t="s">
        <v>11992</v>
      </c>
      <c r="D760" s="44" t="s">
        <v>10681</v>
      </c>
      <c r="E760" s="31"/>
      <c r="F760" s="31" t="s">
        <v>3372</v>
      </c>
      <c r="G760" s="31" t="n">
        <v>28</v>
      </c>
      <c r="H760" s="31" t="s">
        <v>1947</v>
      </c>
      <c r="I760" s="44" t="s">
        <v>3349</v>
      </c>
      <c r="J760" s="45" t="s">
        <v>3374</v>
      </c>
      <c r="K760" s="45" t="s">
        <v>3376</v>
      </c>
      <c r="L760" s="31" t="n">
        <f aca="false">COUNTIF($B$3:$B$2205,$B760)</f>
        <v>1</v>
      </c>
      <c r="M760" s="44" t="str">
        <f aca="false">IFERROR(INDEX(SENTENCES!$T$3:$T$1802,MATCH($F760,SENTENCES!$A$3:$A$1802,0)),"")</f>
        <v>• Chưa tới</v>
      </c>
    </row>
    <row r="761" customFormat="false" ht="15" hidden="false" customHeight="false" outlineLevel="0" collapsed="false">
      <c r="A761" s="31" t="n">
        <v>759</v>
      </c>
      <c r="B761" s="43" t="s">
        <v>11993</v>
      </c>
      <c r="C761" s="34" t="s">
        <v>11994</v>
      </c>
      <c r="D761" s="44" t="s">
        <v>10677</v>
      </c>
      <c r="E761" s="31" t="s">
        <v>10678</v>
      </c>
      <c r="F761" s="31" t="s">
        <v>3378</v>
      </c>
      <c r="G761" s="31" t="n">
        <v>28</v>
      </c>
      <c r="H761" s="31" t="s">
        <v>1947</v>
      </c>
      <c r="I761" s="44" t="s">
        <v>3349</v>
      </c>
      <c r="J761" s="45" t="s">
        <v>3379</v>
      </c>
      <c r="K761" s="45" t="s">
        <v>3381</v>
      </c>
      <c r="L761" s="31" t="n">
        <f aca="false">COUNTIF($B$3:$B$2205,$B761)</f>
        <v>1</v>
      </c>
      <c r="M761" s="44" t="str">
        <f aca="false">IFERROR(INDEX(SENTENCES!$T$3:$T$1802,MATCH($F761,SENTENCES!$A$3:$A$1802,0)),"")</f>
        <v>• Chưa tới</v>
      </c>
    </row>
    <row r="762" customFormat="false" ht="15" hidden="false" customHeight="false" outlineLevel="0" collapsed="false">
      <c r="A762" s="31" t="n">
        <v>760</v>
      </c>
      <c r="B762" s="43" t="s">
        <v>11995</v>
      </c>
      <c r="C762" s="34" t="s">
        <v>11996</v>
      </c>
      <c r="D762" s="44" t="s">
        <v>10677</v>
      </c>
      <c r="E762" s="31" t="s">
        <v>10707</v>
      </c>
      <c r="F762" s="31" t="s">
        <v>3378</v>
      </c>
      <c r="G762" s="31" t="n">
        <v>28</v>
      </c>
      <c r="H762" s="31" t="s">
        <v>1947</v>
      </c>
      <c r="I762" s="44" t="s">
        <v>3349</v>
      </c>
      <c r="J762" s="45" t="s">
        <v>3379</v>
      </c>
      <c r="K762" s="45" t="s">
        <v>3381</v>
      </c>
      <c r="L762" s="31" t="n">
        <f aca="false">COUNTIF($B$3:$B$2205,$B762)</f>
        <v>1</v>
      </c>
      <c r="M762" s="44" t="str">
        <f aca="false">IFERROR(INDEX(SENTENCES!$T$3:$T$1802,MATCH($F762,SENTENCES!$A$3:$A$1802,0)),"")</f>
        <v>• Chưa tới</v>
      </c>
    </row>
    <row r="763" customFormat="false" ht="15" hidden="false" customHeight="false" outlineLevel="0" collapsed="false">
      <c r="A763" s="31" t="n">
        <v>761</v>
      </c>
      <c r="B763" s="43" t="s">
        <v>11997</v>
      </c>
      <c r="C763" s="34" t="s">
        <v>11998</v>
      </c>
      <c r="D763" s="44" t="s">
        <v>10677</v>
      </c>
      <c r="E763" s="31" t="s">
        <v>10678</v>
      </c>
      <c r="F763" s="31" t="s">
        <v>3383</v>
      </c>
      <c r="G763" s="31" t="n">
        <v>28</v>
      </c>
      <c r="H763" s="31" t="s">
        <v>1947</v>
      </c>
      <c r="I763" s="44" t="s">
        <v>3349</v>
      </c>
      <c r="J763" s="45" t="s">
        <v>3385</v>
      </c>
      <c r="K763" s="45" t="s">
        <v>3387</v>
      </c>
      <c r="L763" s="31" t="n">
        <f aca="false">COUNTIF($B$3:$B$2205,$B763)</f>
        <v>1</v>
      </c>
      <c r="M763" s="44" t="str">
        <f aca="false">IFERROR(INDEX(SENTENCES!$T$3:$T$1802,MATCH($F763,SENTENCES!$A$3:$A$1802,0)),"")</f>
        <v>• Chưa tới</v>
      </c>
    </row>
    <row r="764" customFormat="false" ht="15" hidden="false" customHeight="false" outlineLevel="0" collapsed="false">
      <c r="A764" s="31" t="n">
        <v>762</v>
      </c>
      <c r="B764" s="43" t="s">
        <v>11999</v>
      </c>
      <c r="C764" s="34" t="s">
        <v>12000</v>
      </c>
      <c r="D764" s="44" t="s">
        <v>10677</v>
      </c>
      <c r="E764" s="31" t="s">
        <v>10707</v>
      </c>
      <c r="F764" s="31" t="s">
        <v>3383</v>
      </c>
      <c r="G764" s="31" t="n">
        <v>28</v>
      </c>
      <c r="H764" s="31" t="s">
        <v>1947</v>
      </c>
      <c r="I764" s="44" t="s">
        <v>3349</v>
      </c>
      <c r="J764" s="45" t="s">
        <v>3385</v>
      </c>
      <c r="K764" s="45" t="s">
        <v>3387</v>
      </c>
      <c r="L764" s="31" t="n">
        <f aca="false">COUNTIF($B$3:$B$2205,$B764)</f>
        <v>1</v>
      </c>
      <c r="M764" s="44" t="str">
        <f aca="false">IFERROR(INDEX(SENTENCES!$T$3:$T$1802,MATCH($F764,SENTENCES!$A$3:$A$1802,0)),"")</f>
        <v>• Chưa tới</v>
      </c>
    </row>
    <row r="765" customFormat="false" ht="15" hidden="false" customHeight="false" outlineLevel="0" collapsed="false">
      <c r="A765" s="31" t="n">
        <v>763</v>
      </c>
      <c r="B765" s="43" t="s">
        <v>12001</v>
      </c>
      <c r="C765" s="34" t="s">
        <v>12002</v>
      </c>
      <c r="D765" s="44" t="s">
        <v>10681</v>
      </c>
      <c r="E765" s="31"/>
      <c r="F765" s="31" t="s">
        <v>3389</v>
      </c>
      <c r="G765" s="31" t="n">
        <v>28</v>
      </c>
      <c r="H765" s="31" t="s">
        <v>1947</v>
      </c>
      <c r="I765" s="44" t="s">
        <v>3349</v>
      </c>
      <c r="J765" s="45" t="s">
        <v>3391</v>
      </c>
      <c r="K765" s="45" t="s">
        <v>3393</v>
      </c>
      <c r="L765" s="31" t="n">
        <f aca="false">COUNTIF($B$3:$B$2205,$B765)</f>
        <v>1</v>
      </c>
      <c r="M765" s="44" t="str">
        <f aca="false">IFERROR(INDEX(SENTENCES!$T$3:$T$1802,MATCH($F765,SENTENCES!$A$3:$A$1802,0)),"")</f>
        <v>• Chưa tới</v>
      </c>
    </row>
    <row r="766" customFormat="false" ht="15" hidden="false" customHeight="false" outlineLevel="0" collapsed="false">
      <c r="A766" s="31" t="n">
        <v>764</v>
      </c>
      <c r="B766" s="43" t="s">
        <v>12003</v>
      </c>
      <c r="C766" s="34" t="s">
        <v>12004</v>
      </c>
      <c r="D766" s="44" t="s">
        <v>10686</v>
      </c>
      <c r="E766" s="31"/>
      <c r="F766" s="31" t="s">
        <v>3389</v>
      </c>
      <c r="G766" s="31" t="n">
        <v>28</v>
      </c>
      <c r="H766" s="31" t="s">
        <v>1947</v>
      </c>
      <c r="I766" s="44" t="s">
        <v>3349</v>
      </c>
      <c r="J766" s="45" t="s">
        <v>3391</v>
      </c>
      <c r="K766" s="45" t="s">
        <v>3393</v>
      </c>
      <c r="L766" s="31" t="n">
        <f aca="false">COUNTIF($B$3:$B$2205,$B766)</f>
        <v>1</v>
      </c>
      <c r="M766" s="44" t="str">
        <f aca="false">IFERROR(INDEX(SENTENCES!$T$3:$T$1802,MATCH($F766,SENTENCES!$A$3:$A$1802,0)),"")</f>
        <v>• Chưa tới</v>
      </c>
    </row>
    <row r="767" customFormat="false" ht="15" hidden="false" customHeight="false" outlineLevel="0" collapsed="false">
      <c r="A767" s="31" t="n">
        <v>765</v>
      </c>
      <c r="B767" s="43" t="s">
        <v>12005</v>
      </c>
      <c r="C767" s="34" t="s">
        <v>12006</v>
      </c>
      <c r="D767" s="44" t="s">
        <v>10677</v>
      </c>
      <c r="E767" s="31" t="s">
        <v>10678</v>
      </c>
      <c r="F767" s="31" t="s">
        <v>3395</v>
      </c>
      <c r="G767" s="31" t="n">
        <v>28</v>
      </c>
      <c r="H767" s="31" t="s">
        <v>1947</v>
      </c>
      <c r="I767" s="44" t="s">
        <v>3349</v>
      </c>
      <c r="J767" s="45" t="s">
        <v>3397</v>
      </c>
      <c r="K767" s="45" t="s">
        <v>3399</v>
      </c>
      <c r="L767" s="31" t="n">
        <f aca="false">COUNTIF($B$3:$B$2205,$B767)</f>
        <v>1</v>
      </c>
      <c r="M767" s="44" t="str">
        <f aca="false">IFERROR(INDEX(SENTENCES!$T$3:$T$1802,MATCH($F767,SENTENCES!$A$3:$A$1802,0)),"")</f>
        <v>• Chưa tới</v>
      </c>
    </row>
    <row r="768" customFormat="false" ht="15" hidden="false" customHeight="false" outlineLevel="0" collapsed="false">
      <c r="A768" s="31" t="n">
        <v>766</v>
      </c>
      <c r="B768" s="43" t="s">
        <v>11727</v>
      </c>
      <c r="C768" s="34" t="s">
        <v>11728</v>
      </c>
      <c r="D768" s="44" t="s">
        <v>10677</v>
      </c>
      <c r="E768" s="31" t="s">
        <v>10747</v>
      </c>
      <c r="F768" s="31" t="s">
        <v>3401</v>
      </c>
      <c r="G768" s="31" t="n">
        <v>28</v>
      </c>
      <c r="H768" s="31" t="s">
        <v>1947</v>
      </c>
      <c r="I768" s="44" t="s">
        <v>3349</v>
      </c>
      <c r="J768" s="45" t="s">
        <v>3403</v>
      </c>
      <c r="K768" s="45" t="s">
        <v>3405</v>
      </c>
      <c r="L768" s="31" t="n">
        <f aca="false">COUNTIF($B$3:$B$2205,$B768)</f>
        <v>3</v>
      </c>
      <c r="M768" s="44" t="str">
        <f aca="false">IFERROR(INDEX(SENTENCES!$T$3:$T$1802,MATCH($F768,SENTENCES!$A$3:$A$1802,0)),"")</f>
        <v>• Chưa tới</v>
      </c>
    </row>
    <row r="769" customFormat="false" ht="15" hidden="false" customHeight="false" outlineLevel="0" collapsed="false">
      <c r="A769" s="31" t="n">
        <v>767</v>
      </c>
      <c r="B769" s="43" t="s">
        <v>12007</v>
      </c>
      <c r="C769" s="34" t="s">
        <v>12008</v>
      </c>
      <c r="D769" s="44" t="s">
        <v>10677</v>
      </c>
      <c r="E769" s="31" t="s">
        <v>10707</v>
      </c>
      <c r="F769" s="31" t="s">
        <v>3406</v>
      </c>
      <c r="G769" s="31" t="n">
        <v>28</v>
      </c>
      <c r="H769" s="31" t="s">
        <v>1947</v>
      </c>
      <c r="I769" s="44" t="s">
        <v>3349</v>
      </c>
      <c r="J769" s="45" t="s">
        <v>3407</v>
      </c>
      <c r="K769" s="45" t="s">
        <v>3409</v>
      </c>
      <c r="L769" s="31" t="n">
        <f aca="false">COUNTIF($B$3:$B$2205,$B769)</f>
        <v>1</v>
      </c>
      <c r="M769" s="44" t="str">
        <f aca="false">IFERROR(INDEX(SENTENCES!$T$3:$T$1802,MATCH($F769,SENTENCES!$A$3:$A$1802,0)),"")</f>
        <v>• Chưa tới</v>
      </c>
    </row>
    <row r="770" customFormat="false" ht="15" hidden="false" customHeight="false" outlineLevel="0" collapsed="false">
      <c r="A770" s="31" t="n">
        <v>768</v>
      </c>
      <c r="B770" s="43" t="s">
        <v>12009</v>
      </c>
      <c r="C770" s="34" t="s">
        <v>12010</v>
      </c>
      <c r="D770" s="44" t="s">
        <v>10686</v>
      </c>
      <c r="E770" s="31"/>
      <c r="F770" s="31" t="s">
        <v>3406</v>
      </c>
      <c r="G770" s="31" t="n">
        <v>28</v>
      </c>
      <c r="H770" s="31" t="s">
        <v>1947</v>
      </c>
      <c r="I770" s="44" t="s">
        <v>3349</v>
      </c>
      <c r="J770" s="45" t="s">
        <v>3407</v>
      </c>
      <c r="K770" s="45" t="s">
        <v>3409</v>
      </c>
      <c r="L770" s="31" t="n">
        <f aca="false">COUNTIF($B$3:$B$2205,$B770)</f>
        <v>2</v>
      </c>
      <c r="M770" s="44" t="str">
        <f aca="false">IFERROR(INDEX(SENTENCES!$T$3:$T$1802,MATCH($F770,SENTENCES!$A$3:$A$1802,0)),"")</f>
        <v>• Chưa tới</v>
      </c>
    </row>
    <row r="771" customFormat="false" ht="15" hidden="false" customHeight="false" outlineLevel="0" collapsed="false">
      <c r="A771" s="31" t="n">
        <v>769</v>
      </c>
      <c r="B771" s="43" t="s">
        <v>12011</v>
      </c>
      <c r="C771" s="34" t="s">
        <v>12012</v>
      </c>
      <c r="D771" s="44" t="s">
        <v>10677</v>
      </c>
      <c r="E771" s="31" t="s">
        <v>10678</v>
      </c>
      <c r="F771" s="31" t="s">
        <v>3411</v>
      </c>
      <c r="G771" s="31" t="n">
        <v>28</v>
      </c>
      <c r="H771" s="31" t="s">
        <v>1947</v>
      </c>
      <c r="I771" s="44" t="s">
        <v>3349</v>
      </c>
      <c r="J771" s="45" t="s">
        <v>3413</v>
      </c>
      <c r="K771" s="45" t="s">
        <v>3415</v>
      </c>
      <c r="L771" s="31" t="n">
        <f aca="false">COUNTIF($B$3:$B$2205,$B771)</f>
        <v>1</v>
      </c>
      <c r="M771" s="44" t="str">
        <f aca="false">IFERROR(INDEX(SENTENCES!$T$3:$T$1802,MATCH($F771,SENTENCES!$A$3:$A$1802,0)),"")</f>
        <v>• Chưa tới</v>
      </c>
    </row>
    <row r="772" customFormat="false" ht="15" hidden="false" customHeight="false" outlineLevel="0" collapsed="false">
      <c r="A772" s="31" t="n">
        <v>770</v>
      </c>
      <c r="B772" s="43" t="s">
        <v>12013</v>
      </c>
      <c r="C772" s="34" t="s">
        <v>12014</v>
      </c>
      <c r="D772" s="44" t="s">
        <v>10686</v>
      </c>
      <c r="E772" s="31"/>
      <c r="F772" s="31" t="s">
        <v>3417</v>
      </c>
      <c r="G772" s="31" t="n">
        <v>28</v>
      </c>
      <c r="H772" s="31" t="s">
        <v>1947</v>
      </c>
      <c r="I772" s="44" t="s">
        <v>3349</v>
      </c>
      <c r="J772" s="45" t="s">
        <v>3418</v>
      </c>
      <c r="K772" s="45" t="s">
        <v>3420</v>
      </c>
      <c r="L772" s="31" t="n">
        <f aca="false">COUNTIF($B$3:$B$2205,$B772)</f>
        <v>1</v>
      </c>
      <c r="M772" s="44" t="str">
        <f aca="false">IFERROR(INDEX(SENTENCES!$T$3:$T$1802,MATCH($F772,SENTENCES!$A$3:$A$1802,0)),"")</f>
        <v>• Chưa tới</v>
      </c>
    </row>
    <row r="773" customFormat="false" ht="15" hidden="false" customHeight="false" outlineLevel="0" collapsed="false">
      <c r="A773" s="31" t="n">
        <v>771</v>
      </c>
      <c r="B773" s="43" t="s">
        <v>12015</v>
      </c>
      <c r="C773" s="34" t="s">
        <v>12016</v>
      </c>
      <c r="D773" s="44" t="s">
        <v>10677</v>
      </c>
      <c r="E773" s="31" t="s">
        <v>10678</v>
      </c>
      <c r="F773" s="31" t="s">
        <v>3422</v>
      </c>
      <c r="G773" s="31" t="n">
        <v>28</v>
      </c>
      <c r="H773" s="31" t="s">
        <v>1947</v>
      </c>
      <c r="I773" s="44" t="s">
        <v>3349</v>
      </c>
      <c r="J773" s="45" t="s">
        <v>3424</v>
      </c>
      <c r="K773" s="45" t="s">
        <v>3426</v>
      </c>
      <c r="L773" s="31" t="n">
        <f aca="false">COUNTIF($B$3:$B$2205,$B773)</f>
        <v>1</v>
      </c>
      <c r="M773" s="44" t="str">
        <f aca="false">IFERROR(INDEX(SENTENCES!$T$3:$T$1802,MATCH($F773,SENTENCES!$A$3:$A$1802,0)),"")</f>
        <v>• Chưa tới</v>
      </c>
    </row>
    <row r="774" customFormat="false" ht="15" hidden="false" customHeight="false" outlineLevel="0" collapsed="false">
      <c r="A774" s="31" t="n">
        <v>772</v>
      </c>
      <c r="B774" s="43" t="s">
        <v>12017</v>
      </c>
      <c r="C774" s="34" t="s">
        <v>12018</v>
      </c>
      <c r="D774" s="44" t="s">
        <v>10681</v>
      </c>
      <c r="E774" s="31"/>
      <c r="F774" s="31" t="s">
        <v>3428</v>
      </c>
      <c r="G774" s="31" t="n">
        <v>28</v>
      </c>
      <c r="H774" s="31" t="s">
        <v>1947</v>
      </c>
      <c r="I774" s="44" t="s">
        <v>3349</v>
      </c>
      <c r="J774" s="45" t="s">
        <v>3430</v>
      </c>
      <c r="K774" s="45" t="s">
        <v>3432</v>
      </c>
      <c r="L774" s="31" t="n">
        <f aca="false">COUNTIF($B$3:$B$2205,$B774)</f>
        <v>1</v>
      </c>
      <c r="M774" s="44" t="str">
        <f aca="false">IFERROR(INDEX(SENTENCES!$T$3:$T$1802,MATCH($F774,SENTENCES!$A$3:$A$1802,0)),"")</f>
        <v>• Chưa tới</v>
      </c>
    </row>
    <row r="775" customFormat="false" ht="15" hidden="false" customHeight="false" outlineLevel="0" collapsed="false">
      <c r="A775" s="31" t="n">
        <v>773</v>
      </c>
      <c r="B775" s="43" t="s">
        <v>12019</v>
      </c>
      <c r="C775" s="34" t="s">
        <v>12020</v>
      </c>
      <c r="D775" s="44" t="s">
        <v>10677</v>
      </c>
      <c r="E775" s="31" t="s">
        <v>10678</v>
      </c>
      <c r="F775" s="31" t="s">
        <v>3434</v>
      </c>
      <c r="G775" s="31" t="n">
        <v>28</v>
      </c>
      <c r="H775" s="31" t="s">
        <v>1947</v>
      </c>
      <c r="I775" s="44" t="s">
        <v>3349</v>
      </c>
      <c r="J775" s="45" t="s">
        <v>3436</v>
      </c>
      <c r="K775" s="45" t="s">
        <v>3438</v>
      </c>
      <c r="L775" s="31" t="n">
        <f aca="false">COUNTIF($B$3:$B$2205,$B775)</f>
        <v>1</v>
      </c>
      <c r="M775" s="44" t="str">
        <f aca="false">IFERROR(INDEX(SENTENCES!$T$3:$T$1802,MATCH($F775,SENTENCES!$A$3:$A$1802,0)),"")</f>
        <v>• Chưa tới</v>
      </c>
    </row>
    <row r="776" customFormat="false" ht="15" hidden="false" customHeight="false" outlineLevel="0" collapsed="false">
      <c r="A776" s="31" t="n">
        <v>774</v>
      </c>
      <c r="B776" s="43" t="s">
        <v>12021</v>
      </c>
      <c r="C776" s="34" t="s">
        <v>12022</v>
      </c>
      <c r="D776" s="44" t="s">
        <v>10677</v>
      </c>
      <c r="E776" s="31" t="s">
        <v>10747</v>
      </c>
      <c r="F776" s="31" t="s">
        <v>3434</v>
      </c>
      <c r="G776" s="31" t="n">
        <v>28</v>
      </c>
      <c r="H776" s="31" t="s">
        <v>1947</v>
      </c>
      <c r="I776" s="44" t="s">
        <v>3349</v>
      </c>
      <c r="J776" s="45" t="s">
        <v>3436</v>
      </c>
      <c r="K776" s="45" t="s">
        <v>3438</v>
      </c>
      <c r="L776" s="31" t="n">
        <f aca="false">COUNTIF($B$3:$B$2205,$B776)</f>
        <v>1</v>
      </c>
      <c r="M776" s="44" t="str">
        <f aca="false">IFERROR(INDEX(SENTENCES!$T$3:$T$1802,MATCH($F776,SENTENCES!$A$3:$A$1802,0)),"")</f>
        <v>• Chưa tới</v>
      </c>
    </row>
    <row r="777" customFormat="false" ht="15" hidden="false" customHeight="false" outlineLevel="0" collapsed="false">
      <c r="A777" s="31" t="n">
        <v>775</v>
      </c>
      <c r="B777" s="43" t="s">
        <v>12023</v>
      </c>
      <c r="C777" s="34" t="s">
        <v>12024</v>
      </c>
      <c r="D777" s="44" t="s">
        <v>10681</v>
      </c>
      <c r="E777" s="31"/>
      <c r="F777" s="31" t="s">
        <v>3440</v>
      </c>
      <c r="G777" s="31" t="n">
        <v>28</v>
      </c>
      <c r="H777" s="31" t="s">
        <v>1947</v>
      </c>
      <c r="I777" s="44" t="s">
        <v>3349</v>
      </c>
      <c r="J777" s="45" t="s">
        <v>3442</v>
      </c>
      <c r="K777" s="45" t="s">
        <v>3444</v>
      </c>
      <c r="L777" s="31" t="n">
        <f aca="false">COUNTIF($B$3:$B$2205,$B777)</f>
        <v>1</v>
      </c>
      <c r="M777" s="44" t="str">
        <f aca="false">IFERROR(INDEX(SENTENCES!$T$3:$T$1802,MATCH($F777,SENTENCES!$A$3:$A$1802,0)),"")</f>
        <v>• Chưa tới</v>
      </c>
    </row>
    <row r="778" customFormat="false" ht="15" hidden="false" customHeight="false" outlineLevel="0" collapsed="false">
      <c r="A778" s="31" t="n">
        <v>776</v>
      </c>
      <c r="B778" s="43" t="s">
        <v>12025</v>
      </c>
      <c r="C778" s="34" t="s">
        <v>12026</v>
      </c>
      <c r="D778" s="44" t="s">
        <v>10681</v>
      </c>
      <c r="E778" s="31"/>
      <c r="F778" s="31" t="s">
        <v>3446</v>
      </c>
      <c r="G778" s="31" t="n">
        <v>28</v>
      </c>
      <c r="H778" s="31" t="s">
        <v>1947</v>
      </c>
      <c r="I778" s="44" t="s">
        <v>3349</v>
      </c>
      <c r="J778" s="45" t="s">
        <v>3448</v>
      </c>
      <c r="K778" s="45" t="s">
        <v>3450</v>
      </c>
      <c r="L778" s="31" t="n">
        <f aca="false">COUNTIF($B$3:$B$2205,$B778)</f>
        <v>2</v>
      </c>
      <c r="M778" s="44" t="str">
        <f aca="false">IFERROR(INDEX(SENTENCES!$T$3:$T$1802,MATCH($F778,SENTENCES!$A$3:$A$1802,0)),"")</f>
        <v>• Chưa tới</v>
      </c>
    </row>
    <row r="779" customFormat="false" ht="15" hidden="false" customHeight="false" outlineLevel="0" collapsed="false">
      <c r="A779" s="31" t="n">
        <v>777</v>
      </c>
      <c r="B779" s="43" t="s">
        <v>12027</v>
      </c>
      <c r="C779" s="34" t="s">
        <v>12028</v>
      </c>
      <c r="D779" s="44" t="s">
        <v>10677</v>
      </c>
      <c r="E779" s="31" t="s">
        <v>10678</v>
      </c>
      <c r="F779" s="31" t="s">
        <v>3451</v>
      </c>
      <c r="G779" s="31" t="n">
        <v>28</v>
      </c>
      <c r="H779" s="31" t="s">
        <v>1947</v>
      </c>
      <c r="I779" s="44" t="s">
        <v>3349</v>
      </c>
      <c r="J779" s="45" t="s">
        <v>3453</v>
      </c>
      <c r="K779" s="45" t="s">
        <v>3455</v>
      </c>
      <c r="L779" s="31" t="n">
        <f aca="false">COUNTIF($B$3:$B$2205,$B779)</f>
        <v>1</v>
      </c>
      <c r="M779" s="44" t="str">
        <f aca="false">IFERROR(INDEX(SENTENCES!$T$3:$T$1802,MATCH($F779,SENTENCES!$A$3:$A$1802,0)),"")</f>
        <v>• Chưa tới</v>
      </c>
    </row>
    <row r="780" customFormat="false" ht="15" hidden="false" customHeight="false" outlineLevel="0" collapsed="false">
      <c r="A780" s="31" t="n">
        <v>778</v>
      </c>
      <c r="B780" s="43" t="s">
        <v>12029</v>
      </c>
      <c r="C780" s="34" t="s">
        <v>12030</v>
      </c>
      <c r="D780" s="44" t="s">
        <v>10686</v>
      </c>
      <c r="E780" s="31"/>
      <c r="F780" s="31" t="s">
        <v>3451</v>
      </c>
      <c r="G780" s="31" t="n">
        <v>28</v>
      </c>
      <c r="H780" s="31" t="s">
        <v>1947</v>
      </c>
      <c r="I780" s="44" t="s">
        <v>3349</v>
      </c>
      <c r="J780" s="45" t="s">
        <v>3453</v>
      </c>
      <c r="K780" s="45" t="s">
        <v>3455</v>
      </c>
      <c r="L780" s="31" t="n">
        <f aca="false">COUNTIF($B$3:$B$2205,$B780)</f>
        <v>2</v>
      </c>
      <c r="M780" s="44" t="str">
        <f aca="false">IFERROR(INDEX(SENTENCES!$T$3:$T$1802,MATCH($F780,SENTENCES!$A$3:$A$1802,0)),"")</f>
        <v>• Chưa tới</v>
      </c>
    </row>
    <row r="781" customFormat="false" ht="15" hidden="false" customHeight="false" outlineLevel="0" collapsed="false">
      <c r="A781" s="31" t="n">
        <v>779</v>
      </c>
      <c r="B781" s="43" t="s">
        <v>12031</v>
      </c>
      <c r="C781" s="34" t="s">
        <v>12032</v>
      </c>
      <c r="D781" s="44" t="s">
        <v>10677</v>
      </c>
      <c r="E781" s="31" t="s">
        <v>10678</v>
      </c>
      <c r="F781" s="31" t="s">
        <v>3451</v>
      </c>
      <c r="G781" s="31" t="n">
        <v>28</v>
      </c>
      <c r="H781" s="31" t="s">
        <v>1947</v>
      </c>
      <c r="I781" s="44" t="s">
        <v>3349</v>
      </c>
      <c r="J781" s="45" t="s">
        <v>3453</v>
      </c>
      <c r="K781" s="45" t="s">
        <v>3455</v>
      </c>
      <c r="L781" s="31" t="n">
        <f aca="false">COUNTIF($B$3:$B$2205,$B781)</f>
        <v>1</v>
      </c>
      <c r="M781" s="44" t="str">
        <f aca="false">IFERROR(INDEX(SENTENCES!$T$3:$T$1802,MATCH($F781,SENTENCES!$A$3:$A$1802,0)),"")</f>
        <v>• Chưa tới</v>
      </c>
    </row>
    <row r="782" customFormat="false" ht="15" hidden="false" customHeight="false" outlineLevel="0" collapsed="false">
      <c r="A782" s="31" t="n">
        <v>780</v>
      </c>
      <c r="B782" s="43" t="s">
        <v>11545</v>
      </c>
      <c r="C782" s="34" t="s">
        <v>10719</v>
      </c>
      <c r="D782" s="44" t="s">
        <v>10681</v>
      </c>
      <c r="E782" s="31"/>
      <c r="F782" s="31" t="s">
        <v>3457</v>
      </c>
      <c r="G782" s="31" t="n">
        <v>28</v>
      </c>
      <c r="H782" s="31" t="s">
        <v>1947</v>
      </c>
      <c r="I782" s="44" t="s">
        <v>3349</v>
      </c>
      <c r="J782" s="45" t="s">
        <v>3458</v>
      </c>
      <c r="K782" s="45" t="s">
        <v>3460</v>
      </c>
      <c r="L782" s="31" t="n">
        <f aca="false">COUNTIF($B$3:$B$2205,$B782)</f>
        <v>2</v>
      </c>
      <c r="M782" s="44" t="str">
        <f aca="false">IFERROR(INDEX(SENTENCES!$T$3:$T$1802,MATCH($F782,SENTENCES!$A$3:$A$1802,0)),"")</f>
        <v>• Chưa tới</v>
      </c>
    </row>
    <row r="783" customFormat="false" ht="15" hidden="false" customHeight="false" outlineLevel="0" collapsed="false">
      <c r="A783" s="31" t="n">
        <v>781</v>
      </c>
      <c r="B783" s="43" t="s">
        <v>12033</v>
      </c>
      <c r="C783" s="34" t="s">
        <v>12034</v>
      </c>
      <c r="D783" s="44" t="s">
        <v>10677</v>
      </c>
      <c r="E783" s="31" t="s">
        <v>10707</v>
      </c>
      <c r="F783" s="31" t="s">
        <v>3462</v>
      </c>
      <c r="G783" s="31" t="n">
        <v>29</v>
      </c>
      <c r="H783" s="31" t="s">
        <v>1947</v>
      </c>
      <c r="I783" s="44" t="s">
        <v>3463</v>
      </c>
      <c r="J783" s="45" t="s">
        <v>3465</v>
      </c>
      <c r="K783" s="45" t="s">
        <v>3467</v>
      </c>
      <c r="L783" s="31" t="n">
        <f aca="false">COUNTIF($B$3:$B$2205,$B783)</f>
        <v>1</v>
      </c>
      <c r="M783" s="44" t="str">
        <f aca="false">IFERROR(INDEX(SENTENCES!$T$3:$T$1802,MATCH($F783,SENTENCES!$A$3:$A$1802,0)),"")</f>
        <v>• Chưa tới</v>
      </c>
    </row>
    <row r="784" customFormat="false" ht="15" hidden="false" customHeight="false" outlineLevel="0" collapsed="false">
      <c r="A784" s="31" t="n">
        <v>782</v>
      </c>
      <c r="B784" s="43" t="s">
        <v>12035</v>
      </c>
      <c r="C784" s="34" t="s">
        <v>12036</v>
      </c>
      <c r="D784" s="44" t="s">
        <v>10677</v>
      </c>
      <c r="E784" s="31" t="s">
        <v>10678</v>
      </c>
      <c r="F784" s="31" t="s">
        <v>3469</v>
      </c>
      <c r="G784" s="31" t="n">
        <v>29</v>
      </c>
      <c r="H784" s="31" t="s">
        <v>1947</v>
      </c>
      <c r="I784" s="44" t="s">
        <v>3463</v>
      </c>
      <c r="J784" s="45" t="s">
        <v>3470</v>
      </c>
      <c r="K784" s="45" t="s">
        <v>3472</v>
      </c>
      <c r="L784" s="31" t="n">
        <f aca="false">COUNTIF($B$3:$B$2205,$B784)</f>
        <v>1</v>
      </c>
      <c r="M784" s="44" t="str">
        <f aca="false">IFERROR(INDEX(SENTENCES!$T$3:$T$1802,MATCH($F784,SENTENCES!$A$3:$A$1802,0)),"")</f>
        <v>• Chưa tới</v>
      </c>
    </row>
    <row r="785" customFormat="false" ht="15" hidden="false" customHeight="false" outlineLevel="0" collapsed="false">
      <c r="A785" s="31" t="n">
        <v>783</v>
      </c>
      <c r="B785" s="43" t="s">
        <v>12037</v>
      </c>
      <c r="C785" s="34" t="s">
        <v>12038</v>
      </c>
      <c r="D785" s="44" t="s">
        <v>10681</v>
      </c>
      <c r="E785" s="31"/>
      <c r="F785" s="31" t="s">
        <v>3474</v>
      </c>
      <c r="G785" s="31" t="n">
        <v>29</v>
      </c>
      <c r="H785" s="31" t="s">
        <v>1947</v>
      </c>
      <c r="I785" s="44" t="s">
        <v>3463</v>
      </c>
      <c r="J785" s="45" t="s">
        <v>3476</v>
      </c>
      <c r="K785" s="45" t="s">
        <v>3478</v>
      </c>
      <c r="L785" s="31" t="n">
        <f aca="false">COUNTIF($B$3:$B$2205,$B785)</f>
        <v>1</v>
      </c>
      <c r="M785" s="44" t="str">
        <f aca="false">IFERROR(INDEX(SENTENCES!$T$3:$T$1802,MATCH($F785,SENTENCES!$A$3:$A$1802,0)),"")</f>
        <v>• Chưa tới</v>
      </c>
    </row>
    <row r="786" customFormat="false" ht="15" hidden="false" customHeight="false" outlineLevel="0" collapsed="false">
      <c r="A786" s="31" t="n">
        <v>784</v>
      </c>
      <c r="B786" s="43" t="s">
        <v>12039</v>
      </c>
      <c r="C786" s="34" t="s">
        <v>12040</v>
      </c>
      <c r="D786" s="44" t="s">
        <v>10677</v>
      </c>
      <c r="E786" s="31" t="s">
        <v>10707</v>
      </c>
      <c r="F786" s="31" t="s">
        <v>3480</v>
      </c>
      <c r="G786" s="31" t="n">
        <v>29</v>
      </c>
      <c r="H786" s="31" t="s">
        <v>1947</v>
      </c>
      <c r="I786" s="44" t="s">
        <v>3463</v>
      </c>
      <c r="J786" s="45" t="s">
        <v>3482</v>
      </c>
      <c r="K786" s="45" t="s">
        <v>3484</v>
      </c>
      <c r="L786" s="31" t="n">
        <f aca="false">COUNTIF($B$3:$B$2205,$B786)</f>
        <v>1</v>
      </c>
      <c r="M786" s="44" t="str">
        <f aca="false">IFERROR(INDEX(SENTENCES!$T$3:$T$1802,MATCH($F786,SENTENCES!$A$3:$A$1802,0)),"")</f>
        <v>• Chưa tới</v>
      </c>
    </row>
    <row r="787" customFormat="false" ht="15" hidden="false" customHeight="false" outlineLevel="0" collapsed="false">
      <c r="A787" s="31" t="n">
        <v>785</v>
      </c>
      <c r="B787" s="43" t="s">
        <v>12041</v>
      </c>
      <c r="C787" s="34" t="s">
        <v>12042</v>
      </c>
      <c r="D787" s="44" t="s">
        <v>10677</v>
      </c>
      <c r="E787" s="31" t="s">
        <v>10747</v>
      </c>
      <c r="F787" s="31" t="s">
        <v>3486</v>
      </c>
      <c r="G787" s="31" t="n">
        <v>29</v>
      </c>
      <c r="H787" s="31" t="s">
        <v>1947</v>
      </c>
      <c r="I787" s="44" t="s">
        <v>3463</v>
      </c>
      <c r="J787" s="45" t="s">
        <v>3488</v>
      </c>
      <c r="K787" s="45" t="s">
        <v>3490</v>
      </c>
      <c r="L787" s="31" t="n">
        <f aca="false">COUNTIF($B$3:$B$2205,$B787)</f>
        <v>1</v>
      </c>
      <c r="M787" s="44" t="str">
        <f aca="false">IFERROR(INDEX(SENTENCES!$T$3:$T$1802,MATCH($F787,SENTENCES!$A$3:$A$1802,0)),"")</f>
        <v>• Chưa tới</v>
      </c>
    </row>
    <row r="788" customFormat="false" ht="15" hidden="false" customHeight="false" outlineLevel="0" collapsed="false">
      <c r="A788" s="31" t="n">
        <v>786</v>
      </c>
      <c r="B788" s="43" t="s">
        <v>12043</v>
      </c>
      <c r="C788" s="34" t="s">
        <v>12044</v>
      </c>
      <c r="D788" s="44" t="s">
        <v>10677</v>
      </c>
      <c r="E788" s="31" t="s">
        <v>10707</v>
      </c>
      <c r="F788" s="31" t="s">
        <v>3492</v>
      </c>
      <c r="G788" s="31" t="n">
        <v>29</v>
      </c>
      <c r="H788" s="31" t="s">
        <v>1947</v>
      </c>
      <c r="I788" s="44" t="s">
        <v>3463</v>
      </c>
      <c r="J788" s="45" t="s">
        <v>3494</v>
      </c>
      <c r="K788" s="45" t="s">
        <v>3496</v>
      </c>
      <c r="L788" s="31" t="n">
        <f aca="false">COUNTIF($B$3:$B$2205,$B788)</f>
        <v>2</v>
      </c>
      <c r="M788" s="44" t="str">
        <f aca="false">IFERROR(INDEX(SENTENCES!$T$3:$T$1802,MATCH($F788,SENTENCES!$A$3:$A$1802,0)),"")</f>
        <v>• Chưa tới</v>
      </c>
    </row>
    <row r="789" customFormat="false" ht="15" hidden="false" customHeight="false" outlineLevel="0" collapsed="false">
      <c r="A789" s="31" t="n">
        <v>787</v>
      </c>
      <c r="B789" s="43" t="s">
        <v>12045</v>
      </c>
      <c r="C789" s="34" t="s">
        <v>12046</v>
      </c>
      <c r="D789" s="44" t="s">
        <v>10677</v>
      </c>
      <c r="E789" s="31" t="s">
        <v>10707</v>
      </c>
      <c r="F789" s="31" t="s">
        <v>3498</v>
      </c>
      <c r="G789" s="31" t="n">
        <v>29</v>
      </c>
      <c r="H789" s="31" t="s">
        <v>1947</v>
      </c>
      <c r="I789" s="44" t="s">
        <v>3463</v>
      </c>
      <c r="J789" s="45" t="s">
        <v>3500</v>
      </c>
      <c r="K789" s="45" t="s">
        <v>3502</v>
      </c>
      <c r="L789" s="31" t="n">
        <f aca="false">COUNTIF($B$3:$B$2205,$B789)</f>
        <v>1</v>
      </c>
      <c r="M789" s="44" t="str">
        <f aca="false">IFERROR(INDEX(SENTENCES!$T$3:$T$1802,MATCH($F789,SENTENCES!$A$3:$A$1802,0)),"")</f>
        <v>• Chưa tới</v>
      </c>
    </row>
    <row r="790" customFormat="false" ht="15" hidden="false" customHeight="false" outlineLevel="0" collapsed="false">
      <c r="A790" s="31" t="n">
        <v>788</v>
      </c>
      <c r="B790" s="43" t="s">
        <v>11570</v>
      </c>
      <c r="C790" s="34" t="s">
        <v>11571</v>
      </c>
      <c r="D790" s="44" t="s">
        <v>10686</v>
      </c>
      <c r="E790" s="31"/>
      <c r="F790" s="31" t="s">
        <v>3504</v>
      </c>
      <c r="G790" s="31" t="n">
        <v>29</v>
      </c>
      <c r="H790" s="31" t="s">
        <v>1947</v>
      </c>
      <c r="I790" s="44" t="s">
        <v>3463</v>
      </c>
      <c r="J790" s="45" t="s">
        <v>3506</v>
      </c>
      <c r="K790" s="45" t="s">
        <v>3508</v>
      </c>
      <c r="L790" s="31" t="n">
        <f aca="false">COUNTIF($B$3:$B$2205,$B790)</f>
        <v>2</v>
      </c>
      <c r="M790" s="44" t="str">
        <f aca="false">IFERROR(INDEX(SENTENCES!$T$3:$T$1802,MATCH($F790,SENTENCES!$A$3:$A$1802,0)),"")</f>
        <v>• Chưa tới</v>
      </c>
    </row>
    <row r="791" customFormat="false" ht="15" hidden="false" customHeight="false" outlineLevel="0" collapsed="false">
      <c r="A791" s="31" t="n">
        <v>789</v>
      </c>
      <c r="B791" s="43" t="s">
        <v>12047</v>
      </c>
      <c r="C791" s="34" t="s">
        <v>12048</v>
      </c>
      <c r="D791" s="44" t="s">
        <v>10754</v>
      </c>
      <c r="E791" s="31"/>
      <c r="F791" s="31" t="s">
        <v>3509</v>
      </c>
      <c r="G791" s="31" t="n">
        <v>29</v>
      </c>
      <c r="H791" s="31" t="s">
        <v>1947</v>
      </c>
      <c r="I791" s="44" t="s">
        <v>3463</v>
      </c>
      <c r="J791" s="45" t="s">
        <v>3511</v>
      </c>
      <c r="K791" s="45" t="s">
        <v>3513</v>
      </c>
      <c r="L791" s="31" t="n">
        <f aca="false">COUNTIF($B$3:$B$2205,$B791)</f>
        <v>3</v>
      </c>
      <c r="M791" s="44" t="str">
        <f aca="false">IFERROR(INDEX(SENTENCES!$T$3:$T$1802,MATCH($F791,SENTENCES!$A$3:$A$1802,0)),"")</f>
        <v>• Chưa tới</v>
      </c>
    </row>
    <row r="792" customFormat="false" ht="15" hidden="false" customHeight="false" outlineLevel="0" collapsed="false">
      <c r="A792" s="31" t="n">
        <v>790</v>
      </c>
      <c r="B792" s="43" t="s">
        <v>11577</v>
      </c>
      <c r="C792" s="34" t="s">
        <v>11578</v>
      </c>
      <c r="D792" s="44" t="s">
        <v>10686</v>
      </c>
      <c r="E792" s="31"/>
      <c r="F792" s="31" t="s">
        <v>3515</v>
      </c>
      <c r="G792" s="31" t="n">
        <v>29</v>
      </c>
      <c r="H792" s="31" t="s">
        <v>1947</v>
      </c>
      <c r="I792" s="44" t="s">
        <v>3463</v>
      </c>
      <c r="J792" s="45" t="s">
        <v>3517</v>
      </c>
      <c r="K792" s="45" t="s">
        <v>3519</v>
      </c>
      <c r="L792" s="31" t="n">
        <f aca="false">COUNTIF($B$3:$B$2205,$B792)</f>
        <v>2</v>
      </c>
      <c r="M792" s="44" t="str">
        <f aca="false">IFERROR(INDEX(SENTENCES!$T$3:$T$1802,MATCH($F792,SENTENCES!$A$3:$A$1802,0)),"")</f>
        <v>• Chưa tới</v>
      </c>
    </row>
    <row r="793" customFormat="false" ht="15" hidden="false" customHeight="false" outlineLevel="0" collapsed="false">
      <c r="A793" s="31" t="n">
        <v>791</v>
      </c>
      <c r="B793" s="43" t="s">
        <v>12049</v>
      </c>
      <c r="C793" s="34" t="s">
        <v>12050</v>
      </c>
      <c r="D793" s="44" t="s">
        <v>10686</v>
      </c>
      <c r="E793" s="31"/>
      <c r="F793" s="31" t="s">
        <v>3520</v>
      </c>
      <c r="G793" s="31" t="n">
        <v>29</v>
      </c>
      <c r="H793" s="31" t="s">
        <v>1947</v>
      </c>
      <c r="I793" s="44" t="s">
        <v>3463</v>
      </c>
      <c r="J793" s="45" t="s">
        <v>3521</v>
      </c>
      <c r="K793" s="45" t="s">
        <v>3523</v>
      </c>
      <c r="L793" s="31" t="n">
        <f aca="false">COUNTIF($B$3:$B$2205,$B793)</f>
        <v>1</v>
      </c>
      <c r="M793" s="44" t="str">
        <f aca="false">IFERROR(INDEX(SENTENCES!$T$3:$T$1802,MATCH($F793,SENTENCES!$A$3:$A$1802,0)),"")</f>
        <v>• Chưa tới</v>
      </c>
    </row>
    <row r="794" customFormat="false" ht="15" hidden="false" customHeight="false" outlineLevel="0" collapsed="false">
      <c r="A794" s="31" t="n">
        <v>792</v>
      </c>
      <c r="B794" s="43" t="s">
        <v>12051</v>
      </c>
      <c r="C794" s="34" t="s">
        <v>12052</v>
      </c>
      <c r="D794" s="44" t="s">
        <v>10677</v>
      </c>
      <c r="E794" s="31" t="s">
        <v>10747</v>
      </c>
      <c r="F794" s="31" t="s">
        <v>3525</v>
      </c>
      <c r="G794" s="31" t="n">
        <v>29</v>
      </c>
      <c r="H794" s="31" t="s">
        <v>1947</v>
      </c>
      <c r="I794" s="44" t="s">
        <v>3463</v>
      </c>
      <c r="J794" s="45" t="s">
        <v>3527</v>
      </c>
      <c r="K794" s="45" t="s">
        <v>3529</v>
      </c>
      <c r="L794" s="31" t="n">
        <f aca="false">COUNTIF($B$3:$B$2205,$B794)</f>
        <v>1</v>
      </c>
      <c r="M794" s="44" t="str">
        <f aca="false">IFERROR(INDEX(SENTENCES!$T$3:$T$1802,MATCH($F794,SENTENCES!$A$3:$A$1802,0)),"")</f>
        <v>• Chưa tới</v>
      </c>
    </row>
    <row r="795" customFormat="false" ht="15" hidden="false" customHeight="false" outlineLevel="0" collapsed="false">
      <c r="A795" s="31" t="n">
        <v>793</v>
      </c>
      <c r="B795" s="43" t="s">
        <v>12053</v>
      </c>
      <c r="C795" s="34" t="s">
        <v>12054</v>
      </c>
      <c r="D795" s="44" t="s">
        <v>10677</v>
      </c>
      <c r="E795" s="31" t="s">
        <v>10707</v>
      </c>
      <c r="F795" s="31" t="s">
        <v>3531</v>
      </c>
      <c r="G795" s="31" t="n">
        <v>29</v>
      </c>
      <c r="H795" s="31" t="s">
        <v>1947</v>
      </c>
      <c r="I795" s="44" t="s">
        <v>3463</v>
      </c>
      <c r="J795" s="45" t="s">
        <v>3533</v>
      </c>
      <c r="K795" s="45" t="s">
        <v>3535</v>
      </c>
      <c r="L795" s="31" t="n">
        <f aca="false">COUNTIF($B$3:$B$2205,$B795)</f>
        <v>1</v>
      </c>
      <c r="M795" s="44" t="str">
        <f aca="false">IFERROR(INDEX(SENTENCES!$T$3:$T$1802,MATCH($F795,SENTENCES!$A$3:$A$1802,0)),"")</f>
        <v>• Chưa tới</v>
      </c>
    </row>
    <row r="796" customFormat="false" ht="15" hidden="false" customHeight="false" outlineLevel="0" collapsed="false">
      <c r="A796" s="31" t="n">
        <v>794</v>
      </c>
      <c r="B796" s="43" t="s">
        <v>12055</v>
      </c>
      <c r="C796" s="34" t="s">
        <v>12056</v>
      </c>
      <c r="D796" s="44" t="s">
        <v>10686</v>
      </c>
      <c r="E796" s="31"/>
      <c r="F796" s="31" t="s">
        <v>3531</v>
      </c>
      <c r="G796" s="31" t="n">
        <v>29</v>
      </c>
      <c r="H796" s="31" t="s">
        <v>1947</v>
      </c>
      <c r="I796" s="44" t="s">
        <v>3463</v>
      </c>
      <c r="J796" s="45" t="s">
        <v>3533</v>
      </c>
      <c r="K796" s="45" t="s">
        <v>3535</v>
      </c>
      <c r="L796" s="31" t="n">
        <f aca="false">COUNTIF($B$3:$B$2205,$B796)</f>
        <v>1</v>
      </c>
      <c r="M796" s="44" t="str">
        <f aca="false">IFERROR(INDEX(SENTENCES!$T$3:$T$1802,MATCH($F796,SENTENCES!$A$3:$A$1802,0)),"")</f>
        <v>• Chưa tới</v>
      </c>
    </row>
    <row r="797" customFormat="false" ht="15" hidden="false" customHeight="false" outlineLevel="0" collapsed="false">
      <c r="A797" s="31" t="n">
        <v>795</v>
      </c>
      <c r="B797" s="43" t="s">
        <v>12057</v>
      </c>
      <c r="C797" s="34" t="s">
        <v>12058</v>
      </c>
      <c r="D797" s="44" t="s">
        <v>10681</v>
      </c>
      <c r="E797" s="31"/>
      <c r="F797" s="31" t="s">
        <v>3537</v>
      </c>
      <c r="G797" s="31" t="n">
        <v>29</v>
      </c>
      <c r="H797" s="31" t="s">
        <v>1947</v>
      </c>
      <c r="I797" s="44" t="s">
        <v>3463</v>
      </c>
      <c r="J797" s="45" t="s">
        <v>3539</v>
      </c>
      <c r="K797" s="45" t="s">
        <v>3541</v>
      </c>
      <c r="L797" s="31" t="n">
        <f aca="false">COUNTIF($B$3:$B$2205,$B797)</f>
        <v>1</v>
      </c>
      <c r="M797" s="44" t="str">
        <f aca="false">IFERROR(INDEX(SENTENCES!$T$3:$T$1802,MATCH($F797,SENTENCES!$A$3:$A$1802,0)),"")</f>
        <v>• Chưa tới</v>
      </c>
    </row>
    <row r="798" customFormat="false" ht="15" hidden="false" customHeight="false" outlineLevel="0" collapsed="false">
      <c r="A798" s="31" t="n">
        <v>796</v>
      </c>
      <c r="B798" s="43" t="s">
        <v>11198</v>
      </c>
      <c r="C798" s="34" t="s">
        <v>12059</v>
      </c>
      <c r="D798" s="44" t="s">
        <v>10677</v>
      </c>
      <c r="E798" s="31" t="s">
        <v>10707</v>
      </c>
      <c r="F798" s="31" t="s">
        <v>3543</v>
      </c>
      <c r="G798" s="31" t="n">
        <v>29</v>
      </c>
      <c r="H798" s="31" t="s">
        <v>1947</v>
      </c>
      <c r="I798" s="44" t="s">
        <v>3463</v>
      </c>
      <c r="J798" s="45" t="s">
        <v>3545</v>
      </c>
      <c r="K798" s="45" t="s">
        <v>3547</v>
      </c>
      <c r="L798" s="31" t="n">
        <f aca="false">COUNTIF($B$3:$B$2205,$B798)</f>
        <v>4</v>
      </c>
      <c r="M798" s="44" t="str">
        <f aca="false">IFERROR(INDEX(SENTENCES!$T$3:$T$1802,MATCH($F798,SENTENCES!$A$3:$A$1802,0)),"")</f>
        <v>• Chưa tới</v>
      </c>
    </row>
    <row r="799" customFormat="false" ht="15" hidden="false" customHeight="false" outlineLevel="0" collapsed="false">
      <c r="A799" s="31" t="n">
        <v>797</v>
      </c>
      <c r="B799" s="43" t="s">
        <v>12060</v>
      </c>
      <c r="C799" s="34" t="s">
        <v>12061</v>
      </c>
      <c r="D799" s="44" t="s">
        <v>10677</v>
      </c>
      <c r="E799" s="31" t="s">
        <v>10707</v>
      </c>
      <c r="F799" s="31" t="s">
        <v>3549</v>
      </c>
      <c r="G799" s="31" t="n">
        <v>29</v>
      </c>
      <c r="H799" s="31" t="s">
        <v>1947</v>
      </c>
      <c r="I799" s="44" t="s">
        <v>3463</v>
      </c>
      <c r="J799" s="45" t="s">
        <v>3551</v>
      </c>
      <c r="K799" s="45" t="s">
        <v>3553</v>
      </c>
      <c r="L799" s="31" t="n">
        <f aca="false">COUNTIF($B$3:$B$2205,$B799)</f>
        <v>1</v>
      </c>
      <c r="M799" s="44" t="str">
        <f aca="false">IFERROR(INDEX(SENTENCES!$T$3:$T$1802,MATCH($F799,SENTENCES!$A$3:$A$1802,0)),"")</f>
        <v>• Chưa tới</v>
      </c>
    </row>
    <row r="800" customFormat="false" ht="15" hidden="false" customHeight="false" outlineLevel="0" collapsed="false">
      <c r="A800" s="31" t="n">
        <v>798</v>
      </c>
      <c r="B800" s="43" t="s">
        <v>12062</v>
      </c>
      <c r="C800" s="34" t="s">
        <v>12063</v>
      </c>
      <c r="D800" s="44" t="s">
        <v>10686</v>
      </c>
      <c r="E800" s="31"/>
      <c r="F800" s="31" t="s">
        <v>3555</v>
      </c>
      <c r="G800" s="31" t="n">
        <v>29</v>
      </c>
      <c r="H800" s="31" t="s">
        <v>1947</v>
      </c>
      <c r="I800" s="44" t="s">
        <v>3463</v>
      </c>
      <c r="J800" s="45" t="s">
        <v>3556</v>
      </c>
      <c r="K800" s="45" t="s">
        <v>3558</v>
      </c>
      <c r="L800" s="31" t="n">
        <f aca="false">COUNTIF($B$3:$B$2205,$B800)</f>
        <v>1</v>
      </c>
      <c r="M800" s="44" t="str">
        <f aca="false">IFERROR(INDEX(SENTENCES!$T$3:$T$1802,MATCH($F800,SENTENCES!$A$3:$A$1802,0)),"")</f>
        <v>• Chưa tới</v>
      </c>
    </row>
    <row r="801" customFormat="false" ht="15" hidden="false" customHeight="false" outlineLevel="0" collapsed="false">
      <c r="A801" s="31" t="n">
        <v>799</v>
      </c>
      <c r="B801" s="43" t="s">
        <v>12064</v>
      </c>
      <c r="C801" s="34" t="s">
        <v>12065</v>
      </c>
      <c r="D801" s="44" t="s">
        <v>10677</v>
      </c>
      <c r="E801" s="31" t="s">
        <v>10747</v>
      </c>
      <c r="F801" s="31" t="s">
        <v>3560</v>
      </c>
      <c r="G801" s="31" t="n">
        <v>29</v>
      </c>
      <c r="H801" s="31" t="s">
        <v>1947</v>
      </c>
      <c r="I801" s="44" t="s">
        <v>3463</v>
      </c>
      <c r="J801" s="45" t="s">
        <v>3562</v>
      </c>
      <c r="K801" s="45" t="s">
        <v>3564</v>
      </c>
      <c r="L801" s="31" t="n">
        <f aca="false">COUNTIF($B$3:$B$2205,$B801)</f>
        <v>1</v>
      </c>
      <c r="M801" s="44" t="str">
        <f aca="false">IFERROR(INDEX(SENTENCES!$T$3:$T$1802,MATCH($F801,SENTENCES!$A$3:$A$1802,0)),"")</f>
        <v>• Chưa tới</v>
      </c>
    </row>
    <row r="802" customFormat="false" ht="15" hidden="false" customHeight="false" outlineLevel="0" collapsed="false">
      <c r="A802" s="31" t="n">
        <v>800</v>
      </c>
      <c r="B802" s="43" t="s">
        <v>12043</v>
      </c>
      <c r="C802" s="34" t="s">
        <v>12066</v>
      </c>
      <c r="D802" s="44" t="s">
        <v>10677</v>
      </c>
      <c r="E802" s="31" t="s">
        <v>10707</v>
      </c>
      <c r="F802" s="31" t="s">
        <v>3566</v>
      </c>
      <c r="G802" s="31" t="n">
        <v>29</v>
      </c>
      <c r="H802" s="31" t="s">
        <v>1947</v>
      </c>
      <c r="I802" s="44" t="s">
        <v>3463</v>
      </c>
      <c r="J802" s="45" t="s">
        <v>3568</v>
      </c>
      <c r="K802" s="45" t="s">
        <v>3570</v>
      </c>
      <c r="L802" s="31" t="n">
        <f aca="false">COUNTIF($B$3:$B$2205,$B802)</f>
        <v>2</v>
      </c>
      <c r="M802" s="44" t="str">
        <f aca="false">IFERROR(INDEX(SENTENCES!$T$3:$T$1802,MATCH($F802,SENTENCES!$A$3:$A$1802,0)),"")</f>
        <v>• Chưa tới</v>
      </c>
    </row>
    <row r="803" customFormat="false" ht="15" hidden="false" customHeight="false" outlineLevel="0" collapsed="false">
      <c r="A803" s="31" t="n">
        <v>801</v>
      </c>
      <c r="B803" s="43" t="s">
        <v>12067</v>
      </c>
      <c r="C803" s="34" t="s">
        <v>12068</v>
      </c>
      <c r="D803" s="44" t="s">
        <v>10754</v>
      </c>
      <c r="E803" s="31"/>
      <c r="F803" s="31" t="s">
        <v>3572</v>
      </c>
      <c r="G803" s="31" t="n">
        <v>29</v>
      </c>
      <c r="H803" s="31" t="s">
        <v>1947</v>
      </c>
      <c r="I803" s="44" t="s">
        <v>3463</v>
      </c>
      <c r="J803" s="45" t="s">
        <v>3574</v>
      </c>
      <c r="K803" s="45" t="s">
        <v>3576</v>
      </c>
      <c r="L803" s="31" t="n">
        <f aca="false">COUNTIF($B$3:$B$2205,$B803)</f>
        <v>2</v>
      </c>
      <c r="M803" s="44" t="str">
        <f aca="false">IFERROR(INDEX(SENTENCES!$T$3:$T$1802,MATCH($F803,SENTENCES!$A$3:$A$1802,0)),"")</f>
        <v>• Chưa tới</v>
      </c>
    </row>
    <row r="804" customFormat="false" ht="15" hidden="false" customHeight="false" outlineLevel="0" collapsed="false">
      <c r="A804" s="31" t="n">
        <v>802</v>
      </c>
      <c r="B804" s="43" t="s">
        <v>12069</v>
      </c>
      <c r="C804" s="34" t="s">
        <v>12070</v>
      </c>
      <c r="D804" s="44" t="s">
        <v>10677</v>
      </c>
      <c r="E804" s="31" t="s">
        <v>10678</v>
      </c>
      <c r="F804" s="31" t="s">
        <v>3578</v>
      </c>
      <c r="G804" s="31" t="n">
        <v>30</v>
      </c>
      <c r="H804" s="31" t="s">
        <v>1947</v>
      </c>
      <c r="I804" s="44" t="s">
        <v>3579</v>
      </c>
      <c r="J804" s="45" t="s">
        <v>3580</v>
      </c>
      <c r="K804" s="45" t="s">
        <v>3582</v>
      </c>
      <c r="L804" s="31" t="n">
        <f aca="false">COUNTIF($B$3:$B$2205,$B804)</f>
        <v>1</v>
      </c>
      <c r="M804" s="44" t="str">
        <f aca="false">IFERROR(INDEX(SENTENCES!$T$3:$T$1802,MATCH($F804,SENTENCES!$A$3:$A$1802,0)),"")</f>
        <v>• Chưa tới</v>
      </c>
    </row>
    <row r="805" customFormat="false" ht="15" hidden="false" customHeight="false" outlineLevel="0" collapsed="false">
      <c r="A805" s="31" t="n">
        <v>803</v>
      </c>
      <c r="B805" s="43" t="s">
        <v>11461</v>
      </c>
      <c r="C805" s="34" t="s">
        <v>12071</v>
      </c>
      <c r="D805" s="44" t="s">
        <v>10686</v>
      </c>
      <c r="E805" s="31"/>
      <c r="F805" s="31" t="s">
        <v>3584</v>
      </c>
      <c r="G805" s="31" t="n">
        <v>30</v>
      </c>
      <c r="H805" s="31" t="s">
        <v>1947</v>
      </c>
      <c r="I805" s="44" t="s">
        <v>3579</v>
      </c>
      <c r="J805" s="45" t="s">
        <v>3585</v>
      </c>
      <c r="K805" s="45" t="s">
        <v>3587</v>
      </c>
      <c r="L805" s="31" t="n">
        <f aca="false">COUNTIF($B$3:$B$2205,$B805)</f>
        <v>4</v>
      </c>
      <c r="M805" s="44" t="str">
        <f aca="false">IFERROR(INDEX(SENTENCES!$T$3:$T$1802,MATCH($F805,SENTENCES!$A$3:$A$1802,0)),"")</f>
        <v>• Chưa tới</v>
      </c>
    </row>
    <row r="806" customFormat="false" ht="15" hidden="false" customHeight="false" outlineLevel="0" collapsed="false">
      <c r="A806" s="31" t="n">
        <v>804</v>
      </c>
      <c r="B806" s="43" t="s">
        <v>10873</v>
      </c>
      <c r="C806" s="34" t="s">
        <v>10874</v>
      </c>
      <c r="D806" s="44" t="s">
        <v>10681</v>
      </c>
      <c r="E806" s="31"/>
      <c r="F806" s="31" t="s">
        <v>3589</v>
      </c>
      <c r="G806" s="31" t="n">
        <v>30</v>
      </c>
      <c r="H806" s="31" t="s">
        <v>1947</v>
      </c>
      <c r="I806" s="44" t="s">
        <v>3579</v>
      </c>
      <c r="J806" s="45" t="s">
        <v>3591</v>
      </c>
      <c r="K806" s="45" t="s">
        <v>3593</v>
      </c>
      <c r="L806" s="31" t="n">
        <f aca="false">COUNTIF($B$3:$B$2205,$B806)</f>
        <v>2</v>
      </c>
      <c r="M806" s="44" t="str">
        <f aca="false">IFERROR(INDEX(SENTENCES!$T$3:$T$1802,MATCH($F806,SENTENCES!$A$3:$A$1802,0)),"")</f>
        <v>• Chưa tới</v>
      </c>
    </row>
    <row r="807" customFormat="false" ht="15" hidden="false" customHeight="false" outlineLevel="0" collapsed="false">
      <c r="A807" s="31" t="n">
        <v>805</v>
      </c>
      <c r="B807" s="43" t="s">
        <v>12072</v>
      </c>
      <c r="C807" s="34" t="s">
        <v>12073</v>
      </c>
      <c r="D807" s="44" t="s">
        <v>10677</v>
      </c>
      <c r="E807" s="31" t="s">
        <v>10678</v>
      </c>
      <c r="F807" s="31" t="s">
        <v>3594</v>
      </c>
      <c r="G807" s="31" t="n">
        <v>30</v>
      </c>
      <c r="H807" s="31" t="s">
        <v>1947</v>
      </c>
      <c r="I807" s="44" t="s">
        <v>3579</v>
      </c>
      <c r="J807" s="45" t="s">
        <v>3596</v>
      </c>
      <c r="K807" s="45" t="s">
        <v>3598</v>
      </c>
      <c r="L807" s="31" t="n">
        <f aca="false">COUNTIF($B$3:$B$2205,$B807)</f>
        <v>1</v>
      </c>
      <c r="M807" s="44" t="str">
        <f aca="false">IFERROR(INDEX(SENTENCES!$T$3:$T$1802,MATCH($F807,SENTENCES!$A$3:$A$1802,0)),"")</f>
        <v>• Chưa tới</v>
      </c>
    </row>
    <row r="808" customFormat="false" ht="15" hidden="false" customHeight="false" outlineLevel="0" collapsed="false">
      <c r="A808" s="31" t="n">
        <v>806</v>
      </c>
      <c r="B808" s="43" t="s">
        <v>12074</v>
      </c>
      <c r="C808" s="34" t="s">
        <v>12075</v>
      </c>
      <c r="D808" s="44" t="s">
        <v>10686</v>
      </c>
      <c r="E808" s="31"/>
      <c r="F808" s="31" t="s">
        <v>3600</v>
      </c>
      <c r="G808" s="31" t="n">
        <v>30</v>
      </c>
      <c r="H808" s="31" t="s">
        <v>1947</v>
      </c>
      <c r="I808" s="44" t="s">
        <v>3579</v>
      </c>
      <c r="J808" s="45" t="s">
        <v>3602</v>
      </c>
      <c r="K808" s="45" t="s">
        <v>3604</v>
      </c>
      <c r="L808" s="31" t="n">
        <f aca="false">COUNTIF($B$3:$B$2205,$B808)</f>
        <v>1</v>
      </c>
      <c r="M808" s="44" t="str">
        <f aca="false">IFERROR(INDEX(SENTENCES!$T$3:$T$1802,MATCH($F808,SENTENCES!$A$3:$A$1802,0)),"")</f>
        <v>• Chưa tới</v>
      </c>
    </row>
    <row r="809" customFormat="false" ht="15" hidden="false" customHeight="false" outlineLevel="0" collapsed="false">
      <c r="A809" s="31" t="n">
        <v>807</v>
      </c>
      <c r="B809" s="43" t="s">
        <v>12076</v>
      </c>
      <c r="C809" s="34" t="s">
        <v>12077</v>
      </c>
      <c r="D809" s="44" t="s">
        <v>10686</v>
      </c>
      <c r="E809" s="31"/>
      <c r="F809" s="31" t="s">
        <v>3606</v>
      </c>
      <c r="G809" s="31" t="n">
        <v>30</v>
      </c>
      <c r="H809" s="31" t="s">
        <v>1947</v>
      </c>
      <c r="I809" s="44" t="s">
        <v>3579</v>
      </c>
      <c r="J809" s="45" t="s">
        <v>3608</v>
      </c>
      <c r="K809" s="45" t="s">
        <v>3610</v>
      </c>
      <c r="L809" s="31" t="n">
        <f aca="false">COUNTIF($B$3:$B$2205,$B809)</f>
        <v>4</v>
      </c>
      <c r="M809" s="44" t="str">
        <f aca="false">IFERROR(INDEX(SENTENCES!$T$3:$T$1802,MATCH($F809,SENTENCES!$A$3:$A$1802,0)),"")</f>
        <v>• Chưa tới</v>
      </c>
    </row>
    <row r="810" customFormat="false" ht="15" hidden="false" customHeight="false" outlineLevel="0" collapsed="false">
      <c r="A810" s="31" t="n">
        <v>808</v>
      </c>
      <c r="B810" s="43" t="s">
        <v>11101</v>
      </c>
      <c r="C810" s="34" t="s">
        <v>10934</v>
      </c>
      <c r="D810" s="44" t="s">
        <v>10677</v>
      </c>
      <c r="E810" s="31" t="s">
        <v>10707</v>
      </c>
      <c r="F810" s="31" t="s">
        <v>3612</v>
      </c>
      <c r="G810" s="31" t="n">
        <v>30</v>
      </c>
      <c r="H810" s="31" t="s">
        <v>1947</v>
      </c>
      <c r="I810" s="44" t="s">
        <v>3579</v>
      </c>
      <c r="J810" s="45" t="s">
        <v>3614</v>
      </c>
      <c r="K810" s="45" t="s">
        <v>3616</v>
      </c>
      <c r="L810" s="31" t="n">
        <f aca="false">COUNTIF($B$3:$B$2205,$B810)</f>
        <v>2</v>
      </c>
      <c r="M810" s="44" t="str">
        <f aca="false">IFERROR(INDEX(SENTENCES!$T$3:$T$1802,MATCH($F810,SENTENCES!$A$3:$A$1802,0)),"")</f>
        <v>• Chưa tới</v>
      </c>
    </row>
    <row r="811" customFormat="false" ht="15" hidden="false" customHeight="false" outlineLevel="0" collapsed="false">
      <c r="A811" s="31" t="n">
        <v>809</v>
      </c>
      <c r="B811" s="43" t="s">
        <v>11702</v>
      </c>
      <c r="C811" s="34" t="s">
        <v>12078</v>
      </c>
      <c r="D811" s="44" t="s">
        <v>10794</v>
      </c>
      <c r="E811" s="31"/>
      <c r="F811" s="31" t="s">
        <v>3618</v>
      </c>
      <c r="G811" s="31" t="n">
        <v>30</v>
      </c>
      <c r="H811" s="31" t="s">
        <v>1947</v>
      </c>
      <c r="I811" s="44" t="s">
        <v>3579</v>
      </c>
      <c r="J811" s="45" t="s">
        <v>3620</v>
      </c>
      <c r="K811" s="45" t="s">
        <v>3622</v>
      </c>
      <c r="L811" s="31" t="n">
        <f aca="false">COUNTIF($B$3:$B$2205,$B811)</f>
        <v>3</v>
      </c>
      <c r="M811" s="44" t="str">
        <f aca="false">IFERROR(INDEX(SENTENCES!$T$3:$T$1802,MATCH($F811,SENTENCES!$A$3:$A$1802,0)),"")</f>
        <v>• Chưa tới</v>
      </c>
    </row>
    <row r="812" customFormat="false" ht="15" hidden="false" customHeight="false" outlineLevel="0" collapsed="false">
      <c r="A812" s="31" t="n">
        <v>810</v>
      </c>
      <c r="B812" s="43" t="s">
        <v>12047</v>
      </c>
      <c r="C812" s="34" t="s">
        <v>12048</v>
      </c>
      <c r="D812" s="44" t="s">
        <v>10754</v>
      </c>
      <c r="E812" s="31"/>
      <c r="F812" s="31" t="s">
        <v>3624</v>
      </c>
      <c r="G812" s="31" t="n">
        <v>30</v>
      </c>
      <c r="H812" s="31" t="s">
        <v>1947</v>
      </c>
      <c r="I812" s="44" t="s">
        <v>3579</v>
      </c>
      <c r="J812" s="45" t="s">
        <v>3625</v>
      </c>
      <c r="K812" s="45" t="s">
        <v>3627</v>
      </c>
      <c r="L812" s="31" t="n">
        <f aca="false">COUNTIF($B$3:$B$2205,$B812)</f>
        <v>3</v>
      </c>
      <c r="M812" s="44" t="str">
        <f aca="false">IFERROR(INDEX(SENTENCES!$T$3:$T$1802,MATCH($F812,SENTENCES!$A$3:$A$1802,0)),"")</f>
        <v>• Chưa tới</v>
      </c>
    </row>
    <row r="813" customFormat="false" ht="15" hidden="false" customHeight="false" outlineLevel="0" collapsed="false">
      <c r="A813" s="31" t="n">
        <v>811</v>
      </c>
      <c r="B813" s="43" t="s">
        <v>11658</v>
      </c>
      <c r="C813" s="34" t="s">
        <v>11659</v>
      </c>
      <c r="D813" s="44" t="s">
        <v>10681</v>
      </c>
      <c r="E813" s="31"/>
      <c r="F813" s="31" t="s">
        <v>3628</v>
      </c>
      <c r="G813" s="31" t="n">
        <v>30</v>
      </c>
      <c r="H813" s="31" t="s">
        <v>1947</v>
      </c>
      <c r="I813" s="44" t="s">
        <v>3579</v>
      </c>
      <c r="J813" s="45" t="s">
        <v>3629</v>
      </c>
      <c r="K813" s="45" t="s">
        <v>3631</v>
      </c>
      <c r="L813" s="31" t="n">
        <f aca="false">COUNTIF($B$3:$B$2205,$B813)</f>
        <v>4</v>
      </c>
      <c r="M813" s="44" t="str">
        <f aca="false">IFERROR(INDEX(SENTENCES!$T$3:$T$1802,MATCH($F813,SENTENCES!$A$3:$A$1802,0)),"")</f>
        <v>• Chưa tới</v>
      </c>
    </row>
    <row r="814" customFormat="false" ht="15" hidden="false" customHeight="false" outlineLevel="0" collapsed="false">
      <c r="A814" s="31" t="n">
        <v>812</v>
      </c>
      <c r="B814" s="43" t="s">
        <v>12079</v>
      </c>
      <c r="C814" s="34" t="s">
        <v>12080</v>
      </c>
      <c r="D814" s="44" t="s">
        <v>10677</v>
      </c>
      <c r="E814" s="31" t="s">
        <v>10678</v>
      </c>
      <c r="F814" s="31" t="s">
        <v>3632</v>
      </c>
      <c r="G814" s="31" t="n">
        <v>30</v>
      </c>
      <c r="H814" s="31" t="s">
        <v>1947</v>
      </c>
      <c r="I814" s="44" t="s">
        <v>3579</v>
      </c>
      <c r="J814" s="45" t="s">
        <v>3634</v>
      </c>
      <c r="K814" s="45" t="s">
        <v>3636</v>
      </c>
      <c r="L814" s="31" t="n">
        <f aca="false">COUNTIF($B$3:$B$2205,$B814)</f>
        <v>2</v>
      </c>
      <c r="M814" s="44" t="str">
        <f aca="false">IFERROR(INDEX(SENTENCES!$T$3:$T$1802,MATCH($F814,SENTENCES!$A$3:$A$1802,0)),"")</f>
        <v>• Chưa tới</v>
      </c>
    </row>
    <row r="815" customFormat="false" ht="15" hidden="false" customHeight="false" outlineLevel="0" collapsed="false">
      <c r="A815" s="31" t="n">
        <v>813</v>
      </c>
      <c r="B815" s="43" t="s">
        <v>11931</v>
      </c>
      <c r="C815" s="34" t="s">
        <v>11932</v>
      </c>
      <c r="D815" s="44" t="s">
        <v>10677</v>
      </c>
      <c r="E815" s="31" t="s">
        <v>10707</v>
      </c>
      <c r="F815" s="31" t="s">
        <v>3638</v>
      </c>
      <c r="G815" s="31" t="n">
        <v>30</v>
      </c>
      <c r="H815" s="31" t="s">
        <v>1947</v>
      </c>
      <c r="I815" s="44" t="s">
        <v>3579</v>
      </c>
      <c r="J815" s="45" t="s">
        <v>3640</v>
      </c>
      <c r="K815" s="45" t="s">
        <v>3642</v>
      </c>
      <c r="L815" s="31" t="n">
        <f aca="false">COUNTIF($B$3:$B$2205,$B815)</f>
        <v>3</v>
      </c>
      <c r="M815" s="44" t="str">
        <f aca="false">IFERROR(INDEX(SENTENCES!$T$3:$T$1802,MATCH($F815,SENTENCES!$A$3:$A$1802,0)),"")</f>
        <v>• Chưa tới</v>
      </c>
    </row>
    <row r="816" customFormat="false" ht="15" hidden="false" customHeight="false" outlineLevel="0" collapsed="false">
      <c r="A816" s="31" t="n">
        <v>814</v>
      </c>
      <c r="B816" s="43" t="s">
        <v>12081</v>
      </c>
      <c r="C816" s="34" t="s">
        <v>12082</v>
      </c>
      <c r="D816" s="44" t="s">
        <v>10754</v>
      </c>
      <c r="E816" s="31"/>
      <c r="F816" s="31" t="s">
        <v>3643</v>
      </c>
      <c r="G816" s="31" t="n">
        <v>30</v>
      </c>
      <c r="H816" s="31" t="s">
        <v>1947</v>
      </c>
      <c r="I816" s="44" t="s">
        <v>3579</v>
      </c>
      <c r="J816" s="45" t="s">
        <v>3645</v>
      </c>
      <c r="K816" s="45" t="s">
        <v>3647</v>
      </c>
      <c r="L816" s="31" t="n">
        <f aca="false">COUNTIF($B$3:$B$2205,$B816)</f>
        <v>2</v>
      </c>
      <c r="M816" s="44" t="str">
        <f aca="false">IFERROR(INDEX(SENTENCES!$T$3:$T$1802,MATCH($F816,SENTENCES!$A$3:$A$1802,0)),"")</f>
        <v>• Chưa tới</v>
      </c>
    </row>
    <row r="817" customFormat="false" ht="15" hidden="false" customHeight="false" outlineLevel="0" collapsed="false">
      <c r="A817" s="31" t="n">
        <v>815</v>
      </c>
      <c r="B817" s="43" t="s">
        <v>12083</v>
      </c>
      <c r="C817" s="34" t="s">
        <v>12084</v>
      </c>
      <c r="D817" s="44" t="s">
        <v>10677</v>
      </c>
      <c r="E817" s="31" t="s">
        <v>10747</v>
      </c>
      <c r="F817" s="31" t="s">
        <v>3643</v>
      </c>
      <c r="G817" s="31" t="n">
        <v>30</v>
      </c>
      <c r="H817" s="31" t="s">
        <v>1947</v>
      </c>
      <c r="I817" s="44" t="s">
        <v>3579</v>
      </c>
      <c r="J817" s="45" t="s">
        <v>3645</v>
      </c>
      <c r="K817" s="45" t="s">
        <v>3647</v>
      </c>
      <c r="L817" s="31" t="n">
        <f aca="false">COUNTIF($B$3:$B$2205,$B817)</f>
        <v>1</v>
      </c>
      <c r="M817" s="44" t="str">
        <f aca="false">IFERROR(INDEX(SENTENCES!$T$3:$T$1802,MATCH($F817,SENTENCES!$A$3:$A$1802,0)),"")</f>
        <v>• Chưa tới</v>
      </c>
    </row>
    <row r="818" customFormat="false" ht="15" hidden="false" customHeight="false" outlineLevel="0" collapsed="false">
      <c r="A818" s="31" t="n">
        <v>816</v>
      </c>
      <c r="B818" s="43" t="s">
        <v>12085</v>
      </c>
      <c r="C818" s="34" t="s">
        <v>12086</v>
      </c>
      <c r="D818" s="44" t="s">
        <v>10681</v>
      </c>
      <c r="E818" s="31"/>
      <c r="F818" s="31" t="s">
        <v>3649</v>
      </c>
      <c r="G818" s="31" t="n">
        <v>30</v>
      </c>
      <c r="H818" s="31" t="s">
        <v>1947</v>
      </c>
      <c r="I818" s="44" t="s">
        <v>3579</v>
      </c>
      <c r="J818" s="45" t="s">
        <v>3651</v>
      </c>
      <c r="K818" s="45" t="s">
        <v>3653</v>
      </c>
      <c r="L818" s="31" t="n">
        <f aca="false">COUNTIF($B$3:$B$2205,$B818)</f>
        <v>2</v>
      </c>
      <c r="M818" s="44" t="str">
        <f aca="false">IFERROR(INDEX(SENTENCES!$T$3:$T$1802,MATCH($F818,SENTENCES!$A$3:$A$1802,0)),"")</f>
        <v>• Chưa tới</v>
      </c>
    </row>
    <row r="819" customFormat="false" ht="15" hidden="false" customHeight="false" outlineLevel="0" collapsed="false">
      <c r="A819" s="31" t="n">
        <v>817</v>
      </c>
      <c r="B819" s="43" t="s">
        <v>12087</v>
      </c>
      <c r="C819" s="34" t="s">
        <v>12088</v>
      </c>
      <c r="D819" s="44" t="s">
        <v>10686</v>
      </c>
      <c r="E819" s="31"/>
      <c r="F819" s="31" t="s">
        <v>3655</v>
      </c>
      <c r="G819" s="31" t="n">
        <v>30</v>
      </c>
      <c r="H819" s="31" t="s">
        <v>1947</v>
      </c>
      <c r="I819" s="44" t="s">
        <v>3579</v>
      </c>
      <c r="J819" s="45" t="s">
        <v>3658</v>
      </c>
      <c r="K819" s="45" t="s">
        <v>3660</v>
      </c>
      <c r="L819" s="31" t="n">
        <f aca="false">COUNTIF($B$3:$B$2205,$B819)</f>
        <v>1</v>
      </c>
      <c r="M819" s="44" t="str">
        <f aca="false">IFERROR(INDEX(SENTENCES!$T$3:$T$1802,MATCH($F819,SENTENCES!$A$3:$A$1802,0)),"")</f>
        <v>• Chưa tới</v>
      </c>
    </row>
    <row r="820" customFormat="false" ht="15" hidden="false" customHeight="false" outlineLevel="0" collapsed="false">
      <c r="A820" s="31" t="n">
        <v>818</v>
      </c>
      <c r="B820" s="43" t="s">
        <v>11978</v>
      </c>
      <c r="C820" s="34" t="s">
        <v>12089</v>
      </c>
      <c r="D820" s="44" t="s">
        <v>10686</v>
      </c>
      <c r="E820" s="31"/>
      <c r="F820" s="31" t="s">
        <v>3655</v>
      </c>
      <c r="G820" s="31" t="n">
        <v>30</v>
      </c>
      <c r="H820" s="31" t="s">
        <v>1947</v>
      </c>
      <c r="I820" s="44" t="s">
        <v>3579</v>
      </c>
      <c r="J820" s="45" t="s">
        <v>3658</v>
      </c>
      <c r="K820" s="45" t="s">
        <v>3660</v>
      </c>
      <c r="L820" s="31" t="n">
        <f aca="false">COUNTIF($B$3:$B$2205,$B820)</f>
        <v>3</v>
      </c>
      <c r="M820" s="44" t="str">
        <f aca="false">IFERROR(INDEX(SENTENCES!$T$3:$T$1802,MATCH($F820,SENTENCES!$A$3:$A$1802,0)),"")</f>
        <v>• Chưa tới</v>
      </c>
    </row>
    <row r="821" customFormat="false" ht="15" hidden="false" customHeight="false" outlineLevel="0" collapsed="false">
      <c r="A821" s="31" t="n">
        <v>819</v>
      </c>
      <c r="B821" s="43" t="s">
        <v>12090</v>
      </c>
      <c r="C821" s="34" t="s">
        <v>12091</v>
      </c>
      <c r="D821" s="44" t="s">
        <v>10754</v>
      </c>
      <c r="E821" s="31"/>
      <c r="F821" s="31" t="s">
        <v>3662</v>
      </c>
      <c r="G821" s="31" t="n">
        <v>30</v>
      </c>
      <c r="H821" s="31" t="s">
        <v>1947</v>
      </c>
      <c r="I821" s="44" t="s">
        <v>3579</v>
      </c>
      <c r="J821" s="45" t="s">
        <v>3664</v>
      </c>
      <c r="K821" s="45" t="s">
        <v>3666</v>
      </c>
      <c r="L821" s="31" t="n">
        <f aca="false">COUNTIF($B$3:$B$2205,$B821)</f>
        <v>2</v>
      </c>
      <c r="M821" s="44" t="str">
        <f aca="false">IFERROR(INDEX(SENTENCES!$T$3:$T$1802,MATCH($F821,SENTENCES!$A$3:$A$1802,0)),"")</f>
        <v>• Chưa tới</v>
      </c>
    </row>
    <row r="822" customFormat="false" ht="15" hidden="false" customHeight="false" outlineLevel="0" collapsed="false">
      <c r="A822" s="31" t="n">
        <v>820</v>
      </c>
      <c r="B822" s="43" t="s">
        <v>12092</v>
      </c>
      <c r="C822" s="34" t="s">
        <v>12093</v>
      </c>
      <c r="D822" s="44" t="s">
        <v>10686</v>
      </c>
      <c r="E822" s="31"/>
      <c r="F822" s="31" t="s">
        <v>3668</v>
      </c>
      <c r="G822" s="31" t="n">
        <v>30</v>
      </c>
      <c r="H822" s="31" t="s">
        <v>1947</v>
      </c>
      <c r="I822" s="44" t="s">
        <v>3579</v>
      </c>
      <c r="J822" s="45" t="s">
        <v>3670</v>
      </c>
      <c r="K822" s="45" t="s">
        <v>3672</v>
      </c>
      <c r="L822" s="31" t="n">
        <f aca="false">COUNTIF($B$3:$B$2205,$B822)</f>
        <v>1</v>
      </c>
      <c r="M822" s="44" t="str">
        <f aca="false">IFERROR(INDEX(SENTENCES!$T$3:$T$1802,MATCH($F822,SENTENCES!$A$3:$A$1802,0)),"")</f>
        <v>• Chưa tới</v>
      </c>
    </row>
    <row r="823" customFormat="false" ht="15" hidden="false" customHeight="false" outlineLevel="0" collapsed="false">
      <c r="A823" s="31" t="n">
        <v>821</v>
      </c>
      <c r="B823" s="43" t="s">
        <v>12094</v>
      </c>
      <c r="C823" s="34" t="s">
        <v>12095</v>
      </c>
      <c r="D823" s="44" t="s">
        <v>10686</v>
      </c>
      <c r="E823" s="31"/>
      <c r="F823" s="31" t="s">
        <v>3674</v>
      </c>
      <c r="G823" s="31" t="n">
        <v>30</v>
      </c>
      <c r="H823" s="31" t="s">
        <v>1947</v>
      </c>
      <c r="I823" s="44" t="s">
        <v>3579</v>
      </c>
      <c r="J823" s="45" t="s">
        <v>3676</v>
      </c>
      <c r="K823" s="45" t="s">
        <v>3678</v>
      </c>
      <c r="L823" s="31" t="n">
        <f aca="false">COUNTIF($B$3:$B$2205,$B823)</f>
        <v>5</v>
      </c>
      <c r="M823" s="44" t="str">
        <f aca="false">IFERROR(INDEX(SENTENCES!$T$3:$T$1802,MATCH($F823,SENTENCES!$A$3:$A$1802,0)),"")</f>
        <v>• Chưa tới</v>
      </c>
    </row>
    <row r="824" customFormat="false" ht="15" hidden="false" customHeight="false" outlineLevel="0" collapsed="false">
      <c r="A824" s="31" t="n">
        <v>822</v>
      </c>
      <c r="B824" s="43" t="s">
        <v>12096</v>
      </c>
      <c r="C824" s="34" t="s">
        <v>12097</v>
      </c>
      <c r="D824" s="44" t="s">
        <v>10794</v>
      </c>
      <c r="E824" s="31"/>
      <c r="F824" s="31" t="s">
        <v>3680</v>
      </c>
      <c r="G824" s="31" t="n">
        <v>30</v>
      </c>
      <c r="H824" s="31" t="s">
        <v>1947</v>
      </c>
      <c r="I824" s="44" t="s">
        <v>3579</v>
      </c>
      <c r="J824" s="45" t="s">
        <v>3681</v>
      </c>
      <c r="K824" s="45" t="s">
        <v>3683</v>
      </c>
      <c r="L824" s="31" t="n">
        <f aca="false">COUNTIF($B$3:$B$2205,$B824)</f>
        <v>2</v>
      </c>
      <c r="M824" s="44" t="str">
        <f aca="false">IFERROR(INDEX(SENTENCES!$T$3:$T$1802,MATCH($F824,SENTENCES!$A$3:$A$1802,0)),"")</f>
        <v>• Chưa tới</v>
      </c>
    </row>
    <row r="825" customFormat="false" ht="15" hidden="false" customHeight="false" outlineLevel="0" collapsed="false">
      <c r="A825" s="31" t="n">
        <v>823</v>
      </c>
      <c r="B825" s="43" t="s">
        <v>12098</v>
      </c>
      <c r="C825" s="34" t="s">
        <v>12099</v>
      </c>
      <c r="D825" s="44" t="s">
        <v>10794</v>
      </c>
      <c r="E825" s="31"/>
      <c r="F825" s="31" t="s">
        <v>3685</v>
      </c>
      <c r="G825" s="31" t="n">
        <v>30</v>
      </c>
      <c r="H825" s="31" t="s">
        <v>1947</v>
      </c>
      <c r="I825" s="44" t="s">
        <v>3579</v>
      </c>
      <c r="J825" s="45" t="s">
        <v>3687</v>
      </c>
      <c r="K825" s="45" t="s">
        <v>3689</v>
      </c>
      <c r="L825" s="31" t="n">
        <f aca="false">COUNTIF($B$3:$B$2205,$B825)</f>
        <v>1</v>
      </c>
      <c r="M825" s="44" t="str">
        <f aca="false">IFERROR(INDEX(SENTENCES!$T$3:$T$1802,MATCH($F825,SENTENCES!$A$3:$A$1802,0)),"")</f>
        <v>• Chưa tới</v>
      </c>
    </row>
    <row r="826" customFormat="false" ht="15" hidden="false" customHeight="false" outlineLevel="0" collapsed="false">
      <c r="A826" s="31" t="n">
        <v>824</v>
      </c>
      <c r="B826" s="43" t="s">
        <v>12100</v>
      </c>
      <c r="C826" s="34" t="s">
        <v>12101</v>
      </c>
      <c r="D826" s="44" t="s">
        <v>10681</v>
      </c>
      <c r="E826" s="31"/>
      <c r="F826" s="31" t="s">
        <v>3691</v>
      </c>
      <c r="G826" s="31" t="n">
        <v>31</v>
      </c>
      <c r="H826" s="31" t="s">
        <v>3692</v>
      </c>
      <c r="I826" s="44" t="s">
        <v>3693</v>
      </c>
      <c r="J826" s="45" t="s">
        <v>3696</v>
      </c>
      <c r="K826" s="45" t="s">
        <v>3698</v>
      </c>
      <c r="L826" s="31" t="n">
        <f aca="false">COUNTIF($B$3:$B$2205,$B826)</f>
        <v>1</v>
      </c>
      <c r="M826" s="44" t="str">
        <f aca="false">IFERROR(INDEX(SENTENCES!$T$3:$T$1802,MATCH($F826,SENTENCES!$A$3:$A$1802,0)),"")</f>
        <v>• Chưa tới</v>
      </c>
    </row>
    <row r="827" customFormat="false" ht="15" hidden="false" customHeight="false" outlineLevel="0" collapsed="false">
      <c r="A827" s="31" t="n">
        <v>825</v>
      </c>
      <c r="B827" s="43" t="s">
        <v>10984</v>
      </c>
      <c r="C827" s="34" t="s">
        <v>10985</v>
      </c>
      <c r="D827" s="44" t="s">
        <v>10794</v>
      </c>
      <c r="E827" s="31"/>
      <c r="F827" s="31" t="s">
        <v>3691</v>
      </c>
      <c r="G827" s="31" t="n">
        <v>31</v>
      </c>
      <c r="H827" s="31" t="s">
        <v>3692</v>
      </c>
      <c r="I827" s="44" t="s">
        <v>3693</v>
      </c>
      <c r="J827" s="45" t="s">
        <v>3696</v>
      </c>
      <c r="K827" s="45" t="s">
        <v>3698</v>
      </c>
      <c r="L827" s="31" t="n">
        <f aca="false">COUNTIF($B$3:$B$2205,$B827)</f>
        <v>2</v>
      </c>
      <c r="M827" s="44" t="str">
        <f aca="false">IFERROR(INDEX(SENTENCES!$T$3:$T$1802,MATCH($F827,SENTENCES!$A$3:$A$1802,0)),"")</f>
        <v>• Chưa tới</v>
      </c>
    </row>
    <row r="828" customFormat="false" ht="15" hidden="false" customHeight="false" outlineLevel="0" collapsed="false">
      <c r="A828" s="31" t="n">
        <v>826</v>
      </c>
      <c r="B828" s="43" t="s">
        <v>10752</v>
      </c>
      <c r="C828" s="34" t="s">
        <v>12102</v>
      </c>
      <c r="D828" s="44" t="s">
        <v>10754</v>
      </c>
      <c r="E828" s="31"/>
      <c r="F828" s="31" t="s">
        <v>3700</v>
      </c>
      <c r="G828" s="31" t="n">
        <v>31</v>
      </c>
      <c r="H828" s="31" t="s">
        <v>3692</v>
      </c>
      <c r="I828" s="44" t="s">
        <v>3693</v>
      </c>
      <c r="J828" s="45" t="s">
        <v>3702</v>
      </c>
      <c r="K828" s="45" t="s">
        <v>3704</v>
      </c>
      <c r="L828" s="31" t="n">
        <f aca="false">COUNTIF($B$3:$B$2205,$B828)</f>
        <v>2</v>
      </c>
      <c r="M828" s="44" t="str">
        <f aca="false">IFERROR(INDEX(SENTENCES!$T$3:$T$1802,MATCH($F828,SENTENCES!$A$3:$A$1802,0)),"")</f>
        <v>• Chưa tới</v>
      </c>
    </row>
    <row r="829" customFormat="false" ht="15" hidden="false" customHeight="false" outlineLevel="0" collapsed="false">
      <c r="A829" s="31" t="n">
        <v>827</v>
      </c>
      <c r="B829" s="43" t="s">
        <v>12103</v>
      </c>
      <c r="C829" s="34" t="s">
        <v>12104</v>
      </c>
      <c r="D829" s="44" t="s">
        <v>10686</v>
      </c>
      <c r="E829" s="31"/>
      <c r="F829" s="31" t="s">
        <v>3706</v>
      </c>
      <c r="G829" s="31" t="n">
        <v>31</v>
      </c>
      <c r="H829" s="31" t="s">
        <v>3692</v>
      </c>
      <c r="I829" s="44" t="s">
        <v>3693</v>
      </c>
      <c r="J829" s="45" t="s">
        <v>3708</v>
      </c>
      <c r="K829" s="45" t="s">
        <v>3710</v>
      </c>
      <c r="L829" s="31" t="n">
        <f aca="false">COUNTIF($B$3:$B$2205,$B829)</f>
        <v>2</v>
      </c>
      <c r="M829" s="44" t="str">
        <f aca="false">IFERROR(INDEX(SENTENCES!$T$3:$T$1802,MATCH($F829,SENTENCES!$A$3:$A$1802,0)),"")</f>
        <v>• Chưa tới</v>
      </c>
    </row>
    <row r="830" customFormat="false" ht="15" hidden="false" customHeight="false" outlineLevel="0" collapsed="false">
      <c r="A830" s="31" t="n">
        <v>828</v>
      </c>
      <c r="B830" s="43" t="s">
        <v>10847</v>
      </c>
      <c r="C830" s="34" t="s">
        <v>10792</v>
      </c>
      <c r="D830" s="44" t="s">
        <v>10686</v>
      </c>
      <c r="E830" s="31"/>
      <c r="F830" s="31" t="s">
        <v>3712</v>
      </c>
      <c r="G830" s="31" t="n">
        <v>31</v>
      </c>
      <c r="H830" s="31" t="s">
        <v>3692</v>
      </c>
      <c r="I830" s="44" t="s">
        <v>3693</v>
      </c>
      <c r="J830" s="45" t="s">
        <v>3714</v>
      </c>
      <c r="K830" s="45" t="s">
        <v>3716</v>
      </c>
      <c r="L830" s="31" t="n">
        <f aca="false">COUNTIF($B$3:$B$2205,$B830)</f>
        <v>3</v>
      </c>
      <c r="M830" s="44" t="str">
        <f aca="false">IFERROR(INDEX(SENTENCES!$T$3:$T$1802,MATCH($F830,SENTENCES!$A$3:$A$1802,0)),"")</f>
        <v>• Chưa tới</v>
      </c>
    </row>
    <row r="831" customFormat="false" ht="15" hidden="false" customHeight="false" outlineLevel="0" collapsed="false">
      <c r="A831" s="31" t="n">
        <v>829</v>
      </c>
      <c r="B831" s="43" t="s">
        <v>12105</v>
      </c>
      <c r="C831" s="34" t="s">
        <v>12106</v>
      </c>
      <c r="D831" s="44" t="s">
        <v>10681</v>
      </c>
      <c r="E831" s="31"/>
      <c r="F831" s="31" t="s">
        <v>3718</v>
      </c>
      <c r="G831" s="31" t="n">
        <v>31</v>
      </c>
      <c r="H831" s="31" t="s">
        <v>3692</v>
      </c>
      <c r="I831" s="44" t="s">
        <v>3693</v>
      </c>
      <c r="J831" s="45" t="s">
        <v>3720</v>
      </c>
      <c r="K831" s="45" t="s">
        <v>3722</v>
      </c>
      <c r="L831" s="31" t="n">
        <f aca="false">COUNTIF($B$3:$B$2205,$B831)</f>
        <v>1</v>
      </c>
      <c r="M831" s="44" t="str">
        <f aca="false">IFERROR(INDEX(SENTENCES!$T$3:$T$1802,MATCH($F831,SENTENCES!$A$3:$A$1802,0)),"")</f>
        <v>• Chưa tới</v>
      </c>
    </row>
    <row r="832" customFormat="false" ht="15" hidden="false" customHeight="false" outlineLevel="0" collapsed="false">
      <c r="A832" s="31" t="n">
        <v>830</v>
      </c>
      <c r="B832" s="43" t="s">
        <v>12107</v>
      </c>
      <c r="C832" s="34" t="s">
        <v>12108</v>
      </c>
      <c r="D832" s="44" t="s">
        <v>10686</v>
      </c>
      <c r="E832" s="31"/>
      <c r="F832" s="31" t="s">
        <v>3724</v>
      </c>
      <c r="G832" s="31" t="n">
        <v>31</v>
      </c>
      <c r="H832" s="31" t="s">
        <v>3692</v>
      </c>
      <c r="I832" s="44" t="s">
        <v>3693</v>
      </c>
      <c r="J832" s="45" t="s">
        <v>3726</v>
      </c>
      <c r="K832" s="45" t="s">
        <v>3728</v>
      </c>
      <c r="L832" s="31" t="n">
        <f aca="false">COUNTIF($B$3:$B$2205,$B832)</f>
        <v>3</v>
      </c>
      <c r="M832" s="44" t="str">
        <f aca="false">IFERROR(INDEX(SENTENCES!$T$3:$T$1802,MATCH($F832,SENTENCES!$A$3:$A$1802,0)),"")</f>
        <v>• Chưa tới</v>
      </c>
    </row>
    <row r="833" customFormat="false" ht="15" hidden="false" customHeight="false" outlineLevel="0" collapsed="false">
      <c r="A833" s="31" t="n">
        <v>831</v>
      </c>
      <c r="B833" s="43" t="s">
        <v>12109</v>
      </c>
      <c r="C833" s="34" t="s">
        <v>12110</v>
      </c>
      <c r="D833" s="44" t="s">
        <v>10686</v>
      </c>
      <c r="E833" s="31"/>
      <c r="F833" s="31" t="s">
        <v>3730</v>
      </c>
      <c r="G833" s="31" t="n">
        <v>31</v>
      </c>
      <c r="H833" s="31" t="s">
        <v>3692</v>
      </c>
      <c r="I833" s="44" t="s">
        <v>3693</v>
      </c>
      <c r="J833" s="45" t="s">
        <v>3732</v>
      </c>
      <c r="K833" s="45" t="s">
        <v>3734</v>
      </c>
      <c r="L833" s="31" t="n">
        <f aca="false">COUNTIF($B$3:$B$2205,$B833)</f>
        <v>3</v>
      </c>
      <c r="M833" s="44" t="str">
        <f aca="false">IFERROR(INDEX(SENTENCES!$T$3:$T$1802,MATCH($F833,SENTENCES!$A$3:$A$1802,0)),"")</f>
        <v>• Chưa tới</v>
      </c>
    </row>
    <row r="834" customFormat="false" ht="15" hidden="false" customHeight="false" outlineLevel="0" collapsed="false">
      <c r="A834" s="31" t="n">
        <v>832</v>
      </c>
      <c r="B834" s="43" t="s">
        <v>12111</v>
      </c>
      <c r="C834" s="34" t="s">
        <v>12112</v>
      </c>
      <c r="D834" s="44" t="s">
        <v>10754</v>
      </c>
      <c r="E834" s="31"/>
      <c r="F834" s="31" t="s">
        <v>3730</v>
      </c>
      <c r="G834" s="31" t="n">
        <v>31</v>
      </c>
      <c r="H834" s="31" t="s">
        <v>3692</v>
      </c>
      <c r="I834" s="44" t="s">
        <v>3693</v>
      </c>
      <c r="J834" s="45" t="s">
        <v>3732</v>
      </c>
      <c r="K834" s="45" t="s">
        <v>3734</v>
      </c>
      <c r="L834" s="31" t="n">
        <f aca="false">COUNTIF($B$3:$B$2205,$B834)</f>
        <v>1</v>
      </c>
      <c r="M834" s="44" t="str">
        <f aca="false">IFERROR(INDEX(SENTENCES!$T$3:$T$1802,MATCH($F834,SENTENCES!$A$3:$A$1802,0)),"")</f>
        <v>• Chưa tới</v>
      </c>
    </row>
    <row r="835" customFormat="false" ht="15" hidden="false" customHeight="false" outlineLevel="0" collapsed="false">
      <c r="A835" s="31" t="n">
        <v>833</v>
      </c>
      <c r="B835" s="43" t="s">
        <v>11615</v>
      </c>
      <c r="C835" s="34" t="s">
        <v>11616</v>
      </c>
      <c r="D835" s="44" t="s">
        <v>10686</v>
      </c>
      <c r="E835" s="31"/>
      <c r="F835" s="31" t="s">
        <v>3736</v>
      </c>
      <c r="G835" s="31" t="n">
        <v>31</v>
      </c>
      <c r="H835" s="31" t="s">
        <v>3692</v>
      </c>
      <c r="I835" s="44" t="s">
        <v>3693</v>
      </c>
      <c r="J835" s="45" t="s">
        <v>3738</v>
      </c>
      <c r="K835" s="45" t="s">
        <v>3740</v>
      </c>
      <c r="L835" s="31" t="n">
        <f aca="false">COUNTIF($B$3:$B$2205,$B835)</f>
        <v>3</v>
      </c>
      <c r="M835" s="44" t="str">
        <f aca="false">IFERROR(INDEX(SENTENCES!$T$3:$T$1802,MATCH($F835,SENTENCES!$A$3:$A$1802,0)),"")</f>
        <v>• Chưa tới</v>
      </c>
    </row>
    <row r="836" customFormat="false" ht="15" hidden="false" customHeight="false" outlineLevel="0" collapsed="false">
      <c r="A836" s="31" t="n">
        <v>834</v>
      </c>
      <c r="B836" s="43" t="s">
        <v>12113</v>
      </c>
      <c r="C836" s="34" t="s">
        <v>12114</v>
      </c>
      <c r="D836" s="44" t="s">
        <v>10794</v>
      </c>
      <c r="E836" s="31"/>
      <c r="F836" s="31" t="s">
        <v>3741</v>
      </c>
      <c r="G836" s="31" t="n">
        <v>31</v>
      </c>
      <c r="H836" s="31" t="s">
        <v>3692</v>
      </c>
      <c r="I836" s="44" t="s">
        <v>3693</v>
      </c>
      <c r="J836" s="45" t="s">
        <v>3743</v>
      </c>
      <c r="K836" s="45" t="s">
        <v>3745</v>
      </c>
      <c r="L836" s="31" t="n">
        <f aca="false">COUNTIF($B$3:$B$2205,$B836)</f>
        <v>1</v>
      </c>
      <c r="M836" s="44" t="str">
        <f aca="false">IFERROR(INDEX(SENTENCES!$T$3:$T$1802,MATCH($F836,SENTENCES!$A$3:$A$1802,0)),"")</f>
        <v>• Chưa tới</v>
      </c>
    </row>
    <row r="837" customFormat="false" ht="15" hidden="false" customHeight="false" outlineLevel="0" collapsed="false">
      <c r="A837" s="31" t="n">
        <v>835</v>
      </c>
      <c r="B837" s="43" t="s">
        <v>12115</v>
      </c>
      <c r="C837" s="34" t="s">
        <v>12116</v>
      </c>
      <c r="D837" s="44" t="s">
        <v>10686</v>
      </c>
      <c r="E837" s="31"/>
      <c r="F837" s="31" t="s">
        <v>3747</v>
      </c>
      <c r="G837" s="31" t="n">
        <v>31</v>
      </c>
      <c r="H837" s="31" t="s">
        <v>3692</v>
      </c>
      <c r="I837" s="44" t="s">
        <v>3693</v>
      </c>
      <c r="J837" s="45" t="s">
        <v>3749</v>
      </c>
      <c r="K837" s="45" t="s">
        <v>3751</v>
      </c>
      <c r="L837" s="31" t="n">
        <f aca="false">COUNTIF($B$3:$B$2205,$B837)</f>
        <v>2</v>
      </c>
      <c r="M837" s="44" t="str">
        <f aca="false">IFERROR(INDEX(SENTENCES!$T$3:$T$1802,MATCH($F837,SENTENCES!$A$3:$A$1802,0)),"")</f>
        <v>• Chưa tới</v>
      </c>
    </row>
    <row r="838" customFormat="false" ht="15" hidden="false" customHeight="false" outlineLevel="0" collapsed="false">
      <c r="A838" s="31" t="n">
        <v>836</v>
      </c>
      <c r="B838" s="43" t="s">
        <v>12117</v>
      </c>
      <c r="C838" s="34" t="s">
        <v>12118</v>
      </c>
      <c r="D838" s="44" t="s">
        <v>10677</v>
      </c>
      <c r="E838" s="31" t="s">
        <v>10707</v>
      </c>
      <c r="F838" s="31" t="s">
        <v>3753</v>
      </c>
      <c r="G838" s="31" t="n">
        <v>31</v>
      </c>
      <c r="H838" s="31" t="s">
        <v>3692</v>
      </c>
      <c r="I838" s="44" t="s">
        <v>3693</v>
      </c>
      <c r="J838" s="45" t="s">
        <v>3755</v>
      </c>
      <c r="K838" s="45" t="s">
        <v>3757</v>
      </c>
      <c r="L838" s="31" t="n">
        <f aca="false">COUNTIF($B$3:$B$2205,$B838)</f>
        <v>2</v>
      </c>
      <c r="M838" s="44" t="str">
        <f aca="false">IFERROR(INDEX(SENTENCES!$T$3:$T$1802,MATCH($F838,SENTENCES!$A$3:$A$1802,0)),"")</f>
        <v>• Chưa tới</v>
      </c>
    </row>
    <row r="839" customFormat="false" ht="15" hidden="false" customHeight="false" outlineLevel="0" collapsed="false">
      <c r="A839" s="31" t="n">
        <v>837</v>
      </c>
      <c r="B839" s="43" t="s">
        <v>8433</v>
      </c>
      <c r="C839" s="34" t="s">
        <v>10868</v>
      </c>
      <c r="D839" s="44" t="s">
        <v>10754</v>
      </c>
      <c r="E839" s="31"/>
      <c r="F839" s="31" t="s">
        <v>3753</v>
      </c>
      <c r="G839" s="31" t="n">
        <v>31</v>
      </c>
      <c r="H839" s="31" t="s">
        <v>3692</v>
      </c>
      <c r="I839" s="44" t="s">
        <v>3693</v>
      </c>
      <c r="J839" s="45" t="s">
        <v>3755</v>
      </c>
      <c r="K839" s="45" t="s">
        <v>3757</v>
      </c>
      <c r="L839" s="31" t="n">
        <f aca="false">COUNTIF($B$3:$B$2205,$B839)</f>
        <v>1</v>
      </c>
      <c r="M839" s="44" t="str">
        <f aca="false">IFERROR(INDEX(SENTENCES!$T$3:$T$1802,MATCH($F839,SENTENCES!$A$3:$A$1802,0)),"")</f>
        <v>• Chưa tới</v>
      </c>
    </row>
    <row r="840" customFormat="false" ht="15" hidden="false" customHeight="false" outlineLevel="0" collapsed="false">
      <c r="A840" s="31" t="n">
        <v>838</v>
      </c>
      <c r="B840" s="43" t="s">
        <v>12119</v>
      </c>
      <c r="C840" s="34" t="s">
        <v>12120</v>
      </c>
      <c r="D840" s="44" t="s">
        <v>10686</v>
      </c>
      <c r="E840" s="31"/>
      <c r="F840" s="31" t="s">
        <v>3759</v>
      </c>
      <c r="G840" s="31" t="n">
        <v>31</v>
      </c>
      <c r="H840" s="31" t="s">
        <v>3692</v>
      </c>
      <c r="I840" s="44" t="s">
        <v>3693</v>
      </c>
      <c r="J840" s="45" t="s">
        <v>3761</v>
      </c>
      <c r="K840" s="45" t="s">
        <v>3763</v>
      </c>
      <c r="L840" s="31" t="n">
        <f aca="false">COUNTIF($B$3:$B$2205,$B840)</f>
        <v>1</v>
      </c>
      <c r="M840" s="44" t="str">
        <f aca="false">IFERROR(INDEX(SENTENCES!$T$3:$T$1802,MATCH($F840,SENTENCES!$A$3:$A$1802,0)),"")</f>
        <v>• Chưa tới</v>
      </c>
    </row>
    <row r="841" customFormat="false" ht="15" hidden="false" customHeight="false" outlineLevel="0" collapsed="false">
      <c r="A841" s="31" t="n">
        <v>839</v>
      </c>
      <c r="B841" s="43" t="s">
        <v>12121</v>
      </c>
      <c r="C841" s="34" t="s">
        <v>12122</v>
      </c>
      <c r="D841" s="44" t="s">
        <v>10677</v>
      </c>
      <c r="E841" s="31" t="s">
        <v>10678</v>
      </c>
      <c r="F841" s="31" t="s">
        <v>3765</v>
      </c>
      <c r="G841" s="31" t="n">
        <v>31</v>
      </c>
      <c r="H841" s="31" t="s">
        <v>3692</v>
      </c>
      <c r="I841" s="44" t="s">
        <v>3693</v>
      </c>
      <c r="J841" s="45" t="s">
        <v>3767</v>
      </c>
      <c r="K841" s="45" t="s">
        <v>3769</v>
      </c>
      <c r="L841" s="31" t="n">
        <f aca="false">COUNTIF($B$3:$B$2205,$B841)</f>
        <v>1</v>
      </c>
      <c r="M841" s="44" t="str">
        <f aca="false">IFERROR(INDEX(SENTENCES!$T$3:$T$1802,MATCH($F841,SENTENCES!$A$3:$A$1802,0)),"")</f>
        <v>• Chưa tới</v>
      </c>
    </row>
    <row r="842" customFormat="false" ht="15" hidden="false" customHeight="false" outlineLevel="0" collapsed="false">
      <c r="A842" s="31" t="n">
        <v>840</v>
      </c>
      <c r="B842" s="43" t="s">
        <v>12123</v>
      </c>
      <c r="C842" s="34" t="s">
        <v>11323</v>
      </c>
      <c r="D842" s="44" t="s">
        <v>10681</v>
      </c>
      <c r="E842" s="31"/>
      <c r="F842" s="31" t="s">
        <v>3765</v>
      </c>
      <c r="G842" s="31" t="n">
        <v>31</v>
      </c>
      <c r="H842" s="31" t="s">
        <v>3692</v>
      </c>
      <c r="I842" s="44" t="s">
        <v>3693</v>
      </c>
      <c r="J842" s="45" t="s">
        <v>3767</v>
      </c>
      <c r="K842" s="45" t="s">
        <v>3769</v>
      </c>
      <c r="L842" s="31" t="n">
        <f aca="false">COUNTIF($B$3:$B$2205,$B842)</f>
        <v>2</v>
      </c>
      <c r="M842" s="44" t="str">
        <f aca="false">IFERROR(INDEX(SENTENCES!$T$3:$T$1802,MATCH($F842,SENTENCES!$A$3:$A$1802,0)),"")</f>
        <v>• Chưa tới</v>
      </c>
    </row>
    <row r="843" customFormat="false" ht="15" hidden="false" customHeight="false" outlineLevel="0" collapsed="false">
      <c r="A843" s="31" t="n">
        <v>841</v>
      </c>
      <c r="B843" s="43" t="s">
        <v>12124</v>
      </c>
      <c r="C843" s="34" t="s">
        <v>12125</v>
      </c>
      <c r="D843" s="44" t="s">
        <v>10754</v>
      </c>
      <c r="E843" s="31"/>
      <c r="F843" s="31" t="s">
        <v>3771</v>
      </c>
      <c r="G843" s="31" t="n">
        <v>31</v>
      </c>
      <c r="H843" s="31" t="s">
        <v>3692</v>
      </c>
      <c r="I843" s="44" t="s">
        <v>3693</v>
      </c>
      <c r="J843" s="45" t="s">
        <v>3773</v>
      </c>
      <c r="K843" s="45" t="s">
        <v>3775</v>
      </c>
      <c r="L843" s="31" t="n">
        <f aca="false">COUNTIF($B$3:$B$2205,$B843)</f>
        <v>2</v>
      </c>
      <c r="M843" s="44" t="str">
        <f aca="false">IFERROR(INDEX(SENTENCES!$T$3:$T$1802,MATCH($F843,SENTENCES!$A$3:$A$1802,0)),"")</f>
        <v>• Chưa tới</v>
      </c>
    </row>
    <row r="844" customFormat="false" ht="15" hidden="false" customHeight="false" outlineLevel="0" collapsed="false">
      <c r="A844" s="31" t="n">
        <v>842</v>
      </c>
      <c r="B844" s="43" t="s">
        <v>12126</v>
      </c>
      <c r="C844" s="34" t="s">
        <v>12127</v>
      </c>
      <c r="D844" s="44" t="s">
        <v>10677</v>
      </c>
      <c r="E844" s="31" t="s">
        <v>10678</v>
      </c>
      <c r="F844" s="31" t="s">
        <v>3777</v>
      </c>
      <c r="G844" s="31" t="n">
        <v>31</v>
      </c>
      <c r="H844" s="31" t="s">
        <v>3692</v>
      </c>
      <c r="I844" s="44" t="s">
        <v>3693</v>
      </c>
      <c r="J844" s="45" t="s">
        <v>3779</v>
      </c>
      <c r="K844" s="45" t="s">
        <v>3781</v>
      </c>
      <c r="L844" s="31" t="n">
        <f aca="false">COUNTIF($B$3:$B$2205,$B844)</f>
        <v>1</v>
      </c>
      <c r="M844" s="44" t="str">
        <f aca="false">IFERROR(INDEX(SENTENCES!$T$3:$T$1802,MATCH($F844,SENTENCES!$A$3:$A$1802,0)),"")</f>
        <v>• Chưa tới</v>
      </c>
    </row>
    <row r="845" customFormat="false" ht="15" hidden="false" customHeight="false" outlineLevel="0" collapsed="false">
      <c r="A845" s="31" t="n">
        <v>843</v>
      </c>
      <c r="B845" s="43" t="s">
        <v>12128</v>
      </c>
      <c r="C845" s="34" t="s">
        <v>12129</v>
      </c>
      <c r="D845" s="44" t="s">
        <v>10686</v>
      </c>
      <c r="E845" s="31"/>
      <c r="F845" s="31" t="s">
        <v>3783</v>
      </c>
      <c r="G845" s="31" t="n">
        <v>31</v>
      </c>
      <c r="H845" s="31" t="s">
        <v>3692</v>
      </c>
      <c r="I845" s="44" t="s">
        <v>3693</v>
      </c>
      <c r="J845" s="45" t="s">
        <v>3785</v>
      </c>
      <c r="K845" s="45" t="s">
        <v>3787</v>
      </c>
      <c r="L845" s="31" t="n">
        <f aca="false">COUNTIF($B$3:$B$2205,$B845)</f>
        <v>1</v>
      </c>
      <c r="M845" s="44" t="str">
        <f aca="false">IFERROR(INDEX(SENTENCES!$T$3:$T$1802,MATCH($F845,SENTENCES!$A$3:$A$1802,0)),"")</f>
        <v>• Chưa tới</v>
      </c>
    </row>
    <row r="846" customFormat="false" ht="15" hidden="false" customHeight="false" outlineLevel="0" collapsed="false">
      <c r="A846" s="31" t="n">
        <v>844</v>
      </c>
      <c r="B846" s="43" t="s">
        <v>12130</v>
      </c>
      <c r="C846" s="34" t="s">
        <v>12131</v>
      </c>
      <c r="D846" s="44" t="s">
        <v>10686</v>
      </c>
      <c r="E846" s="31"/>
      <c r="F846" s="31" t="s">
        <v>3789</v>
      </c>
      <c r="G846" s="31" t="n">
        <v>31</v>
      </c>
      <c r="H846" s="31" t="s">
        <v>3692</v>
      </c>
      <c r="I846" s="44" t="s">
        <v>3693</v>
      </c>
      <c r="J846" s="45" t="s">
        <v>3791</v>
      </c>
      <c r="K846" s="45" t="s">
        <v>3793</v>
      </c>
      <c r="L846" s="31" t="n">
        <f aca="false">COUNTIF($B$3:$B$2205,$B846)</f>
        <v>1</v>
      </c>
      <c r="M846" s="44" t="str">
        <f aca="false">IFERROR(INDEX(SENTENCES!$T$3:$T$1802,MATCH($F846,SENTENCES!$A$3:$A$1802,0)),"")</f>
        <v>• Chưa tới</v>
      </c>
    </row>
    <row r="847" customFormat="false" ht="15" hidden="false" customHeight="false" outlineLevel="0" collapsed="false">
      <c r="A847" s="31" t="n">
        <v>845</v>
      </c>
      <c r="B847" s="43" t="s">
        <v>12132</v>
      </c>
      <c r="C847" s="34" t="s">
        <v>12133</v>
      </c>
      <c r="D847" s="44" t="s">
        <v>10686</v>
      </c>
      <c r="E847" s="31"/>
      <c r="F847" s="31" t="s">
        <v>3789</v>
      </c>
      <c r="G847" s="31" t="n">
        <v>31</v>
      </c>
      <c r="H847" s="31" t="s">
        <v>3692</v>
      </c>
      <c r="I847" s="44" t="s">
        <v>3693</v>
      </c>
      <c r="J847" s="45" t="s">
        <v>3791</v>
      </c>
      <c r="K847" s="45" t="s">
        <v>3793</v>
      </c>
      <c r="L847" s="31" t="n">
        <f aca="false">COUNTIF($B$3:$B$2205,$B847)</f>
        <v>1</v>
      </c>
      <c r="M847" s="44" t="str">
        <f aca="false">IFERROR(INDEX(SENTENCES!$T$3:$T$1802,MATCH($F847,SENTENCES!$A$3:$A$1802,0)),"")</f>
        <v>• Chưa tới</v>
      </c>
    </row>
    <row r="848" customFormat="false" ht="15" hidden="false" customHeight="false" outlineLevel="0" collapsed="false">
      <c r="A848" s="31" t="n">
        <v>846</v>
      </c>
      <c r="B848" s="43" t="s">
        <v>12134</v>
      </c>
      <c r="C848" s="34" t="s">
        <v>12135</v>
      </c>
      <c r="D848" s="44" t="s">
        <v>10686</v>
      </c>
      <c r="E848" s="31"/>
      <c r="F848" s="31" t="s">
        <v>3795</v>
      </c>
      <c r="G848" s="31" t="n">
        <v>31</v>
      </c>
      <c r="H848" s="31" t="s">
        <v>3692</v>
      </c>
      <c r="I848" s="44" t="s">
        <v>3693</v>
      </c>
      <c r="J848" s="45" t="s">
        <v>3797</v>
      </c>
      <c r="K848" s="45" t="s">
        <v>3799</v>
      </c>
      <c r="L848" s="31" t="n">
        <f aca="false">COUNTIF($B$3:$B$2205,$B848)</f>
        <v>1</v>
      </c>
      <c r="M848" s="44" t="str">
        <f aca="false">IFERROR(INDEX(SENTENCES!$T$3:$T$1802,MATCH($F848,SENTENCES!$A$3:$A$1802,0)),"")</f>
        <v>• Chưa tới</v>
      </c>
    </row>
    <row r="849" customFormat="false" ht="15" hidden="false" customHeight="false" outlineLevel="0" collapsed="false">
      <c r="A849" s="31" t="n">
        <v>847</v>
      </c>
      <c r="B849" s="43" t="s">
        <v>12136</v>
      </c>
      <c r="C849" s="34" t="s">
        <v>12137</v>
      </c>
      <c r="D849" s="44" t="s">
        <v>10686</v>
      </c>
      <c r="E849" s="31"/>
      <c r="F849" s="31" t="s">
        <v>3801</v>
      </c>
      <c r="G849" s="31" t="n">
        <v>31</v>
      </c>
      <c r="H849" s="31" t="s">
        <v>3692</v>
      </c>
      <c r="I849" s="44" t="s">
        <v>3693</v>
      </c>
      <c r="J849" s="45" t="s">
        <v>3803</v>
      </c>
      <c r="K849" s="45" t="s">
        <v>3805</v>
      </c>
      <c r="L849" s="31" t="n">
        <f aca="false">COUNTIF($B$3:$B$2205,$B849)</f>
        <v>2</v>
      </c>
      <c r="M849" s="44" t="str">
        <f aca="false">IFERROR(INDEX(SENTENCES!$T$3:$T$1802,MATCH($F849,SENTENCES!$A$3:$A$1802,0)),"")</f>
        <v>• Chưa tới</v>
      </c>
    </row>
    <row r="850" customFormat="false" ht="15" hidden="false" customHeight="false" outlineLevel="0" collapsed="false">
      <c r="A850" s="31" t="n">
        <v>848</v>
      </c>
      <c r="B850" s="43" t="s">
        <v>12138</v>
      </c>
      <c r="C850" s="34" t="s">
        <v>12139</v>
      </c>
      <c r="D850" s="44" t="s">
        <v>10794</v>
      </c>
      <c r="E850" s="31"/>
      <c r="F850" s="31" t="s">
        <v>3807</v>
      </c>
      <c r="G850" s="31" t="n">
        <v>31</v>
      </c>
      <c r="H850" s="31" t="s">
        <v>3692</v>
      </c>
      <c r="I850" s="44" t="s">
        <v>3693</v>
      </c>
      <c r="J850" s="45" t="s">
        <v>3809</v>
      </c>
      <c r="K850" s="45" t="s">
        <v>3811</v>
      </c>
      <c r="L850" s="31" t="n">
        <f aca="false">COUNTIF($B$3:$B$2205,$B850)</f>
        <v>1</v>
      </c>
      <c r="M850" s="44" t="str">
        <f aca="false">IFERROR(INDEX(SENTENCES!$T$3:$T$1802,MATCH($F850,SENTENCES!$A$3:$A$1802,0)),"")</f>
        <v>• Chưa tới</v>
      </c>
    </row>
    <row r="851" customFormat="false" ht="15" hidden="false" customHeight="false" outlineLevel="0" collapsed="false">
      <c r="A851" s="31" t="n">
        <v>849</v>
      </c>
      <c r="B851" s="43" t="s">
        <v>11095</v>
      </c>
      <c r="C851" s="34" t="s">
        <v>11096</v>
      </c>
      <c r="D851" s="44" t="s">
        <v>10681</v>
      </c>
      <c r="E851" s="31"/>
      <c r="F851" s="31" t="s">
        <v>3813</v>
      </c>
      <c r="G851" s="31" t="n">
        <v>32</v>
      </c>
      <c r="H851" s="31" t="s">
        <v>3692</v>
      </c>
      <c r="I851" s="44" t="s">
        <v>3814</v>
      </c>
      <c r="J851" s="45" t="s">
        <v>3816</v>
      </c>
      <c r="K851" s="45" t="s">
        <v>3818</v>
      </c>
      <c r="L851" s="31" t="n">
        <f aca="false">COUNTIF($B$3:$B$2205,$B851)</f>
        <v>3</v>
      </c>
      <c r="M851" s="44" t="str">
        <f aca="false">IFERROR(INDEX(SENTENCES!$T$3:$T$1802,MATCH($F851,SENTENCES!$A$3:$A$1802,0)),"")</f>
        <v>• Chưa tới</v>
      </c>
    </row>
    <row r="852" customFormat="false" ht="15" hidden="false" customHeight="false" outlineLevel="0" collapsed="false">
      <c r="A852" s="31" t="n">
        <v>850</v>
      </c>
      <c r="B852" s="43" t="s">
        <v>11513</v>
      </c>
      <c r="C852" s="34" t="s">
        <v>12140</v>
      </c>
      <c r="D852" s="44" t="s">
        <v>10681</v>
      </c>
      <c r="E852" s="31"/>
      <c r="F852" s="31" t="s">
        <v>3819</v>
      </c>
      <c r="G852" s="31" t="n">
        <v>32</v>
      </c>
      <c r="H852" s="31" t="s">
        <v>3692</v>
      </c>
      <c r="I852" s="44" t="s">
        <v>3814</v>
      </c>
      <c r="J852" s="45" t="s">
        <v>3821</v>
      </c>
      <c r="K852" s="45" t="s">
        <v>3823</v>
      </c>
      <c r="L852" s="31" t="n">
        <f aca="false">COUNTIF($B$3:$B$2205,$B852)</f>
        <v>2</v>
      </c>
      <c r="M852" s="44" t="str">
        <f aca="false">IFERROR(INDEX(SENTENCES!$T$3:$T$1802,MATCH($F852,SENTENCES!$A$3:$A$1802,0)),"")</f>
        <v>• Chưa tới</v>
      </c>
    </row>
    <row r="853" customFormat="false" ht="15" hidden="false" customHeight="false" outlineLevel="0" collapsed="false">
      <c r="A853" s="31" t="n">
        <v>851</v>
      </c>
      <c r="B853" s="43" t="s">
        <v>12141</v>
      </c>
      <c r="C853" s="34" t="s">
        <v>12142</v>
      </c>
      <c r="D853" s="44" t="s">
        <v>10681</v>
      </c>
      <c r="E853" s="31"/>
      <c r="F853" s="31" t="s">
        <v>3825</v>
      </c>
      <c r="G853" s="31" t="n">
        <v>32</v>
      </c>
      <c r="H853" s="31" t="s">
        <v>3692</v>
      </c>
      <c r="I853" s="44" t="s">
        <v>3814</v>
      </c>
      <c r="J853" s="45" t="s">
        <v>3827</v>
      </c>
      <c r="K853" s="45" t="s">
        <v>3829</v>
      </c>
      <c r="L853" s="31" t="n">
        <f aca="false">COUNTIF($B$3:$B$2205,$B853)</f>
        <v>1</v>
      </c>
      <c r="M853" s="44" t="str">
        <f aca="false">IFERROR(INDEX(SENTENCES!$T$3:$T$1802,MATCH($F853,SENTENCES!$A$3:$A$1802,0)),"")</f>
        <v>• Chưa tới</v>
      </c>
    </row>
    <row r="854" customFormat="false" ht="15" hidden="false" customHeight="false" outlineLevel="0" collapsed="false">
      <c r="A854" s="31" t="n">
        <v>852</v>
      </c>
      <c r="B854" s="43" t="s">
        <v>12143</v>
      </c>
      <c r="C854" s="34" t="s">
        <v>12144</v>
      </c>
      <c r="D854" s="44" t="s">
        <v>10686</v>
      </c>
      <c r="E854" s="31"/>
      <c r="F854" s="31" t="s">
        <v>3825</v>
      </c>
      <c r="G854" s="31" t="n">
        <v>32</v>
      </c>
      <c r="H854" s="31" t="s">
        <v>3692</v>
      </c>
      <c r="I854" s="44" t="s">
        <v>3814</v>
      </c>
      <c r="J854" s="45" t="s">
        <v>3827</v>
      </c>
      <c r="K854" s="45" t="s">
        <v>3829</v>
      </c>
      <c r="L854" s="31" t="n">
        <f aca="false">COUNTIF($B$3:$B$2205,$B854)</f>
        <v>1</v>
      </c>
      <c r="M854" s="44" t="str">
        <f aca="false">IFERROR(INDEX(SENTENCES!$T$3:$T$1802,MATCH($F854,SENTENCES!$A$3:$A$1802,0)),"")</f>
        <v>• Chưa tới</v>
      </c>
    </row>
    <row r="855" customFormat="false" ht="15" hidden="false" customHeight="false" outlineLevel="0" collapsed="false">
      <c r="A855" s="31" t="n">
        <v>853</v>
      </c>
      <c r="B855" s="43" t="s">
        <v>12145</v>
      </c>
      <c r="C855" s="34" t="s">
        <v>11936</v>
      </c>
      <c r="D855" s="44" t="s">
        <v>10681</v>
      </c>
      <c r="E855" s="31"/>
      <c r="F855" s="31" t="s">
        <v>3831</v>
      </c>
      <c r="G855" s="31" t="n">
        <v>32</v>
      </c>
      <c r="H855" s="31" t="s">
        <v>3692</v>
      </c>
      <c r="I855" s="44" t="s">
        <v>3814</v>
      </c>
      <c r="J855" s="45" t="s">
        <v>3833</v>
      </c>
      <c r="K855" s="45" t="s">
        <v>3835</v>
      </c>
      <c r="L855" s="31" t="n">
        <f aca="false">COUNTIF($B$3:$B$2205,$B855)</f>
        <v>2</v>
      </c>
      <c r="M855" s="44" t="str">
        <f aca="false">IFERROR(INDEX(SENTENCES!$T$3:$T$1802,MATCH($F855,SENTENCES!$A$3:$A$1802,0)),"")</f>
        <v>• Chưa tới</v>
      </c>
    </row>
    <row r="856" customFormat="false" ht="15" hidden="false" customHeight="false" outlineLevel="0" collapsed="false">
      <c r="A856" s="31" t="n">
        <v>854</v>
      </c>
      <c r="B856" s="43" t="s">
        <v>12146</v>
      </c>
      <c r="C856" s="34" t="s">
        <v>12147</v>
      </c>
      <c r="D856" s="44" t="s">
        <v>10686</v>
      </c>
      <c r="E856" s="31"/>
      <c r="F856" s="31" t="s">
        <v>3837</v>
      </c>
      <c r="G856" s="31" t="n">
        <v>32</v>
      </c>
      <c r="H856" s="31" t="s">
        <v>3692</v>
      </c>
      <c r="I856" s="44" t="s">
        <v>3814</v>
      </c>
      <c r="J856" s="45" t="s">
        <v>3839</v>
      </c>
      <c r="K856" s="45" t="s">
        <v>3841</v>
      </c>
      <c r="L856" s="31" t="n">
        <f aca="false">COUNTIF($B$3:$B$2205,$B856)</f>
        <v>1</v>
      </c>
      <c r="M856" s="44" t="str">
        <f aca="false">IFERROR(INDEX(SENTENCES!$T$3:$T$1802,MATCH($F856,SENTENCES!$A$3:$A$1802,0)),"")</f>
        <v>• Chưa tới</v>
      </c>
    </row>
    <row r="857" customFormat="false" ht="15" hidden="false" customHeight="false" outlineLevel="0" collapsed="false">
      <c r="A857" s="31" t="n">
        <v>855</v>
      </c>
      <c r="B857" s="43" t="s">
        <v>12148</v>
      </c>
      <c r="C857" s="34" t="s">
        <v>12149</v>
      </c>
      <c r="D857" s="44" t="s">
        <v>10681</v>
      </c>
      <c r="E857" s="31"/>
      <c r="F857" s="31" t="s">
        <v>3843</v>
      </c>
      <c r="G857" s="31" t="n">
        <v>32</v>
      </c>
      <c r="H857" s="31" t="s">
        <v>3692</v>
      </c>
      <c r="I857" s="44" t="s">
        <v>3814</v>
      </c>
      <c r="J857" s="45" t="s">
        <v>3845</v>
      </c>
      <c r="K857" s="45" t="s">
        <v>3847</v>
      </c>
      <c r="L857" s="31" t="n">
        <f aca="false">COUNTIF($B$3:$B$2205,$B857)</f>
        <v>2</v>
      </c>
      <c r="M857" s="44" t="str">
        <f aca="false">IFERROR(INDEX(SENTENCES!$T$3:$T$1802,MATCH($F857,SENTENCES!$A$3:$A$1802,0)),"")</f>
        <v>• Chưa tới</v>
      </c>
    </row>
    <row r="858" customFormat="false" ht="15" hidden="false" customHeight="false" outlineLevel="0" collapsed="false">
      <c r="A858" s="31" t="n">
        <v>856</v>
      </c>
      <c r="B858" s="43" t="s">
        <v>11935</v>
      </c>
      <c r="C858" s="34" t="s">
        <v>11936</v>
      </c>
      <c r="D858" s="44" t="s">
        <v>10686</v>
      </c>
      <c r="E858" s="31"/>
      <c r="F858" s="31" t="s">
        <v>3849</v>
      </c>
      <c r="G858" s="31" t="n">
        <v>32</v>
      </c>
      <c r="H858" s="31" t="s">
        <v>3692</v>
      </c>
      <c r="I858" s="44" t="s">
        <v>3814</v>
      </c>
      <c r="J858" s="45" t="s">
        <v>3851</v>
      </c>
      <c r="K858" s="45" t="s">
        <v>3853</v>
      </c>
      <c r="L858" s="31" t="n">
        <f aca="false">COUNTIF($B$3:$B$2205,$B858)</f>
        <v>2</v>
      </c>
      <c r="M858" s="44" t="str">
        <f aca="false">IFERROR(INDEX(SENTENCES!$T$3:$T$1802,MATCH($F858,SENTENCES!$A$3:$A$1802,0)),"")</f>
        <v>• Chưa tới</v>
      </c>
    </row>
    <row r="859" customFormat="false" ht="15" hidden="false" customHeight="false" outlineLevel="0" collapsed="false">
      <c r="A859" s="31" t="n">
        <v>857</v>
      </c>
      <c r="B859" s="43" t="s">
        <v>12029</v>
      </c>
      <c r="C859" s="34" t="s">
        <v>12030</v>
      </c>
      <c r="D859" s="44" t="s">
        <v>10686</v>
      </c>
      <c r="E859" s="31"/>
      <c r="F859" s="31" t="s">
        <v>3849</v>
      </c>
      <c r="G859" s="31" t="n">
        <v>32</v>
      </c>
      <c r="H859" s="31" t="s">
        <v>3692</v>
      </c>
      <c r="I859" s="44" t="s">
        <v>3814</v>
      </c>
      <c r="J859" s="45" t="s">
        <v>3851</v>
      </c>
      <c r="K859" s="45" t="s">
        <v>3853</v>
      </c>
      <c r="L859" s="31" t="n">
        <f aca="false">COUNTIF($B$3:$B$2205,$B859)</f>
        <v>2</v>
      </c>
      <c r="M859" s="44" t="str">
        <f aca="false">IFERROR(INDEX(SENTENCES!$T$3:$T$1802,MATCH($F859,SENTENCES!$A$3:$A$1802,0)),"")</f>
        <v>• Chưa tới</v>
      </c>
    </row>
    <row r="860" customFormat="false" ht="15" hidden="false" customHeight="false" outlineLevel="0" collapsed="false">
      <c r="A860" s="31" t="n">
        <v>858</v>
      </c>
      <c r="B860" s="43" t="s">
        <v>12150</v>
      </c>
      <c r="C860" s="34" t="s">
        <v>12151</v>
      </c>
      <c r="D860" s="44" t="s">
        <v>10681</v>
      </c>
      <c r="E860" s="31"/>
      <c r="F860" s="31" t="s">
        <v>3855</v>
      </c>
      <c r="G860" s="31" t="n">
        <v>32</v>
      </c>
      <c r="H860" s="31" t="s">
        <v>3692</v>
      </c>
      <c r="I860" s="44" t="s">
        <v>3814</v>
      </c>
      <c r="J860" s="45" t="s">
        <v>3857</v>
      </c>
      <c r="K860" s="45" t="s">
        <v>3859</v>
      </c>
      <c r="L860" s="31" t="n">
        <f aca="false">COUNTIF($B$3:$B$2205,$B860)</f>
        <v>1</v>
      </c>
      <c r="M860" s="44" t="str">
        <f aca="false">IFERROR(INDEX(SENTENCES!$T$3:$T$1802,MATCH($F860,SENTENCES!$A$3:$A$1802,0)),"")</f>
        <v>• Chưa tới</v>
      </c>
    </row>
    <row r="861" customFormat="false" ht="15" hidden="false" customHeight="false" outlineLevel="0" collapsed="false">
      <c r="A861" s="31" t="n">
        <v>859</v>
      </c>
      <c r="B861" s="43" t="s">
        <v>12152</v>
      </c>
      <c r="C861" s="34" t="s">
        <v>12153</v>
      </c>
      <c r="D861" s="44" t="s">
        <v>10677</v>
      </c>
      <c r="E861" s="31" t="s">
        <v>10707</v>
      </c>
      <c r="F861" s="31" t="s">
        <v>3855</v>
      </c>
      <c r="G861" s="31" t="n">
        <v>32</v>
      </c>
      <c r="H861" s="31" t="s">
        <v>3692</v>
      </c>
      <c r="I861" s="44" t="s">
        <v>3814</v>
      </c>
      <c r="J861" s="45" t="s">
        <v>3857</v>
      </c>
      <c r="K861" s="45" t="s">
        <v>3859</v>
      </c>
      <c r="L861" s="31" t="n">
        <f aca="false">COUNTIF($B$3:$B$2205,$B861)</f>
        <v>2</v>
      </c>
      <c r="M861" s="44" t="str">
        <f aca="false">IFERROR(INDEX(SENTENCES!$T$3:$T$1802,MATCH($F861,SENTENCES!$A$3:$A$1802,0)),"")</f>
        <v>• Chưa tới</v>
      </c>
    </row>
    <row r="862" customFormat="false" ht="15" hidden="false" customHeight="false" outlineLevel="0" collapsed="false">
      <c r="A862" s="31" t="n">
        <v>860</v>
      </c>
      <c r="B862" s="43" t="s">
        <v>12154</v>
      </c>
      <c r="C862" s="34" t="s">
        <v>12155</v>
      </c>
      <c r="D862" s="44" t="s">
        <v>10686</v>
      </c>
      <c r="E862" s="31"/>
      <c r="F862" s="31" t="s">
        <v>3861</v>
      </c>
      <c r="G862" s="31" t="n">
        <v>32</v>
      </c>
      <c r="H862" s="31" t="s">
        <v>3692</v>
      </c>
      <c r="I862" s="44" t="s">
        <v>3814</v>
      </c>
      <c r="J862" s="45" t="s">
        <v>3863</v>
      </c>
      <c r="K862" s="45" t="s">
        <v>3865</v>
      </c>
      <c r="L862" s="31" t="n">
        <f aca="false">COUNTIF($B$3:$B$2205,$B862)</f>
        <v>1</v>
      </c>
      <c r="M862" s="44" t="str">
        <f aca="false">IFERROR(INDEX(SENTENCES!$T$3:$T$1802,MATCH($F862,SENTENCES!$A$3:$A$1802,0)),"")</f>
        <v>• Chưa tới</v>
      </c>
    </row>
    <row r="863" customFormat="false" ht="15" hidden="false" customHeight="false" outlineLevel="0" collapsed="false">
      <c r="A863" s="31" t="n">
        <v>861</v>
      </c>
      <c r="B863" s="43" t="s">
        <v>11964</v>
      </c>
      <c r="C863" s="34" t="s">
        <v>11965</v>
      </c>
      <c r="D863" s="44" t="s">
        <v>10681</v>
      </c>
      <c r="E863" s="31"/>
      <c r="F863" s="31" t="s">
        <v>3867</v>
      </c>
      <c r="G863" s="31" t="n">
        <v>32</v>
      </c>
      <c r="H863" s="31" t="s">
        <v>3692</v>
      </c>
      <c r="I863" s="44" t="s">
        <v>3814</v>
      </c>
      <c r="J863" s="45" t="s">
        <v>3869</v>
      </c>
      <c r="K863" s="45" t="s">
        <v>3871</v>
      </c>
      <c r="L863" s="31" t="n">
        <f aca="false">COUNTIF($B$3:$B$2205,$B863)</f>
        <v>2</v>
      </c>
      <c r="M863" s="44" t="str">
        <f aca="false">IFERROR(INDEX(SENTENCES!$T$3:$T$1802,MATCH($F863,SENTENCES!$A$3:$A$1802,0)),"")</f>
        <v>• Chưa tới</v>
      </c>
    </row>
    <row r="864" customFormat="false" ht="15" hidden="false" customHeight="false" outlineLevel="0" collapsed="false">
      <c r="A864" s="31" t="n">
        <v>862</v>
      </c>
      <c r="B864" s="43" t="s">
        <v>12156</v>
      </c>
      <c r="C864" s="34" t="s">
        <v>12157</v>
      </c>
      <c r="D864" s="44" t="s">
        <v>10686</v>
      </c>
      <c r="E864" s="31"/>
      <c r="F864" s="31" t="s">
        <v>3872</v>
      </c>
      <c r="G864" s="31" t="n">
        <v>32</v>
      </c>
      <c r="H864" s="31" t="s">
        <v>3692</v>
      </c>
      <c r="I864" s="44" t="s">
        <v>3814</v>
      </c>
      <c r="J864" s="45" t="s">
        <v>3874</v>
      </c>
      <c r="K864" s="45" t="s">
        <v>3876</v>
      </c>
      <c r="L864" s="31" t="n">
        <f aca="false">COUNTIF($B$3:$B$2205,$B864)</f>
        <v>1</v>
      </c>
      <c r="M864" s="44" t="str">
        <f aca="false">IFERROR(INDEX(SENTENCES!$T$3:$T$1802,MATCH($F864,SENTENCES!$A$3:$A$1802,0)),"")</f>
        <v>• Chưa tới</v>
      </c>
    </row>
    <row r="865" customFormat="false" ht="15" hidden="false" customHeight="false" outlineLevel="0" collapsed="false">
      <c r="A865" s="31" t="n">
        <v>863</v>
      </c>
      <c r="B865" s="43" t="s">
        <v>12158</v>
      </c>
      <c r="C865" s="34" t="s">
        <v>12159</v>
      </c>
      <c r="D865" s="44" t="s">
        <v>10677</v>
      </c>
      <c r="E865" s="31" t="s">
        <v>10678</v>
      </c>
      <c r="F865" s="31" t="s">
        <v>3878</v>
      </c>
      <c r="G865" s="31" t="n">
        <v>32</v>
      </c>
      <c r="H865" s="31" t="s">
        <v>3692</v>
      </c>
      <c r="I865" s="44" t="s">
        <v>3814</v>
      </c>
      <c r="J865" s="45" t="s">
        <v>3880</v>
      </c>
      <c r="K865" s="45" t="s">
        <v>3882</v>
      </c>
      <c r="L865" s="31" t="n">
        <f aca="false">COUNTIF($B$3:$B$2205,$B865)</f>
        <v>2</v>
      </c>
      <c r="M865" s="44" t="str">
        <f aca="false">IFERROR(INDEX(SENTENCES!$T$3:$T$1802,MATCH($F865,SENTENCES!$A$3:$A$1802,0)),"")</f>
        <v>• Chưa tới</v>
      </c>
    </row>
    <row r="866" customFormat="false" ht="15" hidden="false" customHeight="false" outlineLevel="0" collapsed="false">
      <c r="A866" s="31" t="n">
        <v>864</v>
      </c>
      <c r="B866" s="43" t="s">
        <v>12160</v>
      </c>
      <c r="C866" s="34" t="s">
        <v>12161</v>
      </c>
      <c r="D866" s="44" t="s">
        <v>10681</v>
      </c>
      <c r="E866" s="31"/>
      <c r="F866" s="31" t="s">
        <v>3884</v>
      </c>
      <c r="G866" s="31" t="n">
        <v>32</v>
      </c>
      <c r="H866" s="31" t="s">
        <v>3692</v>
      </c>
      <c r="I866" s="44" t="s">
        <v>3814</v>
      </c>
      <c r="J866" s="45" t="s">
        <v>3886</v>
      </c>
      <c r="K866" s="45" t="s">
        <v>3888</v>
      </c>
      <c r="L866" s="31" t="n">
        <f aca="false">COUNTIF($B$3:$B$2205,$B866)</f>
        <v>1</v>
      </c>
      <c r="M866" s="44" t="str">
        <f aca="false">IFERROR(INDEX(SENTENCES!$T$3:$T$1802,MATCH($F866,SENTENCES!$A$3:$A$1802,0)),"")</f>
        <v>• Chưa tới</v>
      </c>
    </row>
    <row r="867" customFormat="false" ht="15" hidden="false" customHeight="false" outlineLevel="0" collapsed="false">
      <c r="A867" s="31" t="n">
        <v>865</v>
      </c>
      <c r="B867" s="43" t="s">
        <v>11404</v>
      </c>
      <c r="C867" s="34" t="s">
        <v>11405</v>
      </c>
      <c r="D867" s="44" t="s">
        <v>10686</v>
      </c>
      <c r="E867" s="31"/>
      <c r="F867" s="31" t="s">
        <v>3890</v>
      </c>
      <c r="G867" s="31" t="n">
        <v>32</v>
      </c>
      <c r="H867" s="31" t="s">
        <v>3692</v>
      </c>
      <c r="I867" s="44" t="s">
        <v>3814</v>
      </c>
      <c r="J867" s="45" t="s">
        <v>3892</v>
      </c>
      <c r="K867" s="45" t="s">
        <v>3894</v>
      </c>
      <c r="L867" s="31" t="n">
        <f aca="false">COUNTIF($B$3:$B$2205,$B867)</f>
        <v>3</v>
      </c>
      <c r="M867" s="44" t="str">
        <f aca="false">IFERROR(INDEX(SENTENCES!$T$3:$T$1802,MATCH($F867,SENTENCES!$A$3:$A$1802,0)),"")</f>
        <v>• Chưa tới</v>
      </c>
    </row>
    <row r="868" customFormat="false" ht="15" hidden="false" customHeight="false" outlineLevel="0" collapsed="false">
      <c r="A868" s="31" t="n">
        <v>866</v>
      </c>
      <c r="B868" s="43" t="s">
        <v>12162</v>
      </c>
      <c r="C868" s="34" t="s">
        <v>12163</v>
      </c>
      <c r="D868" s="44" t="s">
        <v>10681</v>
      </c>
      <c r="E868" s="31"/>
      <c r="F868" s="31" t="s">
        <v>3896</v>
      </c>
      <c r="G868" s="31" t="n">
        <v>32</v>
      </c>
      <c r="H868" s="31" t="s">
        <v>3692</v>
      </c>
      <c r="I868" s="44" t="s">
        <v>3814</v>
      </c>
      <c r="J868" s="45" t="s">
        <v>3898</v>
      </c>
      <c r="K868" s="45" t="s">
        <v>3900</v>
      </c>
      <c r="L868" s="31" t="n">
        <f aca="false">COUNTIF($B$3:$B$2205,$B868)</f>
        <v>1</v>
      </c>
      <c r="M868" s="44" t="str">
        <f aca="false">IFERROR(INDEX(SENTENCES!$T$3:$T$1802,MATCH($F868,SENTENCES!$A$3:$A$1802,0)),"")</f>
        <v>• Chưa tới</v>
      </c>
    </row>
    <row r="869" customFormat="false" ht="15" hidden="false" customHeight="false" outlineLevel="0" collapsed="false">
      <c r="A869" s="31" t="n">
        <v>867</v>
      </c>
      <c r="B869" s="43" t="s">
        <v>12164</v>
      </c>
      <c r="C869" s="34" t="s">
        <v>12165</v>
      </c>
      <c r="D869" s="44" t="s">
        <v>10681</v>
      </c>
      <c r="E869" s="31"/>
      <c r="F869" s="31" t="s">
        <v>3902</v>
      </c>
      <c r="G869" s="31" t="n">
        <v>32</v>
      </c>
      <c r="H869" s="31" t="s">
        <v>3692</v>
      </c>
      <c r="I869" s="44" t="s">
        <v>3814</v>
      </c>
      <c r="J869" s="45" t="s">
        <v>3904</v>
      </c>
      <c r="K869" s="45" t="s">
        <v>3906</v>
      </c>
      <c r="L869" s="31" t="n">
        <f aca="false">COUNTIF($B$3:$B$2205,$B869)</f>
        <v>1</v>
      </c>
      <c r="M869" s="44" t="str">
        <f aca="false">IFERROR(INDEX(SENTENCES!$T$3:$T$1802,MATCH($F869,SENTENCES!$A$3:$A$1802,0)),"")</f>
        <v>• Chưa tới</v>
      </c>
    </row>
    <row r="870" customFormat="false" ht="15" hidden="false" customHeight="false" outlineLevel="0" collapsed="false">
      <c r="A870" s="31" t="n">
        <v>868</v>
      </c>
      <c r="B870" s="43" t="s">
        <v>12166</v>
      </c>
      <c r="C870" s="34" t="s">
        <v>11707</v>
      </c>
      <c r="D870" s="44" t="s">
        <v>10677</v>
      </c>
      <c r="E870" s="31" t="s">
        <v>10747</v>
      </c>
      <c r="F870" s="31" t="s">
        <v>3908</v>
      </c>
      <c r="G870" s="31" t="n">
        <v>32</v>
      </c>
      <c r="H870" s="31" t="s">
        <v>3692</v>
      </c>
      <c r="I870" s="44" t="s">
        <v>3814</v>
      </c>
      <c r="J870" s="45" t="s">
        <v>3910</v>
      </c>
      <c r="K870" s="45" t="s">
        <v>3912</v>
      </c>
      <c r="L870" s="31" t="n">
        <f aca="false">COUNTIF($B$3:$B$2205,$B870)</f>
        <v>1</v>
      </c>
      <c r="M870" s="44" t="str">
        <f aca="false">IFERROR(INDEX(SENTENCES!$T$3:$T$1802,MATCH($F870,SENTENCES!$A$3:$A$1802,0)),"")</f>
        <v>• Chưa tới</v>
      </c>
    </row>
    <row r="871" customFormat="false" ht="15" hidden="false" customHeight="false" outlineLevel="0" collapsed="false">
      <c r="A871" s="31" t="n">
        <v>869</v>
      </c>
      <c r="B871" s="43" t="s">
        <v>12167</v>
      </c>
      <c r="C871" s="34" t="s">
        <v>12168</v>
      </c>
      <c r="D871" s="44" t="s">
        <v>10686</v>
      </c>
      <c r="E871" s="31"/>
      <c r="F871" s="31" t="s">
        <v>3914</v>
      </c>
      <c r="G871" s="31" t="n">
        <v>32</v>
      </c>
      <c r="H871" s="31" t="s">
        <v>3692</v>
      </c>
      <c r="I871" s="44" t="s">
        <v>3814</v>
      </c>
      <c r="J871" s="45" t="s">
        <v>3916</v>
      </c>
      <c r="K871" s="45" t="s">
        <v>3918</v>
      </c>
      <c r="L871" s="31" t="n">
        <f aca="false">COUNTIF($B$3:$B$2205,$B871)</f>
        <v>1</v>
      </c>
      <c r="M871" s="44" t="str">
        <f aca="false">IFERROR(INDEX(SENTENCES!$T$3:$T$1802,MATCH($F871,SENTENCES!$A$3:$A$1802,0)),"")</f>
        <v>• Chưa tới</v>
      </c>
    </row>
    <row r="872" customFormat="false" ht="15" hidden="false" customHeight="false" outlineLevel="0" collapsed="false">
      <c r="A872" s="31" t="n">
        <v>870</v>
      </c>
      <c r="B872" s="43" t="s">
        <v>12169</v>
      </c>
      <c r="C872" s="34" t="s">
        <v>12170</v>
      </c>
      <c r="D872" s="44" t="s">
        <v>10677</v>
      </c>
      <c r="E872" s="31" t="s">
        <v>10707</v>
      </c>
      <c r="F872" s="31" t="s">
        <v>3914</v>
      </c>
      <c r="G872" s="31" t="n">
        <v>32</v>
      </c>
      <c r="H872" s="31" t="s">
        <v>3692</v>
      </c>
      <c r="I872" s="44" t="s">
        <v>3814</v>
      </c>
      <c r="J872" s="45" t="s">
        <v>3916</v>
      </c>
      <c r="K872" s="45" t="s">
        <v>3918</v>
      </c>
      <c r="L872" s="31" t="n">
        <f aca="false">COUNTIF($B$3:$B$2205,$B872)</f>
        <v>1</v>
      </c>
      <c r="M872" s="44" t="str">
        <f aca="false">IFERROR(INDEX(SENTENCES!$T$3:$T$1802,MATCH($F872,SENTENCES!$A$3:$A$1802,0)),"")</f>
        <v>• Chưa tới</v>
      </c>
    </row>
    <row r="873" customFormat="false" ht="15" hidden="false" customHeight="false" outlineLevel="0" collapsed="false">
      <c r="A873" s="31" t="n">
        <v>871</v>
      </c>
      <c r="B873" s="43" t="s">
        <v>12171</v>
      </c>
      <c r="C873" s="34" t="s">
        <v>12172</v>
      </c>
      <c r="D873" s="44" t="s">
        <v>10686</v>
      </c>
      <c r="E873" s="31"/>
      <c r="F873" s="31" t="s">
        <v>3920</v>
      </c>
      <c r="G873" s="31" t="n">
        <v>32</v>
      </c>
      <c r="H873" s="31" t="s">
        <v>3692</v>
      </c>
      <c r="I873" s="44" t="s">
        <v>3814</v>
      </c>
      <c r="J873" s="45" t="s">
        <v>3922</v>
      </c>
      <c r="K873" s="45" t="s">
        <v>3924</v>
      </c>
      <c r="L873" s="31" t="n">
        <f aca="false">COUNTIF($B$3:$B$2205,$B873)</f>
        <v>3</v>
      </c>
      <c r="M873" s="44" t="str">
        <f aca="false">IFERROR(INDEX(SENTENCES!$T$3:$T$1802,MATCH($F873,SENTENCES!$A$3:$A$1802,0)),"")</f>
        <v>• Chưa tới</v>
      </c>
    </row>
    <row r="874" customFormat="false" ht="15" hidden="false" customHeight="false" outlineLevel="0" collapsed="false">
      <c r="A874" s="31" t="n">
        <v>872</v>
      </c>
      <c r="B874" s="43" t="s">
        <v>12173</v>
      </c>
      <c r="C874" s="34" t="s">
        <v>12174</v>
      </c>
      <c r="D874" s="44" t="s">
        <v>10681</v>
      </c>
      <c r="E874" s="31"/>
      <c r="F874" s="31" t="s">
        <v>3920</v>
      </c>
      <c r="G874" s="31" t="n">
        <v>32</v>
      </c>
      <c r="H874" s="31" t="s">
        <v>3692</v>
      </c>
      <c r="I874" s="44" t="s">
        <v>3814</v>
      </c>
      <c r="J874" s="45" t="s">
        <v>3922</v>
      </c>
      <c r="K874" s="45" t="s">
        <v>3924</v>
      </c>
      <c r="L874" s="31" t="n">
        <f aca="false">COUNTIF($B$3:$B$2205,$B874)</f>
        <v>1</v>
      </c>
      <c r="M874" s="44" t="str">
        <f aca="false">IFERROR(INDEX(SENTENCES!$T$3:$T$1802,MATCH($F874,SENTENCES!$A$3:$A$1802,0)),"")</f>
        <v>• Chưa tới</v>
      </c>
    </row>
    <row r="875" customFormat="false" ht="15" hidden="false" customHeight="false" outlineLevel="0" collapsed="false">
      <c r="A875" s="31" t="n">
        <v>873</v>
      </c>
      <c r="B875" s="43" t="s">
        <v>12175</v>
      </c>
      <c r="C875" s="34" t="s">
        <v>12176</v>
      </c>
      <c r="D875" s="44" t="s">
        <v>10681</v>
      </c>
      <c r="E875" s="31"/>
      <c r="F875" s="31" t="s">
        <v>3926</v>
      </c>
      <c r="G875" s="31" t="n">
        <v>32</v>
      </c>
      <c r="H875" s="31" t="s">
        <v>3692</v>
      </c>
      <c r="I875" s="44" t="s">
        <v>3814</v>
      </c>
      <c r="J875" s="45" t="s">
        <v>3928</v>
      </c>
      <c r="K875" s="45" t="s">
        <v>3930</v>
      </c>
      <c r="L875" s="31" t="n">
        <f aca="false">COUNTIF($B$3:$B$2205,$B875)</f>
        <v>1</v>
      </c>
      <c r="M875" s="44" t="str">
        <f aca="false">IFERROR(INDEX(SENTENCES!$T$3:$T$1802,MATCH($F875,SENTENCES!$A$3:$A$1802,0)),"")</f>
        <v>• Chưa tới</v>
      </c>
    </row>
    <row r="876" customFormat="false" ht="15" hidden="false" customHeight="false" outlineLevel="0" collapsed="false">
      <c r="A876" s="31" t="n">
        <v>874</v>
      </c>
      <c r="B876" s="43" t="s">
        <v>12177</v>
      </c>
      <c r="C876" s="34" t="s">
        <v>12178</v>
      </c>
      <c r="D876" s="44" t="s">
        <v>10677</v>
      </c>
      <c r="E876" s="31" t="s">
        <v>10707</v>
      </c>
      <c r="F876" s="31" t="s">
        <v>3926</v>
      </c>
      <c r="G876" s="31" t="n">
        <v>32</v>
      </c>
      <c r="H876" s="31" t="s">
        <v>3692</v>
      </c>
      <c r="I876" s="44" t="s">
        <v>3814</v>
      </c>
      <c r="J876" s="45" t="s">
        <v>3928</v>
      </c>
      <c r="K876" s="45" t="s">
        <v>3930</v>
      </c>
      <c r="L876" s="31" t="n">
        <f aca="false">COUNTIF($B$3:$B$2205,$B876)</f>
        <v>2</v>
      </c>
      <c r="M876" s="44" t="str">
        <f aca="false">IFERROR(INDEX(SENTENCES!$T$3:$T$1802,MATCH($F876,SENTENCES!$A$3:$A$1802,0)),"")</f>
        <v>• Chưa tới</v>
      </c>
    </row>
    <row r="877" customFormat="false" ht="15" hidden="false" customHeight="false" outlineLevel="0" collapsed="false">
      <c r="A877" s="31" t="n">
        <v>875</v>
      </c>
      <c r="B877" s="43" t="s">
        <v>12085</v>
      </c>
      <c r="C877" s="34" t="s">
        <v>12086</v>
      </c>
      <c r="D877" s="44" t="s">
        <v>10681</v>
      </c>
      <c r="E877" s="31"/>
      <c r="F877" s="31" t="s">
        <v>3932</v>
      </c>
      <c r="G877" s="31" t="n">
        <v>33</v>
      </c>
      <c r="H877" s="31" t="s">
        <v>3692</v>
      </c>
      <c r="I877" s="44" t="s">
        <v>3933</v>
      </c>
      <c r="J877" s="45" t="s">
        <v>3935</v>
      </c>
      <c r="K877" s="45" t="s">
        <v>3937</v>
      </c>
      <c r="L877" s="31" t="n">
        <f aca="false">COUNTIF($B$3:$B$2205,$B877)</f>
        <v>2</v>
      </c>
      <c r="M877" s="44" t="str">
        <f aca="false">IFERROR(INDEX(SENTENCES!$T$3:$T$1802,MATCH($F877,SENTENCES!$A$3:$A$1802,0)),"")</f>
        <v>• Chưa tới</v>
      </c>
    </row>
    <row r="878" customFormat="false" ht="15" hidden="false" customHeight="false" outlineLevel="0" collapsed="false">
      <c r="A878" s="31" t="n">
        <v>876</v>
      </c>
      <c r="B878" s="43" t="s">
        <v>10996</v>
      </c>
      <c r="C878" s="34" t="s">
        <v>12179</v>
      </c>
      <c r="D878" s="44" t="s">
        <v>10681</v>
      </c>
      <c r="E878" s="31"/>
      <c r="F878" s="31" t="s">
        <v>3938</v>
      </c>
      <c r="G878" s="31" t="n">
        <v>33</v>
      </c>
      <c r="H878" s="31" t="s">
        <v>3692</v>
      </c>
      <c r="I878" s="44" t="s">
        <v>3933</v>
      </c>
      <c r="J878" s="45" t="s">
        <v>3940</v>
      </c>
      <c r="K878" s="45" t="s">
        <v>3942</v>
      </c>
      <c r="L878" s="31" t="n">
        <f aca="false">COUNTIF($B$3:$B$2205,$B878)</f>
        <v>2</v>
      </c>
      <c r="M878" s="44" t="str">
        <f aca="false">IFERROR(INDEX(SENTENCES!$T$3:$T$1802,MATCH($F878,SENTENCES!$A$3:$A$1802,0)),"")</f>
        <v>• Chưa tới</v>
      </c>
    </row>
    <row r="879" customFormat="false" ht="15" hidden="false" customHeight="false" outlineLevel="0" collapsed="false">
      <c r="A879" s="31" t="n">
        <v>877</v>
      </c>
      <c r="B879" s="43" t="s">
        <v>12180</v>
      </c>
      <c r="C879" s="34" t="s">
        <v>12181</v>
      </c>
      <c r="D879" s="44" t="s">
        <v>10681</v>
      </c>
      <c r="E879" s="31"/>
      <c r="F879" s="31" t="s">
        <v>3944</v>
      </c>
      <c r="G879" s="31" t="n">
        <v>33</v>
      </c>
      <c r="H879" s="31" t="s">
        <v>3692</v>
      </c>
      <c r="I879" s="44" t="s">
        <v>3933</v>
      </c>
      <c r="J879" s="45" t="s">
        <v>3946</v>
      </c>
      <c r="K879" s="45" t="s">
        <v>3948</v>
      </c>
      <c r="L879" s="31" t="n">
        <f aca="false">COUNTIF($B$3:$B$2205,$B879)</f>
        <v>1</v>
      </c>
      <c r="M879" s="44" t="str">
        <f aca="false">IFERROR(INDEX(SENTENCES!$T$3:$T$1802,MATCH($F879,SENTENCES!$A$3:$A$1802,0)),"")</f>
        <v>• Chưa tới</v>
      </c>
    </row>
    <row r="880" customFormat="false" ht="15" hidden="false" customHeight="false" outlineLevel="0" collapsed="false">
      <c r="A880" s="31" t="n">
        <v>878</v>
      </c>
      <c r="B880" s="43" t="s">
        <v>12182</v>
      </c>
      <c r="C880" s="34" t="s">
        <v>12183</v>
      </c>
      <c r="D880" s="44" t="s">
        <v>10681</v>
      </c>
      <c r="E880" s="31"/>
      <c r="F880" s="31" t="s">
        <v>3950</v>
      </c>
      <c r="G880" s="31" t="n">
        <v>33</v>
      </c>
      <c r="H880" s="31" t="s">
        <v>3692</v>
      </c>
      <c r="I880" s="44" t="s">
        <v>3933</v>
      </c>
      <c r="J880" s="45" t="s">
        <v>3952</v>
      </c>
      <c r="K880" s="45" t="s">
        <v>3954</v>
      </c>
      <c r="L880" s="31" t="n">
        <f aca="false">COUNTIF($B$3:$B$2205,$B880)</f>
        <v>1</v>
      </c>
      <c r="M880" s="44" t="str">
        <f aca="false">IFERROR(INDEX(SENTENCES!$T$3:$T$1802,MATCH($F880,SENTENCES!$A$3:$A$1802,0)),"")</f>
        <v>• Chưa tới</v>
      </c>
    </row>
    <row r="881" customFormat="false" ht="15" hidden="false" customHeight="false" outlineLevel="0" collapsed="false">
      <c r="A881" s="31" t="n">
        <v>879</v>
      </c>
      <c r="B881" s="43" t="s">
        <v>12184</v>
      </c>
      <c r="C881" s="34" t="s">
        <v>12185</v>
      </c>
      <c r="D881" s="44" t="s">
        <v>10681</v>
      </c>
      <c r="E881" s="31"/>
      <c r="F881" s="31" t="s">
        <v>3955</v>
      </c>
      <c r="G881" s="31" t="n">
        <v>33</v>
      </c>
      <c r="H881" s="31" t="s">
        <v>3692</v>
      </c>
      <c r="I881" s="44" t="s">
        <v>3933</v>
      </c>
      <c r="J881" s="45" t="s">
        <v>3957</v>
      </c>
      <c r="K881" s="45" t="s">
        <v>3959</v>
      </c>
      <c r="L881" s="31" t="n">
        <f aca="false">COUNTIF($B$3:$B$2205,$B881)</f>
        <v>1</v>
      </c>
      <c r="M881" s="44" t="str">
        <f aca="false">IFERROR(INDEX(SENTENCES!$T$3:$T$1802,MATCH($F881,SENTENCES!$A$3:$A$1802,0)),"")</f>
        <v>• Chưa tới</v>
      </c>
    </row>
    <row r="882" customFormat="false" ht="15" hidden="false" customHeight="false" outlineLevel="0" collapsed="false">
      <c r="A882" s="31" t="n">
        <v>880</v>
      </c>
      <c r="B882" s="43" t="s">
        <v>12186</v>
      </c>
      <c r="C882" s="34" t="s">
        <v>12187</v>
      </c>
      <c r="D882" s="44" t="s">
        <v>10686</v>
      </c>
      <c r="E882" s="31"/>
      <c r="F882" s="31" t="s">
        <v>3955</v>
      </c>
      <c r="G882" s="31" t="n">
        <v>33</v>
      </c>
      <c r="H882" s="31" t="s">
        <v>3692</v>
      </c>
      <c r="I882" s="44" t="s">
        <v>3933</v>
      </c>
      <c r="J882" s="45" t="s">
        <v>3957</v>
      </c>
      <c r="K882" s="45" t="s">
        <v>3959</v>
      </c>
      <c r="L882" s="31" t="n">
        <f aca="false">COUNTIF($B$3:$B$2205,$B882)</f>
        <v>1</v>
      </c>
      <c r="M882" s="44" t="str">
        <f aca="false">IFERROR(INDEX(SENTENCES!$T$3:$T$1802,MATCH($F882,SENTENCES!$A$3:$A$1802,0)),"")</f>
        <v>• Chưa tới</v>
      </c>
    </row>
    <row r="883" customFormat="false" ht="15" hidden="false" customHeight="false" outlineLevel="0" collapsed="false">
      <c r="A883" s="31" t="n">
        <v>881</v>
      </c>
      <c r="B883" s="43" t="s">
        <v>12188</v>
      </c>
      <c r="C883" s="34" t="s">
        <v>12189</v>
      </c>
      <c r="D883" s="44" t="s">
        <v>10681</v>
      </c>
      <c r="E883" s="31"/>
      <c r="F883" s="31" t="s">
        <v>3961</v>
      </c>
      <c r="G883" s="31" t="n">
        <v>33</v>
      </c>
      <c r="H883" s="31" t="s">
        <v>3692</v>
      </c>
      <c r="I883" s="44" t="s">
        <v>3933</v>
      </c>
      <c r="J883" s="45" t="s">
        <v>3963</v>
      </c>
      <c r="K883" s="45" t="s">
        <v>3965</v>
      </c>
      <c r="L883" s="31" t="n">
        <f aca="false">COUNTIF($B$3:$B$2205,$B883)</f>
        <v>1</v>
      </c>
      <c r="M883" s="44" t="str">
        <f aca="false">IFERROR(INDEX(SENTENCES!$T$3:$T$1802,MATCH($F883,SENTENCES!$A$3:$A$1802,0)),"")</f>
        <v>• Chưa tới</v>
      </c>
    </row>
    <row r="884" customFormat="false" ht="15" hidden="false" customHeight="false" outlineLevel="0" collapsed="false">
      <c r="A884" s="31" t="n">
        <v>882</v>
      </c>
      <c r="B884" s="43" t="s">
        <v>12190</v>
      </c>
      <c r="C884" s="34" t="s">
        <v>10807</v>
      </c>
      <c r="D884" s="44" t="s">
        <v>10681</v>
      </c>
      <c r="E884" s="31"/>
      <c r="F884" s="31" t="s">
        <v>3967</v>
      </c>
      <c r="G884" s="31" t="n">
        <v>33</v>
      </c>
      <c r="H884" s="31" t="s">
        <v>3692</v>
      </c>
      <c r="I884" s="44" t="s">
        <v>3933</v>
      </c>
      <c r="J884" s="45" t="s">
        <v>3969</v>
      </c>
      <c r="K884" s="45" t="s">
        <v>3971</v>
      </c>
      <c r="L884" s="31" t="n">
        <f aca="false">COUNTIF($B$3:$B$2205,$B884)</f>
        <v>1</v>
      </c>
      <c r="M884" s="44" t="str">
        <f aca="false">IFERROR(INDEX(SENTENCES!$T$3:$T$1802,MATCH($F884,SENTENCES!$A$3:$A$1802,0)),"")</f>
        <v>• Chưa tới</v>
      </c>
    </row>
    <row r="885" customFormat="false" ht="15" hidden="false" customHeight="false" outlineLevel="0" collapsed="false">
      <c r="A885" s="31" t="n">
        <v>883</v>
      </c>
      <c r="B885" s="43" t="s">
        <v>12191</v>
      </c>
      <c r="C885" s="34" t="s">
        <v>12192</v>
      </c>
      <c r="D885" s="44" t="s">
        <v>10686</v>
      </c>
      <c r="E885" s="31"/>
      <c r="F885" s="31" t="s">
        <v>3967</v>
      </c>
      <c r="G885" s="31" t="n">
        <v>33</v>
      </c>
      <c r="H885" s="31" t="s">
        <v>3692</v>
      </c>
      <c r="I885" s="44" t="s">
        <v>3933</v>
      </c>
      <c r="J885" s="45" t="s">
        <v>3969</v>
      </c>
      <c r="K885" s="45" t="s">
        <v>3971</v>
      </c>
      <c r="L885" s="31" t="n">
        <f aca="false">COUNTIF($B$3:$B$2205,$B885)</f>
        <v>1</v>
      </c>
      <c r="M885" s="44" t="str">
        <f aca="false">IFERROR(INDEX(SENTENCES!$T$3:$T$1802,MATCH($F885,SENTENCES!$A$3:$A$1802,0)),"")</f>
        <v>• Chưa tới</v>
      </c>
    </row>
    <row r="886" customFormat="false" ht="15" hidden="false" customHeight="false" outlineLevel="0" collapsed="false">
      <c r="A886" s="31" t="n">
        <v>884</v>
      </c>
      <c r="B886" s="43" t="s">
        <v>10712</v>
      </c>
      <c r="C886" s="34" t="s">
        <v>12193</v>
      </c>
      <c r="D886" s="44" t="s">
        <v>10681</v>
      </c>
      <c r="E886" s="31"/>
      <c r="F886" s="31" t="s">
        <v>3973</v>
      </c>
      <c r="G886" s="31" t="n">
        <v>33</v>
      </c>
      <c r="H886" s="31" t="s">
        <v>3692</v>
      </c>
      <c r="I886" s="44" t="s">
        <v>3933</v>
      </c>
      <c r="J886" s="45" t="s">
        <v>3975</v>
      </c>
      <c r="K886" s="45" t="s">
        <v>3977</v>
      </c>
      <c r="L886" s="31" t="n">
        <f aca="false">COUNTIF($B$3:$B$2205,$B886)</f>
        <v>2</v>
      </c>
      <c r="M886" s="44" t="str">
        <f aca="false">IFERROR(INDEX(SENTENCES!$T$3:$T$1802,MATCH($F886,SENTENCES!$A$3:$A$1802,0)),"")</f>
        <v>• Chưa tới</v>
      </c>
    </row>
    <row r="887" customFormat="false" ht="15" hidden="false" customHeight="false" outlineLevel="0" collapsed="false">
      <c r="A887" s="31" t="n">
        <v>885</v>
      </c>
      <c r="B887" s="43" t="s">
        <v>12194</v>
      </c>
      <c r="C887" s="34" t="s">
        <v>12195</v>
      </c>
      <c r="D887" s="44" t="s">
        <v>10681</v>
      </c>
      <c r="E887" s="31"/>
      <c r="F887" s="31" t="s">
        <v>3978</v>
      </c>
      <c r="G887" s="31" t="n">
        <v>33</v>
      </c>
      <c r="H887" s="31" t="s">
        <v>3692</v>
      </c>
      <c r="I887" s="44" t="s">
        <v>3933</v>
      </c>
      <c r="J887" s="45" t="s">
        <v>3980</v>
      </c>
      <c r="K887" s="45" t="s">
        <v>3982</v>
      </c>
      <c r="L887" s="31" t="n">
        <f aca="false">COUNTIF($B$3:$B$2205,$B887)</f>
        <v>1</v>
      </c>
      <c r="M887" s="44" t="str">
        <f aca="false">IFERROR(INDEX(SENTENCES!$T$3:$T$1802,MATCH($F887,SENTENCES!$A$3:$A$1802,0)),"")</f>
        <v>• Chưa tới</v>
      </c>
    </row>
    <row r="888" customFormat="false" ht="15" hidden="false" customHeight="false" outlineLevel="0" collapsed="false">
      <c r="A888" s="31" t="n">
        <v>886</v>
      </c>
      <c r="B888" s="43" t="s">
        <v>12196</v>
      </c>
      <c r="C888" s="34" t="s">
        <v>12197</v>
      </c>
      <c r="D888" s="44" t="s">
        <v>10681</v>
      </c>
      <c r="E888" s="31"/>
      <c r="F888" s="31" t="s">
        <v>3983</v>
      </c>
      <c r="G888" s="31" t="n">
        <v>33</v>
      </c>
      <c r="H888" s="31" t="s">
        <v>3692</v>
      </c>
      <c r="I888" s="44" t="s">
        <v>3933</v>
      </c>
      <c r="J888" s="45" t="s">
        <v>3985</v>
      </c>
      <c r="K888" s="45" t="s">
        <v>3987</v>
      </c>
      <c r="L888" s="31" t="n">
        <f aca="false">COUNTIF($B$3:$B$2205,$B888)</f>
        <v>1</v>
      </c>
      <c r="M888" s="44" t="str">
        <f aca="false">IFERROR(INDEX(SENTENCES!$T$3:$T$1802,MATCH($F888,SENTENCES!$A$3:$A$1802,0)),"")</f>
        <v>• Chưa tới</v>
      </c>
    </row>
    <row r="889" customFormat="false" ht="15" hidden="false" customHeight="false" outlineLevel="0" collapsed="false">
      <c r="A889" s="31" t="n">
        <v>887</v>
      </c>
      <c r="B889" s="43" t="s">
        <v>10978</v>
      </c>
      <c r="C889" s="34" t="s">
        <v>10979</v>
      </c>
      <c r="D889" s="44" t="s">
        <v>10686</v>
      </c>
      <c r="E889" s="31"/>
      <c r="F889" s="31" t="s">
        <v>3988</v>
      </c>
      <c r="G889" s="31" t="n">
        <v>33</v>
      </c>
      <c r="H889" s="31" t="s">
        <v>3692</v>
      </c>
      <c r="I889" s="44" t="s">
        <v>3933</v>
      </c>
      <c r="J889" s="45" t="s">
        <v>3990</v>
      </c>
      <c r="K889" s="45" t="s">
        <v>3992</v>
      </c>
      <c r="L889" s="31" t="n">
        <f aca="false">COUNTIF($B$3:$B$2205,$B889)</f>
        <v>3</v>
      </c>
      <c r="M889" s="44" t="str">
        <f aca="false">IFERROR(INDEX(SENTENCES!$T$3:$T$1802,MATCH($F889,SENTENCES!$A$3:$A$1802,0)),"")</f>
        <v>• Chưa tới</v>
      </c>
    </row>
    <row r="890" customFormat="false" ht="15" hidden="false" customHeight="false" outlineLevel="0" collapsed="false">
      <c r="A890" s="31" t="n">
        <v>888</v>
      </c>
      <c r="B890" s="43" t="s">
        <v>12198</v>
      </c>
      <c r="C890" s="34" t="s">
        <v>12199</v>
      </c>
      <c r="D890" s="44" t="s">
        <v>10681</v>
      </c>
      <c r="E890" s="31"/>
      <c r="F890" s="31" t="s">
        <v>3993</v>
      </c>
      <c r="G890" s="31" t="n">
        <v>33</v>
      </c>
      <c r="H890" s="31" t="s">
        <v>3692</v>
      </c>
      <c r="I890" s="44" t="s">
        <v>3933</v>
      </c>
      <c r="J890" s="45" t="s">
        <v>3995</v>
      </c>
      <c r="K890" s="45" t="s">
        <v>3997</v>
      </c>
      <c r="L890" s="31" t="n">
        <f aca="false">COUNTIF($B$3:$B$2205,$B890)</f>
        <v>2</v>
      </c>
      <c r="M890" s="44" t="str">
        <f aca="false">IFERROR(INDEX(SENTENCES!$T$3:$T$1802,MATCH($F890,SENTENCES!$A$3:$A$1802,0)),"")</f>
        <v>• Chưa tới</v>
      </c>
    </row>
    <row r="891" customFormat="false" ht="15" hidden="false" customHeight="false" outlineLevel="0" collapsed="false">
      <c r="A891" s="31" t="n">
        <v>889</v>
      </c>
      <c r="B891" s="43" t="s">
        <v>11131</v>
      </c>
      <c r="C891" s="34" t="s">
        <v>11132</v>
      </c>
      <c r="D891" s="44" t="s">
        <v>10677</v>
      </c>
      <c r="E891" s="31" t="s">
        <v>10678</v>
      </c>
      <c r="F891" s="31" t="s">
        <v>3999</v>
      </c>
      <c r="G891" s="31" t="n">
        <v>33</v>
      </c>
      <c r="H891" s="31" t="s">
        <v>3692</v>
      </c>
      <c r="I891" s="44" t="s">
        <v>3933</v>
      </c>
      <c r="J891" s="45" t="s">
        <v>4001</v>
      </c>
      <c r="K891" s="45" t="s">
        <v>4003</v>
      </c>
      <c r="L891" s="31" t="n">
        <f aca="false">COUNTIF($B$3:$B$2205,$B891)</f>
        <v>2</v>
      </c>
      <c r="M891" s="44" t="str">
        <f aca="false">IFERROR(INDEX(SENTENCES!$T$3:$T$1802,MATCH($F891,SENTENCES!$A$3:$A$1802,0)),"")</f>
        <v>• Chưa tới</v>
      </c>
    </row>
    <row r="892" customFormat="false" ht="15" hidden="false" customHeight="false" outlineLevel="0" collapsed="false">
      <c r="A892" s="31" t="n">
        <v>890</v>
      </c>
      <c r="B892" s="43" t="s">
        <v>10849</v>
      </c>
      <c r="C892" s="34" t="s">
        <v>10850</v>
      </c>
      <c r="D892" s="44" t="s">
        <v>10686</v>
      </c>
      <c r="E892" s="31"/>
      <c r="F892" s="31" t="s">
        <v>4005</v>
      </c>
      <c r="G892" s="31" t="n">
        <v>33</v>
      </c>
      <c r="H892" s="31" t="s">
        <v>3692</v>
      </c>
      <c r="I892" s="44" t="s">
        <v>3933</v>
      </c>
      <c r="J892" s="45" t="s">
        <v>4007</v>
      </c>
      <c r="K892" s="45" t="s">
        <v>4009</v>
      </c>
      <c r="L892" s="31" t="n">
        <f aca="false">COUNTIF($B$3:$B$2205,$B892)</f>
        <v>4</v>
      </c>
      <c r="M892" s="44" t="str">
        <f aca="false">IFERROR(INDEX(SENTENCES!$T$3:$T$1802,MATCH($F892,SENTENCES!$A$3:$A$1802,0)),"")</f>
        <v>• Chưa tới</v>
      </c>
    </row>
    <row r="893" customFormat="false" ht="15" hidden="false" customHeight="false" outlineLevel="0" collapsed="false">
      <c r="A893" s="31" t="n">
        <v>891</v>
      </c>
      <c r="B893" s="43" t="s">
        <v>12200</v>
      </c>
      <c r="C893" s="34" t="s">
        <v>12201</v>
      </c>
      <c r="D893" s="44" t="s">
        <v>10677</v>
      </c>
      <c r="E893" s="31" t="s">
        <v>10678</v>
      </c>
      <c r="F893" s="31" t="s">
        <v>4010</v>
      </c>
      <c r="G893" s="31" t="n">
        <v>33</v>
      </c>
      <c r="H893" s="31" t="s">
        <v>3692</v>
      </c>
      <c r="I893" s="44" t="s">
        <v>3933</v>
      </c>
      <c r="J893" s="45" t="s">
        <v>4012</v>
      </c>
      <c r="K893" s="45" t="s">
        <v>4014</v>
      </c>
      <c r="L893" s="31" t="n">
        <f aca="false">COUNTIF($B$3:$B$2205,$B893)</f>
        <v>2</v>
      </c>
      <c r="M893" s="44" t="str">
        <f aca="false">IFERROR(INDEX(SENTENCES!$T$3:$T$1802,MATCH($F893,SENTENCES!$A$3:$A$1802,0)),"")</f>
        <v>• Chưa tới</v>
      </c>
    </row>
    <row r="894" customFormat="false" ht="15" hidden="false" customHeight="false" outlineLevel="0" collapsed="false">
      <c r="A894" s="31" t="n">
        <v>892</v>
      </c>
      <c r="B894" s="43" t="s">
        <v>12202</v>
      </c>
      <c r="C894" s="34" t="s">
        <v>12203</v>
      </c>
      <c r="D894" s="44" t="s">
        <v>10794</v>
      </c>
      <c r="E894" s="31"/>
      <c r="F894" s="31" t="s">
        <v>4016</v>
      </c>
      <c r="G894" s="31" t="n">
        <v>33</v>
      </c>
      <c r="H894" s="31" t="s">
        <v>3692</v>
      </c>
      <c r="I894" s="44" t="s">
        <v>3933</v>
      </c>
      <c r="J894" s="45" t="s">
        <v>4018</v>
      </c>
      <c r="K894" s="45" t="s">
        <v>4020</v>
      </c>
      <c r="L894" s="31" t="n">
        <f aca="false">COUNTIF($B$3:$B$2205,$B894)</f>
        <v>1</v>
      </c>
      <c r="M894" s="44" t="str">
        <f aca="false">IFERROR(INDEX(SENTENCES!$T$3:$T$1802,MATCH($F894,SENTENCES!$A$3:$A$1802,0)),"")</f>
        <v>• Chưa tới</v>
      </c>
    </row>
    <row r="895" customFormat="false" ht="15" hidden="false" customHeight="false" outlineLevel="0" collapsed="false">
      <c r="A895" s="31" t="n">
        <v>893</v>
      </c>
      <c r="B895" s="43" t="s">
        <v>12204</v>
      </c>
      <c r="C895" s="34" t="s">
        <v>12205</v>
      </c>
      <c r="D895" s="44" t="s">
        <v>10686</v>
      </c>
      <c r="E895" s="31"/>
      <c r="F895" s="31" t="s">
        <v>4022</v>
      </c>
      <c r="G895" s="31" t="n">
        <v>33</v>
      </c>
      <c r="H895" s="31" t="s">
        <v>3692</v>
      </c>
      <c r="I895" s="44" t="s">
        <v>3933</v>
      </c>
      <c r="J895" s="45" t="s">
        <v>4024</v>
      </c>
      <c r="K895" s="45" t="s">
        <v>4026</v>
      </c>
      <c r="L895" s="31" t="n">
        <f aca="false">COUNTIF($B$3:$B$2205,$B895)</f>
        <v>1</v>
      </c>
      <c r="M895" s="44" t="str">
        <f aca="false">IFERROR(INDEX(SENTENCES!$T$3:$T$1802,MATCH($F895,SENTENCES!$A$3:$A$1802,0)),"")</f>
        <v>• Chưa tới</v>
      </c>
    </row>
    <row r="896" customFormat="false" ht="15" hidden="false" customHeight="false" outlineLevel="0" collapsed="false">
      <c r="A896" s="31" t="n">
        <v>894</v>
      </c>
      <c r="B896" s="43" t="s">
        <v>10806</v>
      </c>
      <c r="C896" s="34" t="s">
        <v>10807</v>
      </c>
      <c r="D896" s="44" t="s">
        <v>10681</v>
      </c>
      <c r="E896" s="31"/>
      <c r="F896" s="31" t="s">
        <v>4028</v>
      </c>
      <c r="G896" s="31" t="n">
        <v>33</v>
      </c>
      <c r="H896" s="31" t="s">
        <v>3692</v>
      </c>
      <c r="I896" s="44" t="s">
        <v>3933</v>
      </c>
      <c r="J896" s="45" t="s">
        <v>4030</v>
      </c>
      <c r="K896" s="45" t="s">
        <v>4032</v>
      </c>
      <c r="L896" s="31" t="n">
        <f aca="false">COUNTIF($B$3:$B$2205,$B896)</f>
        <v>4</v>
      </c>
      <c r="M896" s="44" t="str">
        <f aca="false">IFERROR(INDEX(SENTENCES!$T$3:$T$1802,MATCH($F896,SENTENCES!$A$3:$A$1802,0)),"")</f>
        <v>• Chưa tới</v>
      </c>
    </row>
    <row r="897" customFormat="false" ht="15" hidden="false" customHeight="false" outlineLevel="0" collapsed="false">
      <c r="A897" s="31" t="n">
        <v>895</v>
      </c>
      <c r="B897" s="43" t="s">
        <v>12206</v>
      </c>
      <c r="C897" s="34" t="s">
        <v>12207</v>
      </c>
      <c r="D897" s="44" t="s">
        <v>10686</v>
      </c>
      <c r="E897" s="31"/>
      <c r="F897" s="31" t="s">
        <v>4033</v>
      </c>
      <c r="G897" s="31" t="n">
        <v>33</v>
      </c>
      <c r="H897" s="31" t="s">
        <v>3692</v>
      </c>
      <c r="I897" s="44" t="s">
        <v>3933</v>
      </c>
      <c r="J897" s="45" t="s">
        <v>4035</v>
      </c>
      <c r="K897" s="45" t="s">
        <v>4037</v>
      </c>
      <c r="L897" s="31" t="n">
        <f aca="false">COUNTIF($B$3:$B$2205,$B897)</f>
        <v>1</v>
      </c>
      <c r="M897" s="44" t="str">
        <f aca="false">IFERROR(INDEX(SENTENCES!$T$3:$T$1802,MATCH($F897,SENTENCES!$A$3:$A$1802,0)),"")</f>
        <v>• Chưa tới</v>
      </c>
    </row>
    <row r="898" customFormat="false" ht="15" hidden="false" customHeight="false" outlineLevel="0" collapsed="false">
      <c r="A898" s="31" t="n">
        <v>896</v>
      </c>
      <c r="B898" s="43" t="s">
        <v>12208</v>
      </c>
      <c r="C898" s="34" t="s">
        <v>12209</v>
      </c>
      <c r="D898" s="44" t="s">
        <v>10681</v>
      </c>
      <c r="E898" s="31"/>
      <c r="F898" s="31" t="s">
        <v>4039</v>
      </c>
      <c r="G898" s="31" t="n">
        <v>33</v>
      </c>
      <c r="H898" s="31" t="s">
        <v>3692</v>
      </c>
      <c r="I898" s="44" t="s">
        <v>3933</v>
      </c>
      <c r="J898" s="45" t="s">
        <v>4041</v>
      </c>
      <c r="K898" s="45" t="s">
        <v>4043</v>
      </c>
      <c r="L898" s="31" t="n">
        <f aca="false">COUNTIF($B$3:$B$2205,$B898)</f>
        <v>2</v>
      </c>
      <c r="M898" s="44" t="str">
        <f aca="false">IFERROR(INDEX(SENTENCES!$T$3:$T$1802,MATCH($F898,SENTENCES!$A$3:$A$1802,0)),"")</f>
        <v>• Chưa tới</v>
      </c>
    </row>
    <row r="899" customFormat="false" ht="15" hidden="false" customHeight="false" outlineLevel="0" collapsed="false">
      <c r="A899" s="31" t="n">
        <v>897</v>
      </c>
      <c r="B899" s="43" t="s">
        <v>11115</v>
      </c>
      <c r="C899" s="34" t="s">
        <v>11116</v>
      </c>
      <c r="D899" s="44" t="s">
        <v>10677</v>
      </c>
      <c r="E899" s="31" t="s">
        <v>10678</v>
      </c>
      <c r="F899" s="31" t="s">
        <v>4045</v>
      </c>
      <c r="G899" s="31" t="n">
        <v>34</v>
      </c>
      <c r="H899" s="31" t="s">
        <v>3692</v>
      </c>
      <c r="I899" s="44" t="s">
        <v>4046</v>
      </c>
      <c r="J899" s="45" t="s">
        <v>4049</v>
      </c>
      <c r="K899" s="45" t="s">
        <v>4051</v>
      </c>
      <c r="L899" s="31" t="n">
        <f aca="false">COUNTIF($B$3:$B$2205,$B899)</f>
        <v>2</v>
      </c>
      <c r="M899" s="44" t="str">
        <f aca="false">IFERROR(INDEX(SENTENCES!$T$3:$T$1802,MATCH($F899,SENTENCES!$A$3:$A$1802,0)),"")</f>
        <v>• Chưa tới</v>
      </c>
    </row>
    <row r="900" customFormat="false" ht="15" hidden="false" customHeight="false" outlineLevel="0" collapsed="false">
      <c r="A900" s="31" t="n">
        <v>898</v>
      </c>
      <c r="B900" s="43" t="s">
        <v>10818</v>
      </c>
      <c r="C900" s="34" t="s">
        <v>10819</v>
      </c>
      <c r="D900" s="44" t="s">
        <v>10686</v>
      </c>
      <c r="E900" s="31"/>
      <c r="F900" s="31" t="s">
        <v>4053</v>
      </c>
      <c r="G900" s="31" t="n">
        <v>34</v>
      </c>
      <c r="H900" s="31" t="s">
        <v>3692</v>
      </c>
      <c r="I900" s="44" t="s">
        <v>4046</v>
      </c>
      <c r="J900" s="45" t="s">
        <v>4055</v>
      </c>
      <c r="K900" s="45" t="s">
        <v>4057</v>
      </c>
      <c r="L900" s="31" t="n">
        <f aca="false">COUNTIF($B$3:$B$2205,$B900)</f>
        <v>4</v>
      </c>
      <c r="M900" s="44" t="str">
        <f aca="false">IFERROR(INDEX(SENTENCES!$T$3:$T$1802,MATCH($F900,SENTENCES!$A$3:$A$1802,0)),"")</f>
        <v>• Chưa tới</v>
      </c>
    </row>
    <row r="901" customFormat="false" ht="15" hidden="false" customHeight="false" outlineLevel="0" collapsed="false">
      <c r="A901" s="31" t="n">
        <v>899</v>
      </c>
      <c r="B901" s="43" t="s">
        <v>12210</v>
      </c>
      <c r="C901" s="34" t="s">
        <v>12211</v>
      </c>
      <c r="D901" s="44" t="s">
        <v>10681</v>
      </c>
      <c r="E901" s="31"/>
      <c r="F901" s="31" t="s">
        <v>4058</v>
      </c>
      <c r="G901" s="31" t="n">
        <v>34</v>
      </c>
      <c r="H901" s="31" t="s">
        <v>3692</v>
      </c>
      <c r="I901" s="44" t="s">
        <v>4046</v>
      </c>
      <c r="J901" s="45" t="s">
        <v>4060</v>
      </c>
      <c r="K901" s="45" t="s">
        <v>4062</v>
      </c>
      <c r="L901" s="31" t="n">
        <f aca="false">COUNTIF($B$3:$B$2205,$B901)</f>
        <v>2</v>
      </c>
      <c r="M901" s="44" t="str">
        <f aca="false">IFERROR(INDEX(SENTENCES!$T$3:$T$1802,MATCH($F901,SENTENCES!$A$3:$A$1802,0)),"")</f>
        <v>• Chưa tới</v>
      </c>
    </row>
    <row r="902" customFormat="false" ht="15" hidden="false" customHeight="false" outlineLevel="0" collapsed="false">
      <c r="A902" s="31" t="n">
        <v>900</v>
      </c>
      <c r="B902" s="43" t="s">
        <v>12212</v>
      </c>
      <c r="C902" s="34" t="s">
        <v>12213</v>
      </c>
      <c r="D902" s="44" t="s">
        <v>10677</v>
      </c>
      <c r="E902" s="31" t="s">
        <v>10707</v>
      </c>
      <c r="F902" s="31" t="s">
        <v>4064</v>
      </c>
      <c r="G902" s="31" t="n">
        <v>34</v>
      </c>
      <c r="H902" s="31" t="s">
        <v>3692</v>
      </c>
      <c r="I902" s="44" t="s">
        <v>4046</v>
      </c>
      <c r="J902" s="45" t="s">
        <v>4066</v>
      </c>
      <c r="K902" s="45" t="s">
        <v>4068</v>
      </c>
      <c r="L902" s="31" t="n">
        <f aca="false">COUNTIF($B$3:$B$2205,$B902)</f>
        <v>1</v>
      </c>
      <c r="M902" s="44" t="str">
        <f aca="false">IFERROR(INDEX(SENTENCES!$T$3:$T$1802,MATCH($F902,SENTENCES!$A$3:$A$1802,0)),"")</f>
        <v>• Chưa tới</v>
      </c>
    </row>
    <row r="903" customFormat="false" ht="15" hidden="false" customHeight="false" outlineLevel="0" collapsed="false">
      <c r="A903" s="31" t="n">
        <v>901</v>
      </c>
      <c r="B903" s="43" t="s">
        <v>12214</v>
      </c>
      <c r="C903" s="34" t="s">
        <v>12215</v>
      </c>
      <c r="D903" s="44" t="s">
        <v>10681</v>
      </c>
      <c r="E903" s="31"/>
      <c r="F903" s="31" t="s">
        <v>4070</v>
      </c>
      <c r="G903" s="31" t="n">
        <v>34</v>
      </c>
      <c r="H903" s="31" t="s">
        <v>3692</v>
      </c>
      <c r="I903" s="44" t="s">
        <v>4046</v>
      </c>
      <c r="J903" s="45" t="s">
        <v>4072</v>
      </c>
      <c r="K903" s="45" t="s">
        <v>4074</v>
      </c>
      <c r="L903" s="31" t="n">
        <f aca="false">COUNTIF($B$3:$B$2205,$B903)</f>
        <v>1</v>
      </c>
      <c r="M903" s="44" t="str">
        <f aca="false">IFERROR(INDEX(SENTENCES!$T$3:$T$1802,MATCH($F903,SENTENCES!$A$3:$A$1802,0)),"")</f>
        <v>• Chưa tới</v>
      </c>
    </row>
    <row r="904" customFormat="false" ht="15" hidden="false" customHeight="false" outlineLevel="0" collapsed="false">
      <c r="A904" s="31" t="n">
        <v>902</v>
      </c>
      <c r="B904" s="43" t="s">
        <v>11382</v>
      </c>
      <c r="C904" s="34" t="s">
        <v>12216</v>
      </c>
      <c r="D904" s="44" t="s">
        <v>10686</v>
      </c>
      <c r="E904" s="31"/>
      <c r="F904" s="31" t="s">
        <v>4076</v>
      </c>
      <c r="G904" s="31" t="n">
        <v>34</v>
      </c>
      <c r="H904" s="31" t="s">
        <v>3692</v>
      </c>
      <c r="I904" s="44" t="s">
        <v>4046</v>
      </c>
      <c r="J904" s="45" t="s">
        <v>4078</v>
      </c>
      <c r="K904" s="45" t="s">
        <v>4080</v>
      </c>
      <c r="L904" s="31" t="n">
        <f aca="false">COUNTIF($B$3:$B$2205,$B904)</f>
        <v>4</v>
      </c>
      <c r="M904" s="44" t="str">
        <f aca="false">IFERROR(INDEX(SENTENCES!$T$3:$T$1802,MATCH($F904,SENTENCES!$A$3:$A$1802,0)),"")</f>
        <v>• Chưa tới</v>
      </c>
    </row>
    <row r="905" customFormat="false" ht="15" hidden="false" customHeight="false" outlineLevel="0" collapsed="false">
      <c r="A905" s="31" t="n">
        <v>903</v>
      </c>
      <c r="B905" s="43" t="s">
        <v>11016</v>
      </c>
      <c r="C905" s="34" t="s">
        <v>12217</v>
      </c>
      <c r="D905" s="44" t="s">
        <v>10686</v>
      </c>
      <c r="E905" s="31"/>
      <c r="F905" s="31" t="s">
        <v>4082</v>
      </c>
      <c r="G905" s="31" t="n">
        <v>34</v>
      </c>
      <c r="H905" s="31" t="s">
        <v>3692</v>
      </c>
      <c r="I905" s="44" t="s">
        <v>4046</v>
      </c>
      <c r="J905" s="45" t="s">
        <v>4084</v>
      </c>
      <c r="K905" s="45" t="s">
        <v>4086</v>
      </c>
      <c r="L905" s="31" t="n">
        <f aca="false">COUNTIF($B$3:$B$2205,$B905)</f>
        <v>3</v>
      </c>
      <c r="M905" s="44" t="str">
        <f aca="false">IFERROR(INDEX(SENTENCES!$T$3:$T$1802,MATCH($F905,SENTENCES!$A$3:$A$1802,0)),"")</f>
        <v>• Chưa tới</v>
      </c>
    </row>
    <row r="906" customFormat="false" ht="15" hidden="false" customHeight="false" outlineLevel="0" collapsed="false">
      <c r="A906" s="31" t="n">
        <v>904</v>
      </c>
      <c r="B906" s="43" t="s">
        <v>11104</v>
      </c>
      <c r="C906" s="34" t="s">
        <v>11105</v>
      </c>
      <c r="D906" s="44" t="s">
        <v>10686</v>
      </c>
      <c r="E906" s="31"/>
      <c r="F906" s="31" t="s">
        <v>4088</v>
      </c>
      <c r="G906" s="31" t="n">
        <v>34</v>
      </c>
      <c r="H906" s="31" t="s">
        <v>3692</v>
      </c>
      <c r="I906" s="44" t="s">
        <v>4046</v>
      </c>
      <c r="J906" s="45" t="s">
        <v>4090</v>
      </c>
      <c r="K906" s="45" t="s">
        <v>4092</v>
      </c>
      <c r="L906" s="31" t="n">
        <f aca="false">COUNTIF($B$3:$B$2205,$B906)</f>
        <v>5</v>
      </c>
      <c r="M906" s="44" t="str">
        <f aca="false">IFERROR(INDEX(SENTENCES!$T$3:$T$1802,MATCH($F906,SENTENCES!$A$3:$A$1802,0)),"")</f>
        <v>• Chưa tới</v>
      </c>
    </row>
    <row r="907" customFormat="false" ht="15" hidden="false" customHeight="false" outlineLevel="0" collapsed="false">
      <c r="A907" s="31" t="n">
        <v>905</v>
      </c>
      <c r="B907" s="43" t="s">
        <v>11109</v>
      </c>
      <c r="C907" s="34" t="s">
        <v>11110</v>
      </c>
      <c r="D907" s="44" t="s">
        <v>10686</v>
      </c>
      <c r="E907" s="31"/>
      <c r="F907" s="31" t="s">
        <v>4093</v>
      </c>
      <c r="G907" s="31" t="n">
        <v>34</v>
      </c>
      <c r="H907" s="31" t="s">
        <v>3692</v>
      </c>
      <c r="I907" s="44" t="s">
        <v>4046</v>
      </c>
      <c r="J907" s="45" t="s">
        <v>4095</v>
      </c>
      <c r="K907" s="45" t="s">
        <v>4097</v>
      </c>
      <c r="L907" s="31" t="n">
        <f aca="false">COUNTIF($B$3:$B$2205,$B907)</f>
        <v>2</v>
      </c>
      <c r="M907" s="44" t="str">
        <f aca="false">IFERROR(INDEX(SENTENCES!$T$3:$T$1802,MATCH($F907,SENTENCES!$A$3:$A$1802,0)),"")</f>
        <v>• Chưa tới</v>
      </c>
    </row>
    <row r="908" customFormat="false" ht="15" hidden="false" customHeight="false" outlineLevel="0" collapsed="false">
      <c r="A908" s="31" t="n">
        <v>906</v>
      </c>
      <c r="B908" s="43" t="s">
        <v>10731</v>
      </c>
      <c r="C908" s="34" t="s">
        <v>10732</v>
      </c>
      <c r="D908" s="44" t="s">
        <v>10681</v>
      </c>
      <c r="E908" s="31"/>
      <c r="F908" s="31" t="s">
        <v>4098</v>
      </c>
      <c r="G908" s="31" t="n">
        <v>34</v>
      </c>
      <c r="H908" s="31" t="s">
        <v>3692</v>
      </c>
      <c r="I908" s="44" t="s">
        <v>4046</v>
      </c>
      <c r="J908" s="45" t="s">
        <v>4100</v>
      </c>
      <c r="K908" s="45" t="s">
        <v>4102</v>
      </c>
      <c r="L908" s="31" t="n">
        <f aca="false">COUNTIF($B$3:$B$2205,$B908)</f>
        <v>3</v>
      </c>
      <c r="M908" s="44" t="str">
        <f aca="false">IFERROR(INDEX(SENTENCES!$T$3:$T$1802,MATCH($F908,SENTENCES!$A$3:$A$1802,0)),"")</f>
        <v>• Chưa tới</v>
      </c>
    </row>
    <row r="909" customFormat="false" ht="15" hidden="false" customHeight="false" outlineLevel="0" collapsed="false">
      <c r="A909" s="31" t="n">
        <v>907</v>
      </c>
      <c r="B909" s="43" t="s">
        <v>10741</v>
      </c>
      <c r="C909" s="34" t="s">
        <v>12218</v>
      </c>
      <c r="D909" s="44" t="s">
        <v>10681</v>
      </c>
      <c r="E909" s="31"/>
      <c r="F909" s="31" t="s">
        <v>4103</v>
      </c>
      <c r="G909" s="31" t="n">
        <v>34</v>
      </c>
      <c r="H909" s="31" t="s">
        <v>3692</v>
      </c>
      <c r="I909" s="44" t="s">
        <v>4046</v>
      </c>
      <c r="J909" s="45" t="s">
        <v>4105</v>
      </c>
      <c r="K909" s="45" t="s">
        <v>4107</v>
      </c>
      <c r="L909" s="31" t="n">
        <f aca="false">COUNTIF($B$3:$B$2205,$B909)</f>
        <v>3</v>
      </c>
      <c r="M909" s="44" t="str">
        <f aca="false">IFERROR(INDEX(SENTENCES!$T$3:$T$1802,MATCH($F909,SENTENCES!$A$3:$A$1802,0)),"")</f>
        <v>• Chưa tới</v>
      </c>
    </row>
    <row r="910" customFormat="false" ht="15" hidden="false" customHeight="false" outlineLevel="0" collapsed="false">
      <c r="A910" s="31" t="n">
        <v>908</v>
      </c>
      <c r="B910" s="43" t="s">
        <v>11269</v>
      </c>
      <c r="C910" s="34" t="s">
        <v>12219</v>
      </c>
      <c r="D910" s="44" t="s">
        <v>10677</v>
      </c>
      <c r="E910" s="31" t="s">
        <v>10678</v>
      </c>
      <c r="F910" s="31" t="s">
        <v>4109</v>
      </c>
      <c r="G910" s="31" t="n">
        <v>34</v>
      </c>
      <c r="H910" s="31" t="s">
        <v>3692</v>
      </c>
      <c r="I910" s="44" t="s">
        <v>4046</v>
      </c>
      <c r="J910" s="45" t="s">
        <v>4111</v>
      </c>
      <c r="K910" s="45" t="s">
        <v>4113</v>
      </c>
      <c r="L910" s="31" t="n">
        <f aca="false">COUNTIF($B$3:$B$2205,$B910)</f>
        <v>3</v>
      </c>
      <c r="M910" s="44" t="str">
        <f aca="false">IFERROR(INDEX(SENTENCES!$T$3:$T$1802,MATCH($F910,SENTENCES!$A$3:$A$1802,0)),"")</f>
        <v>• Chưa tới</v>
      </c>
    </row>
    <row r="911" customFormat="false" ht="15" hidden="false" customHeight="false" outlineLevel="0" collapsed="false">
      <c r="A911" s="31" t="n">
        <v>909</v>
      </c>
      <c r="B911" s="43" t="s">
        <v>12220</v>
      </c>
      <c r="C911" s="34" t="s">
        <v>12221</v>
      </c>
      <c r="D911" s="44" t="s">
        <v>10677</v>
      </c>
      <c r="E911" s="31" t="s">
        <v>10707</v>
      </c>
      <c r="F911" s="31" t="s">
        <v>4115</v>
      </c>
      <c r="G911" s="31" t="n">
        <v>34</v>
      </c>
      <c r="H911" s="31" t="s">
        <v>3692</v>
      </c>
      <c r="I911" s="44" t="s">
        <v>4046</v>
      </c>
      <c r="J911" s="45" t="s">
        <v>4117</v>
      </c>
      <c r="K911" s="45" t="s">
        <v>4119</v>
      </c>
      <c r="L911" s="31" t="n">
        <f aca="false">COUNTIF($B$3:$B$2205,$B911)</f>
        <v>1</v>
      </c>
      <c r="M911" s="44" t="str">
        <f aca="false">IFERROR(INDEX(SENTENCES!$T$3:$T$1802,MATCH($F911,SENTENCES!$A$3:$A$1802,0)),"")</f>
        <v>• Chưa tới</v>
      </c>
    </row>
    <row r="912" customFormat="false" ht="15" hidden="false" customHeight="false" outlineLevel="0" collapsed="false">
      <c r="A912" s="31" t="n">
        <v>910</v>
      </c>
      <c r="B912" s="43" t="s">
        <v>12222</v>
      </c>
      <c r="C912" s="34" t="s">
        <v>12223</v>
      </c>
      <c r="D912" s="44" t="s">
        <v>10686</v>
      </c>
      <c r="E912" s="31"/>
      <c r="F912" s="31" t="s">
        <v>4121</v>
      </c>
      <c r="G912" s="31" t="n">
        <v>34</v>
      </c>
      <c r="H912" s="31" t="s">
        <v>3692</v>
      </c>
      <c r="I912" s="44" t="s">
        <v>4046</v>
      </c>
      <c r="J912" s="45" t="s">
        <v>4123</v>
      </c>
      <c r="K912" s="45" t="s">
        <v>4125</v>
      </c>
      <c r="L912" s="31" t="n">
        <f aca="false">COUNTIF($B$3:$B$2205,$B912)</f>
        <v>2</v>
      </c>
      <c r="M912" s="44" t="str">
        <f aca="false">IFERROR(INDEX(SENTENCES!$T$3:$T$1802,MATCH($F912,SENTENCES!$A$3:$A$1802,0)),"")</f>
        <v>• Chưa tới</v>
      </c>
    </row>
    <row r="913" customFormat="false" ht="15" hidden="false" customHeight="false" outlineLevel="0" collapsed="false">
      <c r="A913" s="31" t="n">
        <v>911</v>
      </c>
      <c r="B913" s="43" t="s">
        <v>11382</v>
      </c>
      <c r="C913" s="34" t="s">
        <v>12216</v>
      </c>
      <c r="D913" s="44" t="s">
        <v>10686</v>
      </c>
      <c r="E913" s="31"/>
      <c r="F913" s="31" t="s">
        <v>4127</v>
      </c>
      <c r="G913" s="31" t="n">
        <v>34</v>
      </c>
      <c r="H913" s="31" t="s">
        <v>3692</v>
      </c>
      <c r="I913" s="44" t="s">
        <v>4046</v>
      </c>
      <c r="J913" s="45" t="s">
        <v>4129</v>
      </c>
      <c r="K913" s="45" t="s">
        <v>4131</v>
      </c>
      <c r="L913" s="31" t="n">
        <f aca="false">COUNTIF($B$3:$B$2205,$B913)</f>
        <v>4</v>
      </c>
      <c r="M913" s="44" t="str">
        <f aca="false">IFERROR(INDEX(SENTENCES!$T$3:$T$1802,MATCH($F913,SENTENCES!$A$3:$A$1802,0)),"")</f>
        <v>• Chưa tới</v>
      </c>
    </row>
    <row r="914" customFormat="false" ht="15" hidden="false" customHeight="false" outlineLevel="0" collapsed="false">
      <c r="A914" s="31" t="n">
        <v>912</v>
      </c>
      <c r="B914" s="43" t="s">
        <v>12224</v>
      </c>
      <c r="C914" s="34" t="s">
        <v>12225</v>
      </c>
      <c r="D914" s="44" t="s">
        <v>10677</v>
      </c>
      <c r="E914" s="31" t="s">
        <v>10678</v>
      </c>
      <c r="F914" s="31" t="s">
        <v>4132</v>
      </c>
      <c r="G914" s="31" t="n">
        <v>34</v>
      </c>
      <c r="H914" s="31" t="s">
        <v>3692</v>
      </c>
      <c r="I914" s="44" t="s">
        <v>4046</v>
      </c>
      <c r="J914" s="45" t="s">
        <v>4134</v>
      </c>
      <c r="K914" s="45" t="s">
        <v>4136</v>
      </c>
      <c r="L914" s="31" t="n">
        <f aca="false">COUNTIF($B$3:$B$2205,$B914)</f>
        <v>1</v>
      </c>
      <c r="M914" s="44" t="str">
        <f aca="false">IFERROR(INDEX(SENTENCES!$T$3:$T$1802,MATCH($F914,SENTENCES!$A$3:$A$1802,0)),"")</f>
        <v>• Chưa tới</v>
      </c>
    </row>
    <row r="915" customFormat="false" ht="15" hidden="false" customHeight="false" outlineLevel="0" collapsed="false">
      <c r="A915" s="31" t="n">
        <v>913</v>
      </c>
      <c r="B915" s="43" t="s">
        <v>12226</v>
      </c>
      <c r="C915" s="34" t="s">
        <v>12227</v>
      </c>
      <c r="D915" s="44" t="s">
        <v>10677</v>
      </c>
      <c r="E915" s="31" t="s">
        <v>10707</v>
      </c>
      <c r="F915" s="31" t="s">
        <v>4138</v>
      </c>
      <c r="G915" s="31" t="n">
        <v>34</v>
      </c>
      <c r="H915" s="31" t="s">
        <v>3692</v>
      </c>
      <c r="I915" s="44" t="s">
        <v>4046</v>
      </c>
      <c r="J915" s="45" t="s">
        <v>4140</v>
      </c>
      <c r="K915" s="45" t="s">
        <v>4142</v>
      </c>
      <c r="L915" s="31" t="n">
        <f aca="false">COUNTIF($B$3:$B$2205,$B915)</f>
        <v>1</v>
      </c>
      <c r="M915" s="44" t="str">
        <f aca="false">IFERROR(INDEX(SENTENCES!$T$3:$T$1802,MATCH($F915,SENTENCES!$A$3:$A$1802,0)),"")</f>
        <v>• Chưa tới</v>
      </c>
    </row>
    <row r="916" customFormat="false" ht="15" hidden="false" customHeight="false" outlineLevel="0" collapsed="false">
      <c r="A916" s="31" t="n">
        <v>914</v>
      </c>
      <c r="B916" s="43" t="s">
        <v>12228</v>
      </c>
      <c r="C916" s="34" t="s">
        <v>12229</v>
      </c>
      <c r="D916" s="44" t="s">
        <v>10686</v>
      </c>
      <c r="E916" s="31"/>
      <c r="F916" s="31" t="s">
        <v>4138</v>
      </c>
      <c r="G916" s="31" t="n">
        <v>34</v>
      </c>
      <c r="H916" s="31" t="s">
        <v>3692</v>
      </c>
      <c r="I916" s="44" t="s">
        <v>4046</v>
      </c>
      <c r="J916" s="45" t="s">
        <v>4140</v>
      </c>
      <c r="K916" s="45" t="s">
        <v>4142</v>
      </c>
      <c r="L916" s="31" t="n">
        <f aca="false">COUNTIF($B$3:$B$2205,$B916)</f>
        <v>1</v>
      </c>
      <c r="M916" s="44" t="str">
        <f aca="false">IFERROR(INDEX(SENTENCES!$T$3:$T$1802,MATCH($F916,SENTENCES!$A$3:$A$1802,0)),"")</f>
        <v>• Chưa tới</v>
      </c>
    </row>
    <row r="917" customFormat="false" ht="15" hidden="false" customHeight="false" outlineLevel="0" collapsed="false">
      <c r="A917" s="31" t="n">
        <v>915</v>
      </c>
      <c r="B917" s="43" t="s">
        <v>12230</v>
      </c>
      <c r="C917" s="34" t="s">
        <v>12231</v>
      </c>
      <c r="D917" s="44" t="s">
        <v>10677</v>
      </c>
      <c r="E917" s="31" t="s">
        <v>10678</v>
      </c>
      <c r="F917" s="31" t="s">
        <v>4144</v>
      </c>
      <c r="G917" s="31" t="n">
        <v>34</v>
      </c>
      <c r="H917" s="31" t="s">
        <v>3692</v>
      </c>
      <c r="I917" s="44" t="s">
        <v>4046</v>
      </c>
      <c r="J917" s="45" t="s">
        <v>4145</v>
      </c>
      <c r="K917" s="45" t="s">
        <v>4147</v>
      </c>
      <c r="L917" s="31" t="n">
        <f aca="false">COUNTIF($B$3:$B$2205,$B917)</f>
        <v>1</v>
      </c>
      <c r="M917" s="44" t="str">
        <f aca="false">IFERROR(INDEX(SENTENCES!$T$3:$T$1802,MATCH($F917,SENTENCES!$A$3:$A$1802,0)),"")</f>
        <v>• Chưa tới</v>
      </c>
    </row>
    <row r="918" customFormat="false" ht="15" hidden="false" customHeight="false" outlineLevel="0" collapsed="false">
      <c r="A918" s="31" t="n">
        <v>916</v>
      </c>
      <c r="B918" s="43" t="s">
        <v>12232</v>
      </c>
      <c r="C918" s="34" t="s">
        <v>12233</v>
      </c>
      <c r="D918" s="44" t="s">
        <v>10681</v>
      </c>
      <c r="E918" s="31"/>
      <c r="F918" s="31" t="s">
        <v>4144</v>
      </c>
      <c r="G918" s="31" t="n">
        <v>34</v>
      </c>
      <c r="H918" s="31" t="s">
        <v>3692</v>
      </c>
      <c r="I918" s="44" t="s">
        <v>4046</v>
      </c>
      <c r="J918" s="45" t="s">
        <v>4145</v>
      </c>
      <c r="K918" s="45" t="s">
        <v>4147</v>
      </c>
      <c r="L918" s="31" t="n">
        <f aca="false">COUNTIF($B$3:$B$2205,$B918)</f>
        <v>1</v>
      </c>
      <c r="M918" s="44" t="str">
        <f aca="false">IFERROR(INDEX(SENTENCES!$T$3:$T$1802,MATCH($F918,SENTENCES!$A$3:$A$1802,0)),"")</f>
        <v>• Chưa tới</v>
      </c>
    </row>
    <row r="919" customFormat="false" ht="15" hidden="false" customHeight="false" outlineLevel="0" collapsed="false">
      <c r="A919" s="31" t="n">
        <v>917</v>
      </c>
      <c r="B919" s="43" t="s">
        <v>12234</v>
      </c>
      <c r="C919" s="34" t="s">
        <v>12235</v>
      </c>
      <c r="D919" s="44" t="s">
        <v>10681</v>
      </c>
      <c r="E919" s="31"/>
      <c r="F919" s="31" t="s">
        <v>4149</v>
      </c>
      <c r="G919" s="31" t="n">
        <v>34</v>
      </c>
      <c r="H919" s="31" t="s">
        <v>3692</v>
      </c>
      <c r="I919" s="44" t="s">
        <v>4046</v>
      </c>
      <c r="J919" s="45" t="s">
        <v>4151</v>
      </c>
      <c r="K919" s="45" t="s">
        <v>4153</v>
      </c>
      <c r="L919" s="31" t="n">
        <f aca="false">COUNTIF($B$3:$B$2205,$B919)</f>
        <v>1</v>
      </c>
      <c r="M919" s="44" t="str">
        <f aca="false">IFERROR(INDEX(SENTENCES!$T$3:$T$1802,MATCH($F919,SENTENCES!$A$3:$A$1802,0)),"")</f>
        <v>• Chưa tới</v>
      </c>
    </row>
    <row r="920" customFormat="false" ht="15" hidden="false" customHeight="false" outlineLevel="0" collapsed="false">
      <c r="A920" s="31" t="n">
        <v>918</v>
      </c>
      <c r="B920" s="43" t="s">
        <v>12236</v>
      </c>
      <c r="C920" s="34" t="s">
        <v>12237</v>
      </c>
      <c r="D920" s="44" t="s">
        <v>10677</v>
      </c>
      <c r="E920" s="31" t="s">
        <v>10747</v>
      </c>
      <c r="F920" s="31" t="s">
        <v>4155</v>
      </c>
      <c r="G920" s="31" t="n">
        <v>34</v>
      </c>
      <c r="H920" s="31" t="s">
        <v>3692</v>
      </c>
      <c r="I920" s="44" t="s">
        <v>4046</v>
      </c>
      <c r="J920" s="45" t="s">
        <v>4157</v>
      </c>
      <c r="K920" s="45" t="s">
        <v>4159</v>
      </c>
      <c r="L920" s="31" t="n">
        <f aca="false">COUNTIF($B$3:$B$2205,$B920)</f>
        <v>1</v>
      </c>
      <c r="M920" s="44" t="str">
        <f aca="false">IFERROR(INDEX(SENTENCES!$T$3:$T$1802,MATCH($F920,SENTENCES!$A$3:$A$1802,0)),"")</f>
        <v>• Chưa tới</v>
      </c>
    </row>
    <row r="921" customFormat="false" ht="15" hidden="false" customHeight="false" outlineLevel="0" collapsed="false">
      <c r="A921" s="31" t="n">
        <v>919</v>
      </c>
      <c r="B921" s="43" t="s">
        <v>12238</v>
      </c>
      <c r="C921" s="34" t="s">
        <v>12239</v>
      </c>
      <c r="D921" s="44" t="s">
        <v>10681</v>
      </c>
      <c r="E921" s="31"/>
      <c r="F921" s="31" t="s">
        <v>4155</v>
      </c>
      <c r="G921" s="31" t="n">
        <v>34</v>
      </c>
      <c r="H921" s="31" t="s">
        <v>3692</v>
      </c>
      <c r="I921" s="44" t="s">
        <v>4046</v>
      </c>
      <c r="J921" s="45" t="s">
        <v>4157</v>
      </c>
      <c r="K921" s="45" t="s">
        <v>4159</v>
      </c>
      <c r="L921" s="31" t="n">
        <f aca="false">COUNTIF($B$3:$B$2205,$B921)</f>
        <v>1</v>
      </c>
      <c r="M921" s="44" t="str">
        <f aca="false">IFERROR(INDEX(SENTENCES!$T$3:$T$1802,MATCH($F921,SENTENCES!$A$3:$A$1802,0)),"")</f>
        <v>• Chưa tới</v>
      </c>
    </row>
    <row r="922" customFormat="false" ht="15" hidden="false" customHeight="false" outlineLevel="0" collapsed="false">
      <c r="A922" s="31" t="n">
        <v>920</v>
      </c>
      <c r="B922" s="43" t="s">
        <v>11536</v>
      </c>
      <c r="C922" s="34" t="s">
        <v>11537</v>
      </c>
      <c r="D922" s="44" t="s">
        <v>10686</v>
      </c>
      <c r="E922" s="31"/>
      <c r="F922" s="31" t="s">
        <v>4161</v>
      </c>
      <c r="G922" s="31" t="n">
        <v>35</v>
      </c>
      <c r="H922" s="31" t="s">
        <v>3692</v>
      </c>
      <c r="I922" s="44" t="s">
        <v>4162</v>
      </c>
      <c r="J922" s="45" t="s">
        <v>4164</v>
      </c>
      <c r="K922" s="45" t="s">
        <v>4166</v>
      </c>
      <c r="L922" s="31" t="n">
        <f aca="false">COUNTIF($B$3:$B$2205,$B922)</f>
        <v>5</v>
      </c>
      <c r="M922" s="44" t="str">
        <f aca="false">IFERROR(INDEX(SENTENCES!$T$3:$T$1802,MATCH($F922,SENTENCES!$A$3:$A$1802,0)),"")</f>
        <v>• Chưa tới</v>
      </c>
    </row>
    <row r="923" customFormat="false" ht="15" hidden="false" customHeight="false" outlineLevel="0" collapsed="false">
      <c r="A923" s="31" t="n">
        <v>921</v>
      </c>
      <c r="B923" s="43" t="s">
        <v>11078</v>
      </c>
      <c r="C923" s="34" t="s">
        <v>11079</v>
      </c>
      <c r="D923" s="44" t="s">
        <v>10686</v>
      </c>
      <c r="E923" s="31"/>
      <c r="F923" s="31" t="s">
        <v>4167</v>
      </c>
      <c r="G923" s="31" t="n">
        <v>35</v>
      </c>
      <c r="H923" s="31" t="s">
        <v>3692</v>
      </c>
      <c r="I923" s="44" t="s">
        <v>4162</v>
      </c>
      <c r="J923" s="45" t="s">
        <v>4169</v>
      </c>
      <c r="K923" s="45" t="s">
        <v>4171</v>
      </c>
      <c r="L923" s="31" t="n">
        <f aca="false">COUNTIF($B$3:$B$2205,$B923)</f>
        <v>3</v>
      </c>
      <c r="M923" s="44" t="str">
        <f aca="false">IFERROR(INDEX(SENTENCES!$T$3:$T$1802,MATCH($F923,SENTENCES!$A$3:$A$1802,0)),"")</f>
        <v>• Chưa tới</v>
      </c>
    </row>
    <row r="924" customFormat="false" ht="15" hidden="false" customHeight="false" outlineLevel="0" collapsed="false">
      <c r="A924" s="31" t="n">
        <v>922</v>
      </c>
      <c r="B924" s="43" t="s">
        <v>12240</v>
      </c>
      <c r="C924" s="34" t="s">
        <v>12241</v>
      </c>
      <c r="D924" s="44" t="s">
        <v>10681</v>
      </c>
      <c r="E924" s="31"/>
      <c r="F924" s="31" t="s">
        <v>4167</v>
      </c>
      <c r="G924" s="31" t="n">
        <v>35</v>
      </c>
      <c r="H924" s="31" t="s">
        <v>3692</v>
      </c>
      <c r="I924" s="44" t="s">
        <v>4162</v>
      </c>
      <c r="J924" s="45" t="s">
        <v>4169</v>
      </c>
      <c r="K924" s="45" t="s">
        <v>4171</v>
      </c>
      <c r="L924" s="31" t="n">
        <f aca="false">COUNTIF($B$3:$B$2205,$B924)</f>
        <v>1</v>
      </c>
      <c r="M924" s="44" t="str">
        <f aca="false">IFERROR(INDEX(SENTENCES!$T$3:$T$1802,MATCH($F924,SENTENCES!$A$3:$A$1802,0)),"")</f>
        <v>• Chưa tới</v>
      </c>
    </row>
    <row r="925" customFormat="false" ht="15" hidden="false" customHeight="false" outlineLevel="0" collapsed="false">
      <c r="A925" s="31" t="n">
        <v>923</v>
      </c>
      <c r="B925" s="43" t="s">
        <v>12242</v>
      </c>
      <c r="C925" s="34" t="s">
        <v>12243</v>
      </c>
      <c r="D925" s="44" t="s">
        <v>10686</v>
      </c>
      <c r="E925" s="31"/>
      <c r="F925" s="31" t="s">
        <v>4173</v>
      </c>
      <c r="G925" s="31" t="n">
        <v>35</v>
      </c>
      <c r="H925" s="31" t="s">
        <v>3692</v>
      </c>
      <c r="I925" s="44" t="s">
        <v>4162</v>
      </c>
      <c r="J925" s="45" t="s">
        <v>4175</v>
      </c>
      <c r="K925" s="45" t="s">
        <v>4177</v>
      </c>
      <c r="L925" s="31" t="n">
        <f aca="false">COUNTIF($B$3:$B$2205,$B925)</f>
        <v>1</v>
      </c>
      <c r="M925" s="44" t="str">
        <f aca="false">IFERROR(INDEX(SENTENCES!$T$3:$T$1802,MATCH($F925,SENTENCES!$A$3:$A$1802,0)),"")</f>
        <v>• Chưa tới</v>
      </c>
    </row>
    <row r="926" customFormat="false" ht="15" hidden="false" customHeight="false" outlineLevel="0" collapsed="false">
      <c r="A926" s="31" t="n">
        <v>924</v>
      </c>
      <c r="B926" s="43" t="s">
        <v>11704</v>
      </c>
      <c r="C926" s="34" t="s">
        <v>11705</v>
      </c>
      <c r="D926" s="44" t="s">
        <v>10686</v>
      </c>
      <c r="E926" s="31"/>
      <c r="F926" s="31" t="s">
        <v>4179</v>
      </c>
      <c r="G926" s="31" t="n">
        <v>35</v>
      </c>
      <c r="H926" s="31" t="s">
        <v>3692</v>
      </c>
      <c r="I926" s="44" t="s">
        <v>4162</v>
      </c>
      <c r="J926" s="45" t="s">
        <v>4181</v>
      </c>
      <c r="K926" s="45" t="s">
        <v>4183</v>
      </c>
      <c r="L926" s="31" t="n">
        <f aca="false">COUNTIF($B$3:$B$2205,$B926)</f>
        <v>2</v>
      </c>
      <c r="M926" s="44" t="str">
        <f aca="false">IFERROR(INDEX(SENTENCES!$T$3:$T$1802,MATCH($F926,SENTENCES!$A$3:$A$1802,0)),"")</f>
        <v>• Chưa tới</v>
      </c>
    </row>
    <row r="927" customFormat="false" ht="15" hidden="false" customHeight="false" outlineLevel="0" collapsed="false">
      <c r="A927" s="31" t="n">
        <v>925</v>
      </c>
      <c r="B927" s="43" t="s">
        <v>12244</v>
      </c>
      <c r="C927" s="34" t="s">
        <v>12245</v>
      </c>
      <c r="D927" s="44" t="s">
        <v>10686</v>
      </c>
      <c r="E927" s="31"/>
      <c r="F927" s="31" t="s">
        <v>4184</v>
      </c>
      <c r="G927" s="31" t="n">
        <v>35</v>
      </c>
      <c r="H927" s="31" t="s">
        <v>3692</v>
      </c>
      <c r="I927" s="44" t="s">
        <v>4162</v>
      </c>
      <c r="J927" s="45" t="s">
        <v>4186</v>
      </c>
      <c r="K927" s="45" t="s">
        <v>4188</v>
      </c>
      <c r="L927" s="31" t="n">
        <f aca="false">COUNTIF($B$3:$B$2205,$B927)</f>
        <v>1</v>
      </c>
      <c r="M927" s="44" t="str">
        <f aca="false">IFERROR(INDEX(SENTENCES!$T$3:$T$1802,MATCH($F927,SENTENCES!$A$3:$A$1802,0)),"")</f>
        <v>• Chưa tới</v>
      </c>
    </row>
    <row r="928" customFormat="false" ht="15" hidden="false" customHeight="false" outlineLevel="0" collapsed="false">
      <c r="A928" s="31" t="n">
        <v>926</v>
      </c>
      <c r="B928" s="43" t="s">
        <v>12246</v>
      </c>
      <c r="C928" s="34" t="s">
        <v>12247</v>
      </c>
      <c r="D928" s="44" t="s">
        <v>10686</v>
      </c>
      <c r="E928" s="31"/>
      <c r="F928" s="31" t="s">
        <v>4190</v>
      </c>
      <c r="G928" s="31" t="n">
        <v>35</v>
      </c>
      <c r="H928" s="31" t="s">
        <v>3692</v>
      </c>
      <c r="I928" s="44" t="s">
        <v>4162</v>
      </c>
      <c r="J928" s="45" t="s">
        <v>4192</v>
      </c>
      <c r="K928" s="45" t="s">
        <v>4194</v>
      </c>
      <c r="L928" s="31" t="n">
        <f aca="false">COUNTIF($B$3:$B$2205,$B928)</f>
        <v>1</v>
      </c>
      <c r="M928" s="44" t="str">
        <f aca="false">IFERROR(INDEX(SENTENCES!$T$3:$T$1802,MATCH($F928,SENTENCES!$A$3:$A$1802,0)),"")</f>
        <v>• Chưa tới</v>
      </c>
    </row>
    <row r="929" customFormat="false" ht="15" hidden="false" customHeight="false" outlineLevel="0" collapsed="false">
      <c r="A929" s="31" t="n">
        <v>927</v>
      </c>
      <c r="B929" s="43" t="s">
        <v>12248</v>
      </c>
      <c r="C929" s="34" t="s">
        <v>12249</v>
      </c>
      <c r="D929" s="44" t="s">
        <v>10686</v>
      </c>
      <c r="E929" s="31"/>
      <c r="F929" s="31" t="s">
        <v>4196</v>
      </c>
      <c r="G929" s="31" t="n">
        <v>35</v>
      </c>
      <c r="H929" s="31" t="s">
        <v>3692</v>
      </c>
      <c r="I929" s="44" t="s">
        <v>4162</v>
      </c>
      <c r="J929" s="45" t="s">
        <v>4198</v>
      </c>
      <c r="K929" s="45" t="s">
        <v>4200</v>
      </c>
      <c r="L929" s="31" t="n">
        <f aca="false">COUNTIF($B$3:$B$2205,$B929)</f>
        <v>1</v>
      </c>
      <c r="M929" s="44" t="str">
        <f aca="false">IFERROR(INDEX(SENTENCES!$T$3:$T$1802,MATCH($F929,SENTENCES!$A$3:$A$1802,0)),"")</f>
        <v>• Chưa tới</v>
      </c>
    </row>
    <row r="930" customFormat="false" ht="15" hidden="false" customHeight="false" outlineLevel="0" collapsed="false">
      <c r="A930" s="31" t="n">
        <v>928</v>
      </c>
      <c r="B930" s="43" t="s">
        <v>12250</v>
      </c>
      <c r="C930" s="34" t="s">
        <v>12251</v>
      </c>
      <c r="D930" s="44" t="s">
        <v>10681</v>
      </c>
      <c r="E930" s="31"/>
      <c r="F930" s="31" t="s">
        <v>4202</v>
      </c>
      <c r="G930" s="31" t="n">
        <v>35</v>
      </c>
      <c r="H930" s="31" t="s">
        <v>3692</v>
      </c>
      <c r="I930" s="44" t="s">
        <v>4162</v>
      </c>
      <c r="J930" s="45" t="s">
        <v>4203</v>
      </c>
      <c r="K930" s="45" t="s">
        <v>4205</v>
      </c>
      <c r="L930" s="31" t="n">
        <f aca="false">COUNTIF($B$3:$B$2205,$B930)</f>
        <v>1</v>
      </c>
      <c r="M930" s="44" t="str">
        <f aca="false">IFERROR(INDEX(SENTENCES!$T$3:$T$1802,MATCH($F930,SENTENCES!$A$3:$A$1802,0)),"")</f>
        <v>• Chưa tới</v>
      </c>
    </row>
    <row r="931" customFormat="false" ht="15" hidden="false" customHeight="false" outlineLevel="0" collapsed="false">
      <c r="A931" s="31" t="n">
        <v>929</v>
      </c>
      <c r="B931" s="43" t="s">
        <v>12252</v>
      </c>
      <c r="C931" s="34" t="s">
        <v>12253</v>
      </c>
      <c r="D931" s="44" t="s">
        <v>10794</v>
      </c>
      <c r="E931" s="31"/>
      <c r="F931" s="31" t="s">
        <v>4207</v>
      </c>
      <c r="G931" s="31" t="n">
        <v>35</v>
      </c>
      <c r="H931" s="31" t="s">
        <v>3692</v>
      </c>
      <c r="I931" s="44" t="s">
        <v>4162</v>
      </c>
      <c r="J931" s="45" t="s">
        <v>4209</v>
      </c>
      <c r="K931" s="45" t="s">
        <v>4211</v>
      </c>
      <c r="L931" s="31" t="n">
        <f aca="false">COUNTIF($B$3:$B$2205,$B931)</f>
        <v>1</v>
      </c>
      <c r="M931" s="44" t="str">
        <f aca="false">IFERROR(INDEX(SENTENCES!$T$3:$T$1802,MATCH($F931,SENTENCES!$A$3:$A$1802,0)),"")</f>
        <v>• Chưa tới</v>
      </c>
    </row>
    <row r="932" customFormat="false" ht="15" hidden="false" customHeight="false" outlineLevel="0" collapsed="false">
      <c r="A932" s="31" t="n">
        <v>930</v>
      </c>
      <c r="B932" s="43" t="s">
        <v>12254</v>
      </c>
      <c r="C932" s="34" t="s">
        <v>12255</v>
      </c>
      <c r="D932" s="44" t="s">
        <v>10686</v>
      </c>
      <c r="E932" s="31"/>
      <c r="F932" s="31" t="s">
        <v>4213</v>
      </c>
      <c r="G932" s="31" t="n">
        <v>35</v>
      </c>
      <c r="H932" s="31" t="s">
        <v>3692</v>
      </c>
      <c r="I932" s="44" t="s">
        <v>4162</v>
      </c>
      <c r="J932" s="45" t="s">
        <v>4215</v>
      </c>
      <c r="K932" s="45" t="s">
        <v>4217</v>
      </c>
      <c r="L932" s="31" t="n">
        <f aca="false">COUNTIF($B$3:$B$2205,$B932)</f>
        <v>1</v>
      </c>
      <c r="M932" s="44" t="str">
        <f aca="false">IFERROR(INDEX(SENTENCES!$T$3:$T$1802,MATCH($F932,SENTENCES!$A$3:$A$1802,0)),"")</f>
        <v>• Chưa tới</v>
      </c>
    </row>
    <row r="933" customFormat="false" ht="15" hidden="false" customHeight="false" outlineLevel="0" collapsed="false">
      <c r="A933" s="31" t="n">
        <v>931</v>
      </c>
      <c r="B933" s="43" t="s">
        <v>12256</v>
      </c>
      <c r="C933" s="34" t="s">
        <v>12257</v>
      </c>
      <c r="D933" s="44" t="s">
        <v>10681</v>
      </c>
      <c r="E933" s="31"/>
      <c r="F933" s="31" t="s">
        <v>4213</v>
      </c>
      <c r="G933" s="31" t="n">
        <v>35</v>
      </c>
      <c r="H933" s="31" t="s">
        <v>3692</v>
      </c>
      <c r="I933" s="44" t="s">
        <v>4162</v>
      </c>
      <c r="J933" s="45" t="s">
        <v>4215</v>
      </c>
      <c r="K933" s="45" t="s">
        <v>4217</v>
      </c>
      <c r="L933" s="31" t="n">
        <f aca="false">COUNTIF($B$3:$B$2205,$B933)</f>
        <v>1</v>
      </c>
      <c r="M933" s="44" t="str">
        <f aca="false">IFERROR(INDEX(SENTENCES!$T$3:$T$1802,MATCH($F933,SENTENCES!$A$3:$A$1802,0)),"")</f>
        <v>• Chưa tới</v>
      </c>
    </row>
    <row r="934" customFormat="false" ht="15" hidden="false" customHeight="false" outlineLevel="0" collapsed="false">
      <c r="A934" s="31" t="n">
        <v>932</v>
      </c>
      <c r="B934" s="43" t="s">
        <v>12258</v>
      </c>
      <c r="C934" s="34" t="s">
        <v>12259</v>
      </c>
      <c r="D934" s="44" t="s">
        <v>10677</v>
      </c>
      <c r="E934" s="31" t="s">
        <v>10678</v>
      </c>
      <c r="F934" s="31" t="s">
        <v>4219</v>
      </c>
      <c r="G934" s="31" t="n">
        <v>35</v>
      </c>
      <c r="H934" s="31" t="s">
        <v>3692</v>
      </c>
      <c r="I934" s="44" t="s">
        <v>4162</v>
      </c>
      <c r="J934" s="45" t="s">
        <v>4221</v>
      </c>
      <c r="K934" s="45" t="s">
        <v>4223</v>
      </c>
      <c r="L934" s="31" t="n">
        <f aca="false">COUNTIF($B$3:$B$2205,$B934)</f>
        <v>1</v>
      </c>
      <c r="M934" s="44" t="str">
        <f aca="false">IFERROR(INDEX(SENTENCES!$T$3:$T$1802,MATCH($F934,SENTENCES!$A$3:$A$1802,0)),"")</f>
        <v>• Chưa tới</v>
      </c>
    </row>
    <row r="935" customFormat="false" ht="15" hidden="false" customHeight="false" outlineLevel="0" collapsed="false">
      <c r="A935" s="31" t="n">
        <v>933</v>
      </c>
      <c r="B935" s="43" t="s">
        <v>12260</v>
      </c>
      <c r="C935" s="34" t="s">
        <v>12261</v>
      </c>
      <c r="D935" s="44" t="s">
        <v>10681</v>
      </c>
      <c r="E935" s="31"/>
      <c r="F935" s="31" t="s">
        <v>4219</v>
      </c>
      <c r="G935" s="31" t="n">
        <v>35</v>
      </c>
      <c r="H935" s="31" t="s">
        <v>3692</v>
      </c>
      <c r="I935" s="44" t="s">
        <v>4162</v>
      </c>
      <c r="J935" s="45" t="s">
        <v>4221</v>
      </c>
      <c r="K935" s="45" t="s">
        <v>4223</v>
      </c>
      <c r="L935" s="31" t="n">
        <f aca="false">COUNTIF($B$3:$B$2205,$B935)</f>
        <v>1</v>
      </c>
      <c r="M935" s="44" t="str">
        <f aca="false">IFERROR(INDEX(SENTENCES!$T$3:$T$1802,MATCH($F935,SENTENCES!$A$3:$A$1802,0)),"")</f>
        <v>• Chưa tới</v>
      </c>
    </row>
    <row r="936" customFormat="false" ht="15" hidden="false" customHeight="false" outlineLevel="0" collapsed="false">
      <c r="A936" s="31" t="n">
        <v>934</v>
      </c>
      <c r="B936" s="43" t="s">
        <v>12262</v>
      </c>
      <c r="C936" s="34" t="s">
        <v>12263</v>
      </c>
      <c r="D936" s="44" t="s">
        <v>10681</v>
      </c>
      <c r="E936" s="31"/>
      <c r="F936" s="31" t="s">
        <v>4225</v>
      </c>
      <c r="G936" s="31" t="n">
        <v>35</v>
      </c>
      <c r="H936" s="31" t="s">
        <v>3692</v>
      </c>
      <c r="I936" s="44" t="s">
        <v>4162</v>
      </c>
      <c r="J936" s="45" t="s">
        <v>4227</v>
      </c>
      <c r="K936" s="45" t="s">
        <v>4229</v>
      </c>
      <c r="L936" s="31" t="n">
        <f aca="false">COUNTIF($B$3:$B$2205,$B936)</f>
        <v>1</v>
      </c>
      <c r="M936" s="44" t="str">
        <f aca="false">IFERROR(INDEX(SENTENCES!$T$3:$T$1802,MATCH($F936,SENTENCES!$A$3:$A$1802,0)),"")</f>
        <v>• Chưa tới</v>
      </c>
    </row>
    <row r="937" customFormat="false" ht="15" hidden="false" customHeight="false" outlineLevel="0" collapsed="false">
      <c r="A937" s="31" t="n">
        <v>935</v>
      </c>
      <c r="B937" s="43" t="s">
        <v>12264</v>
      </c>
      <c r="C937" s="34" t="s">
        <v>12265</v>
      </c>
      <c r="D937" s="44" t="s">
        <v>10794</v>
      </c>
      <c r="E937" s="31"/>
      <c r="F937" s="31" t="s">
        <v>4231</v>
      </c>
      <c r="G937" s="31" t="n">
        <v>35</v>
      </c>
      <c r="H937" s="31" t="s">
        <v>3692</v>
      </c>
      <c r="I937" s="44" t="s">
        <v>4162</v>
      </c>
      <c r="J937" s="45" t="s">
        <v>4233</v>
      </c>
      <c r="K937" s="45" t="s">
        <v>4235</v>
      </c>
      <c r="L937" s="31" t="n">
        <f aca="false">COUNTIF($B$3:$B$2205,$B937)</f>
        <v>1</v>
      </c>
      <c r="M937" s="44" t="str">
        <f aca="false">IFERROR(INDEX(SENTENCES!$T$3:$T$1802,MATCH($F937,SENTENCES!$A$3:$A$1802,0)),"")</f>
        <v>• Chưa tới</v>
      </c>
    </row>
    <row r="938" customFormat="false" ht="15" hidden="false" customHeight="false" outlineLevel="0" collapsed="false">
      <c r="A938" s="31" t="n">
        <v>936</v>
      </c>
      <c r="B938" s="43" t="s">
        <v>11725</v>
      </c>
      <c r="C938" s="34" t="s">
        <v>11726</v>
      </c>
      <c r="D938" s="44" t="s">
        <v>10677</v>
      </c>
      <c r="E938" s="31" t="s">
        <v>10678</v>
      </c>
      <c r="F938" s="31" t="s">
        <v>4237</v>
      </c>
      <c r="G938" s="31" t="n">
        <v>35</v>
      </c>
      <c r="H938" s="31" t="s">
        <v>3692</v>
      </c>
      <c r="I938" s="44" t="s">
        <v>4162</v>
      </c>
      <c r="J938" s="45" t="s">
        <v>4239</v>
      </c>
      <c r="K938" s="45" t="s">
        <v>4241</v>
      </c>
      <c r="L938" s="31" t="n">
        <f aca="false">COUNTIF($B$3:$B$2205,$B938)</f>
        <v>2</v>
      </c>
      <c r="M938" s="44" t="str">
        <f aca="false">IFERROR(INDEX(SENTENCES!$T$3:$T$1802,MATCH($F938,SENTENCES!$A$3:$A$1802,0)),"")</f>
        <v>• Chưa tới</v>
      </c>
    </row>
    <row r="939" customFormat="false" ht="15" hidden="false" customHeight="false" outlineLevel="0" collapsed="false">
      <c r="A939" s="31" t="n">
        <v>937</v>
      </c>
      <c r="B939" s="43" t="s">
        <v>10992</v>
      </c>
      <c r="C939" s="34" t="s">
        <v>10993</v>
      </c>
      <c r="D939" s="44" t="s">
        <v>10686</v>
      </c>
      <c r="E939" s="31"/>
      <c r="F939" s="31" t="s">
        <v>4242</v>
      </c>
      <c r="G939" s="31" t="n">
        <v>35</v>
      </c>
      <c r="H939" s="31" t="s">
        <v>3692</v>
      </c>
      <c r="I939" s="44" t="s">
        <v>4162</v>
      </c>
      <c r="J939" s="45" t="s">
        <v>4243</v>
      </c>
      <c r="K939" s="45" t="s">
        <v>4245</v>
      </c>
      <c r="L939" s="31" t="n">
        <f aca="false">COUNTIF($B$3:$B$2205,$B939)</f>
        <v>2</v>
      </c>
      <c r="M939" s="44" t="str">
        <f aca="false">IFERROR(INDEX(SENTENCES!$T$3:$T$1802,MATCH($F939,SENTENCES!$A$3:$A$1802,0)),"")</f>
        <v>• Chưa tới</v>
      </c>
    </row>
    <row r="940" customFormat="false" ht="15" hidden="false" customHeight="false" outlineLevel="0" collapsed="false">
      <c r="A940" s="31" t="n">
        <v>938</v>
      </c>
      <c r="B940" s="43" t="s">
        <v>11186</v>
      </c>
      <c r="C940" s="34" t="s">
        <v>11187</v>
      </c>
      <c r="D940" s="44" t="s">
        <v>10686</v>
      </c>
      <c r="E940" s="31"/>
      <c r="F940" s="31" t="s">
        <v>4247</v>
      </c>
      <c r="G940" s="31" t="n">
        <v>35</v>
      </c>
      <c r="H940" s="31" t="s">
        <v>3692</v>
      </c>
      <c r="I940" s="44" t="s">
        <v>4162</v>
      </c>
      <c r="J940" s="45" t="s">
        <v>4249</v>
      </c>
      <c r="K940" s="45" t="s">
        <v>4251</v>
      </c>
      <c r="L940" s="31" t="n">
        <f aca="false">COUNTIF($B$3:$B$2205,$B940)</f>
        <v>4</v>
      </c>
      <c r="M940" s="44" t="str">
        <f aca="false">IFERROR(INDEX(SENTENCES!$T$3:$T$1802,MATCH($F940,SENTENCES!$A$3:$A$1802,0)),"")</f>
        <v>• Chưa tới</v>
      </c>
    </row>
    <row r="941" customFormat="false" ht="15" hidden="false" customHeight="false" outlineLevel="0" collapsed="false">
      <c r="A941" s="31" t="n">
        <v>939</v>
      </c>
      <c r="B941" s="43" t="s">
        <v>12266</v>
      </c>
      <c r="C941" s="34" t="s">
        <v>12267</v>
      </c>
      <c r="D941" s="44" t="s">
        <v>10677</v>
      </c>
      <c r="E941" s="31" t="s">
        <v>10747</v>
      </c>
      <c r="F941" s="31" t="s">
        <v>4252</v>
      </c>
      <c r="G941" s="31" t="n">
        <v>35</v>
      </c>
      <c r="H941" s="31" t="s">
        <v>3692</v>
      </c>
      <c r="I941" s="44" t="s">
        <v>4162</v>
      </c>
      <c r="J941" s="45" t="s">
        <v>4254</v>
      </c>
      <c r="K941" s="45" t="s">
        <v>4256</v>
      </c>
      <c r="L941" s="31" t="n">
        <f aca="false">COUNTIF($B$3:$B$2205,$B941)</f>
        <v>1</v>
      </c>
      <c r="M941" s="44" t="str">
        <f aca="false">IFERROR(INDEX(SENTENCES!$T$3:$T$1802,MATCH($F941,SENTENCES!$A$3:$A$1802,0)),"")</f>
        <v>• Chưa tới</v>
      </c>
    </row>
    <row r="942" customFormat="false" ht="15" hidden="false" customHeight="false" outlineLevel="0" collapsed="false">
      <c r="A942" s="31" t="n">
        <v>940</v>
      </c>
      <c r="B942" s="43" t="s">
        <v>10750</v>
      </c>
      <c r="C942" s="34" t="s">
        <v>10751</v>
      </c>
      <c r="D942" s="44" t="s">
        <v>10686</v>
      </c>
      <c r="E942" s="31"/>
      <c r="F942" s="31" t="s">
        <v>4258</v>
      </c>
      <c r="G942" s="31" t="n">
        <v>35</v>
      </c>
      <c r="H942" s="31" t="s">
        <v>3692</v>
      </c>
      <c r="I942" s="44" t="s">
        <v>4162</v>
      </c>
      <c r="J942" s="45" t="s">
        <v>4260</v>
      </c>
      <c r="K942" s="45" t="s">
        <v>4262</v>
      </c>
      <c r="L942" s="31" t="n">
        <f aca="false">COUNTIF($B$3:$B$2205,$B942)</f>
        <v>2</v>
      </c>
      <c r="M942" s="44" t="str">
        <f aca="false">IFERROR(INDEX(SENTENCES!$T$3:$T$1802,MATCH($F942,SENTENCES!$A$3:$A$1802,0)),"")</f>
        <v>• Chưa tới</v>
      </c>
    </row>
    <row r="943" customFormat="false" ht="15" hidden="false" customHeight="false" outlineLevel="0" collapsed="false">
      <c r="A943" s="31" t="n">
        <v>941</v>
      </c>
      <c r="B943" s="43" t="s">
        <v>12268</v>
      </c>
      <c r="C943" s="34" t="s">
        <v>12269</v>
      </c>
      <c r="D943" s="44" t="s">
        <v>10681</v>
      </c>
      <c r="E943" s="31"/>
      <c r="F943" s="31" t="s">
        <v>4264</v>
      </c>
      <c r="G943" s="31" t="n">
        <v>35</v>
      </c>
      <c r="H943" s="31" t="s">
        <v>3692</v>
      </c>
      <c r="I943" s="44" t="s">
        <v>4162</v>
      </c>
      <c r="J943" s="45" t="s">
        <v>4266</v>
      </c>
      <c r="K943" s="45" t="s">
        <v>4268</v>
      </c>
      <c r="L943" s="31" t="n">
        <f aca="false">COUNTIF($B$3:$B$2205,$B943)</f>
        <v>1</v>
      </c>
      <c r="M943" s="44" t="str">
        <f aca="false">IFERROR(INDEX(SENTENCES!$T$3:$T$1802,MATCH($F943,SENTENCES!$A$3:$A$1802,0)),"")</f>
        <v>• Chưa tới</v>
      </c>
    </row>
    <row r="944" customFormat="false" ht="15" hidden="false" customHeight="false" outlineLevel="0" collapsed="false">
      <c r="A944" s="31" t="n">
        <v>942</v>
      </c>
      <c r="B944" s="43" t="s">
        <v>12270</v>
      </c>
      <c r="C944" s="34" t="s">
        <v>12271</v>
      </c>
      <c r="D944" s="44" t="s">
        <v>10681</v>
      </c>
      <c r="E944" s="31"/>
      <c r="F944" s="31" t="s">
        <v>4270</v>
      </c>
      <c r="G944" s="31" t="n">
        <v>35</v>
      </c>
      <c r="H944" s="31" t="s">
        <v>3692</v>
      </c>
      <c r="I944" s="44" t="s">
        <v>4162</v>
      </c>
      <c r="J944" s="45" t="s">
        <v>4272</v>
      </c>
      <c r="K944" s="45" t="s">
        <v>4274</v>
      </c>
      <c r="L944" s="31" t="n">
        <f aca="false">COUNTIF($B$3:$B$2205,$B944)</f>
        <v>1</v>
      </c>
      <c r="M944" s="44" t="str">
        <f aca="false">IFERROR(INDEX(SENTENCES!$T$3:$T$1802,MATCH($F944,SENTENCES!$A$3:$A$1802,0)),"")</f>
        <v>• Chưa tới</v>
      </c>
    </row>
    <row r="945" customFormat="false" ht="15" hidden="false" customHeight="false" outlineLevel="0" collapsed="false">
      <c r="A945" s="31" t="n">
        <v>943</v>
      </c>
      <c r="B945" s="43" t="s">
        <v>12272</v>
      </c>
      <c r="C945" s="34" t="s">
        <v>12273</v>
      </c>
      <c r="D945" s="44" t="s">
        <v>10681</v>
      </c>
      <c r="E945" s="31"/>
      <c r="F945" s="31" t="s">
        <v>4276</v>
      </c>
      <c r="G945" s="31" t="n">
        <v>36</v>
      </c>
      <c r="H945" s="31" t="s">
        <v>3692</v>
      </c>
      <c r="I945" s="44" t="s">
        <v>4277</v>
      </c>
      <c r="J945" s="45" t="s">
        <v>4279</v>
      </c>
      <c r="K945" s="45" t="s">
        <v>4281</v>
      </c>
      <c r="L945" s="31" t="n">
        <f aca="false">COUNTIF($B$3:$B$2205,$B945)</f>
        <v>1</v>
      </c>
      <c r="M945" s="44" t="str">
        <f aca="false">IFERROR(INDEX(SENTENCES!$T$3:$T$1802,MATCH($F945,SENTENCES!$A$3:$A$1802,0)),"")</f>
        <v>• Chưa tới</v>
      </c>
    </row>
    <row r="946" customFormat="false" ht="15" hidden="false" customHeight="false" outlineLevel="0" collapsed="false">
      <c r="A946" s="31" t="n">
        <v>944</v>
      </c>
      <c r="B946" s="43" t="s">
        <v>12274</v>
      </c>
      <c r="C946" s="34" t="s">
        <v>12275</v>
      </c>
      <c r="D946" s="44" t="s">
        <v>10681</v>
      </c>
      <c r="E946" s="31"/>
      <c r="F946" s="31" t="s">
        <v>4283</v>
      </c>
      <c r="G946" s="31" t="n">
        <v>36</v>
      </c>
      <c r="H946" s="31" t="s">
        <v>3692</v>
      </c>
      <c r="I946" s="44" t="s">
        <v>4277</v>
      </c>
      <c r="J946" s="45" t="s">
        <v>4285</v>
      </c>
      <c r="K946" s="45" t="s">
        <v>4287</v>
      </c>
      <c r="L946" s="31" t="n">
        <f aca="false">COUNTIF($B$3:$B$2205,$B946)</f>
        <v>1</v>
      </c>
      <c r="M946" s="44" t="str">
        <f aca="false">IFERROR(INDEX(SENTENCES!$T$3:$T$1802,MATCH($F946,SENTENCES!$A$3:$A$1802,0)),"")</f>
        <v>• Chưa tới</v>
      </c>
    </row>
    <row r="947" customFormat="false" ht="15" hidden="false" customHeight="false" outlineLevel="0" collapsed="false">
      <c r="A947" s="31" t="n">
        <v>945</v>
      </c>
      <c r="B947" s="43" t="s">
        <v>12276</v>
      </c>
      <c r="C947" s="34" t="s">
        <v>12277</v>
      </c>
      <c r="D947" s="44" t="s">
        <v>10681</v>
      </c>
      <c r="E947" s="31"/>
      <c r="F947" s="31" t="s">
        <v>4289</v>
      </c>
      <c r="G947" s="31" t="n">
        <v>36</v>
      </c>
      <c r="H947" s="31" t="s">
        <v>3692</v>
      </c>
      <c r="I947" s="44" t="s">
        <v>4277</v>
      </c>
      <c r="J947" s="45" t="s">
        <v>4291</v>
      </c>
      <c r="K947" s="45" t="s">
        <v>4293</v>
      </c>
      <c r="L947" s="31" t="n">
        <f aca="false">COUNTIF($B$3:$B$2205,$B947)</f>
        <v>1</v>
      </c>
      <c r="M947" s="44" t="str">
        <f aca="false">IFERROR(INDEX(SENTENCES!$T$3:$T$1802,MATCH($F947,SENTENCES!$A$3:$A$1802,0)),"")</f>
        <v>• Chưa tới</v>
      </c>
    </row>
    <row r="948" customFormat="false" ht="15" hidden="false" customHeight="false" outlineLevel="0" collapsed="false">
      <c r="A948" s="31" t="n">
        <v>946</v>
      </c>
      <c r="B948" s="43" t="s">
        <v>10773</v>
      </c>
      <c r="C948" s="34" t="s">
        <v>10805</v>
      </c>
      <c r="D948" s="44" t="s">
        <v>10686</v>
      </c>
      <c r="E948" s="31"/>
      <c r="F948" s="31" t="s">
        <v>4295</v>
      </c>
      <c r="G948" s="31" t="n">
        <v>36</v>
      </c>
      <c r="H948" s="31" t="s">
        <v>3692</v>
      </c>
      <c r="I948" s="44" t="s">
        <v>4277</v>
      </c>
      <c r="J948" s="45" t="s">
        <v>4297</v>
      </c>
      <c r="K948" s="45" t="s">
        <v>4299</v>
      </c>
      <c r="L948" s="31" t="n">
        <f aca="false">COUNTIF($B$3:$B$2205,$B948)</f>
        <v>2</v>
      </c>
      <c r="M948" s="44" t="str">
        <f aca="false">IFERROR(INDEX(SENTENCES!$T$3:$T$1802,MATCH($F948,SENTENCES!$A$3:$A$1802,0)),"")</f>
        <v>• Chưa tới</v>
      </c>
    </row>
    <row r="949" customFormat="false" ht="15" hidden="false" customHeight="false" outlineLevel="0" collapsed="false">
      <c r="A949" s="31" t="n">
        <v>947</v>
      </c>
      <c r="B949" s="43" t="s">
        <v>12278</v>
      </c>
      <c r="C949" s="34" t="s">
        <v>12279</v>
      </c>
      <c r="D949" s="44" t="s">
        <v>10677</v>
      </c>
      <c r="E949" s="31" t="s">
        <v>10678</v>
      </c>
      <c r="F949" s="31" t="s">
        <v>4301</v>
      </c>
      <c r="G949" s="31" t="n">
        <v>36</v>
      </c>
      <c r="H949" s="31" t="s">
        <v>3692</v>
      </c>
      <c r="I949" s="44" t="s">
        <v>4277</v>
      </c>
      <c r="J949" s="45" t="s">
        <v>4303</v>
      </c>
      <c r="K949" s="45" t="s">
        <v>4305</v>
      </c>
      <c r="L949" s="31" t="n">
        <f aca="false">COUNTIF($B$3:$B$2205,$B949)</f>
        <v>1</v>
      </c>
      <c r="M949" s="44" t="str">
        <f aca="false">IFERROR(INDEX(SENTENCES!$T$3:$T$1802,MATCH($F949,SENTENCES!$A$3:$A$1802,0)),"")</f>
        <v>• Chưa tới</v>
      </c>
    </row>
    <row r="950" customFormat="false" ht="15" hidden="false" customHeight="false" outlineLevel="0" collapsed="false">
      <c r="A950" s="31" t="n">
        <v>948</v>
      </c>
      <c r="B950" s="43" t="s">
        <v>11084</v>
      </c>
      <c r="C950" s="34" t="s">
        <v>11085</v>
      </c>
      <c r="D950" s="44" t="s">
        <v>10686</v>
      </c>
      <c r="E950" s="31"/>
      <c r="F950" s="31" t="s">
        <v>4307</v>
      </c>
      <c r="G950" s="31" t="n">
        <v>36</v>
      </c>
      <c r="H950" s="31" t="s">
        <v>3692</v>
      </c>
      <c r="I950" s="44" t="s">
        <v>4277</v>
      </c>
      <c r="J950" s="45" t="s">
        <v>4309</v>
      </c>
      <c r="K950" s="45" t="s">
        <v>4311</v>
      </c>
      <c r="L950" s="31" t="n">
        <f aca="false">COUNTIF($B$3:$B$2205,$B950)</f>
        <v>4</v>
      </c>
      <c r="M950" s="44" t="str">
        <f aca="false">IFERROR(INDEX(SENTENCES!$T$3:$T$1802,MATCH($F950,SENTENCES!$A$3:$A$1802,0)),"")</f>
        <v>• Chưa tới</v>
      </c>
    </row>
    <row r="951" customFormat="false" ht="15" hidden="false" customHeight="false" outlineLevel="0" collapsed="false">
      <c r="A951" s="31" t="n">
        <v>949</v>
      </c>
      <c r="B951" s="43" t="s">
        <v>12280</v>
      </c>
      <c r="C951" s="34" t="s">
        <v>12281</v>
      </c>
      <c r="D951" s="44" t="s">
        <v>10681</v>
      </c>
      <c r="E951" s="31"/>
      <c r="F951" s="31" t="s">
        <v>4312</v>
      </c>
      <c r="G951" s="31" t="n">
        <v>36</v>
      </c>
      <c r="H951" s="31" t="s">
        <v>3692</v>
      </c>
      <c r="I951" s="44" t="s">
        <v>4277</v>
      </c>
      <c r="J951" s="45" t="s">
        <v>4314</v>
      </c>
      <c r="K951" s="45" t="s">
        <v>4316</v>
      </c>
      <c r="L951" s="31" t="n">
        <f aca="false">COUNTIF($B$3:$B$2205,$B951)</f>
        <v>1</v>
      </c>
      <c r="M951" s="44" t="str">
        <f aca="false">IFERROR(INDEX(SENTENCES!$T$3:$T$1802,MATCH($F951,SENTENCES!$A$3:$A$1802,0)),"")</f>
        <v>• Chưa tới</v>
      </c>
    </row>
    <row r="952" customFormat="false" ht="15" hidden="false" customHeight="false" outlineLevel="0" collapsed="false">
      <c r="A952" s="31" t="n">
        <v>950</v>
      </c>
      <c r="B952" s="43" t="s">
        <v>12282</v>
      </c>
      <c r="C952" s="34" t="s">
        <v>11776</v>
      </c>
      <c r="D952" s="44" t="s">
        <v>10681</v>
      </c>
      <c r="E952" s="31"/>
      <c r="F952" s="31" t="s">
        <v>4312</v>
      </c>
      <c r="G952" s="31" t="n">
        <v>36</v>
      </c>
      <c r="H952" s="31" t="s">
        <v>3692</v>
      </c>
      <c r="I952" s="44" t="s">
        <v>4277</v>
      </c>
      <c r="J952" s="45" t="s">
        <v>4314</v>
      </c>
      <c r="K952" s="45" t="s">
        <v>4316</v>
      </c>
      <c r="L952" s="31" t="n">
        <f aca="false">COUNTIF($B$3:$B$2205,$B952)</f>
        <v>1</v>
      </c>
      <c r="M952" s="44" t="str">
        <f aca="false">IFERROR(INDEX(SENTENCES!$T$3:$T$1802,MATCH($F952,SENTENCES!$A$3:$A$1802,0)),"")</f>
        <v>• Chưa tới</v>
      </c>
    </row>
    <row r="953" customFormat="false" ht="15" hidden="false" customHeight="false" outlineLevel="0" collapsed="false">
      <c r="A953" s="31" t="n">
        <v>951</v>
      </c>
      <c r="B953" s="43" t="s">
        <v>12283</v>
      </c>
      <c r="C953" s="34" t="s">
        <v>12284</v>
      </c>
      <c r="D953" s="44" t="s">
        <v>10681</v>
      </c>
      <c r="E953" s="31"/>
      <c r="F953" s="31" t="s">
        <v>4318</v>
      </c>
      <c r="G953" s="31" t="n">
        <v>36</v>
      </c>
      <c r="H953" s="31" t="s">
        <v>3692</v>
      </c>
      <c r="I953" s="44" t="s">
        <v>4277</v>
      </c>
      <c r="J953" s="45" t="s">
        <v>4320</v>
      </c>
      <c r="K953" s="45" t="s">
        <v>4322</v>
      </c>
      <c r="L953" s="31" t="n">
        <f aca="false">COUNTIF($B$3:$B$2205,$B953)</f>
        <v>1</v>
      </c>
      <c r="M953" s="44" t="str">
        <f aca="false">IFERROR(INDEX(SENTENCES!$T$3:$T$1802,MATCH($F953,SENTENCES!$A$3:$A$1802,0)),"")</f>
        <v>• Chưa tới</v>
      </c>
    </row>
    <row r="954" customFormat="false" ht="15" hidden="false" customHeight="false" outlineLevel="0" collapsed="false">
      <c r="A954" s="31" t="n">
        <v>952</v>
      </c>
      <c r="B954" s="43" t="s">
        <v>12285</v>
      </c>
      <c r="C954" s="34" t="s">
        <v>11836</v>
      </c>
      <c r="D954" s="44" t="s">
        <v>10686</v>
      </c>
      <c r="E954" s="31"/>
      <c r="F954" s="31" t="s">
        <v>4324</v>
      </c>
      <c r="G954" s="31" t="n">
        <v>36</v>
      </c>
      <c r="H954" s="31" t="s">
        <v>3692</v>
      </c>
      <c r="I954" s="44" t="s">
        <v>4277</v>
      </c>
      <c r="J954" s="45" t="s">
        <v>4326</v>
      </c>
      <c r="K954" s="45" t="s">
        <v>4328</v>
      </c>
      <c r="L954" s="31" t="n">
        <f aca="false">COUNTIF($B$3:$B$2205,$B954)</f>
        <v>1</v>
      </c>
      <c r="M954" s="44" t="str">
        <f aca="false">IFERROR(INDEX(SENTENCES!$T$3:$T$1802,MATCH($F954,SENTENCES!$A$3:$A$1802,0)),"")</f>
        <v>• Chưa tới</v>
      </c>
    </row>
    <row r="955" customFormat="false" ht="15" hidden="false" customHeight="false" outlineLevel="0" collapsed="false">
      <c r="A955" s="31" t="n">
        <v>953</v>
      </c>
      <c r="B955" s="43" t="s">
        <v>12286</v>
      </c>
      <c r="C955" s="34" t="s">
        <v>12287</v>
      </c>
      <c r="D955" s="44" t="s">
        <v>10686</v>
      </c>
      <c r="E955" s="31"/>
      <c r="F955" s="31" t="s">
        <v>4330</v>
      </c>
      <c r="G955" s="31" t="n">
        <v>36</v>
      </c>
      <c r="H955" s="31" t="s">
        <v>3692</v>
      </c>
      <c r="I955" s="44" t="s">
        <v>4277</v>
      </c>
      <c r="J955" s="45" t="s">
        <v>4332</v>
      </c>
      <c r="K955" s="45" t="s">
        <v>4334</v>
      </c>
      <c r="L955" s="31" t="n">
        <f aca="false">COUNTIF($B$3:$B$2205,$B955)</f>
        <v>1</v>
      </c>
      <c r="M955" s="44" t="str">
        <f aca="false">IFERROR(INDEX(SENTENCES!$T$3:$T$1802,MATCH($F955,SENTENCES!$A$3:$A$1802,0)),"")</f>
        <v>• Chưa tới</v>
      </c>
    </row>
    <row r="956" customFormat="false" ht="15" hidden="false" customHeight="false" outlineLevel="0" collapsed="false">
      <c r="A956" s="31" t="n">
        <v>954</v>
      </c>
      <c r="B956" s="43" t="s">
        <v>12288</v>
      </c>
      <c r="C956" s="34" t="s">
        <v>12289</v>
      </c>
      <c r="D956" s="44" t="s">
        <v>10794</v>
      </c>
      <c r="E956" s="31"/>
      <c r="F956" s="31" t="s">
        <v>4336</v>
      </c>
      <c r="G956" s="31" t="n">
        <v>36</v>
      </c>
      <c r="H956" s="31" t="s">
        <v>3692</v>
      </c>
      <c r="I956" s="44" t="s">
        <v>4277</v>
      </c>
      <c r="J956" s="45" t="s">
        <v>4338</v>
      </c>
      <c r="K956" s="45" t="s">
        <v>4340</v>
      </c>
      <c r="L956" s="31" t="n">
        <f aca="false">COUNTIF($B$3:$B$2205,$B956)</f>
        <v>1</v>
      </c>
      <c r="M956" s="44" t="str">
        <f aca="false">IFERROR(INDEX(SENTENCES!$T$3:$T$1802,MATCH($F956,SENTENCES!$A$3:$A$1802,0)),"")</f>
        <v>• Chưa tới</v>
      </c>
    </row>
    <row r="957" customFormat="false" ht="15" hidden="false" customHeight="false" outlineLevel="0" collapsed="false">
      <c r="A957" s="31" t="n">
        <v>955</v>
      </c>
      <c r="B957" s="43" t="s">
        <v>11543</v>
      </c>
      <c r="C957" s="34" t="s">
        <v>11544</v>
      </c>
      <c r="D957" s="44" t="s">
        <v>10686</v>
      </c>
      <c r="E957" s="31"/>
      <c r="F957" s="31" t="s">
        <v>4341</v>
      </c>
      <c r="G957" s="31" t="n">
        <v>36</v>
      </c>
      <c r="H957" s="31" t="s">
        <v>3692</v>
      </c>
      <c r="I957" s="44" t="s">
        <v>4277</v>
      </c>
      <c r="J957" s="45" t="s">
        <v>4343</v>
      </c>
      <c r="K957" s="45" t="s">
        <v>4345</v>
      </c>
      <c r="L957" s="31" t="n">
        <f aca="false">COUNTIF($B$3:$B$2205,$B957)</f>
        <v>3</v>
      </c>
      <c r="M957" s="44" t="str">
        <f aca="false">IFERROR(INDEX(SENTENCES!$T$3:$T$1802,MATCH($F957,SENTENCES!$A$3:$A$1802,0)),"")</f>
        <v>• Chưa tới</v>
      </c>
    </row>
    <row r="958" customFormat="false" ht="15" hidden="false" customHeight="false" outlineLevel="0" collapsed="false">
      <c r="A958" s="31" t="n">
        <v>956</v>
      </c>
      <c r="B958" s="43" t="s">
        <v>12290</v>
      </c>
      <c r="C958" s="34" t="s">
        <v>12291</v>
      </c>
      <c r="D958" s="44" t="s">
        <v>10686</v>
      </c>
      <c r="E958" s="31"/>
      <c r="F958" s="31" t="s">
        <v>4346</v>
      </c>
      <c r="G958" s="31" t="n">
        <v>36</v>
      </c>
      <c r="H958" s="31" t="s">
        <v>3692</v>
      </c>
      <c r="I958" s="44" t="s">
        <v>4277</v>
      </c>
      <c r="J958" s="45" t="s">
        <v>4348</v>
      </c>
      <c r="K958" s="45" t="s">
        <v>4350</v>
      </c>
      <c r="L958" s="31" t="n">
        <f aca="false">COUNTIF($B$3:$B$2205,$B958)</f>
        <v>1</v>
      </c>
      <c r="M958" s="44" t="str">
        <f aca="false">IFERROR(INDEX(SENTENCES!$T$3:$T$1802,MATCH($F958,SENTENCES!$A$3:$A$1802,0)),"")</f>
        <v>• Chưa tới</v>
      </c>
    </row>
    <row r="959" customFormat="false" ht="15" hidden="false" customHeight="false" outlineLevel="0" collapsed="false">
      <c r="A959" s="31" t="n">
        <v>957</v>
      </c>
      <c r="B959" s="43" t="s">
        <v>12292</v>
      </c>
      <c r="C959" s="34" t="s">
        <v>12293</v>
      </c>
      <c r="D959" s="44" t="s">
        <v>10677</v>
      </c>
      <c r="E959" s="31" t="s">
        <v>10678</v>
      </c>
      <c r="F959" s="31" t="s">
        <v>4352</v>
      </c>
      <c r="G959" s="31" t="n">
        <v>36</v>
      </c>
      <c r="H959" s="31" t="s">
        <v>3692</v>
      </c>
      <c r="I959" s="44" t="s">
        <v>4277</v>
      </c>
      <c r="J959" s="45" t="s">
        <v>4354</v>
      </c>
      <c r="K959" s="45" t="s">
        <v>4356</v>
      </c>
      <c r="L959" s="31" t="n">
        <f aca="false">COUNTIF($B$3:$B$2205,$B959)</f>
        <v>2</v>
      </c>
      <c r="M959" s="44" t="str">
        <f aca="false">IFERROR(INDEX(SENTENCES!$T$3:$T$1802,MATCH($F959,SENTENCES!$A$3:$A$1802,0)),"")</f>
        <v>• Chưa tới</v>
      </c>
    </row>
    <row r="960" customFormat="false" ht="15" hidden="false" customHeight="false" outlineLevel="0" collapsed="false">
      <c r="A960" s="31" t="n">
        <v>958</v>
      </c>
      <c r="B960" s="43" t="s">
        <v>10520</v>
      </c>
      <c r="C960" s="34" t="s">
        <v>11175</v>
      </c>
      <c r="D960" s="44" t="s">
        <v>10794</v>
      </c>
      <c r="E960" s="31"/>
      <c r="F960" s="31" t="s">
        <v>4358</v>
      </c>
      <c r="G960" s="31" t="n">
        <v>36</v>
      </c>
      <c r="H960" s="31" t="s">
        <v>3692</v>
      </c>
      <c r="I960" s="44" t="s">
        <v>4277</v>
      </c>
      <c r="J960" s="45" t="s">
        <v>4360</v>
      </c>
      <c r="K960" s="45" t="s">
        <v>4362</v>
      </c>
      <c r="L960" s="31" t="n">
        <f aca="false">COUNTIF($B$3:$B$2205,$B960)</f>
        <v>3</v>
      </c>
      <c r="M960" s="44" t="str">
        <f aca="false">IFERROR(INDEX(SENTENCES!$T$3:$T$1802,MATCH($F960,SENTENCES!$A$3:$A$1802,0)),"")</f>
        <v>• Chưa tới</v>
      </c>
    </row>
    <row r="961" customFormat="false" ht="15" hidden="false" customHeight="false" outlineLevel="0" collapsed="false">
      <c r="A961" s="31" t="n">
        <v>959</v>
      </c>
      <c r="B961" s="43" t="s">
        <v>12294</v>
      </c>
      <c r="C961" s="34" t="s">
        <v>12295</v>
      </c>
      <c r="D961" s="44" t="s">
        <v>10681</v>
      </c>
      <c r="E961" s="31"/>
      <c r="F961" s="31" t="s">
        <v>4364</v>
      </c>
      <c r="G961" s="31" t="n">
        <v>36</v>
      </c>
      <c r="H961" s="31" t="s">
        <v>3692</v>
      </c>
      <c r="I961" s="44" t="s">
        <v>4277</v>
      </c>
      <c r="J961" s="45" t="s">
        <v>4366</v>
      </c>
      <c r="K961" s="45" t="s">
        <v>4368</v>
      </c>
      <c r="L961" s="31" t="n">
        <f aca="false">COUNTIF($B$3:$B$2205,$B961)</f>
        <v>2</v>
      </c>
      <c r="M961" s="44" t="str">
        <f aca="false">IFERROR(INDEX(SENTENCES!$T$3:$T$1802,MATCH($F961,SENTENCES!$A$3:$A$1802,0)),"")</f>
        <v>• Chưa tới</v>
      </c>
    </row>
    <row r="962" customFormat="false" ht="15" hidden="false" customHeight="false" outlineLevel="0" collapsed="false">
      <c r="A962" s="31" t="n">
        <v>960</v>
      </c>
      <c r="B962" s="43" t="s">
        <v>12296</v>
      </c>
      <c r="C962" s="34" t="s">
        <v>12297</v>
      </c>
      <c r="D962" s="44" t="s">
        <v>10681</v>
      </c>
      <c r="E962" s="31"/>
      <c r="F962" s="31" t="s">
        <v>4364</v>
      </c>
      <c r="G962" s="31" t="n">
        <v>36</v>
      </c>
      <c r="H962" s="31" t="s">
        <v>3692</v>
      </c>
      <c r="I962" s="44" t="s">
        <v>4277</v>
      </c>
      <c r="J962" s="45" t="s">
        <v>4366</v>
      </c>
      <c r="K962" s="45" t="s">
        <v>4368</v>
      </c>
      <c r="L962" s="31" t="n">
        <f aca="false">COUNTIF($B$3:$B$2205,$B962)</f>
        <v>2</v>
      </c>
      <c r="M962" s="44" t="str">
        <f aca="false">IFERROR(INDEX(SENTENCES!$T$3:$T$1802,MATCH($F962,SENTENCES!$A$3:$A$1802,0)),"")</f>
        <v>• Chưa tới</v>
      </c>
    </row>
    <row r="963" customFormat="false" ht="15" hidden="false" customHeight="false" outlineLevel="0" collapsed="false">
      <c r="A963" s="31" t="n">
        <v>961</v>
      </c>
      <c r="B963" s="43" t="s">
        <v>12298</v>
      </c>
      <c r="C963" s="34" t="s">
        <v>12299</v>
      </c>
      <c r="D963" s="44" t="s">
        <v>10677</v>
      </c>
      <c r="E963" s="31" t="s">
        <v>10747</v>
      </c>
      <c r="F963" s="31" t="s">
        <v>4370</v>
      </c>
      <c r="G963" s="31" t="n">
        <v>36</v>
      </c>
      <c r="H963" s="31" t="s">
        <v>3692</v>
      </c>
      <c r="I963" s="44" t="s">
        <v>4277</v>
      </c>
      <c r="J963" s="45" t="s">
        <v>4372</v>
      </c>
      <c r="K963" s="45" t="s">
        <v>4374</v>
      </c>
      <c r="L963" s="31" t="n">
        <f aca="false">COUNTIF($B$3:$B$2205,$B963)</f>
        <v>2</v>
      </c>
      <c r="M963" s="44" t="str">
        <f aca="false">IFERROR(INDEX(SENTENCES!$T$3:$T$1802,MATCH($F963,SENTENCES!$A$3:$A$1802,0)),"")</f>
        <v>• Chưa tới</v>
      </c>
    </row>
    <row r="964" customFormat="false" ht="15" hidden="false" customHeight="false" outlineLevel="0" collapsed="false">
      <c r="A964" s="31" t="n">
        <v>962</v>
      </c>
      <c r="B964" s="43" t="s">
        <v>12300</v>
      </c>
      <c r="C964" s="34" t="s">
        <v>12301</v>
      </c>
      <c r="D964" s="44" t="s">
        <v>10681</v>
      </c>
      <c r="E964" s="31"/>
      <c r="F964" s="31" t="s">
        <v>4376</v>
      </c>
      <c r="G964" s="31" t="n">
        <v>36</v>
      </c>
      <c r="H964" s="31" t="s">
        <v>3692</v>
      </c>
      <c r="I964" s="44" t="s">
        <v>4277</v>
      </c>
      <c r="J964" s="45" t="s">
        <v>4378</v>
      </c>
      <c r="K964" s="45" t="s">
        <v>4380</v>
      </c>
      <c r="L964" s="31" t="n">
        <f aca="false">COUNTIF($B$3:$B$2205,$B964)</f>
        <v>1</v>
      </c>
      <c r="M964" s="44" t="str">
        <f aca="false">IFERROR(INDEX(SENTENCES!$T$3:$T$1802,MATCH($F964,SENTENCES!$A$3:$A$1802,0)),"")</f>
        <v>• Chưa tới</v>
      </c>
    </row>
    <row r="965" customFormat="false" ht="15" hidden="false" customHeight="false" outlineLevel="0" collapsed="false">
      <c r="A965" s="31" t="n">
        <v>963</v>
      </c>
      <c r="B965" s="43" t="s">
        <v>12302</v>
      </c>
      <c r="C965" s="34" t="s">
        <v>12303</v>
      </c>
      <c r="D965" s="44" t="s">
        <v>10677</v>
      </c>
      <c r="E965" s="31" t="s">
        <v>10747</v>
      </c>
      <c r="F965" s="31" t="s">
        <v>4382</v>
      </c>
      <c r="G965" s="31" t="n">
        <v>36</v>
      </c>
      <c r="H965" s="31" t="s">
        <v>3692</v>
      </c>
      <c r="I965" s="44" t="s">
        <v>4277</v>
      </c>
      <c r="J965" s="45" t="s">
        <v>4384</v>
      </c>
      <c r="K965" s="45" t="s">
        <v>4386</v>
      </c>
      <c r="L965" s="31" t="n">
        <f aca="false">COUNTIF($B$3:$B$2205,$B965)</f>
        <v>1</v>
      </c>
      <c r="M965" s="44" t="str">
        <f aca="false">IFERROR(INDEX(SENTENCES!$T$3:$T$1802,MATCH($F965,SENTENCES!$A$3:$A$1802,0)),"")</f>
        <v>• Chưa tới</v>
      </c>
    </row>
    <row r="966" customFormat="false" ht="15" hidden="false" customHeight="false" outlineLevel="0" collapsed="false">
      <c r="A966" s="31" t="n">
        <v>964</v>
      </c>
      <c r="B966" s="43" t="s">
        <v>12304</v>
      </c>
      <c r="C966" s="34" t="s">
        <v>12305</v>
      </c>
      <c r="D966" s="44" t="s">
        <v>10677</v>
      </c>
      <c r="E966" s="31" t="s">
        <v>10707</v>
      </c>
      <c r="F966" s="31" t="s">
        <v>4388</v>
      </c>
      <c r="G966" s="31" t="n">
        <v>36</v>
      </c>
      <c r="H966" s="31" t="s">
        <v>3692</v>
      </c>
      <c r="I966" s="44" t="s">
        <v>4277</v>
      </c>
      <c r="J966" s="45" t="s">
        <v>4390</v>
      </c>
      <c r="K966" s="45" t="s">
        <v>4392</v>
      </c>
      <c r="L966" s="31" t="n">
        <f aca="false">COUNTIF($B$3:$B$2205,$B966)</f>
        <v>1</v>
      </c>
      <c r="M966" s="44" t="str">
        <f aca="false">IFERROR(INDEX(SENTENCES!$T$3:$T$1802,MATCH($F966,SENTENCES!$A$3:$A$1802,0)),"")</f>
        <v>• Chưa tới</v>
      </c>
    </row>
    <row r="967" customFormat="false" ht="15" hidden="false" customHeight="false" outlineLevel="0" collapsed="false">
      <c r="A967" s="31" t="n">
        <v>965</v>
      </c>
      <c r="B967" s="43" t="s">
        <v>12306</v>
      </c>
      <c r="C967" s="34" t="s">
        <v>12307</v>
      </c>
      <c r="D967" s="44" t="s">
        <v>10794</v>
      </c>
      <c r="E967" s="31"/>
      <c r="F967" s="31" t="s">
        <v>4394</v>
      </c>
      <c r="G967" s="31" t="n">
        <v>37</v>
      </c>
      <c r="H967" s="31" t="s">
        <v>3692</v>
      </c>
      <c r="I967" s="44" t="s">
        <v>4395</v>
      </c>
      <c r="J967" s="45" t="s">
        <v>4397</v>
      </c>
      <c r="K967" s="45" t="s">
        <v>4399</v>
      </c>
      <c r="L967" s="31" t="n">
        <f aca="false">COUNTIF($B$3:$B$2205,$B967)</f>
        <v>1</v>
      </c>
      <c r="M967" s="44" t="str">
        <f aca="false">IFERROR(INDEX(SENTENCES!$T$3:$T$1802,MATCH($F967,SENTENCES!$A$3:$A$1802,0)),"")</f>
        <v>• Chưa tới</v>
      </c>
    </row>
    <row r="968" customFormat="false" ht="15" hidden="false" customHeight="false" outlineLevel="0" collapsed="false">
      <c r="A968" s="31" t="n">
        <v>966</v>
      </c>
      <c r="B968" s="43" t="s">
        <v>11585</v>
      </c>
      <c r="C968" s="34" t="s">
        <v>11586</v>
      </c>
      <c r="D968" s="44" t="s">
        <v>10754</v>
      </c>
      <c r="E968" s="31"/>
      <c r="F968" s="31" t="s">
        <v>4401</v>
      </c>
      <c r="G968" s="31" t="n">
        <v>37</v>
      </c>
      <c r="H968" s="31" t="s">
        <v>3692</v>
      </c>
      <c r="I968" s="44" t="s">
        <v>4395</v>
      </c>
      <c r="J968" s="45" t="s">
        <v>4403</v>
      </c>
      <c r="K968" s="45" t="s">
        <v>4405</v>
      </c>
      <c r="L968" s="31" t="n">
        <f aca="false">COUNTIF($B$3:$B$2205,$B968)</f>
        <v>3</v>
      </c>
      <c r="M968" s="44" t="str">
        <f aca="false">IFERROR(INDEX(SENTENCES!$T$3:$T$1802,MATCH($F968,SENTENCES!$A$3:$A$1802,0)),"")</f>
        <v>• Chưa tới</v>
      </c>
    </row>
    <row r="969" customFormat="false" ht="15" hidden="false" customHeight="false" outlineLevel="0" collapsed="false">
      <c r="A969" s="31" t="n">
        <v>967</v>
      </c>
      <c r="B969" s="43" t="s">
        <v>11795</v>
      </c>
      <c r="C969" s="34" t="s">
        <v>11796</v>
      </c>
      <c r="D969" s="44" t="s">
        <v>10686</v>
      </c>
      <c r="E969" s="31"/>
      <c r="F969" s="31" t="s">
        <v>4407</v>
      </c>
      <c r="G969" s="31" t="n">
        <v>37</v>
      </c>
      <c r="H969" s="31" t="s">
        <v>3692</v>
      </c>
      <c r="I969" s="44" t="s">
        <v>4395</v>
      </c>
      <c r="J969" s="45" t="s">
        <v>4409</v>
      </c>
      <c r="K969" s="45" t="s">
        <v>4411</v>
      </c>
      <c r="L969" s="31" t="n">
        <f aca="false">COUNTIF($B$3:$B$2205,$B969)</f>
        <v>3</v>
      </c>
      <c r="M969" s="44" t="str">
        <f aca="false">IFERROR(INDEX(SENTENCES!$T$3:$T$1802,MATCH($F969,SENTENCES!$A$3:$A$1802,0)),"")</f>
        <v>• Chưa tới</v>
      </c>
    </row>
    <row r="970" customFormat="false" ht="15" hidden="false" customHeight="false" outlineLevel="0" collapsed="false">
      <c r="A970" s="31" t="n">
        <v>968</v>
      </c>
      <c r="B970" s="43" t="s">
        <v>12308</v>
      </c>
      <c r="C970" s="34" t="s">
        <v>12309</v>
      </c>
      <c r="D970" s="44" t="s">
        <v>10686</v>
      </c>
      <c r="E970" s="31"/>
      <c r="F970" s="31" t="s">
        <v>4413</v>
      </c>
      <c r="G970" s="31" t="n">
        <v>37</v>
      </c>
      <c r="H970" s="31" t="s">
        <v>3692</v>
      </c>
      <c r="I970" s="44" t="s">
        <v>4395</v>
      </c>
      <c r="J970" s="45" t="s">
        <v>4415</v>
      </c>
      <c r="K970" s="45" t="s">
        <v>4417</v>
      </c>
      <c r="L970" s="31" t="n">
        <f aca="false">COUNTIF($B$3:$B$2205,$B970)</f>
        <v>1</v>
      </c>
      <c r="M970" s="44" t="str">
        <f aca="false">IFERROR(INDEX(SENTENCES!$T$3:$T$1802,MATCH($F970,SENTENCES!$A$3:$A$1802,0)),"")</f>
        <v>• Chưa tới</v>
      </c>
    </row>
    <row r="971" customFormat="false" ht="22.35" hidden="false" customHeight="false" outlineLevel="0" collapsed="false">
      <c r="A971" s="31" t="n">
        <v>969</v>
      </c>
      <c r="B971" s="43" t="s">
        <v>12310</v>
      </c>
      <c r="C971" s="34" t="s">
        <v>12311</v>
      </c>
      <c r="D971" s="44" t="s">
        <v>10677</v>
      </c>
      <c r="E971" s="31" t="s">
        <v>10678</v>
      </c>
      <c r="F971" s="31" t="s">
        <v>4419</v>
      </c>
      <c r="G971" s="31" t="n">
        <v>37</v>
      </c>
      <c r="H971" s="31" t="s">
        <v>3692</v>
      </c>
      <c r="I971" s="44" t="s">
        <v>4395</v>
      </c>
      <c r="J971" s="45" t="s">
        <v>4421</v>
      </c>
      <c r="K971" s="45" t="s">
        <v>4423</v>
      </c>
      <c r="L971" s="31" t="n">
        <f aca="false">COUNTIF($B$3:$B$2205,$B971)</f>
        <v>1</v>
      </c>
      <c r="M971" s="44" t="str">
        <f aca="false">IFERROR(INDEX(SENTENCES!$T$3:$T$1802,MATCH($F971,SENTENCES!$A$3:$A$1802,0)),"")</f>
        <v>• Chưa tới</v>
      </c>
    </row>
    <row r="972" customFormat="false" ht="15" hidden="false" customHeight="false" outlineLevel="0" collapsed="false">
      <c r="A972" s="31" t="n">
        <v>970</v>
      </c>
      <c r="B972" s="43" t="s">
        <v>12312</v>
      </c>
      <c r="C972" s="34" t="s">
        <v>12293</v>
      </c>
      <c r="D972" s="44" t="s">
        <v>10794</v>
      </c>
      <c r="E972" s="31"/>
      <c r="F972" s="31" t="s">
        <v>4425</v>
      </c>
      <c r="G972" s="31" t="n">
        <v>37</v>
      </c>
      <c r="H972" s="31" t="s">
        <v>3692</v>
      </c>
      <c r="I972" s="44" t="s">
        <v>4395</v>
      </c>
      <c r="J972" s="45" t="s">
        <v>4427</v>
      </c>
      <c r="K972" s="45" t="s">
        <v>4429</v>
      </c>
      <c r="L972" s="31" t="n">
        <f aca="false">COUNTIF($B$3:$B$2205,$B972)</f>
        <v>1</v>
      </c>
      <c r="M972" s="44" t="str">
        <f aca="false">IFERROR(INDEX(SENTENCES!$T$3:$T$1802,MATCH($F972,SENTENCES!$A$3:$A$1802,0)),"")</f>
        <v>• Chưa tới</v>
      </c>
    </row>
    <row r="973" customFormat="false" ht="15" hidden="false" customHeight="false" outlineLevel="0" collapsed="false">
      <c r="A973" s="31" t="n">
        <v>971</v>
      </c>
      <c r="B973" s="43" t="s">
        <v>12313</v>
      </c>
      <c r="C973" s="34" t="s">
        <v>12314</v>
      </c>
      <c r="D973" s="44" t="s">
        <v>10686</v>
      </c>
      <c r="E973" s="31"/>
      <c r="F973" s="31" t="s">
        <v>4431</v>
      </c>
      <c r="G973" s="31" t="n">
        <v>37</v>
      </c>
      <c r="H973" s="31" t="s">
        <v>3692</v>
      </c>
      <c r="I973" s="44" t="s">
        <v>4395</v>
      </c>
      <c r="J973" s="45" t="s">
        <v>4433</v>
      </c>
      <c r="K973" s="45" t="s">
        <v>4435</v>
      </c>
      <c r="L973" s="31" t="n">
        <f aca="false">COUNTIF($B$3:$B$2205,$B973)</f>
        <v>3</v>
      </c>
      <c r="M973" s="44" t="str">
        <f aca="false">IFERROR(INDEX(SENTENCES!$T$3:$T$1802,MATCH($F973,SENTENCES!$A$3:$A$1802,0)),"")</f>
        <v>• Chưa tới</v>
      </c>
    </row>
    <row r="974" customFormat="false" ht="15" hidden="false" customHeight="false" outlineLevel="0" collapsed="false">
      <c r="A974" s="31" t="n">
        <v>972</v>
      </c>
      <c r="B974" s="43" t="s">
        <v>12315</v>
      </c>
      <c r="C974" s="34" t="s">
        <v>12316</v>
      </c>
      <c r="D974" s="44" t="s">
        <v>10686</v>
      </c>
      <c r="E974" s="31"/>
      <c r="F974" s="31" t="s">
        <v>4436</v>
      </c>
      <c r="G974" s="31" t="n">
        <v>37</v>
      </c>
      <c r="H974" s="31" t="s">
        <v>3692</v>
      </c>
      <c r="I974" s="44" t="s">
        <v>4395</v>
      </c>
      <c r="J974" s="45" t="s">
        <v>4438</v>
      </c>
      <c r="K974" s="45" t="s">
        <v>4440</v>
      </c>
      <c r="L974" s="31" t="n">
        <f aca="false">COUNTIF($B$3:$B$2205,$B974)</f>
        <v>1</v>
      </c>
      <c r="M974" s="44" t="str">
        <f aca="false">IFERROR(INDEX(SENTENCES!$T$3:$T$1802,MATCH($F974,SENTENCES!$A$3:$A$1802,0)),"")</f>
        <v>• Chưa tới</v>
      </c>
    </row>
    <row r="975" customFormat="false" ht="15" hidden="false" customHeight="false" outlineLevel="0" collapsed="false">
      <c r="A975" s="31" t="n">
        <v>973</v>
      </c>
      <c r="B975" s="43" t="s">
        <v>12317</v>
      </c>
      <c r="C975" s="34" t="s">
        <v>12318</v>
      </c>
      <c r="D975" s="44" t="s">
        <v>10686</v>
      </c>
      <c r="E975" s="31"/>
      <c r="F975" s="31" t="s">
        <v>4442</v>
      </c>
      <c r="G975" s="31" t="n">
        <v>37</v>
      </c>
      <c r="H975" s="31" t="s">
        <v>3692</v>
      </c>
      <c r="I975" s="44" t="s">
        <v>4395</v>
      </c>
      <c r="J975" s="45" t="s">
        <v>4444</v>
      </c>
      <c r="K975" s="45" t="s">
        <v>4446</v>
      </c>
      <c r="L975" s="31" t="n">
        <f aca="false">COUNTIF($B$3:$B$2205,$B975)</f>
        <v>1</v>
      </c>
      <c r="M975" s="44" t="str">
        <f aca="false">IFERROR(INDEX(SENTENCES!$T$3:$T$1802,MATCH($F975,SENTENCES!$A$3:$A$1802,0)),"")</f>
        <v>• Chưa tới</v>
      </c>
    </row>
    <row r="976" customFormat="false" ht="15" hidden="false" customHeight="false" outlineLevel="0" collapsed="false">
      <c r="A976" s="31" t="n">
        <v>974</v>
      </c>
      <c r="B976" s="43" t="s">
        <v>12319</v>
      </c>
      <c r="C976" s="34" t="s">
        <v>12320</v>
      </c>
      <c r="D976" s="44" t="s">
        <v>10677</v>
      </c>
      <c r="E976" s="31" t="s">
        <v>10678</v>
      </c>
      <c r="F976" s="31" t="s">
        <v>4448</v>
      </c>
      <c r="G976" s="31" t="n">
        <v>37</v>
      </c>
      <c r="H976" s="31" t="s">
        <v>3692</v>
      </c>
      <c r="I976" s="44" t="s">
        <v>4395</v>
      </c>
      <c r="J976" s="45" t="s">
        <v>4450</v>
      </c>
      <c r="K976" s="45" t="s">
        <v>4452</v>
      </c>
      <c r="L976" s="31" t="n">
        <f aca="false">COUNTIF($B$3:$B$2205,$B976)</f>
        <v>1</v>
      </c>
      <c r="M976" s="44" t="str">
        <f aca="false">IFERROR(INDEX(SENTENCES!$T$3:$T$1802,MATCH($F976,SENTENCES!$A$3:$A$1802,0)),"")</f>
        <v>• Chưa tới</v>
      </c>
    </row>
    <row r="977" customFormat="false" ht="15" hidden="false" customHeight="false" outlineLevel="0" collapsed="false">
      <c r="A977" s="31" t="n">
        <v>975</v>
      </c>
      <c r="B977" s="43" t="s">
        <v>12321</v>
      </c>
      <c r="C977" s="34" t="s">
        <v>12322</v>
      </c>
      <c r="D977" s="44" t="s">
        <v>10686</v>
      </c>
      <c r="E977" s="31"/>
      <c r="F977" s="31" t="s">
        <v>4448</v>
      </c>
      <c r="G977" s="31" t="n">
        <v>37</v>
      </c>
      <c r="H977" s="31" t="s">
        <v>3692</v>
      </c>
      <c r="I977" s="44" t="s">
        <v>4395</v>
      </c>
      <c r="J977" s="45" t="s">
        <v>4450</v>
      </c>
      <c r="K977" s="45" t="s">
        <v>4452</v>
      </c>
      <c r="L977" s="31" t="n">
        <f aca="false">COUNTIF($B$3:$B$2205,$B977)</f>
        <v>1</v>
      </c>
      <c r="M977" s="44" t="str">
        <f aca="false">IFERROR(INDEX(SENTENCES!$T$3:$T$1802,MATCH($F977,SENTENCES!$A$3:$A$1802,0)),"")</f>
        <v>• Chưa tới</v>
      </c>
    </row>
    <row r="978" customFormat="false" ht="15" hidden="false" customHeight="false" outlineLevel="0" collapsed="false">
      <c r="A978" s="31" t="n">
        <v>976</v>
      </c>
      <c r="B978" s="43" t="s">
        <v>12323</v>
      </c>
      <c r="C978" s="34" t="s">
        <v>12324</v>
      </c>
      <c r="D978" s="44" t="s">
        <v>10681</v>
      </c>
      <c r="E978" s="31"/>
      <c r="F978" s="31" t="s">
        <v>4454</v>
      </c>
      <c r="G978" s="31" t="n">
        <v>37</v>
      </c>
      <c r="H978" s="31" t="s">
        <v>3692</v>
      </c>
      <c r="I978" s="44" t="s">
        <v>4395</v>
      </c>
      <c r="J978" s="45" t="s">
        <v>4456</v>
      </c>
      <c r="K978" s="45" t="s">
        <v>4458</v>
      </c>
      <c r="L978" s="31" t="n">
        <f aca="false">COUNTIF($B$3:$B$2205,$B978)</f>
        <v>1</v>
      </c>
      <c r="M978" s="44" t="str">
        <f aca="false">IFERROR(INDEX(SENTENCES!$T$3:$T$1802,MATCH($F978,SENTENCES!$A$3:$A$1802,0)),"")</f>
        <v>• Chưa tới</v>
      </c>
    </row>
    <row r="979" customFormat="false" ht="15" hidden="false" customHeight="false" outlineLevel="0" collapsed="false">
      <c r="A979" s="31" t="n">
        <v>977</v>
      </c>
      <c r="B979" s="43" t="s">
        <v>12325</v>
      </c>
      <c r="C979" s="34" t="s">
        <v>12326</v>
      </c>
      <c r="D979" s="44" t="s">
        <v>10686</v>
      </c>
      <c r="E979" s="31"/>
      <c r="F979" s="31" t="s">
        <v>4460</v>
      </c>
      <c r="G979" s="31" t="n">
        <v>37</v>
      </c>
      <c r="H979" s="31" t="s">
        <v>3692</v>
      </c>
      <c r="I979" s="44" t="s">
        <v>4395</v>
      </c>
      <c r="J979" s="45" t="s">
        <v>4462</v>
      </c>
      <c r="K979" s="45" t="s">
        <v>4464</v>
      </c>
      <c r="L979" s="31" t="n">
        <f aca="false">COUNTIF($B$3:$B$2205,$B979)</f>
        <v>1</v>
      </c>
      <c r="M979" s="44" t="str">
        <f aca="false">IFERROR(INDEX(SENTENCES!$T$3:$T$1802,MATCH($F979,SENTENCES!$A$3:$A$1802,0)),"")</f>
        <v>• Chưa tới</v>
      </c>
    </row>
    <row r="980" customFormat="false" ht="15" hidden="false" customHeight="false" outlineLevel="0" collapsed="false">
      <c r="A980" s="31" t="n">
        <v>978</v>
      </c>
      <c r="B980" s="43" t="s">
        <v>11135</v>
      </c>
      <c r="C980" s="34" t="s">
        <v>12327</v>
      </c>
      <c r="D980" s="44" t="s">
        <v>10686</v>
      </c>
      <c r="E980" s="31"/>
      <c r="F980" s="31" t="s">
        <v>4466</v>
      </c>
      <c r="G980" s="31" t="n">
        <v>37</v>
      </c>
      <c r="H980" s="31" t="s">
        <v>3692</v>
      </c>
      <c r="I980" s="44" t="s">
        <v>4395</v>
      </c>
      <c r="J980" s="45" t="s">
        <v>4468</v>
      </c>
      <c r="K980" s="45" t="s">
        <v>4470</v>
      </c>
      <c r="L980" s="31" t="n">
        <f aca="false">COUNTIF($B$3:$B$2205,$B980)</f>
        <v>4</v>
      </c>
      <c r="M980" s="44" t="str">
        <f aca="false">IFERROR(INDEX(SENTENCES!$T$3:$T$1802,MATCH($F980,SENTENCES!$A$3:$A$1802,0)),"")</f>
        <v>• Chưa tới</v>
      </c>
    </row>
    <row r="981" customFormat="false" ht="15" hidden="false" customHeight="false" outlineLevel="0" collapsed="false">
      <c r="A981" s="31" t="n">
        <v>979</v>
      </c>
      <c r="B981" s="43" t="s">
        <v>12328</v>
      </c>
      <c r="C981" s="34" t="s">
        <v>12329</v>
      </c>
      <c r="D981" s="44" t="s">
        <v>10681</v>
      </c>
      <c r="E981" s="31"/>
      <c r="F981" s="31" t="s">
        <v>4466</v>
      </c>
      <c r="G981" s="31" t="n">
        <v>37</v>
      </c>
      <c r="H981" s="31" t="s">
        <v>3692</v>
      </c>
      <c r="I981" s="44" t="s">
        <v>4395</v>
      </c>
      <c r="J981" s="45" t="s">
        <v>4468</v>
      </c>
      <c r="K981" s="45" t="s">
        <v>4470</v>
      </c>
      <c r="L981" s="31" t="n">
        <f aca="false">COUNTIF($B$3:$B$2205,$B981)</f>
        <v>1</v>
      </c>
      <c r="M981" s="44" t="str">
        <f aca="false">IFERROR(INDEX(SENTENCES!$T$3:$T$1802,MATCH($F981,SENTENCES!$A$3:$A$1802,0)),"")</f>
        <v>• Chưa tới</v>
      </c>
    </row>
    <row r="982" customFormat="false" ht="15" hidden="false" customHeight="false" outlineLevel="0" collapsed="false">
      <c r="A982" s="31" t="n">
        <v>980</v>
      </c>
      <c r="B982" s="43" t="s">
        <v>12330</v>
      </c>
      <c r="C982" s="34" t="s">
        <v>12331</v>
      </c>
      <c r="D982" s="44" t="s">
        <v>10681</v>
      </c>
      <c r="E982" s="31"/>
      <c r="F982" s="31" t="s">
        <v>4472</v>
      </c>
      <c r="G982" s="31" t="n">
        <v>37</v>
      </c>
      <c r="H982" s="31" t="s">
        <v>3692</v>
      </c>
      <c r="I982" s="44" t="s">
        <v>4395</v>
      </c>
      <c r="J982" s="45" t="s">
        <v>4474</v>
      </c>
      <c r="K982" s="45" t="s">
        <v>4476</v>
      </c>
      <c r="L982" s="31" t="n">
        <f aca="false">COUNTIF($B$3:$B$2205,$B982)</f>
        <v>1</v>
      </c>
      <c r="M982" s="44" t="str">
        <f aca="false">IFERROR(INDEX(SENTENCES!$T$3:$T$1802,MATCH($F982,SENTENCES!$A$3:$A$1802,0)),"")</f>
        <v>• Chưa tới</v>
      </c>
    </row>
    <row r="983" customFormat="false" ht="15" hidden="false" customHeight="false" outlineLevel="0" collapsed="false">
      <c r="A983" s="31" t="n">
        <v>981</v>
      </c>
      <c r="B983" s="43" t="s">
        <v>12332</v>
      </c>
      <c r="C983" s="34" t="s">
        <v>12333</v>
      </c>
      <c r="D983" s="44" t="s">
        <v>10794</v>
      </c>
      <c r="E983" s="31"/>
      <c r="F983" s="31" t="s">
        <v>4478</v>
      </c>
      <c r="G983" s="31" t="n">
        <v>37</v>
      </c>
      <c r="H983" s="31" t="s">
        <v>3692</v>
      </c>
      <c r="I983" s="44" t="s">
        <v>4395</v>
      </c>
      <c r="J983" s="45" t="s">
        <v>4480</v>
      </c>
      <c r="K983" s="45" t="s">
        <v>4482</v>
      </c>
      <c r="L983" s="31" t="n">
        <f aca="false">COUNTIF($B$3:$B$2205,$B983)</f>
        <v>1</v>
      </c>
      <c r="M983" s="44" t="str">
        <f aca="false">IFERROR(INDEX(SENTENCES!$T$3:$T$1802,MATCH($F983,SENTENCES!$A$3:$A$1802,0)),"")</f>
        <v>• Chưa tới</v>
      </c>
    </row>
    <row r="984" customFormat="false" ht="15" hidden="false" customHeight="false" outlineLevel="0" collapsed="false">
      <c r="A984" s="31" t="n">
        <v>982</v>
      </c>
      <c r="B984" s="43" t="s">
        <v>12334</v>
      </c>
      <c r="C984" s="34" t="s">
        <v>12335</v>
      </c>
      <c r="D984" s="44" t="s">
        <v>10686</v>
      </c>
      <c r="E984" s="31"/>
      <c r="F984" s="31" t="s">
        <v>4484</v>
      </c>
      <c r="G984" s="31" t="n">
        <v>37</v>
      </c>
      <c r="H984" s="31" t="s">
        <v>3692</v>
      </c>
      <c r="I984" s="44" t="s">
        <v>4395</v>
      </c>
      <c r="J984" s="45" t="s">
        <v>4486</v>
      </c>
      <c r="K984" s="45" t="s">
        <v>4488</v>
      </c>
      <c r="L984" s="31" t="n">
        <f aca="false">COUNTIF($B$3:$B$2205,$B984)</f>
        <v>2</v>
      </c>
      <c r="M984" s="44" t="str">
        <f aca="false">IFERROR(INDEX(SENTENCES!$T$3:$T$1802,MATCH($F984,SENTENCES!$A$3:$A$1802,0)),"")</f>
        <v>• Chưa tới</v>
      </c>
    </row>
    <row r="985" customFormat="false" ht="15" hidden="false" customHeight="false" outlineLevel="0" collapsed="false">
      <c r="A985" s="31" t="n">
        <v>983</v>
      </c>
      <c r="B985" s="43" t="s">
        <v>12208</v>
      </c>
      <c r="C985" s="34" t="s">
        <v>12209</v>
      </c>
      <c r="D985" s="44" t="s">
        <v>10681</v>
      </c>
      <c r="E985" s="31"/>
      <c r="F985" s="31" t="s">
        <v>4490</v>
      </c>
      <c r="G985" s="31" t="n">
        <v>37</v>
      </c>
      <c r="H985" s="31" t="s">
        <v>3692</v>
      </c>
      <c r="I985" s="44" t="s">
        <v>4395</v>
      </c>
      <c r="J985" s="45" t="s">
        <v>4492</v>
      </c>
      <c r="K985" s="45" t="s">
        <v>4494</v>
      </c>
      <c r="L985" s="31" t="n">
        <f aca="false">COUNTIF($B$3:$B$2205,$B985)</f>
        <v>2</v>
      </c>
      <c r="M985" s="44" t="str">
        <f aca="false">IFERROR(INDEX(SENTENCES!$T$3:$T$1802,MATCH($F985,SENTENCES!$A$3:$A$1802,0)),"")</f>
        <v>• Chưa tới</v>
      </c>
    </row>
    <row r="986" customFormat="false" ht="15" hidden="false" customHeight="false" outlineLevel="0" collapsed="false">
      <c r="A986" s="31" t="n">
        <v>984</v>
      </c>
      <c r="B986" s="43" t="s">
        <v>12103</v>
      </c>
      <c r="C986" s="34" t="s">
        <v>12104</v>
      </c>
      <c r="D986" s="44" t="s">
        <v>10686</v>
      </c>
      <c r="E986" s="31"/>
      <c r="F986" s="31" t="s">
        <v>4495</v>
      </c>
      <c r="G986" s="31" t="n">
        <v>37</v>
      </c>
      <c r="H986" s="31" t="s">
        <v>3692</v>
      </c>
      <c r="I986" s="44" t="s">
        <v>4395</v>
      </c>
      <c r="J986" s="45" t="s">
        <v>4497</v>
      </c>
      <c r="K986" s="45" t="s">
        <v>4499</v>
      </c>
      <c r="L986" s="31" t="n">
        <f aca="false">COUNTIF($B$3:$B$2205,$B986)</f>
        <v>2</v>
      </c>
      <c r="M986" s="44" t="str">
        <f aca="false">IFERROR(INDEX(SENTENCES!$T$3:$T$1802,MATCH($F986,SENTENCES!$A$3:$A$1802,0)),"")</f>
        <v>• Chưa tới</v>
      </c>
    </row>
    <row r="987" customFormat="false" ht="15" hidden="false" customHeight="false" outlineLevel="0" collapsed="false">
      <c r="A987" s="31" t="n">
        <v>985</v>
      </c>
      <c r="B987" s="43" t="s">
        <v>12336</v>
      </c>
      <c r="C987" s="34" t="s">
        <v>12337</v>
      </c>
      <c r="D987" s="44" t="s">
        <v>10681</v>
      </c>
      <c r="E987" s="31"/>
      <c r="F987" s="31" t="s">
        <v>4500</v>
      </c>
      <c r="G987" s="31" t="n">
        <v>37</v>
      </c>
      <c r="H987" s="31" t="s">
        <v>3692</v>
      </c>
      <c r="I987" s="44" t="s">
        <v>4395</v>
      </c>
      <c r="J987" s="45" t="s">
        <v>4502</v>
      </c>
      <c r="K987" s="45" t="s">
        <v>4504</v>
      </c>
      <c r="L987" s="31" t="n">
        <f aca="false">COUNTIF($B$3:$B$2205,$B987)</f>
        <v>1</v>
      </c>
      <c r="M987" s="44" t="str">
        <f aca="false">IFERROR(INDEX(SENTENCES!$T$3:$T$1802,MATCH($F987,SENTENCES!$A$3:$A$1802,0)),"")</f>
        <v>• Chưa tới</v>
      </c>
    </row>
    <row r="988" customFormat="false" ht="15" hidden="false" customHeight="false" outlineLevel="0" collapsed="false">
      <c r="A988" s="31" t="n">
        <v>986</v>
      </c>
      <c r="B988" s="43" t="s">
        <v>12338</v>
      </c>
      <c r="C988" s="34" t="s">
        <v>12339</v>
      </c>
      <c r="D988" s="44" t="s">
        <v>10681</v>
      </c>
      <c r="E988" s="31"/>
      <c r="F988" s="31" t="s">
        <v>4500</v>
      </c>
      <c r="G988" s="31" t="n">
        <v>37</v>
      </c>
      <c r="H988" s="31" t="s">
        <v>3692</v>
      </c>
      <c r="I988" s="44" t="s">
        <v>4395</v>
      </c>
      <c r="J988" s="45" t="s">
        <v>4502</v>
      </c>
      <c r="K988" s="45" t="s">
        <v>4504</v>
      </c>
      <c r="L988" s="31" t="n">
        <f aca="false">COUNTIF($B$3:$B$2205,$B988)</f>
        <v>2</v>
      </c>
      <c r="M988" s="44" t="str">
        <f aca="false">IFERROR(INDEX(SENTENCES!$T$3:$T$1802,MATCH($F988,SENTENCES!$A$3:$A$1802,0)),"")</f>
        <v>• Chưa tới</v>
      </c>
    </row>
    <row r="989" customFormat="false" ht="15" hidden="false" customHeight="false" outlineLevel="0" collapsed="false">
      <c r="A989" s="31" t="n">
        <v>987</v>
      </c>
      <c r="B989" s="43" t="s">
        <v>12340</v>
      </c>
      <c r="C989" s="34" t="s">
        <v>12341</v>
      </c>
      <c r="D989" s="44" t="s">
        <v>10686</v>
      </c>
      <c r="E989" s="31"/>
      <c r="F989" s="31" t="s">
        <v>4506</v>
      </c>
      <c r="G989" s="31" t="n">
        <v>37</v>
      </c>
      <c r="H989" s="31" t="s">
        <v>3692</v>
      </c>
      <c r="I989" s="44" t="s">
        <v>4395</v>
      </c>
      <c r="J989" s="45" t="s">
        <v>4508</v>
      </c>
      <c r="K989" s="45" t="s">
        <v>4510</v>
      </c>
      <c r="L989" s="31" t="n">
        <f aca="false">COUNTIF($B$3:$B$2205,$B989)</f>
        <v>2</v>
      </c>
      <c r="M989" s="44" t="str">
        <f aca="false">IFERROR(INDEX(SENTENCES!$T$3:$T$1802,MATCH($F989,SENTENCES!$A$3:$A$1802,0)),"")</f>
        <v>• Chưa tới</v>
      </c>
    </row>
    <row r="990" customFormat="false" ht="15" hidden="false" customHeight="false" outlineLevel="0" collapsed="false">
      <c r="A990" s="31" t="n">
        <v>988</v>
      </c>
      <c r="B990" s="43" t="s">
        <v>12342</v>
      </c>
      <c r="C990" s="34" t="s">
        <v>12343</v>
      </c>
      <c r="D990" s="44" t="s">
        <v>10681</v>
      </c>
      <c r="E990" s="31"/>
      <c r="F990" s="31" t="s">
        <v>4506</v>
      </c>
      <c r="G990" s="31" t="n">
        <v>37</v>
      </c>
      <c r="H990" s="31" t="s">
        <v>3692</v>
      </c>
      <c r="I990" s="44" t="s">
        <v>4395</v>
      </c>
      <c r="J990" s="45" t="s">
        <v>4508</v>
      </c>
      <c r="K990" s="45" t="s">
        <v>4510</v>
      </c>
      <c r="L990" s="31" t="n">
        <f aca="false">COUNTIF($B$3:$B$2205,$B990)</f>
        <v>2</v>
      </c>
      <c r="M990" s="44" t="str">
        <f aca="false">IFERROR(INDEX(SENTENCES!$T$3:$T$1802,MATCH($F990,SENTENCES!$A$3:$A$1802,0)),"")</f>
        <v>• Chưa tới</v>
      </c>
    </row>
    <row r="991" customFormat="false" ht="15" hidden="false" customHeight="false" outlineLevel="0" collapsed="false">
      <c r="A991" s="31" t="n">
        <v>989</v>
      </c>
      <c r="B991" s="43" t="s">
        <v>11978</v>
      </c>
      <c r="C991" s="34" t="s">
        <v>12344</v>
      </c>
      <c r="D991" s="44" t="s">
        <v>10686</v>
      </c>
      <c r="E991" s="31"/>
      <c r="F991" s="31" t="s">
        <v>4512</v>
      </c>
      <c r="G991" s="31" t="n">
        <v>38</v>
      </c>
      <c r="H991" s="31" t="s">
        <v>3692</v>
      </c>
      <c r="I991" s="44" t="s">
        <v>4513</v>
      </c>
      <c r="J991" s="45" t="s">
        <v>4515</v>
      </c>
      <c r="K991" s="45" t="s">
        <v>4517</v>
      </c>
      <c r="L991" s="31" t="n">
        <f aca="false">COUNTIF($B$3:$B$2205,$B991)</f>
        <v>3</v>
      </c>
      <c r="M991" s="44" t="str">
        <f aca="false">IFERROR(INDEX(SENTENCES!$T$3:$T$1802,MATCH($F991,SENTENCES!$A$3:$A$1802,0)),"")</f>
        <v>• Chưa tới</v>
      </c>
    </row>
    <row r="992" customFormat="false" ht="15" hidden="false" customHeight="false" outlineLevel="0" collapsed="false">
      <c r="A992" s="31" t="n">
        <v>990</v>
      </c>
      <c r="B992" s="43" t="s">
        <v>10718</v>
      </c>
      <c r="C992" s="34" t="s">
        <v>12345</v>
      </c>
      <c r="D992" s="44" t="s">
        <v>10681</v>
      </c>
      <c r="E992" s="31"/>
      <c r="F992" s="31" t="s">
        <v>4519</v>
      </c>
      <c r="G992" s="31" t="n">
        <v>38</v>
      </c>
      <c r="H992" s="31" t="s">
        <v>3692</v>
      </c>
      <c r="I992" s="44" t="s">
        <v>4513</v>
      </c>
      <c r="J992" s="45" t="s">
        <v>4521</v>
      </c>
      <c r="K992" s="45" t="s">
        <v>4523</v>
      </c>
      <c r="L992" s="31" t="n">
        <f aca="false">COUNTIF($B$3:$B$2205,$B992)</f>
        <v>2</v>
      </c>
      <c r="M992" s="44" t="str">
        <f aca="false">IFERROR(INDEX(SENTENCES!$T$3:$T$1802,MATCH($F992,SENTENCES!$A$3:$A$1802,0)),"")</f>
        <v>• Chưa tới</v>
      </c>
    </row>
    <row r="993" customFormat="false" ht="15" hidden="false" customHeight="false" outlineLevel="0" collapsed="false">
      <c r="A993" s="31" t="n">
        <v>991</v>
      </c>
      <c r="B993" s="43" t="s">
        <v>12346</v>
      </c>
      <c r="C993" s="34" t="s">
        <v>12347</v>
      </c>
      <c r="D993" s="44" t="s">
        <v>10677</v>
      </c>
      <c r="E993" s="31" t="s">
        <v>10678</v>
      </c>
      <c r="F993" s="31" t="s">
        <v>4525</v>
      </c>
      <c r="G993" s="31" t="n">
        <v>38</v>
      </c>
      <c r="H993" s="31" t="s">
        <v>3692</v>
      </c>
      <c r="I993" s="44" t="s">
        <v>4513</v>
      </c>
      <c r="J993" s="45" t="s">
        <v>4527</v>
      </c>
      <c r="K993" s="45" t="s">
        <v>4529</v>
      </c>
      <c r="L993" s="31" t="n">
        <f aca="false">COUNTIF($B$3:$B$2205,$B993)</f>
        <v>1</v>
      </c>
      <c r="M993" s="44" t="str">
        <f aca="false">IFERROR(INDEX(SENTENCES!$T$3:$T$1802,MATCH($F993,SENTENCES!$A$3:$A$1802,0)),"")</f>
        <v>• Chưa tới</v>
      </c>
    </row>
    <row r="994" customFormat="false" ht="15" hidden="false" customHeight="false" outlineLevel="0" collapsed="false">
      <c r="A994" s="31" t="n">
        <v>992</v>
      </c>
      <c r="B994" s="43" t="s">
        <v>12348</v>
      </c>
      <c r="C994" s="34" t="s">
        <v>12349</v>
      </c>
      <c r="D994" s="44" t="s">
        <v>10681</v>
      </c>
      <c r="E994" s="31"/>
      <c r="F994" s="31" t="s">
        <v>4525</v>
      </c>
      <c r="G994" s="31" t="n">
        <v>38</v>
      </c>
      <c r="H994" s="31" t="s">
        <v>3692</v>
      </c>
      <c r="I994" s="44" t="s">
        <v>4513</v>
      </c>
      <c r="J994" s="45" t="s">
        <v>4527</v>
      </c>
      <c r="K994" s="45" t="s">
        <v>4529</v>
      </c>
      <c r="L994" s="31" t="n">
        <f aca="false">COUNTIF($B$3:$B$2205,$B994)</f>
        <v>1</v>
      </c>
      <c r="M994" s="44" t="str">
        <f aca="false">IFERROR(INDEX(SENTENCES!$T$3:$T$1802,MATCH($F994,SENTENCES!$A$3:$A$1802,0)),"")</f>
        <v>• Chưa tới</v>
      </c>
    </row>
    <row r="995" customFormat="false" ht="15" hidden="false" customHeight="false" outlineLevel="0" collapsed="false">
      <c r="A995" s="31" t="n">
        <v>993</v>
      </c>
      <c r="B995" s="43" t="s">
        <v>12350</v>
      </c>
      <c r="C995" s="34" t="s">
        <v>12351</v>
      </c>
      <c r="D995" s="44" t="s">
        <v>10686</v>
      </c>
      <c r="E995" s="31"/>
      <c r="F995" s="31" t="s">
        <v>4531</v>
      </c>
      <c r="G995" s="31" t="n">
        <v>38</v>
      </c>
      <c r="H995" s="31" t="s">
        <v>3692</v>
      </c>
      <c r="I995" s="44" t="s">
        <v>4513</v>
      </c>
      <c r="J995" s="45" t="s">
        <v>4533</v>
      </c>
      <c r="K995" s="45" t="s">
        <v>4535</v>
      </c>
      <c r="L995" s="31" t="n">
        <f aca="false">COUNTIF($B$3:$B$2205,$B995)</f>
        <v>2</v>
      </c>
      <c r="M995" s="44" t="str">
        <f aca="false">IFERROR(INDEX(SENTENCES!$T$3:$T$1802,MATCH($F995,SENTENCES!$A$3:$A$1802,0)),"")</f>
        <v>• Chưa tới</v>
      </c>
    </row>
    <row r="996" customFormat="false" ht="15" hidden="false" customHeight="false" outlineLevel="0" collapsed="false">
      <c r="A996" s="31" t="n">
        <v>994</v>
      </c>
      <c r="B996" s="43" t="s">
        <v>12352</v>
      </c>
      <c r="C996" s="34" t="s">
        <v>12353</v>
      </c>
      <c r="D996" s="44" t="s">
        <v>10681</v>
      </c>
      <c r="E996" s="31"/>
      <c r="F996" s="31" t="s">
        <v>4531</v>
      </c>
      <c r="G996" s="31" t="n">
        <v>38</v>
      </c>
      <c r="H996" s="31" t="s">
        <v>3692</v>
      </c>
      <c r="I996" s="44" t="s">
        <v>4513</v>
      </c>
      <c r="J996" s="45" t="s">
        <v>4533</v>
      </c>
      <c r="K996" s="45" t="s">
        <v>4535</v>
      </c>
      <c r="L996" s="31" t="n">
        <f aca="false">COUNTIF($B$3:$B$2205,$B996)</f>
        <v>1</v>
      </c>
      <c r="M996" s="44" t="str">
        <f aca="false">IFERROR(INDEX(SENTENCES!$T$3:$T$1802,MATCH($F996,SENTENCES!$A$3:$A$1802,0)),"")</f>
        <v>• Chưa tới</v>
      </c>
    </row>
    <row r="997" customFormat="false" ht="15" hidden="false" customHeight="false" outlineLevel="0" collapsed="false">
      <c r="A997" s="31" t="n">
        <v>995</v>
      </c>
      <c r="B997" s="43" t="s">
        <v>12354</v>
      </c>
      <c r="C997" s="34" t="s">
        <v>12355</v>
      </c>
      <c r="D997" s="44" t="s">
        <v>10686</v>
      </c>
      <c r="E997" s="31"/>
      <c r="F997" s="31" t="s">
        <v>4537</v>
      </c>
      <c r="G997" s="31" t="n">
        <v>38</v>
      </c>
      <c r="H997" s="31" t="s">
        <v>3692</v>
      </c>
      <c r="I997" s="44" t="s">
        <v>4513</v>
      </c>
      <c r="J997" s="45" t="s">
        <v>4539</v>
      </c>
      <c r="K997" s="45" t="s">
        <v>4541</v>
      </c>
      <c r="L997" s="31" t="n">
        <f aca="false">COUNTIF($B$3:$B$2205,$B997)</f>
        <v>1</v>
      </c>
      <c r="M997" s="44" t="str">
        <f aca="false">IFERROR(INDEX(SENTENCES!$T$3:$T$1802,MATCH($F997,SENTENCES!$A$3:$A$1802,0)),"")</f>
        <v>• Chưa tới</v>
      </c>
    </row>
    <row r="998" customFormat="false" ht="15" hidden="false" customHeight="false" outlineLevel="0" collapsed="false">
      <c r="A998" s="31" t="n">
        <v>996</v>
      </c>
      <c r="B998" s="43" t="s">
        <v>12356</v>
      </c>
      <c r="C998" s="34" t="s">
        <v>12357</v>
      </c>
      <c r="D998" s="44" t="s">
        <v>10681</v>
      </c>
      <c r="E998" s="31"/>
      <c r="F998" s="31" t="s">
        <v>4543</v>
      </c>
      <c r="G998" s="31" t="n">
        <v>38</v>
      </c>
      <c r="H998" s="31" t="s">
        <v>3692</v>
      </c>
      <c r="I998" s="44" t="s">
        <v>4513</v>
      </c>
      <c r="J998" s="45" t="s">
        <v>4545</v>
      </c>
      <c r="K998" s="45" t="s">
        <v>4547</v>
      </c>
      <c r="L998" s="31" t="n">
        <f aca="false">COUNTIF($B$3:$B$2205,$B998)</f>
        <v>1</v>
      </c>
      <c r="M998" s="44" t="str">
        <f aca="false">IFERROR(INDEX(SENTENCES!$T$3:$T$1802,MATCH($F998,SENTENCES!$A$3:$A$1802,0)),"")</f>
        <v>• Chưa tới</v>
      </c>
    </row>
    <row r="999" customFormat="false" ht="15" hidden="false" customHeight="false" outlineLevel="0" collapsed="false">
      <c r="A999" s="31" t="n">
        <v>997</v>
      </c>
      <c r="B999" s="43" t="s">
        <v>11067</v>
      </c>
      <c r="C999" s="34" t="s">
        <v>11749</v>
      </c>
      <c r="D999" s="44" t="s">
        <v>10686</v>
      </c>
      <c r="E999" s="31"/>
      <c r="F999" s="31" t="s">
        <v>4548</v>
      </c>
      <c r="G999" s="31" t="n">
        <v>38</v>
      </c>
      <c r="H999" s="31" t="s">
        <v>3692</v>
      </c>
      <c r="I999" s="44" t="s">
        <v>4513</v>
      </c>
      <c r="J999" s="45" t="s">
        <v>4550</v>
      </c>
      <c r="K999" s="45" t="s">
        <v>4552</v>
      </c>
      <c r="L999" s="31" t="n">
        <f aca="false">COUNTIF($B$3:$B$2205,$B999)</f>
        <v>4</v>
      </c>
      <c r="M999" s="44" t="str">
        <f aca="false">IFERROR(INDEX(SENTENCES!$T$3:$T$1802,MATCH($F999,SENTENCES!$A$3:$A$1802,0)),"")</f>
        <v>• Chưa tới</v>
      </c>
    </row>
    <row r="1000" customFormat="false" ht="15" hidden="false" customHeight="false" outlineLevel="0" collapsed="false">
      <c r="A1000" s="31" t="n">
        <v>998</v>
      </c>
      <c r="B1000" s="43" t="s">
        <v>12358</v>
      </c>
      <c r="C1000" s="34" t="s">
        <v>12359</v>
      </c>
      <c r="D1000" s="44" t="s">
        <v>10686</v>
      </c>
      <c r="E1000" s="31"/>
      <c r="F1000" s="31" t="s">
        <v>4554</v>
      </c>
      <c r="G1000" s="31" t="n">
        <v>38</v>
      </c>
      <c r="H1000" s="31" t="s">
        <v>3692</v>
      </c>
      <c r="I1000" s="44" t="s">
        <v>4513</v>
      </c>
      <c r="J1000" s="45" t="s">
        <v>4556</v>
      </c>
      <c r="K1000" s="45" t="s">
        <v>4558</v>
      </c>
      <c r="L1000" s="31" t="n">
        <f aca="false">COUNTIF($B$3:$B$2205,$B1000)</f>
        <v>2</v>
      </c>
      <c r="M1000" s="44" t="str">
        <f aca="false">IFERROR(INDEX(SENTENCES!$T$3:$T$1802,MATCH($F1000,SENTENCES!$A$3:$A$1802,0)),"")</f>
        <v>• Chưa tới</v>
      </c>
    </row>
    <row r="1001" customFormat="false" ht="15" hidden="false" customHeight="false" outlineLevel="0" collapsed="false">
      <c r="A1001" s="31" t="n">
        <v>999</v>
      </c>
      <c r="B1001" s="43" t="s">
        <v>12360</v>
      </c>
      <c r="C1001" s="34" t="s">
        <v>12361</v>
      </c>
      <c r="D1001" s="44" t="s">
        <v>10754</v>
      </c>
      <c r="E1001" s="31"/>
      <c r="F1001" s="31" t="s">
        <v>4560</v>
      </c>
      <c r="G1001" s="31" t="n">
        <v>38</v>
      </c>
      <c r="H1001" s="31" t="s">
        <v>3692</v>
      </c>
      <c r="I1001" s="44" t="s">
        <v>4513</v>
      </c>
      <c r="J1001" s="45" t="s">
        <v>4562</v>
      </c>
      <c r="K1001" s="45" t="s">
        <v>4564</v>
      </c>
      <c r="L1001" s="31" t="n">
        <f aca="false">COUNTIF($B$3:$B$2205,$B1001)</f>
        <v>1</v>
      </c>
      <c r="M1001" s="44" t="str">
        <f aca="false">IFERROR(INDEX(SENTENCES!$T$3:$T$1802,MATCH($F1001,SENTENCES!$A$3:$A$1802,0)),"")</f>
        <v>• Chưa tới</v>
      </c>
    </row>
    <row r="1002" customFormat="false" ht="15" hidden="false" customHeight="false" outlineLevel="0" collapsed="false">
      <c r="A1002" s="31" t="n">
        <v>1000</v>
      </c>
      <c r="B1002" s="43" t="s">
        <v>11350</v>
      </c>
      <c r="C1002" s="34" t="s">
        <v>12343</v>
      </c>
      <c r="D1002" s="44" t="s">
        <v>10681</v>
      </c>
      <c r="E1002" s="31"/>
      <c r="F1002" s="31" t="s">
        <v>4566</v>
      </c>
      <c r="G1002" s="31" t="n">
        <v>38</v>
      </c>
      <c r="H1002" s="31" t="s">
        <v>3692</v>
      </c>
      <c r="I1002" s="44" t="s">
        <v>4513</v>
      </c>
      <c r="J1002" s="45" t="s">
        <v>4568</v>
      </c>
      <c r="K1002" s="45" t="s">
        <v>4570</v>
      </c>
      <c r="L1002" s="31" t="n">
        <f aca="false">COUNTIF($B$3:$B$2205,$B1002)</f>
        <v>2</v>
      </c>
      <c r="M1002" s="44" t="str">
        <f aca="false">IFERROR(INDEX(SENTENCES!$T$3:$T$1802,MATCH($F1002,SENTENCES!$A$3:$A$1802,0)),"")</f>
        <v>• Chưa tới</v>
      </c>
    </row>
    <row r="1003" customFormat="false" ht="15" hidden="false" customHeight="false" outlineLevel="0" collapsed="false">
      <c r="A1003" s="31" t="n">
        <v>1001</v>
      </c>
      <c r="B1003" s="43" t="s">
        <v>12362</v>
      </c>
      <c r="C1003" s="34" t="s">
        <v>12363</v>
      </c>
      <c r="D1003" s="44" t="s">
        <v>10677</v>
      </c>
      <c r="E1003" s="31" t="s">
        <v>10678</v>
      </c>
      <c r="F1003" s="31" t="s">
        <v>4571</v>
      </c>
      <c r="G1003" s="31" t="n">
        <v>38</v>
      </c>
      <c r="H1003" s="31" t="s">
        <v>3692</v>
      </c>
      <c r="I1003" s="44" t="s">
        <v>4513</v>
      </c>
      <c r="J1003" s="45" t="s">
        <v>4573</v>
      </c>
      <c r="K1003" s="45" t="s">
        <v>4575</v>
      </c>
      <c r="L1003" s="31" t="n">
        <f aca="false">COUNTIF($B$3:$B$2205,$B1003)</f>
        <v>3</v>
      </c>
      <c r="M1003" s="44" t="str">
        <f aca="false">IFERROR(INDEX(SENTENCES!$T$3:$T$1802,MATCH($F1003,SENTENCES!$A$3:$A$1802,0)),"")</f>
        <v>• Chưa tới</v>
      </c>
    </row>
    <row r="1004" customFormat="false" ht="15" hidden="false" customHeight="false" outlineLevel="0" collapsed="false">
      <c r="A1004" s="31" t="n">
        <v>1002</v>
      </c>
      <c r="B1004" s="43" t="s">
        <v>12067</v>
      </c>
      <c r="C1004" s="34" t="s">
        <v>12364</v>
      </c>
      <c r="D1004" s="44" t="s">
        <v>10754</v>
      </c>
      <c r="E1004" s="31"/>
      <c r="F1004" s="31" t="s">
        <v>4577</v>
      </c>
      <c r="G1004" s="31" t="n">
        <v>38</v>
      </c>
      <c r="H1004" s="31" t="s">
        <v>3692</v>
      </c>
      <c r="I1004" s="44" t="s">
        <v>4513</v>
      </c>
      <c r="J1004" s="45" t="s">
        <v>4579</v>
      </c>
      <c r="K1004" s="45" t="s">
        <v>4581</v>
      </c>
      <c r="L1004" s="31" t="n">
        <f aca="false">COUNTIF($B$3:$B$2205,$B1004)</f>
        <v>2</v>
      </c>
      <c r="M1004" s="44" t="str">
        <f aca="false">IFERROR(INDEX(SENTENCES!$T$3:$T$1802,MATCH($F1004,SENTENCES!$A$3:$A$1802,0)),"")</f>
        <v>• Chưa tới</v>
      </c>
    </row>
    <row r="1005" customFormat="false" ht="15" hidden="false" customHeight="false" outlineLevel="0" collapsed="false">
      <c r="A1005" s="31" t="n">
        <v>1003</v>
      </c>
      <c r="B1005" s="43" t="s">
        <v>12365</v>
      </c>
      <c r="C1005" s="34" t="s">
        <v>12366</v>
      </c>
      <c r="D1005" s="44" t="s">
        <v>10754</v>
      </c>
      <c r="E1005" s="31"/>
      <c r="F1005" s="31" t="s">
        <v>4583</v>
      </c>
      <c r="G1005" s="31" t="n">
        <v>38</v>
      </c>
      <c r="H1005" s="31" t="s">
        <v>3692</v>
      </c>
      <c r="I1005" s="44" t="s">
        <v>4513</v>
      </c>
      <c r="J1005" s="45" t="s">
        <v>4585</v>
      </c>
      <c r="K1005" s="45" t="s">
        <v>4587</v>
      </c>
      <c r="L1005" s="31" t="n">
        <f aca="false">COUNTIF($B$3:$B$2205,$B1005)</f>
        <v>1</v>
      </c>
      <c r="M1005" s="44" t="str">
        <f aca="false">IFERROR(INDEX(SENTENCES!$T$3:$T$1802,MATCH($F1005,SENTENCES!$A$3:$A$1802,0)),"")</f>
        <v>• Chưa tới</v>
      </c>
    </row>
    <row r="1006" customFormat="false" ht="15" hidden="false" customHeight="false" outlineLevel="0" collapsed="false">
      <c r="A1006" s="31" t="n">
        <v>1004</v>
      </c>
      <c r="B1006" s="43" t="s">
        <v>10703</v>
      </c>
      <c r="C1006" s="34" t="s">
        <v>12367</v>
      </c>
      <c r="D1006" s="44" t="s">
        <v>10686</v>
      </c>
      <c r="E1006" s="31"/>
      <c r="F1006" s="31" t="s">
        <v>4589</v>
      </c>
      <c r="G1006" s="31" t="n">
        <v>38</v>
      </c>
      <c r="H1006" s="31" t="s">
        <v>3692</v>
      </c>
      <c r="I1006" s="44" t="s">
        <v>4513</v>
      </c>
      <c r="J1006" s="45" t="s">
        <v>4591</v>
      </c>
      <c r="K1006" s="45" t="s">
        <v>4593</v>
      </c>
      <c r="L1006" s="31" t="n">
        <f aca="false">COUNTIF($B$3:$B$2205,$B1006)</f>
        <v>2</v>
      </c>
      <c r="M1006" s="44" t="str">
        <f aca="false">IFERROR(INDEX(SENTENCES!$T$3:$T$1802,MATCH($F1006,SENTENCES!$A$3:$A$1802,0)),"")</f>
        <v>• Chưa tới</v>
      </c>
    </row>
    <row r="1007" customFormat="false" ht="15" hidden="false" customHeight="false" outlineLevel="0" collapsed="false">
      <c r="A1007" s="31" t="n">
        <v>1005</v>
      </c>
      <c r="B1007" s="43" t="s">
        <v>6117</v>
      </c>
      <c r="C1007" s="34" t="s">
        <v>11621</v>
      </c>
      <c r="D1007" s="44" t="s">
        <v>10686</v>
      </c>
      <c r="E1007" s="31"/>
      <c r="F1007" s="31" t="s">
        <v>4595</v>
      </c>
      <c r="G1007" s="31" t="n">
        <v>38</v>
      </c>
      <c r="H1007" s="31" t="s">
        <v>3692</v>
      </c>
      <c r="I1007" s="44" t="s">
        <v>4513</v>
      </c>
      <c r="J1007" s="45" t="s">
        <v>4597</v>
      </c>
      <c r="K1007" s="45" t="s">
        <v>4599</v>
      </c>
      <c r="L1007" s="31" t="n">
        <f aca="false">COUNTIF($B$3:$B$2205,$B1007)</f>
        <v>2</v>
      </c>
      <c r="M1007" s="44" t="str">
        <f aca="false">IFERROR(INDEX(SENTENCES!$T$3:$T$1802,MATCH($F1007,SENTENCES!$A$3:$A$1802,0)),"")</f>
        <v>• Chưa tới</v>
      </c>
    </row>
    <row r="1008" customFormat="false" ht="15" hidden="false" customHeight="false" outlineLevel="0" collapsed="false">
      <c r="A1008" s="31" t="n">
        <v>1006</v>
      </c>
      <c r="B1008" s="43" t="s">
        <v>12368</v>
      </c>
      <c r="C1008" s="34" t="s">
        <v>12369</v>
      </c>
      <c r="D1008" s="44" t="s">
        <v>10681</v>
      </c>
      <c r="E1008" s="31"/>
      <c r="F1008" s="31" t="s">
        <v>4601</v>
      </c>
      <c r="G1008" s="31" t="n">
        <v>38</v>
      </c>
      <c r="H1008" s="31" t="s">
        <v>3692</v>
      </c>
      <c r="I1008" s="44" t="s">
        <v>4513</v>
      </c>
      <c r="J1008" s="45" t="s">
        <v>4603</v>
      </c>
      <c r="K1008" s="45" t="s">
        <v>4605</v>
      </c>
      <c r="L1008" s="31" t="n">
        <f aca="false">COUNTIF($B$3:$B$2205,$B1008)</f>
        <v>2</v>
      </c>
      <c r="M1008" s="44" t="str">
        <f aca="false">IFERROR(INDEX(SENTENCES!$T$3:$T$1802,MATCH($F1008,SENTENCES!$A$3:$A$1802,0)),"")</f>
        <v>• Chưa tới</v>
      </c>
    </row>
    <row r="1009" customFormat="false" ht="15" hidden="false" customHeight="false" outlineLevel="0" collapsed="false">
      <c r="A1009" s="31" t="n">
        <v>1007</v>
      </c>
      <c r="B1009" s="43" t="s">
        <v>12370</v>
      </c>
      <c r="C1009" s="34" t="s">
        <v>12371</v>
      </c>
      <c r="D1009" s="44" t="s">
        <v>10686</v>
      </c>
      <c r="E1009" s="31"/>
      <c r="F1009" s="31" t="s">
        <v>4607</v>
      </c>
      <c r="G1009" s="31" t="n">
        <v>38</v>
      </c>
      <c r="H1009" s="31" t="s">
        <v>3692</v>
      </c>
      <c r="I1009" s="44" t="s">
        <v>4513</v>
      </c>
      <c r="J1009" s="45" t="s">
        <v>4609</v>
      </c>
      <c r="K1009" s="45" t="s">
        <v>4611</v>
      </c>
      <c r="L1009" s="31" t="n">
        <f aca="false">COUNTIF($B$3:$B$2205,$B1009)</f>
        <v>1</v>
      </c>
      <c r="M1009" s="44" t="str">
        <f aca="false">IFERROR(INDEX(SENTENCES!$T$3:$T$1802,MATCH($F1009,SENTENCES!$A$3:$A$1802,0)),"")</f>
        <v>• Chưa tới</v>
      </c>
    </row>
    <row r="1010" customFormat="false" ht="15" hidden="false" customHeight="false" outlineLevel="0" collapsed="false">
      <c r="A1010" s="31" t="n">
        <v>1008</v>
      </c>
      <c r="B1010" s="43" t="s">
        <v>12372</v>
      </c>
      <c r="C1010" s="34" t="s">
        <v>12373</v>
      </c>
      <c r="D1010" s="44" t="s">
        <v>10681</v>
      </c>
      <c r="E1010" s="31"/>
      <c r="F1010" s="31" t="s">
        <v>4613</v>
      </c>
      <c r="G1010" s="31" t="n">
        <v>38</v>
      </c>
      <c r="H1010" s="31" t="s">
        <v>3692</v>
      </c>
      <c r="I1010" s="44" t="s">
        <v>4513</v>
      </c>
      <c r="J1010" s="45" t="s">
        <v>4615</v>
      </c>
      <c r="K1010" s="45" t="s">
        <v>4617</v>
      </c>
      <c r="L1010" s="31" t="n">
        <f aca="false">COUNTIF($B$3:$B$2205,$B1010)</f>
        <v>1</v>
      </c>
      <c r="M1010" s="44" t="str">
        <f aca="false">IFERROR(INDEX(SENTENCES!$T$3:$T$1802,MATCH($F1010,SENTENCES!$A$3:$A$1802,0)),"")</f>
        <v>• Chưa tới</v>
      </c>
    </row>
    <row r="1011" customFormat="false" ht="15" hidden="false" customHeight="false" outlineLevel="0" collapsed="false">
      <c r="A1011" s="31" t="n">
        <v>1009</v>
      </c>
      <c r="B1011" s="43" t="s">
        <v>12374</v>
      </c>
      <c r="C1011" s="34" t="s">
        <v>12375</v>
      </c>
      <c r="D1011" s="44" t="s">
        <v>10677</v>
      </c>
      <c r="E1011" s="31" t="s">
        <v>10707</v>
      </c>
      <c r="F1011" s="31" t="s">
        <v>4619</v>
      </c>
      <c r="G1011" s="31" t="n">
        <v>38</v>
      </c>
      <c r="H1011" s="31" t="s">
        <v>3692</v>
      </c>
      <c r="I1011" s="44" t="s">
        <v>4513</v>
      </c>
      <c r="J1011" s="45" t="s">
        <v>4621</v>
      </c>
      <c r="K1011" s="45" t="s">
        <v>4623</v>
      </c>
      <c r="L1011" s="31" t="n">
        <f aca="false">COUNTIF($B$3:$B$2205,$B1011)</f>
        <v>3</v>
      </c>
      <c r="M1011" s="44" t="str">
        <f aca="false">IFERROR(INDEX(SENTENCES!$T$3:$T$1802,MATCH($F1011,SENTENCES!$A$3:$A$1802,0)),"")</f>
        <v>• Chưa tới</v>
      </c>
    </row>
    <row r="1012" customFormat="false" ht="15" hidden="false" customHeight="false" outlineLevel="0" collapsed="false">
      <c r="A1012" s="31" t="n">
        <v>1010</v>
      </c>
      <c r="B1012" s="43" t="s">
        <v>12376</v>
      </c>
      <c r="C1012" s="34" t="s">
        <v>12377</v>
      </c>
      <c r="D1012" s="44" t="s">
        <v>10681</v>
      </c>
      <c r="E1012" s="31"/>
      <c r="F1012" s="31" t="s">
        <v>4625</v>
      </c>
      <c r="G1012" s="31" t="n">
        <v>38</v>
      </c>
      <c r="H1012" s="31" t="s">
        <v>3692</v>
      </c>
      <c r="I1012" s="44" t="s">
        <v>4513</v>
      </c>
      <c r="J1012" s="45" t="s">
        <v>4627</v>
      </c>
      <c r="K1012" s="45" t="s">
        <v>4629</v>
      </c>
      <c r="L1012" s="31" t="n">
        <f aca="false">COUNTIF($B$3:$B$2205,$B1012)</f>
        <v>2</v>
      </c>
      <c r="M1012" s="44" t="str">
        <f aca="false">IFERROR(INDEX(SENTENCES!$T$3:$T$1802,MATCH($F1012,SENTENCES!$A$3:$A$1802,0)),"")</f>
        <v>• Chưa tới</v>
      </c>
    </row>
    <row r="1013" customFormat="false" ht="15" hidden="false" customHeight="false" outlineLevel="0" collapsed="false">
      <c r="A1013" s="31" t="n">
        <v>1011</v>
      </c>
      <c r="B1013" s="43" t="s">
        <v>12378</v>
      </c>
      <c r="C1013" s="34" t="s">
        <v>12379</v>
      </c>
      <c r="D1013" s="44" t="s">
        <v>10754</v>
      </c>
      <c r="E1013" s="31"/>
      <c r="F1013" s="31" t="s">
        <v>4625</v>
      </c>
      <c r="G1013" s="31" t="n">
        <v>38</v>
      </c>
      <c r="H1013" s="31" t="s">
        <v>3692</v>
      </c>
      <c r="I1013" s="44" t="s">
        <v>4513</v>
      </c>
      <c r="J1013" s="45" t="s">
        <v>4627</v>
      </c>
      <c r="K1013" s="45" t="s">
        <v>4629</v>
      </c>
      <c r="L1013" s="31" t="n">
        <f aca="false">COUNTIF($B$3:$B$2205,$B1013)</f>
        <v>1</v>
      </c>
      <c r="M1013" s="44" t="str">
        <f aca="false">IFERROR(INDEX(SENTENCES!$T$3:$T$1802,MATCH($F1013,SENTENCES!$A$3:$A$1802,0)),"")</f>
        <v>• Chưa tới</v>
      </c>
    </row>
    <row r="1014" customFormat="false" ht="15" hidden="false" customHeight="false" outlineLevel="0" collapsed="false">
      <c r="A1014" s="31" t="n">
        <v>1012</v>
      </c>
      <c r="B1014" s="43" t="s">
        <v>12222</v>
      </c>
      <c r="C1014" s="34" t="s">
        <v>12223</v>
      </c>
      <c r="D1014" s="44" t="s">
        <v>10686</v>
      </c>
      <c r="E1014" s="31"/>
      <c r="F1014" s="31" t="s">
        <v>4631</v>
      </c>
      <c r="G1014" s="31" t="n">
        <v>39</v>
      </c>
      <c r="H1014" s="31" t="s">
        <v>3692</v>
      </c>
      <c r="I1014" s="44" t="s">
        <v>4632</v>
      </c>
      <c r="J1014" s="45" t="s">
        <v>4634</v>
      </c>
      <c r="K1014" s="45" t="s">
        <v>4636</v>
      </c>
      <c r="L1014" s="31" t="n">
        <f aca="false">COUNTIF($B$3:$B$2205,$B1014)</f>
        <v>2</v>
      </c>
      <c r="M1014" s="44" t="str">
        <f aca="false">IFERROR(INDEX(SENTENCES!$T$3:$T$1802,MATCH($F1014,SENTENCES!$A$3:$A$1802,0)),"")</f>
        <v>• Chưa tới</v>
      </c>
    </row>
    <row r="1015" customFormat="false" ht="15" hidden="false" customHeight="false" outlineLevel="0" collapsed="false">
      <c r="A1015" s="31" t="n">
        <v>1013</v>
      </c>
      <c r="B1015" s="43" t="s">
        <v>10791</v>
      </c>
      <c r="C1015" s="34" t="s">
        <v>10792</v>
      </c>
      <c r="D1015" s="44" t="s">
        <v>10686</v>
      </c>
      <c r="E1015" s="31"/>
      <c r="F1015" s="31" t="s">
        <v>4637</v>
      </c>
      <c r="G1015" s="31" t="n">
        <v>39</v>
      </c>
      <c r="H1015" s="31" t="s">
        <v>3692</v>
      </c>
      <c r="I1015" s="44" t="s">
        <v>4632</v>
      </c>
      <c r="J1015" s="45" t="s">
        <v>4639</v>
      </c>
      <c r="K1015" s="45" t="s">
        <v>4641</v>
      </c>
      <c r="L1015" s="31" t="n">
        <f aca="false">COUNTIF($B$3:$B$2205,$B1015)</f>
        <v>3</v>
      </c>
      <c r="M1015" s="44" t="str">
        <f aca="false">IFERROR(INDEX(SENTENCES!$T$3:$T$1802,MATCH($F1015,SENTENCES!$A$3:$A$1802,0)),"")</f>
        <v>• Chưa tới</v>
      </c>
    </row>
    <row r="1016" customFormat="false" ht="15" hidden="false" customHeight="false" outlineLevel="0" collapsed="false">
      <c r="A1016" s="31" t="n">
        <v>1014</v>
      </c>
      <c r="B1016" s="43" t="s">
        <v>11695</v>
      </c>
      <c r="C1016" s="34" t="s">
        <v>11696</v>
      </c>
      <c r="D1016" s="44" t="s">
        <v>10686</v>
      </c>
      <c r="E1016" s="31"/>
      <c r="F1016" s="31" t="s">
        <v>4643</v>
      </c>
      <c r="G1016" s="31" t="n">
        <v>39</v>
      </c>
      <c r="H1016" s="31" t="s">
        <v>3692</v>
      </c>
      <c r="I1016" s="44" t="s">
        <v>4632</v>
      </c>
      <c r="J1016" s="45" t="s">
        <v>4645</v>
      </c>
      <c r="K1016" s="45" t="s">
        <v>4647</v>
      </c>
      <c r="L1016" s="31" t="n">
        <f aca="false">COUNTIF($B$3:$B$2205,$B1016)</f>
        <v>2</v>
      </c>
      <c r="M1016" s="44" t="str">
        <f aca="false">IFERROR(INDEX(SENTENCES!$T$3:$T$1802,MATCH($F1016,SENTENCES!$A$3:$A$1802,0)),"")</f>
        <v>• Chưa tới</v>
      </c>
    </row>
    <row r="1017" customFormat="false" ht="15" hidden="false" customHeight="false" outlineLevel="0" collapsed="false">
      <c r="A1017" s="31" t="n">
        <v>1015</v>
      </c>
      <c r="B1017" s="43" t="s">
        <v>12380</v>
      </c>
      <c r="C1017" s="34" t="s">
        <v>11425</v>
      </c>
      <c r="D1017" s="44" t="s">
        <v>10686</v>
      </c>
      <c r="E1017" s="31"/>
      <c r="F1017" s="31" t="s">
        <v>4648</v>
      </c>
      <c r="G1017" s="31" t="n">
        <v>39</v>
      </c>
      <c r="H1017" s="31" t="s">
        <v>3692</v>
      </c>
      <c r="I1017" s="44" t="s">
        <v>4632</v>
      </c>
      <c r="J1017" s="45" t="s">
        <v>4650</v>
      </c>
      <c r="K1017" s="45" t="s">
        <v>4652</v>
      </c>
      <c r="L1017" s="31" t="n">
        <f aca="false">COUNTIF($B$3:$B$2205,$B1017)</f>
        <v>1</v>
      </c>
      <c r="M1017" s="44" t="str">
        <f aca="false">IFERROR(INDEX(SENTENCES!$T$3:$T$1802,MATCH($F1017,SENTENCES!$A$3:$A$1802,0)),"")</f>
        <v>• Chưa tới</v>
      </c>
    </row>
    <row r="1018" customFormat="false" ht="15" hidden="false" customHeight="false" outlineLevel="0" collapsed="false">
      <c r="A1018" s="31" t="n">
        <v>1016</v>
      </c>
      <c r="B1018" s="43" t="s">
        <v>11875</v>
      </c>
      <c r="C1018" s="34" t="s">
        <v>11876</v>
      </c>
      <c r="D1018" s="44" t="s">
        <v>10686</v>
      </c>
      <c r="E1018" s="31"/>
      <c r="F1018" s="31" t="s">
        <v>4654</v>
      </c>
      <c r="G1018" s="31" t="n">
        <v>39</v>
      </c>
      <c r="H1018" s="31" t="s">
        <v>3692</v>
      </c>
      <c r="I1018" s="44" t="s">
        <v>4632</v>
      </c>
      <c r="J1018" s="45" t="s">
        <v>4656</v>
      </c>
      <c r="K1018" s="45" t="s">
        <v>4658</v>
      </c>
      <c r="L1018" s="31" t="n">
        <f aca="false">COUNTIF($B$3:$B$2205,$B1018)</f>
        <v>2</v>
      </c>
      <c r="M1018" s="44" t="str">
        <f aca="false">IFERROR(INDEX(SENTENCES!$T$3:$T$1802,MATCH($F1018,SENTENCES!$A$3:$A$1802,0)),"")</f>
        <v>• Chưa tới</v>
      </c>
    </row>
    <row r="1019" customFormat="false" ht="15" hidden="false" customHeight="false" outlineLevel="0" collapsed="false">
      <c r="A1019" s="31" t="n">
        <v>1017</v>
      </c>
      <c r="B1019" s="43" t="s">
        <v>12381</v>
      </c>
      <c r="C1019" s="34" t="s">
        <v>12382</v>
      </c>
      <c r="D1019" s="44" t="s">
        <v>10686</v>
      </c>
      <c r="E1019" s="31"/>
      <c r="F1019" s="31" t="s">
        <v>4660</v>
      </c>
      <c r="G1019" s="31" t="n">
        <v>39</v>
      </c>
      <c r="H1019" s="31" t="s">
        <v>3692</v>
      </c>
      <c r="I1019" s="44" t="s">
        <v>4632</v>
      </c>
      <c r="J1019" s="45" t="s">
        <v>4662</v>
      </c>
      <c r="K1019" s="45" t="s">
        <v>4664</v>
      </c>
      <c r="L1019" s="31" t="n">
        <f aca="false">COUNTIF($B$3:$B$2205,$B1019)</f>
        <v>1</v>
      </c>
      <c r="M1019" s="44" t="str">
        <f aca="false">IFERROR(INDEX(SENTENCES!$T$3:$T$1802,MATCH($F1019,SENTENCES!$A$3:$A$1802,0)),"")</f>
        <v>• Chưa tới</v>
      </c>
    </row>
    <row r="1020" customFormat="false" ht="15" hidden="false" customHeight="false" outlineLevel="0" collapsed="false">
      <c r="A1020" s="31" t="n">
        <v>1018</v>
      </c>
      <c r="B1020" s="43" t="s">
        <v>12383</v>
      </c>
      <c r="C1020" s="34" t="s">
        <v>12384</v>
      </c>
      <c r="D1020" s="44" t="s">
        <v>10794</v>
      </c>
      <c r="E1020" s="31"/>
      <c r="F1020" s="31" t="s">
        <v>4666</v>
      </c>
      <c r="G1020" s="31" t="n">
        <v>39</v>
      </c>
      <c r="H1020" s="31" t="s">
        <v>3692</v>
      </c>
      <c r="I1020" s="44" t="s">
        <v>4632</v>
      </c>
      <c r="J1020" s="45" t="s">
        <v>4667</v>
      </c>
      <c r="K1020" s="45" t="s">
        <v>4669</v>
      </c>
      <c r="L1020" s="31" t="n">
        <f aca="false">COUNTIF($B$3:$B$2205,$B1020)</f>
        <v>2</v>
      </c>
      <c r="M1020" s="44" t="str">
        <f aca="false">IFERROR(INDEX(SENTENCES!$T$3:$T$1802,MATCH($F1020,SENTENCES!$A$3:$A$1802,0)),"")</f>
        <v>• Chưa tới</v>
      </c>
    </row>
    <row r="1021" customFormat="false" ht="15" hidden="false" customHeight="false" outlineLevel="0" collapsed="false">
      <c r="A1021" s="31" t="n">
        <v>1019</v>
      </c>
      <c r="B1021" s="43" t="s">
        <v>12385</v>
      </c>
      <c r="C1021" s="34" t="s">
        <v>12386</v>
      </c>
      <c r="D1021" s="44" t="s">
        <v>10686</v>
      </c>
      <c r="E1021" s="31"/>
      <c r="F1021" s="31" t="s">
        <v>4671</v>
      </c>
      <c r="G1021" s="31" t="n">
        <v>39</v>
      </c>
      <c r="H1021" s="31" t="s">
        <v>3692</v>
      </c>
      <c r="I1021" s="44" t="s">
        <v>4632</v>
      </c>
      <c r="J1021" s="45" t="s">
        <v>4673</v>
      </c>
      <c r="K1021" s="45" t="s">
        <v>4675</v>
      </c>
      <c r="L1021" s="31" t="n">
        <f aca="false">COUNTIF($B$3:$B$2205,$B1021)</f>
        <v>1</v>
      </c>
      <c r="M1021" s="44" t="str">
        <f aca="false">IFERROR(INDEX(SENTENCES!$T$3:$T$1802,MATCH($F1021,SENTENCES!$A$3:$A$1802,0)),"")</f>
        <v>• Chưa tới</v>
      </c>
    </row>
    <row r="1022" customFormat="false" ht="15" hidden="false" customHeight="false" outlineLevel="0" collapsed="false">
      <c r="A1022" s="31" t="n">
        <v>1020</v>
      </c>
      <c r="B1022" s="43" t="s">
        <v>12387</v>
      </c>
      <c r="C1022" s="34" t="s">
        <v>12388</v>
      </c>
      <c r="D1022" s="44" t="s">
        <v>10686</v>
      </c>
      <c r="E1022" s="31"/>
      <c r="F1022" s="31" t="s">
        <v>4677</v>
      </c>
      <c r="G1022" s="31" t="n">
        <v>39</v>
      </c>
      <c r="H1022" s="31" t="s">
        <v>3692</v>
      </c>
      <c r="I1022" s="44" t="s">
        <v>4632</v>
      </c>
      <c r="J1022" s="45" t="s">
        <v>4679</v>
      </c>
      <c r="K1022" s="45" t="s">
        <v>4681</v>
      </c>
      <c r="L1022" s="31" t="n">
        <f aca="false">COUNTIF($B$3:$B$2205,$B1022)</f>
        <v>3</v>
      </c>
      <c r="M1022" s="44" t="str">
        <f aca="false">IFERROR(INDEX(SENTENCES!$T$3:$T$1802,MATCH($F1022,SENTENCES!$A$3:$A$1802,0)),"")</f>
        <v>• Chưa tới</v>
      </c>
    </row>
    <row r="1023" customFormat="false" ht="15" hidden="false" customHeight="false" outlineLevel="0" collapsed="false">
      <c r="A1023" s="31" t="n">
        <v>1021</v>
      </c>
      <c r="B1023" s="43" t="s">
        <v>12389</v>
      </c>
      <c r="C1023" s="34" t="s">
        <v>12390</v>
      </c>
      <c r="D1023" s="44" t="s">
        <v>10677</v>
      </c>
      <c r="E1023" s="31" t="s">
        <v>10747</v>
      </c>
      <c r="F1023" s="31" t="s">
        <v>4677</v>
      </c>
      <c r="G1023" s="31" t="n">
        <v>39</v>
      </c>
      <c r="H1023" s="31" t="s">
        <v>3692</v>
      </c>
      <c r="I1023" s="44" t="s">
        <v>4632</v>
      </c>
      <c r="J1023" s="45" t="s">
        <v>4679</v>
      </c>
      <c r="K1023" s="45" t="s">
        <v>4681</v>
      </c>
      <c r="L1023" s="31" t="n">
        <f aca="false">COUNTIF($B$3:$B$2205,$B1023)</f>
        <v>1</v>
      </c>
      <c r="M1023" s="44" t="str">
        <f aca="false">IFERROR(INDEX(SENTENCES!$T$3:$T$1802,MATCH($F1023,SENTENCES!$A$3:$A$1802,0)),"")</f>
        <v>• Chưa tới</v>
      </c>
    </row>
    <row r="1024" customFormat="false" ht="15" hidden="false" customHeight="false" outlineLevel="0" collapsed="false">
      <c r="A1024" s="31" t="n">
        <v>1022</v>
      </c>
      <c r="B1024" s="43" t="s">
        <v>11568</v>
      </c>
      <c r="C1024" s="34" t="s">
        <v>11569</v>
      </c>
      <c r="D1024" s="44" t="s">
        <v>10686</v>
      </c>
      <c r="E1024" s="31"/>
      <c r="F1024" s="31" t="s">
        <v>4683</v>
      </c>
      <c r="G1024" s="31" t="n">
        <v>39</v>
      </c>
      <c r="H1024" s="31" t="s">
        <v>3692</v>
      </c>
      <c r="I1024" s="44" t="s">
        <v>4632</v>
      </c>
      <c r="J1024" s="45" t="s">
        <v>4685</v>
      </c>
      <c r="K1024" s="45" t="s">
        <v>4687</v>
      </c>
      <c r="L1024" s="31" t="n">
        <f aca="false">COUNTIF($B$3:$B$2205,$B1024)</f>
        <v>2</v>
      </c>
      <c r="M1024" s="44" t="str">
        <f aca="false">IFERROR(INDEX(SENTENCES!$T$3:$T$1802,MATCH($F1024,SENTENCES!$A$3:$A$1802,0)),"")</f>
        <v>• Chưa tới</v>
      </c>
    </row>
    <row r="1025" customFormat="false" ht="15" hidden="false" customHeight="false" outlineLevel="0" collapsed="false">
      <c r="A1025" s="31" t="n">
        <v>1023</v>
      </c>
      <c r="B1025" s="43" t="s">
        <v>12391</v>
      </c>
      <c r="C1025" s="34" t="s">
        <v>12392</v>
      </c>
      <c r="D1025" s="44" t="s">
        <v>10677</v>
      </c>
      <c r="E1025" s="31" t="s">
        <v>10707</v>
      </c>
      <c r="F1025" s="31" t="s">
        <v>4689</v>
      </c>
      <c r="G1025" s="31" t="n">
        <v>39</v>
      </c>
      <c r="H1025" s="31" t="s">
        <v>3692</v>
      </c>
      <c r="I1025" s="44" t="s">
        <v>4632</v>
      </c>
      <c r="J1025" s="45" t="s">
        <v>4691</v>
      </c>
      <c r="K1025" s="45" t="s">
        <v>4693</v>
      </c>
      <c r="L1025" s="31" t="n">
        <f aca="false">COUNTIF($B$3:$B$2205,$B1025)</f>
        <v>1</v>
      </c>
      <c r="M1025" s="44" t="str">
        <f aca="false">IFERROR(INDEX(SENTENCES!$T$3:$T$1802,MATCH($F1025,SENTENCES!$A$3:$A$1802,0)),"")</f>
        <v>• Chưa tới</v>
      </c>
    </row>
    <row r="1026" customFormat="false" ht="15" hidden="false" customHeight="false" outlineLevel="0" collapsed="false">
      <c r="A1026" s="31" t="n">
        <v>1024</v>
      </c>
      <c r="B1026" s="43" t="s">
        <v>12393</v>
      </c>
      <c r="C1026" s="34" t="s">
        <v>12394</v>
      </c>
      <c r="D1026" s="44" t="s">
        <v>10677</v>
      </c>
      <c r="E1026" s="31" t="s">
        <v>10747</v>
      </c>
      <c r="F1026" s="31" t="s">
        <v>4695</v>
      </c>
      <c r="G1026" s="31" t="n">
        <v>39</v>
      </c>
      <c r="H1026" s="31" t="s">
        <v>3692</v>
      </c>
      <c r="I1026" s="44" t="s">
        <v>4632</v>
      </c>
      <c r="J1026" s="45" t="s">
        <v>4697</v>
      </c>
      <c r="K1026" s="45" t="s">
        <v>4699</v>
      </c>
      <c r="L1026" s="31" t="n">
        <f aca="false">COUNTIF($B$3:$B$2205,$B1026)</f>
        <v>1</v>
      </c>
      <c r="M1026" s="44" t="str">
        <f aca="false">IFERROR(INDEX(SENTENCES!$T$3:$T$1802,MATCH($F1026,SENTENCES!$A$3:$A$1802,0)),"")</f>
        <v>• Chưa tới</v>
      </c>
    </row>
    <row r="1027" customFormat="false" ht="15" hidden="false" customHeight="false" outlineLevel="0" collapsed="false">
      <c r="A1027" s="31" t="n">
        <v>1025</v>
      </c>
      <c r="B1027" s="43" t="s">
        <v>12395</v>
      </c>
      <c r="C1027" s="34" t="s">
        <v>12396</v>
      </c>
      <c r="D1027" s="44" t="s">
        <v>10686</v>
      </c>
      <c r="E1027" s="31"/>
      <c r="F1027" s="31" t="s">
        <v>4695</v>
      </c>
      <c r="G1027" s="31" t="n">
        <v>39</v>
      </c>
      <c r="H1027" s="31" t="s">
        <v>3692</v>
      </c>
      <c r="I1027" s="44" t="s">
        <v>4632</v>
      </c>
      <c r="J1027" s="45" t="s">
        <v>4697</v>
      </c>
      <c r="K1027" s="45" t="s">
        <v>4699</v>
      </c>
      <c r="L1027" s="31" t="n">
        <f aca="false">COUNTIF($B$3:$B$2205,$B1027)</f>
        <v>1</v>
      </c>
      <c r="M1027" s="44" t="str">
        <f aca="false">IFERROR(INDEX(SENTENCES!$T$3:$T$1802,MATCH($F1027,SENTENCES!$A$3:$A$1802,0)),"")</f>
        <v>• Chưa tới</v>
      </c>
    </row>
    <row r="1028" customFormat="false" ht="15" hidden="false" customHeight="false" outlineLevel="0" collapsed="false">
      <c r="A1028" s="31" t="n">
        <v>1026</v>
      </c>
      <c r="B1028" s="43" t="s">
        <v>12397</v>
      </c>
      <c r="C1028" s="34" t="s">
        <v>12398</v>
      </c>
      <c r="D1028" s="44" t="s">
        <v>10794</v>
      </c>
      <c r="E1028" s="31"/>
      <c r="F1028" s="31" t="s">
        <v>4701</v>
      </c>
      <c r="G1028" s="31" t="n">
        <v>39</v>
      </c>
      <c r="H1028" s="31" t="s">
        <v>3692</v>
      </c>
      <c r="I1028" s="44" t="s">
        <v>4632</v>
      </c>
      <c r="J1028" s="45" t="s">
        <v>4703</v>
      </c>
      <c r="K1028" s="45" t="s">
        <v>4705</v>
      </c>
      <c r="L1028" s="31" t="n">
        <f aca="false">COUNTIF($B$3:$B$2205,$B1028)</f>
        <v>1</v>
      </c>
      <c r="M1028" s="44" t="str">
        <f aca="false">IFERROR(INDEX(SENTENCES!$T$3:$T$1802,MATCH($F1028,SENTENCES!$A$3:$A$1802,0)),"")</f>
        <v>• Chưa tới</v>
      </c>
    </row>
    <row r="1029" customFormat="false" ht="15" hidden="false" customHeight="false" outlineLevel="0" collapsed="false">
      <c r="A1029" s="31" t="n">
        <v>1027</v>
      </c>
      <c r="B1029" s="43" t="s">
        <v>11536</v>
      </c>
      <c r="C1029" s="34" t="s">
        <v>11537</v>
      </c>
      <c r="D1029" s="44" t="s">
        <v>10686</v>
      </c>
      <c r="E1029" s="31"/>
      <c r="F1029" s="31" t="s">
        <v>4707</v>
      </c>
      <c r="G1029" s="31" t="n">
        <v>39</v>
      </c>
      <c r="H1029" s="31" t="s">
        <v>3692</v>
      </c>
      <c r="I1029" s="44" t="s">
        <v>4632</v>
      </c>
      <c r="J1029" s="45" t="s">
        <v>4709</v>
      </c>
      <c r="K1029" s="45" t="s">
        <v>4711</v>
      </c>
      <c r="L1029" s="31" t="n">
        <f aca="false">COUNTIF($B$3:$B$2205,$B1029)</f>
        <v>5</v>
      </c>
      <c r="M1029" s="44" t="str">
        <f aca="false">IFERROR(INDEX(SENTENCES!$T$3:$T$1802,MATCH($F1029,SENTENCES!$A$3:$A$1802,0)),"")</f>
        <v>• Chưa tới</v>
      </c>
    </row>
    <row r="1030" customFormat="false" ht="15" hidden="false" customHeight="false" outlineLevel="0" collapsed="false">
      <c r="A1030" s="31" t="n">
        <v>1028</v>
      </c>
      <c r="B1030" s="43" t="s">
        <v>12399</v>
      </c>
      <c r="C1030" s="34" t="s">
        <v>12400</v>
      </c>
      <c r="D1030" s="44" t="s">
        <v>10686</v>
      </c>
      <c r="E1030" s="31"/>
      <c r="F1030" s="31" t="s">
        <v>4712</v>
      </c>
      <c r="G1030" s="31" t="n">
        <v>39</v>
      </c>
      <c r="H1030" s="31" t="s">
        <v>3692</v>
      </c>
      <c r="I1030" s="44" t="s">
        <v>4632</v>
      </c>
      <c r="J1030" s="45" t="s">
        <v>4714</v>
      </c>
      <c r="K1030" s="45" t="s">
        <v>4716</v>
      </c>
      <c r="L1030" s="31" t="n">
        <f aca="false">COUNTIF($B$3:$B$2205,$B1030)</f>
        <v>1</v>
      </c>
      <c r="M1030" s="44" t="str">
        <f aca="false">IFERROR(INDEX(SENTENCES!$T$3:$T$1802,MATCH($F1030,SENTENCES!$A$3:$A$1802,0)),"")</f>
        <v>• Chưa tới</v>
      </c>
    </row>
    <row r="1031" customFormat="false" ht="15" hidden="false" customHeight="false" outlineLevel="0" collapsed="false">
      <c r="A1031" s="31" t="n">
        <v>1029</v>
      </c>
      <c r="B1031" s="43" t="s">
        <v>12401</v>
      </c>
      <c r="C1031" s="34" t="s">
        <v>12402</v>
      </c>
      <c r="D1031" s="44" t="s">
        <v>10686</v>
      </c>
      <c r="E1031" s="31"/>
      <c r="F1031" s="31" t="s">
        <v>4717</v>
      </c>
      <c r="G1031" s="31" t="n">
        <v>39</v>
      </c>
      <c r="H1031" s="31" t="s">
        <v>3692</v>
      </c>
      <c r="I1031" s="44" t="s">
        <v>4632</v>
      </c>
      <c r="J1031" s="45" t="s">
        <v>4719</v>
      </c>
      <c r="K1031" s="45" t="s">
        <v>4721</v>
      </c>
      <c r="L1031" s="31" t="n">
        <f aca="false">COUNTIF($B$3:$B$2205,$B1031)</f>
        <v>1</v>
      </c>
      <c r="M1031" s="44" t="str">
        <f aca="false">IFERROR(INDEX(SENTENCES!$T$3:$T$1802,MATCH($F1031,SENTENCES!$A$3:$A$1802,0)),"")</f>
        <v>• Chưa tới</v>
      </c>
    </row>
    <row r="1032" customFormat="false" ht="15" hidden="false" customHeight="false" outlineLevel="0" collapsed="false">
      <c r="A1032" s="31" t="n">
        <v>1030</v>
      </c>
      <c r="B1032" s="43" t="s">
        <v>12403</v>
      </c>
      <c r="C1032" s="34" t="s">
        <v>12404</v>
      </c>
      <c r="D1032" s="44" t="s">
        <v>10686</v>
      </c>
      <c r="E1032" s="31"/>
      <c r="F1032" s="31" t="s">
        <v>4722</v>
      </c>
      <c r="G1032" s="31" t="n">
        <v>39</v>
      </c>
      <c r="H1032" s="31" t="s">
        <v>3692</v>
      </c>
      <c r="I1032" s="44" t="s">
        <v>4632</v>
      </c>
      <c r="J1032" s="45" t="s">
        <v>4724</v>
      </c>
      <c r="K1032" s="45" t="s">
        <v>4726</v>
      </c>
      <c r="L1032" s="31" t="n">
        <f aca="false">COUNTIF($B$3:$B$2205,$B1032)</f>
        <v>1</v>
      </c>
      <c r="M1032" s="44" t="str">
        <f aca="false">IFERROR(INDEX(SENTENCES!$T$3:$T$1802,MATCH($F1032,SENTENCES!$A$3:$A$1802,0)),"")</f>
        <v>• Chưa tới</v>
      </c>
    </row>
    <row r="1033" customFormat="false" ht="15" hidden="false" customHeight="false" outlineLevel="0" collapsed="false">
      <c r="A1033" s="31" t="n">
        <v>1031</v>
      </c>
      <c r="B1033" s="43" t="s">
        <v>12405</v>
      </c>
      <c r="C1033" s="34" t="s">
        <v>12406</v>
      </c>
      <c r="D1033" s="44" t="s">
        <v>10677</v>
      </c>
      <c r="E1033" s="31" t="s">
        <v>10707</v>
      </c>
      <c r="F1033" s="31" t="s">
        <v>4728</v>
      </c>
      <c r="G1033" s="31" t="n">
        <v>39</v>
      </c>
      <c r="H1033" s="31" t="s">
        <v>3692</v>
      </c>
      <c r="I1033" s="44" t="s">
        <v>4632</v>
      </c>
      <c r="J1033" s="45" t="s">
        <v>4730</v>
      </c>
      <c r="K1033" s="45" t="s">
        <v>4732</v>
      </c>
      <c r="L1033" s="31" t="n">
        <f aca="false">COUNTIF($B$3:$B$2205,$B1033)</f>
        <v>1</v>
      </c>
      <c r="M1033" s="44" t="str">
        <f aca="false">IFERROR(INDEX(SENTENCES!$T$3:$T$1802,MATCH($F1033,SENTENCES!$A$3:$A$1802,0)),"")</f>
        <v>• Chưa tới</v>
      </c>
    </row>
    <row r="1034" customFormat="false" ht="15" hidden="false" customHeight="false" outlineLevel="0" collapsed="false">
      <c r="A1034" s="31" t="n">
        <v>1032</v>
      </c>
      <c r="B1034" s="43" t="s">
        <v>12407</v>
      </c>
      <c r="C1034" s="34" t="s">
        <v>12408</v>
      </c>
      <c r="D1034" s="44" t="s">
        <v>10686</v>
      </c>
      <c r="E1034" s="31"/>
      <c r="F1034" s="31" t="s">
        <v>4728</v>
      </c>
      <c r="G1034" s="31" t="n">
        <v>39</v>
      </c>
      <c r="H1034" s="31" t="s">
        <v>3692</v>
      </c>
      <c r="I1034" s="44" t="s">
        <v>4632</v>
      </c>
      <c r="J1034" s="45" t="s">
        <v>4730</v>
      </c>
      <c r="K1034" s="45" t="s">
        <v>4732</v>
      </c>
      <c r="L1034" s="31" t="n">
        <f aca="false">COUNTIF($B$3:$B$2205,$B1034)</f>
        <v>1</v>
      </c>
      <c r="M1034" s="44" t="str">
        <f aca="false">IFERROR(INDEX(SENTENCES!$T$3:$T$1802,MATCH($F1034,SENTENCES!$A$3:$A$1802,0)),"")</f>
        <v>• Chưa tới</v>
      </c>
    </row>
    <row r="1035" customFormat="false" ht="15" hidden="false" customHeight="false" outlineLevel="0" collapsed="false">
      <c r="A1035" s="31" t="n">
        <v>1033</v>
      </c>
      <c r="B1035" s="43" t="s">
        <v>12409</v>
      </c>
      <c r="C1035" s="34" t="s">
        <v>12410</v>
      </c>
      <c r="D1035" s="44" t="s">
        <v>10686</v>
      </c>
      <c r="E1035" s="31"/>
      <c r="F1035" s="31" t="s">
        <v>4734</v>
      </c>
      <c r="G1035" s="31" t="n">
        <v>39</v>
      </c>
      <c r="H1035" s="31" t="s">
        <v>3692</v>
      </c>
      <c r="I1035" s="44" t="s">
        <v>4632</v>
      </c>
      <c r="J1035" s="45" t="s">
        <v>4736</v>
      </c>
      <c r="K1035" s="45" t="s">
        <v>4738</v>
      </c>
      <c r="L1035" s="31" t="n">
        <f aca="false">COUNTIF($B$3:$B$2205,$B1035)</f>
        <v>2</v>
      </c>
      <c r="M1035" s="44" t="str">
        <f aca="false">IFERROR(INDEX(SENTENCES!$T$3:$T$1802,MATCH($F1035,SENTENCES!$A$3:$A$1802,0)),"")</f>
        <v>• Chưa tới</v>
      </c>
    </row>
    <row r="1036" customFormat="false" ht="15" hidden="false" customHeight="false" outlineLevel="0" collapsed="false">
      <c r="A1036" s="31" t="n">
        <v>1034</v>
      </c>
      <c r="B1036" s="43" t="s">
        <v>12411</v>
      </c>
      <c r="C1036" s="34" t="s">
        <v>12412</v>
      </c>
      <c r="D1036" s="44" t="s">
        <v>10686</v>
      </c>
      <c r="E1036" s="31"/>
      <c r="F1036" s="31" t="s">
        <v>4740</v>
      </c>
      <c r="G1036" s="31" t="n">
        <v>39</v>
      </c>
      <c r="H1036" s="31" t="s">
        <v>3692</v>
      </c>
      <c r="I1036" s="44" t="s">
        <v>4632</v>
      </c>
      <c r="J1036" s="45" t="s">
        <v>4742</v>
      </c>
      <c r="K1036" s="45" t="s">
        <v>4744</v>
      </c>
      <c r="L1036" s="31" t="n">
        <f aca="false">COUNTIF($B$3:$B$2205,$B1036)</f>
        <v>1</v>
      </c>
      <c r="M1036" s="44" t="str">
        <f aca="false">IFERROR(INDEX(SENTENCES!$T$3:$T$1802,MATCH($F1036,SENTENCES!$A$3:$A$1802,0)),"")</f>
        <v>• Chưa tới</v>
      </c>
    </row>
    <row r="1037" customFormat="false" ht="15" hidden="false" customHeight="false" outlineLevel="0" collapsed="false">
      <c r="A1037" s="31" t="n">
        <v>1035</v>
      </c>
      <c r="B1037" s="43" t="s">
        <v>12413</v>
      </c>
      <c r="C1037" s="34" t="s">
        <v>12414</v>
      </c>
      <c r="D1037" s="44" t="s">
        <v>10677</v>
      </c>
      <c r="E1037" s="31" t="s">
        <v>10747</v>
      </c>
      <c r="F1037" s="31" t="s">
        <v>4740</v>
      </c>
      <c r="G1037" s="31" t="n">
        <v>39</v>
      </c>
      <c r="H1037" s="31" t="s">
        <v>3692</v>
      </c>
      <c r="I1037" s="44" t="s">
        <v>4632</v>
      </c>
      <c r="J1037" s="45" t="s">
        <v>4742</v>
      </c>
      <c r="K1037" s="45" t="s">
        <v>4744</v>
      </c>
      <c r="L1037" s="31" t="n">
        <f aca="false">COUNTIF($B$3:$B$2205,$B1037)</f>
        <v>2</v>
      </c>
      <c r="M1037" s="44" t="str">
        <f aca="false">IFERROR(INDEX(SENTENCES!$T$3:$T$1802,MATCH($F1037,SENTENCES!$A$3:$A$1802,0)),"")</f>
        <v>• Chưa tới</v>
      </c>
    </row>
    <row r="1038" customFormat="false" ht="15" hidden="false" customHeight="false" outlineLevel="0" collapsed="false">
      <c r="A1038" s="31" t="n">
        <v>1036</v>
      </c>
      <c r="B1038" s="43" t="s">
        <v>12415</v>
      </c>
      <c r="C1038" s="34" t="s">
        <v>12416</v>
      </c>
      <c r="D1038" s="44" t="s">
        <v>10686</v>
      </c>
      <c r="E1038" s="31"/>
      <c r="F1038" s="31" t="s">
        <v>4746</v>
      </c>
      <c r="G1038" s="31" t="n">
        <v>40</v>
      </c>
      <c r="H1038" s="31" t="s">
        <v>3692</v>
      </c>
      <c r="I1038" s="44" t="s">
        <v>4747</v>
      </c>
      <c r="J1038" s="45" t="s">
        <v>4749</v>
      </c>
      <c r="K1038" s="45" t="s">
        <v>4751</v>
      </c>
      <c r="L1038" s="31" t="n">
        <f aca="false">COUNTIF($B$3:$B$2205,$B1038)</f>
        <v>1</v>
      </c>
      <c r="M1038" s="44" t="str">
        <f aca="false">IFERROR(INDEX(SENTENCES!$T$3:$T$1802,MATCH($F1038,SENTENCES!$A$3:$A$1802,0)),"")</f>
        <v>• Chưa tới</v>
      </c>
    </row>
    <row r="1039" customFormat="false" ht="15" hidden="false" customHeight="false" outlineLevel="0" collapsed="false">
      <c r="A1039" s="31" t="n">
        <v>1037</v>
      </c>
      <c r="B1039" s="43" t="s">
        <v>11451</v>
      </c>
      <c r="C1039" s="34" t="s">
        <v>11452</v>
      </c>
      <c r="D1039" s="44" t="s">
        <v>10686</v>
      </c>
      <c r="E1039" s="31"/>
      <c r="F1039" s="31" t="s">
        <v>4753</v>
      </c>
      <c r="G1039" s="31" t="n">
        <v>40</v>
      </c>
      <c r="H1039" s="31" t="s">
        <v>3692</v>
      </c>
      <c r="I1039" s="44" t="s">
        <v>4747</v>
      </c>
      <c r="J1039" s="45" t="s">
        <v>4755</v>
      </c>
      <c r="K1039" s="45" t="s">
        <v>4757</v>
      </c>
      <c r="L1039" s="31" t="n">
        <f aca="false">COUNTIF($B$3:$B$2205,$B1039)</f>
        <v>2</v>
      </c>
      <c r="M1039" s="44" t="str">
        <f aca="false">IFERROR(INDEX(SENTENCES!$T$3:$T$1802,MATCH($F1039,SENTENCES!$A$3:$A$1802,0)),"")</f>
        <v>• Chưa tới</v>
      </c>
    </row>
    <row r="1040" customFormat="false" ht="15" hidden="false" customHeight="false" outlineLevel="0" collapsed="false">
      <c r="A1040" s="31" t="n">
        <v>1038</v>
      </c>
      <c r="B1040" s="43" t="s">
        <v>12417</v>
      </c>
      <c r="C1040" s="34" t="s">
        <v>12418</v>
      </c>
      <c r="D1040" s="44" t="s">
        <v>10686</v>
      </c>
      <c r="E1040" s="31"/>
      <c r="F1040" s="31" t="s">
        <v>4759</v>
      </c>
      <c r="G1040" s="31" t="n">
        <v>40</v>
      </c>
      <c r="H1040" s="31" t="s">
        <v>3692</v>
      </c>
      <c r="I1040" s="44" t="s">
        <v>4747</v>
      </c>
      <c r="J1040" s="45" t="s">
        <v>4761</v>
      </c>
      <c r="K1040" s="45" t="s">
        <v>4763</v>
      </c>
      <c r="L1040" s="31" t="n">
        <f aca="false">COUNTIF($B$3:$B$2205,$B1040)</f>
        <v>1</v>
      </c>
      <c r="M1040" s="44" t="str">
        <f aca="false">IFERROR(INDEX(SENTENCES!$T$3:$T$1802,MATCH($F1040,SENTENCES!$A$3:$A$1802,0)),"")</f>
        <v>• Chưa tới</v>
      </c>
    </row>
    <row r="1041" customFormat="false" ht="15" hidden="false" customHeight="false" outlineLevel="0" collapsed="false">
      <c r="A1041" s="31" t="n">
        <v>1039</v>
      </c>
      <c r="B1041" s="43" t="s">
        <v>12419</v>
      </c>
      <c r="C1041" s="34" t="s">
        <v>12420</v>
      </c>
      <c r="D1041" s="44" t="s">
        <v>10677</v>
      </c>
      <c r="E1041" s="31" t="s">
        <v>10747</v>
      </c>
      <c r="F1041" s="31" t="s">
        <v>4765</v>
      </c>
      <c r="G1041" s="31" t="n">
        <v>40</v>
      </c>
      <c r="H1041" s="31" t="s">
        <v>3692</v>
      </c>
      <c r="I1041" s="44" t="s">
        <v>4747</v>
      </c>
      <c r="J1041" s="45" t="s">
        <v>4767</v>
      </c>
      <c r="K1041" s="45" t="s">
        <v>4769</v>
      </c>
      <c r="L1041" s="31" t="n">
        <f aca="false">COUNTIF($B$3:$B$2205,$B1041)</f>
        <v>1</v>
      </c>
      <c r="M1041" s="44" t="str">
        <f aca="false">IFERROR(INDEX(SENTENCES!$T$3:$T$1802,MATCH($F1041,SENTENCES!$A$3:$A$1802,0)),"")</f>
        <v>• Chưa tới</v>
      </c>
    </row>
    <row r="1042" customFormat="false" ht="15" hidden="false" customHeight="false" outlineLevel="0" collapsed="false">
      <c r="A1042" s="31" t="n">
        <v>1040</v>
      </c>
      <c r="B1042" s="43" t="s">
        <v>12421</v>
      </c>
      <c r="C1042" s="34" t="s">
        <v>12422</v>
      </c>
      <c r="D1042" s="44" t="s">
        <v>10686</v>
      </c>
      <c r="E1042" s="31"/>
      <c r="F1042" s="31" t="s">
        <v>4765</v>
      </c>
      <c r="G1042" s="31" t="n">
        <v>40</v>
      </c>
      <c r="H1042" s="31" t="s">
        <v>3692</v>
      </c>
      <c r="I1042" s="44" t="s">
        <v>4747</v>
      </c>
      <c r="J1042" s="45" t="s">
        <v>4767</v>
      </c>
      <c r="K1042" s="45" t="s">
        <v>4769</v>
      </c>
      <c r="L1042" s="31" t="n">
        <f aca="false">COUNTIF($B$3:$B$2205,$B1042)</f>
        <v>1</v>
      </c>
      <c r="M1042" s="44" t="str">
        <f aca="false">IFERROR(INDEX(SENTENCES!$T$3:$T$1802,MATCH($F1042,SENTENCES!$A$3:$A$1802,0)),"")</f>
        <v>• Chưa tới</v>
      </c>
    </row>
    <row r="1043" customFormat="false" ht="15" hidden="false" customHeight="false" outlineLevel="0" collapsed="false">
      <c r="A1043" s="31" t="n">
        <v>1041</v>
      </c>
      <c r="B1043" s="43" t="s">
        <v>11404</v>
      </c>
      <c r="C1043" s="34" t="s">
        <v>11452</v>
      </c>
      <c r="D1043" s="44" t="s">
        <v>10686</v>
      </c>
      <c r="E1043" s="31"/>
      <c r="F1043" s="31" t="s">
        <v>4771</v>
      </c>
      <c r="G1043" s="31" t="n">
        <v>40</v>
      </c>
      <c r="H1043" s="31" t="s">
        <v>3692</v>
      </c>
      <c r="I1043" s="44" t="s">
        <v>4747</v>
      </c>
      <c r="J1043" s="45" t="s">
        <v>4773</v>
      </c>
      <c r="K1043" s="45" t="s">
        <v>4775</v>
      </c>
      <c r="L1043" s="31" t="n">
        <f aca="false">COUNTIF($B$3:$B$2205,$B1043)</f>
        <v>3</v>
      </c>
      <c r="M1043" s="44" t="str">
        <f aca="false">IFERROR(INDEX(SENTENCES!$T$3:$T$1802,MATCH($F1043,SENTENCES!$A$3:$A$1802,0)),"")</f>
        <v>• Chưa tới</v>
      </c>
    </row>
    <row r="1044" customFormat="false" ht="15" hidden="false" customHeight="false" outlineLevel="0" collapsed="false">
      <c r="A1044" s="31" t="n">
        <v>1042</v>
      </c>
      <c r="B1044" s="43" t="s">
        <v>12423</v>
      </c>
      <c r="C1044" s="34" t="s">
        <v>12424</v>
      </c>
      <c r="D1044" s="44" t="s">
        <v>10686</v>
      </c>
      <c r="E1044" s="31"/>
      <c r="F1044" s="31" t="s">
        <v>4777</v>
      </c>
      <c r="G1044" s="31" t="n">
        <v>40</v>
      </c>
      <c r="H1044" s="31" t="s">
        <v>3692</v>
      </c>
      <c r="I1044" s="44" t="s">
        <v>4747</v>
      </c>
      <c r="J1044" s="45" t="s">
        <v>4779</v>
      </c>
      <c r="K1044" s="45" t="s">
        <v>4781</v>
      </c>
      <c r="L1044" s="31" t="n">
        <f aca="false">COUNTIF($B$3:$B$2205,$B1044)</f>
        <v>1</v>
      </c>
      <c r="M1044" s="44" t="str">
        <f aca="false">IFERROR(INDEX(SENTENCES!$T$3:$T$1802,MATCH($F1044,SENTENCES!$A$3:$A$1802,0)),"")</f>
        <v>• Chưa tới</v>
      </c>
    </row>
    <row r="1045" customFormat="false" ht="15" hidden="false" customHeight="false" outlineLevel="0" collapsed="false">
      <c r="A1045" s="31" t="n">
        <v>1043</v>
      </c>
      <c r="B1045" s="43" t="s">
        <v>12425</v>
      </c>
      <c r="C1045" s="34" t="s">
        <v>11214</v>
      </c>
      <c r="D1045" s="44" t="s">
        <v>10686</v>
      </c>
      <c r="E1045" s="31"/>
      <c r="F1045" s="31" t="s">
        <v>4783</v>
      </c>
      <c r="G1045" s="31" t="n">
        <v>40</v>
      </c>
      <c r="H1045" s="31" t="s">
        <v>3692</v>
      </c>
      <c r="I1045" s="44" t="s">
        <v>4747</v>
      </c>
      <c r="J1045" s="45" t="s">
        <v>4785</v>
      </c>
      <c r="K1045" s="45" t="s">
        <v>4787</v>
      </c>
      <c r="L1045" s="31" t="n">
        <f aca="false">COUNTIF($B$3:$B$2205,$B1045)</f>
        <v>2</v>
      </c>
      <c r="M1045" s="44" t="str">
        <f aca="false">IFERROR(INDEX(SENTENCES!$T$3:$T$1802,MATCH($F1045,SENTENCES!$A$3:$A$1802,0)),"")</f>
        <v>• Chưa tới</v>
      </c>
    </row>
    <row r="1046" customFormat="false" ht="15" hidden="false" customHeight="false" outlineLevel="0" collapsed="false">
      <c r="A1046" s="31" t="n">
        <v>1044</v>
      </c>
      <c r="B1046" s="43" t="s">
        <v>11508</v>
      </c>
      <c r="C1046" s="34" t="s">
        <v>12426</v>
      </c>
      <c r="D1046" s="44" t="s">
        <v>10686</v>
      </c>
      <c r="E1046" s="31"/>
      <c r="F1046" s="31" t="s">
        <v>4789</v>
      </c>
      <c r="G1046" s="31" t="n">
        <v>40</v>
      </c>
      <c r="H1046" s="31" t="s">
        <v>3692</v>
      </c>
      <c r="I1046" s="44" t="s">
        <v>4747</v>
      </c>
      <c r="J1046" s="45" t="s">
        <v>4791</v>
      </c>
      <c r="K1046" s="45" t="s">
        <v>4793</v>
      </c>
      <c r="L1046" s="31" t="n">
        <f aca="false">COUNTIF($B$3:$B$2205,$B1046)</f>
        <v>2</v>
      </c>
      <c r="M1046" s="44" t="str">
        <f aca="false">IFERROR(INDEX(SENTENCES!$T$3:$T$1802,MATCH($F1046,SENTENCES!$A$3:$A$1802,0)),"")</f>
        <v>• Chưa tới</v>
      </c>
    </row>
    <row r="1047" customFormat="false" ht="15" hidden="false" customHeight="false" outlineLevel="0" collapsed="false">
      <c r="A1047" s="31" t="n">
        <v>1045</v>
      </c>
      <c r="B1047" s="43" t="s">
        <v>12427</v>
      </c>
      <c r="C1047" s="34" t="s">
        <v>12428</v>
      </c>
      <c r="D1047" s="44" t="s">
        <v>10686</v>
      </c>
      <c r="E1047" s="31"/>
      <c r="F1047" s="31" t="s">
        <v>4795</v>
      </c>
      <c r="G1047" s="31" t="n">
        <v>40</v>
      </c>
      <c r="H1047" s="31" t="s">
        <v>3692</v>
      </c>
      <c r="I1047" s="44" t="s">
        <v>4747</v>
      </c>
      <c r="J1047" s="45" t="s">
        <v>4797</v>
      </c>
      <c r="K1047" s="45" t="s">
        <v>4799</v>
      </c>
      <c r="L1047" s="31" t="n">
        <f aca="false">COUNTIF($B$3:$B$2205,$B1047)</f>
        <v>1</v>
      </c>
      <c r="M1047" s="44" t="str">
        <f aca="false">IFERROR(INDEX(SENTENCES!$T$3:$T$1802,MATCH($F1047,SENTENCES!$A$3:$A$1802,0)),"")</f>
        <v>• Chưa tới</v>
      </c>
    </row>
    <row r="1048" customFormat="false" ht="15" hidden="false" customHeight="false" outlineLevel="0" collapsed="false">
      <c r="A1048" s="31" t="n">
        <v>1046</v>
      </c>
      <c r="B1048" s="43" t="s">
        <v>12429</v>
      </c>
      <c r="C1048" s="34" t="s">
        <v>12430</v>
      </c>
      <c r="D1048" s="44" t="s">
        <v>10677</v>
      </c>
      <c r="E1048" s="31" t="s">
        <v>10678</v>
      </c>
      <c r="F1048" s="31" t="s">
        <v>4801</v>
      </c>
      <c r="G1048" s="31" t="n">
        <v>40</v>
      </c>
      <c r="H1048" s="31" t="s">
        <v>3692</v>
      </c>
      <c r="I1048" s="44" t="s">
        <v>4747</v>
      </c>
      <c r="J1048" s="45" t="s">
        <v>4803</v>
      </c>
      <c r="K1048" s="45" t="s">
        <v>4805</v>
      </c>
      <c r="L1048" s="31" t="n">
        <f aca="false">COUNTIF($B$3:$B$2205,$B1048)</f>
        <v>1</v>
      </c>
      <c r="M1048" s="44" t="str">
        <f aca="false">IFERROR(INDEX(SENTENCES!$T$3:$T$1802,MATCH($F1048,SENTENCES!$A$3:$A$1802,0)),"")</f>
        <v>• Chưa tới</v>
      </c>
    </row>
    <row r="1049" customFormat="false" ht="15" hidden="false" customHeight="false" outlineLevel="0" collapsed="false">
      <c r="A1049" s="31" t="n">
        <v>1047</v>
      </c>
      <c r="B1049" s="43" t="s">
        <v>12431</v>
      </c>
      <c r="C1049" s="34" t="s">
        <v>12432</v>
      </c>
      <c r="D1049" s="44" t="s">
        <v>10686</v>
      </c>
      <c r="E1049" s="31"/>
      <c r="F1049" s="31" t="s">
        <v>4807</v>
      </c>
      <c r="G1049" s="31" t="n">
        <v>40</v>
      </c>
      <c r="H1049" s="31" t="s">
        <v>3692</v>
      </c>
      <c r="I1049" s="44" t="s">
        <v>4747</v>
      </c>
      <c r="J1049" s="45" t="s">
        <v>4809</v>
      </c>
      <c r="K1049" s="45" t="s">
        <v>4811</v>
      </c>
      <c r="L1049" s="31" t="n">
        <f aca="false">COUNTIF($B$3:$B$2205,$B1049)</f>
        <v>1</v>
      </c>
      <c r="M1049" s="44" t="str">
        <f aca="false">IFERROR(INDEX(SENTENCES!$T$3:$T$1802,MATCH($F1049,SENTENCES!$A$3:$A$1802,0)),"")</f>
        <v>• Chưa tới</v>
      </c>
    </row>
    <row r="1050" customFormat="false" ht="15" hidden="false" customHeight="false" outlineLevel="0" collapsed="false">
      <c r="A1050" s="31" t="n">
        <v>1048</v>
      </c>
      <c r="B1050" s="43" t="s">
        <v>12433</v>
      </c>
      <c r="C1050" s="34" t="s">
        <v>12434</v>
      </c>
      <c r="D1050" s="44" t="s">
        <v>10686</v>
      </c>
      <c r="E1050" s="31"/>
      <c r="F1050" s="31" t="s">
        <v>4813</v>
      </c>
      <c r="G1050" s="31" t="n">
        <v>40</v>
      </c>
      <c r="H1050" s="31" t="s">
        <v>3692</v>
      </c>
      <c r="I1050" s="44" t="s">
        <v>4747</v>
      </c>
      <c r="J1050" s="45" t="s">
        <v>4815</v>
      </c>
      <c r="K1050" s="45" t="s">
        <v>4817</v>
      </c>
      <c r="L1050" s="31" t="n">
        <f aca="false">COUNTIF($B$3:$B$2205,$B1050)</f>
        <v>1</v>
      </c>
      <c r="M1050" s="44" t="str">
        <f aca="false">IFERROR(INDEX(SENTENCES!$T$3:$T$1802,MATCH($F1050,SENTENCES!$A$3:$A$1802,0)),"")</f>
        <v>• Chưa tới</v>
      </c>
    </row>
    <row r="1051" customFormat="false" ht="15" hidden="false" customHeight="false" outlineLevel="0" collapsed="false">
      <c r="A1051" s="31" t="n">
        <v>1049</v>
      </c>
      <c r="B1051" s="43" t="s">
        <v>12094</v>
      </c>
      <c r="C1051" s="34" t="s">
        <v>12095</v>
      </c>
      <c r="D1051" s="44" t="s">
        <v>10686</v>
      </c>
      <c r="E1051" s="31"/>
      <c r="F1051" s="31" t="s">
        <v>4819</v>
      </c>
      <c r="G1051" s="31" t="n">
        <v>40</v>
      </c>
      <c r="H1051" s="31" t="s">
        <v>3692</v>
      </c>
      <c r="I1051" s="44" t="s">
        <v>4747</v>
      </c>
      <c r="J1051" s="45" t="s">
        <v>4821</v>
      </c>
      <c r="K1051" s="45" t="s">
        <v>4823</v>
      </c>
      <c r="L1051" s="31" t="n">
        <f aca="false">COUNTIF($B$3:$B$2205,$B1051)</f>
        <v>5</v>
      </c>
      <c r="M1051" s="44" t="str">
        <f aca="false">IFERROR(INDEX(SENTENCES!$T$3:$T$1802,MATCH($F1051,SENTENCES!$A$3:$A$1802,0)),"")</f>
        <v>• Chưa tới</v>
      </c>
    </row>
    <row r="1052" customFormat="false" ht="15" hidden="false" customHeight="false" outlineLevel="0" collapsed="false">
      <c r="A1052" s="31" t="n">
        <v>1050</v>
      </c>
      <c r="B1052" s="43" t="s">
        <v>12435</v>
      </c>
      <c r="C1052" s="34" t="s">
        <v>12436</v>
      </c>
      <c r="D1052" s="44" t="s">
        <v>10686</v>
      </c>
      <c r="E1052" s="31"/>
      <c r="F1052" s="31" t="s">
        <v>4824</v>
      </c>
      <c r="G1052" s="31" t="n">
        <v>40</v>
      </c>
      <c r="H1052" s="31" t="s">
        <v>3692</v>
      </c>
      <c r="I1052" s="44" t="s">
        <v>4747</v>
      </c>
      <c r="J1052" s="45" t="s">
        <v>4826</v>
      </c>
      <c r="K1052" s="45" t="s">
        <v>4828</v>
      </c>
      <c r="L1052" s="31" t="n">
        <f aca="false">COUNTIF($B$3:$B$2205,$B1052)</f>
        <v>1</v>
      </c>
      <c r="M1052" s="44" t="str">
        <f aca="false">IFERROR(INDEX(SENTENCES!$T$3:$T$1802,MATCH($F1052,SENTENCES!$A$3:$A$1802,0)),"")</f>
        <v>• Chưa tới</v>
      </c>
    </row>
    <row r="1053" customFormat="false" ht="15" hidden="false" customHeight="false" outlineLevel="0" collapsed="false">
      <c r="A1053" s="31" t="n">
        <v>1051</v>
      </c>
      <c r="B1053" s="43" t="s">
        <v>12437</v>
      </c>
      <c r="C1053" s="34" t="s">
        <v>12412</v>
      </c>
      <c r="D1053" s="44" t="s">
        <v>10794</v>
      </c>
      <c r="E1053" s="31"/>
      <c r="F1053" s="31" t="s">
        <v>4830</v>
      </c>
      <c r="G1053" s="31" t="n">
        <v>40</v>
      </c>
      <c r="H1053" s="31" t="s">
        <v>3692</v>
      </c>
      <c r="I1053" s="44" t="s">
        <v>4747</v>
      </c>
      <c r="J1053" s="45" t="s">
        <v>4832</v>
      </c>
      <c r="K1053" s="45" t="s">
        <v>4834</v>
      </c>
      <c r="L1053" s="31" t="n">
        <f aca="false">COUNTIF($B$3:$B$2205,$B1053)</f>
        <v>1</v>
      </c>
      <c r="M1053" s="44" t="str">
        <f aca="false">IFERROR(INDEX(SENTENCES!$T$3:$T$1802,MATCH($F1053,SENTENCES!$A$3:$A$1802,0)),"")</f>
        <v>• Chưa tới</v>
      </c>
    </row>
    <row r="1054" customFormat="false" ht="15" hidden="false" customHeight="false" outlineLevel="0" collapsed="false">
      <c r="A1054" s="31" t="n">
        <v>1052</v>
      </c>
      <c r="B1054" s="43" t="s">
        <v>12438</v>
      </c>
      <c r="C1054" s="34" t="s">
        <v>11558</v>
      </c>
      <c r="D1054" s="44" t="s">
        <v>10686</v>
      </c>
      <c r="E1054" s="31"/>
      <c r="F1054" s="31" t="s">
        <v>4835</v>
      </c>
      <c r="G1054" s="31" t="n">
        <v>40</v>
      </c>
      <c r="H1054" s="31" t="s">
        <v>3692</v>
      </c>
      <c r="I1054" s="44" t="s">
        <v>4747</v>
      </c>
      <c r="J1054" s="45" t="s">
        <v>4837</v>
      </c>
      <c r="K1054" s="45" t="s">
        <v>4839</v>
      </c>
      <c r="L1054" s="31" t="n">
        <f aca="false">COUNTIF($B$3:$B$2205,$B1054)</f>
        <v>1</v>
      </c>
      <c r="M1054" s="44" t="str">
        <f aca="false">IFERROR(INDEX(SENTENCES!$T$3:$T$1802,MATCH($F1054,SENTENCES!$A$3:$A$1802,0)),"")</f>
        <v>• Chưa tới</v>
      </c>
    </row>
    <row r="1055" customFormat="false" ht="15" hidden="false" customHeight="false" outlineLevel="0" collapsed="false">
      <c r="A1055" s="31" t="n">
        <v>1053</v>
      </c>
      <c r="B1055" s="43" t="s">
        <v>12439</v>
      </c>
      <c r="C1055" s="34" t="s">
        <v>12440</v>
      </c>
      <c r="D1055" s="44" t="s">
        <v>10686</v>
      </c>
      <c r="E1055" s="31"/>
      <c r="F1055" s="31" t="s">
        <v>4841</v>
      </c>
      <c r="G1055" s="31" t="n">
        <v>40</v>
      </c>
      <c r="H1055" s="31" t="s">
        <v>3692</v>
      </c>
      <c r="I1055" s="44" t="s">
        <v>4747</v>
      </c>
      <c r="J1055" s="45" t="s">
        <v>4842</v>
      </c>
      <c r="K1055" s="45" t="s">
        <v>4844</v>
      </c>
      <c r="L1055" s="31" t="n">
        <f aca="false">COUNTIF($B$3:$B$2205,$B1055)</f>
        <v>1</v>
      </c>
      <c r="M1055" s="44" t="str">
        <f aca="false">IFERROR(INDEX(SENTENCES!$T$3:$T$1802,MATCH($F1055,SENTENCES!$A$3:$A$1802,0)),"")</f>
        <v>• Chưa tới</v>
      </c>
    </row>
    <row r="1056" customFormat="false" ht="15" hidden="false" customHeight="false" outlineLevel="0" collapsed="false">
      <c r="A1056" s="31" t="n">
        <v>1054</v>
      </c>
      <c r="B1056" s="43" t="s">
        <v>12441</v>
      </c>
      <c r="C1056" s="34" t="s">
        <v>12442</v>
      </c>
      <c r="D1056" s="44" t="s">
        <v>10677</v>
      </c>
      <c r="E1056" s="31" t="s">
        <v>10678</v>
      </c>
      <c r="F1056" s="31" t="s">
        <v>4846</v>
      </c>
      <c r="G1056" s="31" t="n">
        <v>40</v>
      </c>
      <c r="H1056" s="31" t="s">
        <v>3692</v>
      </c>
      <c r="I1056" s="44" t="s">
        <v>4747</v>
      </c>
      <c r="J1056" s="45" t="s">
        <v>4848</v>
      </c>
      <c r="K1056" s="45" t="s">
        <v>4850</v>
      </c>
      <c r="L1056" s="31" t="n">
        <f aca="false">COUNTIF($B$3:$B$2205,$B1056)</f>
        <v>2</v>
      </c>
      <c r="M1056" s="44" t="str">
        <f aca="false">IFERROR(INDEX(SENTENCES!$T$3:$T$1802,MATCH($F1056,SENTENCES!$A$3:$A$1802,0)),"")</f>
        <v>• Chưa tới</v>
      </c>
    </row>
    <row r="1057" customFormat="false" ht="15" hidden="false" customHeight="false" outlineLevel="0" collapsed="false">
      <c r="A1057" s="31" t="n">
        <v>1055</v>
      </c>
      <c r="B1057" s="43" t="s">
        <v>12443</v>
      </c>
      <c r="C1057" s="34" t="s">
        <v>12444</v>
      </c>
      <c r="D1057" s="44" t="s">
        <v>10686</v>
      </c>
      <c r="E1057" s="31"/>
      <c r="F1057" s="31" t="s">
        <v>4846</v>
      </c>
      <c r="G1057" s="31" t="n">
        <v>40</v>
      </c>
      <c r="H1057" s="31" t="s">
        <v>3692</v>
      </c>
      <c r="I1057" s="44" t="s">
        <v>4747</v>
      </c>
      <c r="J1057" s="45" t="s">
        <v>4848</v>
      </c>
      <c r="K1057" s="45" t="s">
        <v>4850</v>
      </c>
      <c r="L1057" s="31" t="n">
        <f aca="false">COUNTIF($B$3:$B$2205,$B1057)</f>
        <v>2</v>
      </c>
      <c r="M1057" s="44" t="str">
        <f aca="false">IFERROR(INDEX(SENTENCES!$T$3:$T$1802,MATCH($F1057,SENTENCES!$A$3:$A$1802,0)),"")</f>
        <v>• Chưa tới</v>
      </c>
    </row>
    <row r="1058" customFormat="false" ht="15" hidden="false" customHeight="false" outlineLevel="0" collapsed="false">
      <c r="A1058" s="31" t="n">
        <v>1056</v>
      </c>
      <c r="B1058" s="43" t="s">
        <v>12445</v>
      </c>
      <c r="C1058" s="34" t="s">
        <v>12446</v>
      </c>
      <c r="D1058" s="44" t="s">
        <v>10677</v>
      </c>
      <c r="E1058" s="31" t="s">
        <v>10678</v>
      </c>
      <c r="F1058" s="31" t="s">
        <v>4852</v>
      </c>
      <c r="G1058" s="31" t="n">
        <v>40</v>
      </c>
      <c r="H1058" s="31" t="s">
        <v>3692</v>
      </c>
      <c r="I1058" s="44" t="s">
        <v>4747</v>
      </c>
      <c r="J1058" s="45" t="s">
        <v>4854</v>
      </c>
      <c r="K1058" s="45" t="s">
        <v>4856</v>
      </c>
      <c r="L1058" s="31" t="n">
        <f aca="false">COUNTIF($B$3:$B$2205,$B1058)</f>
        <v>2</v>
      </c>
      <c r="M1058" s="44" t="str">
        <f aca="false">IFERROR(INDEX(SENTENCES!$T$3:$T$1802,MATCH($F1058,SENTENCES!$A$3:$A$1802,0)),"")</f>
        <v>• Chưa tới</v>
      </c>
    </row>
    <row r="1059" customFormat="false" ht="15" hidden="false" customHeight="false" outlineLevel="0" collapsed="false">
      <c r="A1059" s="31" t="n">
        <v>1057</v>
      </c>
      <c r="B1059" s="43" t="s">
        <v>12447</v>
      </c>
      <c r="C1059" s="34" t="s">
        <v>12448</v>
      </c>
      <c r="D1059" s="44" t="s">
        <v>10686</v>
      </c>
      <c r="E1059" s="31"/>
      <c r="F1059" s="31" t="s">
        <v>4852</v>
      </c>
      <c r="G1059" s="31" t="n">
        <v>40</v>
      </c>
      <c r="H1059" s="31" t="s">
        <v>3692</v>
      </c>
      <c r="I1059" s="44" t="s">
        <v>4747</v>
      </c>
      <c r="J1059" s="45" t="s">
        <v>4854</v>
      </c>
      <c r="K1059" s="45" t="s">
        <v>4856</v>
      </c>
      <c r="L1059" s="31" t="n">
        <f aca="false">COUNTIF($B$3:$B$2205,$B1059)</f>
        <v>2</v>
      </c>
      <c r="M1059" s="44" t="str">
        <f aca="false">IFERROR(INDEX(SENTENCES!$T$3:$T$1802,MATCH($F1059,SENTENCES!$A$3:$A$1802,0)),"")</f>
        <v>• Chưa tới</v>
      </c>
    </row>
    <row r="1060" customFormat="false" ht="15" hidden="false" customHeight="false" outlineLevel="0" collapsed="false">
      <c r="A1060" s="31" t="n">
        <v>1058</v>
      </c>
      <c r="B1060" s="43" t="s">
        <v>12449</v>
      </c>
      <c r="C1060" s="34" t="s">
        <v>12450</v>
      </c>
      <c r="D1060" s="44" t="s">
        <v>10686</v>
      </c>
      <c r="E1060" s="31"/>
      <c r="F1060" s="31" t="s">
        <v>4858</v>
      </c>
      <c r="G1060" s="31" t="n">
        <v>40</v>
      </c>
      <c r="H1060" s="31" t="s">
        <v>3692</v>
      </c>
      <c r="I1060" s="44" t="s">
        <v>4747</v>
      </c>
      <c r="J1060" s="45" t="s">
        <v>4860</v>
      </c>
      <c r="K1060" s="45" t="s">
        <v>4862</v>
      </c>
      <c r="L1060" s="31" t="n">
        <f aca="false">COUNTIF($B$3:$B$2205,$B1060)</f>
        <v>1</v>
      </c>
      <c r="M1060" s="44" t="str">
        <f aca="false">IFERROR(INDEX(SENTENCES!$T$3:$T$1802,MATCH($F1060,SENTENCES!$A$3:$A$1802,0)),"")</f>
        <v>• Chưa tới</v>
      </c>
    </row>
    <row r="1061" customFormat="false" ht="15" hidden="false" customHeight="false" outlineLevel="0" collapsed="false">
      <c r="A1061" s="31" t="n">
        <v>1059</v>
      </c>
      <c r="B1061" s="43" t="s">
        <v>12451</v>
      </c>
      <c r="C1061" s="34" t="s">
        <v>12452</v>
      </c>
      <c r="D1061" s="44" t="s">
        <v>10681</v>
      </c>
      <c r="E1061" s="31"/>
      <c r="F1061" s="31" t="s">
        <v>4864</v>
      </c>
      <c r="G1061" s="31" t="n">
        <v>41</v>
      </c>
      <c r="H1061" s="31" t="s">
        <v>3692</v>
      </c>
      <c r="I1061" s="44" t="s">
        <v>4865</v>
      </c>
      <c r="J1061" s="45" t="s">
        <v>4867</v>
      </c>
      <c r="K1061" s="45" t="s">
        <v>4869</v>
      </c>
      <c r="L1061" s="31" t="n">
        <f aca="false">COUNTIF($B$3:$B$2205,$B1061)</f>
        <v>1</v>
      </c>
      <c r="M1061" s="44" t="str">
        <f aca="false">IFERROR(INDEX(SENTENCES!$T$3:$T$1802,MATCH($F1061,SENTENCES!$A$3:$A$1802,0)),"")</f>
        <v>• Chưa tới</v>
      </c>
    </row>
    <row r="1062" customFormat="false" ht="15" hidden="false" customHeight="false" outlineLevel="0" collapsed="false">
      <c r="A1062" s="31" t="n">
        <v>1060</v>
      </c>
      <c r="B1062" s="43" t="s">
        <v>12453</v>
      </c>
      <c r="C1062" s="34" t="s">
        <v>12344</v>
      </c>
      <c r="D1062" s="44" t="s">
        <v>10681</v>
      </c>
      <c r="E1062" s="31"/>
      <c r="F1062" s="31" t="s">
        <v>4864</v>
      </c>
      <c r="G1062" s="31" t="n">
        <v>41</v>
      </c>
      <c r="H1062" s="31" t="s">
        <v>3692</v>
      </c>
      <c r="I1062" s="44" t="s">
        <v>4865</v>
      </c>
      <c r="J1062" s="45" t="s">
        <v>4867</v>
      </c>
      <c r="K1062" s="45" t="s">
        <v>4869</v>
      </c>
      <c r="L1062" s="31" t="n">
        <f aca="false">COUNTIF($B$3:$B$2205,$B1062)</f>
        <v>1</v>
      </c>
      <c r="M1062" s="44" t="str">
        <f aca="false">IFERROR(INDEX(SENTENCES!$T$3:$T$1802,MATCH($F1062,SENTENCES!$A$3:$A$1802,0)),"")</f>
        <v>• Chưa tới</v>
      </c>
    </row>
    <row r="1063" customFormat="false" ht="15" hidden="false" customHeight="false" outlineLevel="0" collapsed="false">
      <c r="A1063" s="31" t="n">
        <v>1061</v>
      </c>
      <c r="B1063" s="43" t="s">
        <v>12454</v>
      </c>
      <c r="C1063" s="34" t="s">
        <v>12455</v>
      </c>
      <c r="D1063" s="44" t="s">
        <v>10681</v>
      </c>
      <c r="E1063" s="31"/>
      <c r="F1063" s="31" t="s">
        <v>4871</v>
      </c>
      <c r="G1063" s="31" t="n">
        <v>41</v>
      </c>
      <c r="H1063" s="31" t="s">
        <v>3692</v>
      </c>
      <c r="I1063" s="44" t="s">
        <v>4865</v>
      </c>
      <c r="J1063" s="45" t="s">
        <v>4873</v>
      </c>
      <c r="K1063" s="45" t="s">
        <v>4875</v>
      </c>
      <c r="L1063" s="31" t="n">
        <f aca="false">COUNTIF($B$3:$B$2205,$B1063)</f>
        <v>1</v>
      </c>
      <c r="M1063" s="44" t="str">
        <f aca="false">IFERROR(INDEX(SENTENCES!$T$3:$T$1802,MATCH($F1063,SENTENCES!$A$3:$A$1802,0)),"")</f>
        <v>• Chưa tới</v>
      </c>
    </row>
    <row r="1064" customFormat="false" ht="15" hidden="false" customHeight="false" outlineLevel="0" collapsed="false">
      <c r="A1064" s="31" t="n">
        <v>1062</v>
      </c>
      <c r="B1064" s="43" t="s">
        <v>12374</v>
      </c>
      <c r="C1064" s="34" t="s">
        <v>12456</v>
      </c>
      <c r="D1064" s="44" t="s">
        <v>10677</v>
      </c>
      <c r="E1064" s="31" t="s">
        <v>10707</v>
      </c>
      <c r="F1064" s="31" t="s">
        <v>4877</v>
      </c>
      <c r="G1064" s="31" t="n">
        <v>41</v>
      </c>
      <c r="H1064" s="31" t="s">
        <v>3692</v>
      </c>
      <c r="I1064" s="44" t="s">
        <v>4865</v>
      </c>
      <c r="J1064" s="45" t="s">
        <v>4879</v>
      </c>
      <c r="K1064" s="45" t="s">
        <v>4881</v>
      </c>
      <c r="L1064" s="31" t="n">
        <f aca="false">COUNTIF($B$3:$B$2205,$B1064)</f>
        <v>3</v>
      </c>
      <c r="M1064" s="44" t="str">
        <f aca="false">IFERROR(INDEX(SENTENCES!$T$3:$T$1802,MATCH($F1064,SENTENCES!$A$3:$A$1802,0)),"")</f>
        <v>• Chưa tới</v>
      </c>
    </row>
    <row r="1065" customFormat="false" ht="15" hidden="false" customHeight="false" outlineLevel="0" collapsed="false">
      <c r="A1065" s="31" t="n">
        <v>1063</v>
      </c>
      <c r="B1065" s="43" t="s">
        <v>12171</v>
      </c>
      <c r="C1065" s="34" t="s">
        <v>12172</v>
      </c>
      <c r="D1065" s="44" t="s">
        <v>10686</v>
      </c>
      <c r="E1065" s="31"/>
      <c r="F1065" s="31" t="s">
        <v>4877</v>
      </c>
      <c r="G1065" s="31" t="n">
        <v>41</v>
      </c>
      <c r="H1065" s="31" t="s">
        <v>3692</v>
      </c>
      <c r="I1065" s="44" t="s">
        <v>4865</v>
      </c>
      <c r="J1065" s="45" t="s">
        <v>4879</v>
      </c>
      <c r="K1065" s="45" t="s">
        <v>4881</v>
      </c>
      <c r="L1065" s="31" t="n">
        <f aca="false">COUNTIF($B$3:$B$2205,$B1065)</f>
        <v>3</v>
      </c>
      <c r="M1065" s="44" t="str">
        <f aca="false">IFERROR(INDEX(SENTENCES!$T$3:$T$1802,MATCH($F1065,SENTENCES!$A$3:$A$1802,0)),"")</f>
        <v>• Chưa tới</v>
      </c>
    </row>
    <row r="1066" customFormat="false" ht="15" hidden="false" customHeight="false" outlineLevel="0" collapsed="false">
      <c r="A1066" s="31" t="n">
        <v>1064</v>
      </c>
      <c r="B1066" s="43" t="s">
        <v>12457</v>
      </c>
      <c r="C1066" s="34" t="s">
        <v>12458</v>
      </c>
      <c r="D1066" s="44" t="s">
        <v>10681</v>
      </c>
      <c r="E1066" s="31"/>
      <c r="F1066" s="31" t="s">
        <v>4883</v>
      </c>
      <c r="G1066" s="31" t="n">
        <v>41</v>
      </c>
      <c r="H1066" s="31" t="s">
        <v>3692</v>
      </c>
      <c r="I1066" s="44" t="s">
        <v>4865</v>
      </c>
      <c r="J1066" s="45" t="s">
        <v>4885</v>
      </c>
      <c r="K1066" s="45" t="s">
        <v>4887</v>
      </c>
      <c r="L1066" s="31" t="n">
        <f aca="false">COUNTIF($B$3:$B$2205,$B1066)</f>
        <v>1</v>
      </c>
      <c r="M1066" s="44" t="str">
        <f aca="false">IFERROR(INDEX(SENTENCES!$T$3:$T$1802,MATCH($F1066,SENTENCES!$A$3:$A$1802,0)),"")</f>
        <v>• Chưa tới</v>
      </c>
    </row>
    <row r="1067" customFormat="false" ht="15" hidden="false" customHeight="false" outlineLevel="0" collapsed="false">
      <c r="A1067" s="31" t="n">
        <v>1065</v>
      </c>
      <c r="B1067" s="43" t="s">
        <v>9091</v>
      </c>
      <c r="C1067" s="34" t="s">
        <v>12459</v>
      </c>
      <c r="D1067" s="44" t="s">
        <v>10754</v>
      </c>
      <c r="E1067" s="31"/>
      <c r="F1067" s="31" t="s">
        <v>4889</v>
      </c>
      <c r="G1067" s="31" t="n">
        <v>41</v>
      </c>
      <c r="H1067" s="31" t="s">
        <v>3692</v>
      </c>
      <c r="I1067" s="44" t="s">
        <v>4865</v>
      </c>
      <c r="J1067" s="45" t="s">
        <v>4891</v>
      </c>
      <c r="K1067" s="45" t="s">
        <v>4893</v>
      </c>
      <c r="L1067" s="31" t="n">
        <f aca="false">COUNTIF($B$3:$B$2205,$B1067)</f>
        <v>3</v>
      </c>
      <c r="M1067" s="44" t="str">
        <f aca="false">IFERROR(INDEX(SENTENCES!$T$3:$T$1802,MATCH($F1067,SENTENCES!$A$3:$A$1802,0)),"")</f>
        <v>• Chưa tới</v>
      </c>
    </row>
    <row r="1068" customFormat="false" ht="15" hidden="false" customHeight="false" outlineLevel="0" collapsed="false">
      <c r="A1068" s="31" t="n">
        <v>1066</v>
      </c>
      <c r="B1068" s="43" t="s">
        <v>12460</v>
      </c>
      <c r="C1068" s="34" t="s">
        <v>12461</v>
      </c>
      <c r="D1068" s="44" t="s">
        <v>10686</v>
      </c>
      <c r="E1068" s="31"/>
      <c r="F1068" s="31" t="s">
        <v>4895</v>
      </c>
      <c r="G1068" s="31" t="n">
        <v>41</v>
      </c>
      <c r="H1068" s="31" t="s">
        <v>3692</v>
      </c>
      <c r="I1068" s="44" t="s">
        <v>4865</v>
      </c>
      <c r="J1068" s="45" t="s">
        <v>4897</v>
      </c>
      <c r="K1068" s="45" t="s">
        <v>4899</v>
      </c>
      <c r="L1068" s="31" t="n">
        <f aca="false">COUNTIF($B$3:$B$2205,$B1068)</f>
        <v>1</v>
      </c>
      <c r="M1068" s="44" t="str">
        <f aca="false">IFERROR(INDEX(SENTENCES!$T$3:$T$1802,MATCH($F1068,SENTENCES!$A$3:$A$1802,0)),"")</f>
        <v>• Chưa tới</v>
      </c>
    </row>
    <row r="1069" customFormat="false" ht="15" hidden="false" customHeight="false" outlineLevel="0" collapsed="false">
      <c r="A1069" s="31" t="n">
        <v>1067</v>
      </c>
      <c r="B1069" s="43" t="s">
        <v>12462</v>
      </c>
      <c r="C1069" s="34" t="s">
        <v>12463</v>
      </c>
      <c r="D1069" s="44" t="s">
        <v>10686</v>
      </c>
      <c r="E1069" s="31"/>
      <c r="F1069" s="31" t="s">
        <v>4895</v>
      </c>
      <c r="G1069" s="31" t="n">
        <v>41</v>
      </c>
      <c r="H1069" s="31" t="s">
        <v>3692</v>
      </c>
      <c r="I1069" s="44" t="s">
        <v>4865</v>
      </c>
      <c r="J1069" s="45" t="s">
        <v>4897</v>
      </c>
      <c r="K1069" s="45" t="s">
        <v>4899</v>
      </c>
      <c r="L1069" s="31" t="n">
        <f aca="false">COUNTIF($B$3:$B$2205,$B1069)</f>
        <v>1</v>
      </c>
      <c r="M1069" s="44" t="str">
        <f aca="false">IFERROR(INDEX(SENTENCES!$T$3:$T$1802,MATCH($F1069,SENTENCES!$A$3:$A$1802,0)),"")</f>
        <v>• Chưa tới</v>
      </c>
    </row>
    <row r="1070" customFormat="false" ht="15" hidden="false" customHeight="false" outlineLevel="0" collapsed="false">
      <c r="A1070" s="31" t="n">
        <v>1068</v>
      </c>
      <c r="B1070" s="43" t="s">
        <v>11428</v>
      </c>
      <c r="C1070" s="34" t="s">
        <v>11429</v>
      </c>
      <c r="D1070" s="44" t="s">
        <v>10681</v>
      </c>
      <c r="E1070" s="31"/>
      <c r="F1070" s="31" t="s">
        <v>4901</v>
      </c>
      <c r="G1070" s="31" t="n">
        <v>41</v>
      </c>
      <c r="H1070" s="31" t="s">
        <v>3692</v>
      </c>
      <c r="I1070" s="44" t="s">
        <v>4865</v>
      </c>
      <c r="J1070" s="45" t="s">
        <v>4903</v>
      </c>
      <c r="K1070" s="45" t="s">
        <v>4905</v>
      </c>
      <c r="L1070" s="31" t="n">
        <f aca="false">COUNTIF($B$3:$B$2205,$B1070)</f>
        <v>3</v>
      </c>
      <c r="M1070" s="44" t="str">
        <f aca="false">IFERROR(INDEX(SENTENCES!$T$3:$T$1802,MATCH($F1070,SENTENCES!$A$3:$A$1802,0)),"")</f>
        <v>• Chưa tới</v>
      </c>
    </row>
    <row r="1071" customFormat="false" ht="15" hidden="false" customHeight="false" outlineLevel="0" collapsed="false">
      <c r="A1071" s="31" t="n">
        <v>1069</v>
      </c>
      <c r="B1071" s="43" t="s">
        <v>12464</v>
      </c>
      <c r="C1071" s="34" t="s">
        <v>12465</v>
      </c>
      <c r="D1071" s="44" t="s">
        <v>10681</v>
      </c>
      <c r="E1071" s="31"/>
      <c r="F1071" s="31" t="s">
        <v>4906</v>
      </c>
      <c r="G1071" s="31" t="n">
        <v>41</v>
      </c>
      <c r="H1071" s="31" t="s">
        <v>3692</v>
      </c>
      <c r="I1071" s="44" t="s">
        <v>4865</v>
      </c>
      <c r="J1071" s="45" t="s">
        <v>4908</v>
      </c>
      <c r="K1071" s="45" t="s">
        <v>4910</v>
      </c>
      <c r="L1071" s="31" t="n">
        <f aca="false">COUNTIF($B$3:$B$2205,$B1071)</f>
        <v>1</v>
      </c>
      <c r="M1071" s="44" t="str">
        <f aca="false">IFERROR(INDEX(SENTENCES!$T$3:$T$1802,MATCH($F1071,SENTENCES!$A$3:$A$1802,0)),"")</f>
        <v>• Chưa tới</v>
      </c>
    </row>
    <row r="1072" customFormat="false" ht="15" hidden="false" customHeight="false" outlineLevel="0" collapsed="false">
      <c r="A1072" s="31" t="n">
        <v>1070</v>
      </c>
      <c r="B1072" s="43" t="s">
        <v>11922</v>
      </c>
      <c r="C1072" s="34" t="s">
        <v>12466</v>
      </c>
      <c r="D1072" s="44" t="s">
        <v>10686</v>
      </c>
      <c r="E1072" s="31"/>
      <c r="F1072" s="31" t="s">
        <v>4906</v>
      </c>
      <c r="G1072" s="31" t="n">
        <v>41</v>
      </c>
      <c r="H1072" s="31" t="s">
        <v>3692</v>
      </c>
      <c r="I1072" s="44" t="s">
        <v>4865</v>
      </c>
      <c r="J1072" s="45" t="s">
        <v>4908</v>
      </c>
      <c r="K1072" s="45" t="s">
        <v>4910</v>
      </c>
      <c r="L1072" s="31" t="n">
        <f aca="false">COUNTIF($B$3:$B$2205,$B1072)</f>
        <v>3</v>
      </c>
      <c r="M1072" s="44" t="str">
        <f aca="false">IFERROR(INDEX(SENTENCES!$T$3:$T$1802,MATCH($F1072,SENTENCES!$A$3:$A$1802,0)),"")</f>
        <v>• Chưa tới</v>
      </c>
    </row>
    <row r="1073" customFormat="false" ht="15" hidden="false" customHeight="false" outlineLevel="0" collapsed="false">
      <c r="A1073" s="31" t="n">
        <v>1071</v>
      </c>
      <c r="B1073" s="43" t="s">
        <v>12107</v>
      </c>
      <c r="C1073" s="34" t="s">
        <v>12108</v>
      </c>
      <c r="D1073" s="44" t="s">
        <v>10686</v>
      </c>
      <c r="E1073" s="31"/>
      <c r="F1073" s="31" t="s">
        <v>4912</v>
      </c>
      <c r="G1073" s="31" t="n">
        <v>41</v>
      </c>
      <c r="H1073" s="31" t="s">
        <v>3692</v>
      </c>
      <c r="I1073" s="44" t="s">
        <v>4865</v>
      </c>
      <c r="J1073" s="45" t="s">
        <v>4914</v>
      </c>
      <c r="K1073" s="45" t="s">
        <v>4916</v>
      </c>
      <c r="L1073" s="31" t="n">
        <f aca="false">COUNTIF($B$3:$B$2205,$B1073)</f>
        <v>3</v>
      </c>
      <c r="M1073" s="44" t="str">
        <f aca="false">IFERROR(INDEX(SENTENCES!$T$3:$T$1802,MATCH($F1073,SENTENCES!$A$3:$A$1802,0)),"")</f>
        <v>• Chưa tới</v>
      </c>
    </row>
    <row r="1074" customFormat="false" ht="15" hidden="false" customHeight="false" outlineLevel="0" collapsed="false">
      <c r="A1074" s="31" t="n">
        <v>1072</v>
      </c>
      <c r="B1074" s="43" t="s">
        <v>12467</v>
      </c>
      <c r="C1074" s="34" t="s">
        <v>12468</v>
      </c>
      <c r="D1074" s="44" t="s">
        <v>10794</v>
      </c>
      <c r="E1074" s="31"/>
      <c r="F1074" s="31" t="s">
        <v>4917</v>
      </c>
      <c r="G1074" s="31" t="n">
        <v>41</v>
      </c>
      <c r="H1074" s="31" t="s">
        <v>3692</v>
      </c>
      <c r="I1074" s="44" t="s">
        <v>4865</v>
      </c>
      <c r="J1074" s="45" t="s">
        <v>4919</v>
      </c>
      <c r="K1074" s="45" t="s">
        <v>4921</v>
      </c>
      <c r="L1074" s="31" t="n">
        <f aca="false">COUNTIF($B$3:$B$2205,$B1074)</f>
        <v>1</v>
      </c>
      <c r="M1074" s="44" t="str">
        <f aca="false">IFERROR(INDEX(SENTENCES!$T$3:$T$1802,MATCH($F1074,SENTENCES!$A$3:$A$1802,0)),"")</f>
        <v>• Chưa tới</v>
      </c>
    </row>
    <row r="1075" customFormat="false" ht="15" hidden="false" customHeight="false" outlineLevel="0" collapsed="false">
      <c r="A1075" s="31" t="n">
        <v>1073</v>
      </c>
      <c r="B1075" s="43" t="s">
        <v>11135</v>
      </c>
      <c r="C1075" s="34" t="s">
        <v>12327</v>
      </c>
      <c r="D1075" s="44" t="s">
        <v>10686</v>
      </c>
      <c r="E1075" s="31"/>
      <c r="F1075" s="31" t="s">
        <v>4923</v>
      </c>
      <c r="G1075" s="31" t="n">
        <v>41</v>
      </c>
      <c r="H1075" s="31" t="s">
        <v>3692</v>
      </c>
      <c r="I1075" s="44" t="s">
        <v>4865</v>
      </c>
      <c r="J1075" s="45" t="s">
        <v>4925</v>
      </c>
      <c r="K1075" s="45" t="s">
        <v>4927</v>
      </c>
      <c r="L1075" s="31" t="n">
        <f aca="false">COUNTIF($B$3:$B$2205,$B1075)</f>
        <v>4</v>
      </c>
      <c r="M1075" s="44" t="str">
        <f aca="false">IFERROR(INDEX(SENTENCES!$T$3:$T$1802,MATCH($F1075,SENTENCES!$A$3:$A$1802,0)),"")</f>
        <v>• Chưa tới</v>
      </c>
    </row>
    <row r="1076" customFormat="false" ht="15" hidden="false" customHeight="false" outlineLevel="0" collapsed="false">
      <c r="A1076" s="31" t="n">
        <v>1074</v>
      </c>
      <c r="B1076" s="43" t="s">
        <v>12469</v>
      </c>
      <c r="C1076" s="34" t="s">
        <v>12470</v>
      </c>
      <c r="D1076" s="44" t="s">
        <v>10686</v>
      </c>
      <c r="E1076" s="31"/>
      <c r="F1076" s="31" t="s">
        <v>4928</v>
      </c>
      <c r="G1076" s="31" t="n">
        <v>41</v>
      </c>
      <c r="H1076" s="31" t="s">
        <v>3692</v>
      </c>
      <c r="I1076" s="44" t="s">
        <v>4865</v>
      </c>
      <c r="J1076" s="45" t="s">
        <v>4930</v>
      </c>
      <c r="K1076" s="45" t="s">
        <v>4932</v>
      </c>
      <c r="L1076" s="31" t="n">
        <f aca="false">COUNTIF($B$3:$B$2205,$B1076)</f>
        <v>1</v>
      </c>
      <c r="M1076" s="44" t="str">
        <f aca="false">IFERROR(INDEX(SENTENCES!$T$3:$T$1802,MATCH($F1076,SENTENCES!$A$3:$A$1802,0)),"")</f>
        <v>• Chưa tới</v>
      </c>
    </row>
    <row r="1077" customFormat="false" ht="15" hidden="false" customHeight="false" outlineLevel="0" collapsed="false">
      <c r="A1077" s="31" t="n">
        <v>1075</v>
      </c>
      <c r="B1077" s="43" t="s">
        <v>12471</v>
      </c>
      <c r="C1077" s="34" t="s">
        <v>12465</v>
      </c>
      <c r="D1077" s="44" t="s">
        <v>10681</v>
      </c>
      <c r="E1077" s="31"/>
      <c r="F1077" s="31" t="s">
        <v>4934</v>
      </c>
      <c r="G1077" s="31" t="n">
        <v>41</v>
      </c>
      <c r="H1077" s="31" t="s">
        <v>3692</v>
      </c>
      <c r="I1077" s="44" t="s">
        <v>4865</v>
      </c>
      <c r="J1077" s="45" t="s">
        <v>4936</v>
      </c>
      <c r="K1077" s="45" t="s">
        <v>4938</v>
      </c>
      <c r="L1077" s="31" t="n">
        <f aca="false">COUNTIF($B$3:$B$2205,$B1077)</f>
        <v>1</v>
      </c>
      <c r="M1077" s="44" t="str">
        <f aca="false">IFERROR(INDEX(SENTENCES!$T$3:$T$1802,MATCH($F1077,SENTENCES!$A$3:$A$1802,0)),"")</f>
        <v>• Chưa tới</v>
      </c>
    </row>
    <row r="1078" customFormat="false" ht="15" hidden="false" customHeight="false" outlineLevel="0" collapsed="false">
      <c r="A1078" s="31" t="n">
        <v>1076</v>
      </c>
      <c r="B1078" s="43" t="s">
        <v>12445</v>
      </c>
      <c r="C1078" s="34" t="s">
        <v>12446</v>
      </c>
      <c r="D1078" s="44" t="s">
        <v>10677</v>
      </c>
      <c r="E1078" s="31" t="s">
        <v>10678</v>
      </c>
      <c r="F1078" s="31" t="s">
        <v>4934</v>
      </c>
      <c r="G1078" s="31" t="n">
        <v>41</v>
      </c>
      <c r="H1078" s="31" t="s">
        <v>3692</v>
      </c>
      <c r="I1078" s="44" t="s">
        <v>4865</v>
      </c>
      <c r="J1078" s="45" t="s">
        <v>4936</v>
      </c>
      <c r="K1078" s="45" t="s">
        <v>4938</v>
      </c>
      <c r="L1078" s="31" t="n">
        <f aca="false">COUNTIF($B$3:$B$2205,$B1078)</f>
        <v>2</v>
      </c>
      <c r="M1078" s="44" t="str">
        <f aca="false">IFERROR(INDEX(SENTENCES!$T$3:$T$1802,MATCH($F1078,SENTENCES!$A$3:$A$1802,0)),"")</f>
        <v>• Chưa tới</v>
      </c>
    </row>
    <row r="1079" customFormat="false" ht="15" hidden="false" customHeight="false" outlineLevel="0" collapsed="false">
      <c r="A1079" s="31" t="n">
        <v>1077</v>
      </c>
      <c r="B1079" s="43" t="s">
        <v>10818</v>
      </c>
      <c r="C1079" s="34" t="s">
        <v>10819</v>
      </c>
      <c r="D1079" s="44" t="s">
        <v>10686</v>
      </c>
      <c r="E1079" s="31"/>
      <c r="F1079" s="31" t="s">
        <v>4940</v>
      </c>
      <c r="G1079" s="31" t="n">
        <v>41</v>
      </c>
      <c r="H1079" s="31" t="s">
        <v>3692</v>
      </c>
      <c r="I1079" s="44" t="s">
        <v>4865</v>
      </c>
      <c r="J1079" s="45" t="s">
        <v>4942</v>
      </c>
      <c r="K1079" s="45" t="s">
        <v>4944</v>
      </c>
      <c r="L1079" s="31" t="n">
        <f aca="false">COUNTIF($B$3:$B$2205,$B1079)</f>
        <v>4</v>
      </c>
      <c r="M1079" s="44" t="str">
        <f aca="false">IFERROR(INDEX(SENTENCES!$T$3:$T$1802,MATCH($F1079,SENTENCES!$A$3:$A$1802,0)),"")</f>
        <v>• Chưa tới</v>
      </c>
    </row>
    <row r="1080" customFormat="false" ht="15" hidden="false" customHeight="false" outlineLevel="0" collapsed="false">
      <c r="A1080" s="31" t="n">
        <v>1078</v>
      </c>
      <c r="B1080" s="43" t="s">
        <v>12472</v>
      </c>
      <c r="C1080" s="34" t="s">
        <v>12473</v>
      </c>
      <c r="D1080" s="44" t="s">
        <v>10686</v>
      </c>
      <c r="E1080" s="31"/>
      <c r="F1080" s="31" t="s">
        <v>4945</v>
      </c>
      <c r="G1080" s="31" t="n">
        <v>41</v>
      </c>
      <c r="H1080" s="31" t="s">
        <v>3692</v>
      </c>
      <c r="I1080" s="44" t="s">
        <v>4865</v>
      </c>
      <c r="J1080" s="45" t="s">
        <v>4947</v>
      </c>
      <c r="K1080" s="45" t="s">
        <v>4949</v>
      </c>
      <c r="L1080" s="31" t="n">
        <f aca="false">COUNTIF($B$3:$B$2205,$B1080)</f>
        <v>1</v>
      </c>
      <c r="M1080" s="44" t="str">
        <f aca="false">IFERROR(INDEX(SENTENCES!$T$3:$T$1802,MATCH($F1080,SENTENCES!$A$3:$A$1802,0)),"")</f>
        <v>• Chưa tới</v>
      </c>
    </row>
    <row r="1081" customFormat="false" ht="15" hidden="false" customHeight="false" outlineLevel="0" collapsed="false">
      <c r="A1081" s="31" t="n">
        <v>1079</v>
      </c>
      <c r="B1081" s="43" t="s">
        <v>11617</v>
      </c>
      <c r="C1081" s="34" t="s">
        <v>12474</v>
      </c>
      <c r="D1081" s="44" t="s">
        <v>10686</v>
      </c>
      <c r="E1081" s="31"/>
      <c r="F1081" s="31" t="s">
        <v>4951</v>
      </c>
      <c r="G1081" s="31" t="n">
        <v>41</v>
      </c>
      <c r="H1081" s="31" t="s">
        <v>3692</v>
      </c>
      <c r="I1081" s="44" t="s">
        <v>4865</v>
      </c>
      <c r="J1081" s="45" t="s">
        <v>4953</v>
      </c>
      <c r="K1081" s="45" t="s">
        <v>4955</v>
      </c>
      <c r="L1081" s="31" t="n">
        <f aca="false">COUNTIF($B$3:$B$2205,$B1081)</f>
        <v>3</v>
      </c>
      <c r="M1081" s="44" t="str">
        <f aca="false">IFERROR(INDEX(SENTENCES!$T$3:$T$1802,MATCH($F1081,SENTENCES!$A$3:$A$1802,0)),"")</f>
        <v>• Chưa tới</v>
      </c>
    </row>
    <row r="1082" customFormat="false" ht="15" hidden="false" customHeight="false" outlineLevel="0" collapsed="false">
      <c r="A1082" s="31" t="n">
        <v>1080</v>
      </c>
      <c r="B1082" s="43" t="s">
        <v>12475</v>
      </c>
      <c r="C1082" s="34" t="s">
        <v>12476</v>
      </c>
      <c r="D1082" s="44" t="s">
        <v>10677</v>
      </c>
      <c r="E1082" s="31" t="s">
        <v>10747</v>
      </c>
      <c r="F1082" s="31" t="s">
        <v>4957</v>
      </c>
      <c r="G1082" s="31" t="n">
        <v>41</v>
      </c>
      <c r="H1082" s="31" t="s">
        <v>3692</v>
      </c>
      <c r="I1082" s="44" t="s">
        <v>4865</v>
      </c>
      <c r="J1082" s="45" t="s">
        <v>4958</v>
      </c>
      <c r="K1082" s="45" t="s">
        <v>4960</v>
      </c>
      <c r="L1082" s="31" t="n">
        <f aca="false">COUNTIF($B$3:$B$2205,$B1082)</f>
        <v>1</v>
      </c>
      <c r="M1082" s="44" t="str">
        <f aca="false">IFERROR(INDEX(SENTENCES!$T$3:$T$1802,MATCH($F1082,SENTENCES!$A$3:$A$1802,0)),"")</f>
        <v>• Chưa tới</v>
      </c>
    </row>
    <row r="1083" customFormat="false" ht="15" hidden="false" customHeight="false" outlineLevel="0" collapsed="false">
      <c r="A1083" s="31" t="n">
        <v>1081</v>
      </c>
      <c r="B1083" s="43" t="s">
        <v>12477</v>
      </c>
      <c r="C1083" s="34" t="s">
        <v>12341</v>
      </c>
      <c r="D1083" s="44" t="s">
        <v>10686</v>
      </c>
      <c r="E1083" s="31"/>
      <c r="F1083" s="31" t="s">
        <v>4962</v>
      </c>
      <c r="G1083" s="31" t="n">
        <v>41</v>
      </c>
      <c r="H1083" s="31" t="s">
        <v>3692</v>
      </c>
      <c r="I1083" s="44" t="s">
        <v>4865</v>
      </c>
      <c r="J1083" s="45" t="s">
        <v>4964</v>
      </c>
      <c r="K1083" s="45" t="s">
        <v>4966</v>
      </c>
      <c r="L1083" s="31" t="n">
        <f aca="false">COUNTIF($B$3:$B$2205,$B1083)</f>
        <v>2</v>
      </c>
      <c r="M1083" s="44" t="str">
        <f aca="false">IFERROR(INDEX(SENTENCES!$T$3:$T$1802,MATCH($F1083,SENTENCES!$A$3:$A$1802,0)),"")</f>
        <v>• Chưa tới</v>
      </c>
    </row>
    <row r="1084" customFormat="false" ht="15" hidden="false" customHeight="false" outlineLevel="0" collapsed="false">
      <c r="A1084" s="31" t="n">
        <v>1082</v>
      </c>
      <c r="B1084" s="43" t="s">
        <v>12478</v>
      </c>
      <c r="C1084" s="34" t="s">
        <v>12479</v>
      </c>
      <c r="D1084" s="44" t="s">
        <v>10677</v>
      </c>
      <c r="E1084" s="31" t="s">
        <v>10678</v>
      </c>
      <c r="F1084" s="31" t="s">
        <v>4968</v>
      </c>
      <c r="G1084" s="31" t="n">
        <v>41</v>
      </c>
      <c r="H1084" s="31" t="s">
        <v>3692</v>
      </c>
      <c r="I1084" s="44" t="s">
        <v>4865</v>
      </c>
      <c r="J1084" s="45" t="s">
        <v>4970</v>
      </c>
      <c r="K1084" s="45" t="s">
        <v>4972</v>
      </c>
      <c r="L1084" s="31" t="n">
        <f aca="false">COUNTIF($B$3:$B$2205,$B1084)</f>
        <v>1</v>
      </c>
      <c r="M1084" s="44" t="str">
        <f aca="false">IFERROR(INDEX(SENTENCES!$T$3:$T$1802,MATCH($F1084,SENTENCES!$A$3:$A$1802,0)),"")</f>
        <v>• Chưa tới</v>
      </c>
    </row>
    <row r="1085" customFormat="false" ht="15" hidden="false" customHeight="false" outlineLevel="0" collapsed="false">
      <c r="A1085" s="31" t="n">
        <v>1083</v>
      </c>
      <c r="B1085" s="43" t="s">
        <v>11579</v>
      </c>
      <c r="C1085" s="34" t="s">
        <v>11580</v>
      </c>
      <c r="D1085" s="44" t="s">
        <v>10686</v>
      </c>
      <c r="E1085" s="31"/>
      <c r="F1085" s="31" t="s">
        <v>4974</v>
      </c>
      <c r="G1085" s="31" t="n">
        <v>41</v>
      </c>
      <c r="H1085" s="31" t="s">
        <v>3692</v>
      </c>
      <c r="I1085" s="44" t="s">
        <v>4865</v>
      </c>
      <c r="J1085" s="45" t="s">
        <v>4976</v>
      </c>
      <c r="K1085" s="45" t="s">
        <v>4978</v>
      </c>
      <c r="L1085" s="31" t="n">
        <f aca="false">COUNTIF($B$3:$B$2205,$B1085)</f>
        <v>2</v>
      </c>
      <c r="M1085" s="44" t="str">
        <f aca="false">IFERROR(INDEX(SENTENCES!$T$3:$T$1802,MATCH($F1085,SENTENCES!$A$3:$A$1802,0)),"")</f>
        <v>• Chưa tới</v>
      </c>
    </row>
    <row r="1086" customFormat="false" ht="15" hidden="false" customHeight="false" outlineLevel="0" collapsed="false">
      <c r="A1086" s="31" t="n">
        <v>1084</v>
      </c>
      <c r="B1086" s="43" t="s">
        <v>12480</v>
      </c>
      <c r="C1086" s="34" t="s">
        <v>12481</v>
      </c>
      <c r="D1086" s="44" t="s">
        <v>10686</v>
      </c>
      <c r="E1086" s="31"/>
      <c r="F1086" s="31" t="s">
        <v>4979</v>
      </c>
      <c r="G1086" s="31" t="n">
        <v>42</v>
      </c>
      <c r="H1086" s="31" t="s">
        <v>3692</v>
      </c>
      <c r="I1086" s="44" t="s">
        <v>4980</v>
      </c>
      <c r="J1086" s="45" t="s">
        <v>4982</v>
      </c>
      <c r="K1086" s="45" t="s">
        <v>4984</v>
      </c>
      <c r="L1086" s="31" t="n">
        <f aca="false">COUNTIF($B$3:$B$2205,$B1086)</f>
        <v>1</v>
      </c>
      <c r="M1086" s="44" t="str">
        <f aca="false">IFERROR(INDEX(SENTENCES!$T$3:$T$1802,MATCH($F1086,SENTENCES!$A$3:$A$1802,0)),"")</f>
        <v>• Chưa tới</v>
      </c>
    </row>
    <row r="1087" customFormat="false" ht="15" hidden="false" customHeight="false" outlineLevel="0" collapsed="false">
      <c r="A1087" s="31" t="n">
        <v>1085</v>
      </c>
      <c r="B1087" s="43" t="s">
        <v>11121</v>
      </c>
      <c r="C1087" s="34" t="s">
        <v>11122</v>
      </c>
      <c r="D1087" s="44" t="s">
        <v>10677</v>
      </c>
      <c r="E1087" s="31" t="s">
        <v>10678</v>
      </c>
      <c r="F1087" s="31" t="s">
        <v>4986</v>
      </c>
      <c r="G1087" s="31" t="n">
        <v>42</v>
      </c>
      <c r="H1087" s="31" t="s">
        <v>3692</v>
      </c>
      <c r="I1087" s="44" t="s">
        <v>4980</v>
      </c>
      <c r="J1087" s="45" t="s">
        <v>4988</v>
      </c>
      <c r="K1087" s="45" t="s">
        <v>4990</v>
      </c>
      <c r="L1087" s="31" t="n">
        <f aca="false">COUNTIF($B$3:$B$2205,$B1087)</f>
        <v>4</v>
      </c>
      <c r="M1087" s="44" t="str">
        <f aca="false">IFERROR(INDEX(SENTENCES!$T$3:$T$1802,MATCH($F1087,SENTENCES!$A$3:$A$1802,0)),"")</f>
        <v>• Chưa tới</v>
      </c>
    </row>
    <row r="1088" customFormat="false" ht="15" hidden="false" customHeight="false" outlineLevel="0" collapsed="false">
      <c r="A1088" s="31" t="n">
        <v>1086</v>
      </c>
      <c r="B1088" s="43" t="s">
        <v>11174</v>
      </c>
      <c r="C1088" s="34" t="s">
        <v>11175</v>
      </c>
      <c r="D1088" s="44" t="s">
        <v>10686</v>
      </c>
      <c r="E1088" s="31"/>
      <c r="F1088" s="31" t="s">
        <v>4991</v>
      </c>
      <c r="G1088" s="31" t="n">
        <v>42</v>
      </c>
      <c r="H1088" s="31" t="s">
        <v>3692</v>
      </c>
      <c r="I1088" s="44" t="s">
        <v>4980</v>
      </c>
      <c r="J1088" s="45" t="s">
        <v>4993</v>
      </c>
      <c r="K1088" s="45" t="s">
        <v>4995</v>
      </c>
      <c r="L1088" s="31" t="n">
        <f aca="false">COUNTIF($B$3:$B$2205,$B1088)</f>
        <v>2</v>
      </c>
      <c r="M1088" s="44" t="str">
        <f aca="false">IFERROR(INDEX(SENTENCES!$T$3:$T$1802,MATCH($F1088,SENTENCES!$A$3:$A$1802,0)),"")</f>
        <v>• Chưa tới</v>
      </c>
    </row>
    <row r="1089" customFormat="false" ht="15" hidden="false" customHeight="false" outlineLevel="0" collapsed="false">
      <c r="A1089" s="31" t="n">
        <v>1087</v>
      </c>
      <c r="B1089" s="43" t="s">
        <v>12482</v>
      </c>
      <c r="C1089" s="34" t="s">
        <v>11573</v>
      </c>
      <c r="D1089" s="44" t="s">
        <v>10686</v>
      </c>
      <c r="E1089" s="31"/>
      <c r="F1089" s="31" t="s">
        <v>4997</v>
      </c>
      <c r="G1089" s="31" t="n">
        <v>42</v>
      </c>
      <c r="H1089" s="31" t="s">
        <v>3692</v>
      </c>
      <c r="I1089" s="44" t="s">
        <v>4980</v>
      </c>
      <c r="J1089" s="45" t="s">
        <v>4999</v>
      </c>
      <c r="K1089" s="45" t="s">
        <v>5001</v>
      </c>
      <c r="L1089" s="31" t="n">
        <f aca="false">COUNTIF($B$3:$B$2205,$B1089)</f>
        <v>1</v>
      </c>
      <c r="M1089" s="44" t="str">
        <f aca="false">IFERROR(INDEX(SENTENCES!$T$3:$T$1802,MATCH($F1089,SENTENCES!$A$3:$A$1802,0)),"")</f>
        <v>• Chưa tới</v>
      </c>
    </row>
    <row r="1090" customFormat="false" ht="15" hidden="false" customHeight="false" outlineLevel="0" collapsed="false">
      <c r="A1090" s="31" t="n">
        <v>1088</v>
      </c>
      <c r="B1090" s="43" t="s">
        <v>12483</v>
      </c>
      <c r="C1090" s="34" t="s">
        <v>12484</v>
      </c>
      <c r="D1090" s="44" t="s">
        <v>10681</v>
      </c>
      <c r="E1090" s="31"/>
      <c r="F1090" s="31" t="s">
        <v>5003</v>
      </c>
      <c r="G1090" s="31" t="n">
        <v>42</v>
      </c>
      <c r="H1090" s="31" t="s">
        <v>3692</v>
      </c>
      <c r="I1090" s="44" t="s">
        <v>4980</v>
      </c>
      <c r="J1090" s="45" t="s">
        <v>5005</v>
      </c>
      <c r="K1090" s="45" t="s">
        <v>5007</v>
      </c>
      <c r="L1090" s="31" t="n">
        <f aca="false">COUNTIF($B$3:$B$2205,$B1090)</f>
        <v>2</v>
      </c>
      <c r="M1090" s="44" t="str">
        <f aca="false">IFERROR(INDEX(SENTENCES!$T$3:$T$1802,MATCH($F1090,SENTENCES!$A$3:$A$1802,0)),"")</f>
        <v>• Chưa tới</v>
      </c>
    </row>
    <row r="1091" customFormat="false" ht="15" hidden="false" customHeight="false" outlineLevel="0" collapsed="false">
      <c r="A1091" s="31" t="n">
        <v>1089</v>
      </c>
      <c r="B1091" s="43" t="s">
        <v>12485</v>
      </c>
      <c r="C1091" s="34" t="s">
        <v>12486</v>
      </c>
      <c r="D1091" s="44" t="s">
        <v>10681</v>
      </c>
      <c r="E1091" s="31"/>
      <c r="F1091" s="31" t="s">
        <v>5009</v>
      </c>
      <c r="G1091" s="31" t="n">
        <v>42</v>
      </c>
      <c r="H1091" s="31" t="s">
        <v>3692</v>
      </c>
      <c r="I1091" s="44" t="s">
        <v>4980</v>
      </c>
      <c r="J1091" s="45" t="s">
        <v>5011</v>
      </c>
      <c r="K1091" s="45" t="s">
        <v>5013</v>
      </c>
      <c r="L1091" s="31" t="n">
        <f aca="false">COUNTIF($B$3:$B$2205,$B1091)</f>
        <v>2</v>
      </c>
      <c r="M1091" s="44" t="str">
        <f aca="false">IFERROR(INDEX(SENTENCES!$T$3:$T$1802,MATCH($F1091,SENTENCES!$A$3:$A$1802,0)),"")</f>
        <v>• Chưa tới</v>
      </c>
    </row>
    <row r="1092" customFormat="false" ht="15" hidden="false" customHeight="false" outlineLevel="0" collapsed="false">
      <c r="A1092" s="31" t="n">
        <v>1090</v>
      </c>
      <c r="B1092" s="43" t="s">
        <v>12076</v>
      </c>
      <c r="C1092" s="34" t="s">
        <v>12088</v>
      </c>
      <c r="D1092" s="44" t="s">
        <v>10686</v>
      </c>
      <c r="E1092" s="31"/>
      <c r="F1092" s="31" t="s">
        <v>5009</v>
      </c>
      <c r="G1092" s="31" t="n">
        <v>42</v>
      </c>
      <c r="H1092" s="31" t="s">
        <v>3692</v>
      </c>
      <c r="I1092" s="44" t="s">
        <v>4980</v>
      </c>
      <c r="J1092" s="45" t="s">
        <v>5011</v>
      </c>
      <c r="K1092" s="45" t="s">
        <v>5013</v>
      </c>
      <c r="L1092" s="31" t="n">
        <f aca="false">COUNTIF($B$3:$B$2205,$B1092)</f>
        <v>4</v>
      </c>
      <c r="M1092" s="44" t="str">
        <f aca="false">IFERROR(INDEX(SENTENCES!$T$3:$T$1802,MATCH($F1092,SENTENCES!$A$3:$A$1802,0)),"")</f>
        <v>• Chưa tới</v>
      </c>
    </row>
    <row r="1093" customFormat="false" ht="15" hidden="false" customHeight="false" outlineLevel="0" collapsed="false">
      <c r="A1093" s="31" t="n">
        <v>1091</v>
      </c>
      <c r="B1093" s="43" t="s">
        <v>11382</v>
      </c>
      <c r="C1093" s="34" t="s">
        <v>12487</v>
      </c>
      <c r="D1093" s="44" t="s">
        <v>10686</v>
      </c>
      <c r="E1093" s="31"/>
      <c r="F1093" s="31" t="s">
        <v>5015</v>
      </c>
      <c r="G1093" s="31" t="n">
        <v>42</v>
      </c>
      <c r="H1093" s="31" t="s">
        <v>3692</v>
      </c>
      <c r="I1093" s="44" t="s">
        <v>4980</v>
      </c>
      <c r="J1093" s="45" t="s">
        <v>5017</v>
      </c>
      <c r="K1093" s="45" t="s">
        <v>5019</v>
      </c>
      <c r="L1093" s="31" t="n">
        <f aca="false">COUNTIF($B$3:$B$2205,$B1093)</f>
        <v>4</v>
      </c>
      <c r="M1093" s="44" t="str">
        <f aca="false">IFERROR(INDEX(SENTENCES!$T$3:$T$1802,MATCH($F1093,SENTENCES!$A$3:$A$1802,0)),"")</f>
        <v>• Chưa tới</v>
      </c>
    </row>
    <row r="1094" customFormat="false" ht="15" hidden="false" customHeight="false" outlineLevel="0" collapsed="false">
      <c r="A1094" s="31" t="n">
        <v>1092</v>
      </c>
      <c r="B1094" s="43" t="s">
        <v>12488</v>
      </c>
      <c r="C1094" s="34" t="s">
        <v>12366</v>
      </c>
      <c r="D1094" s="44" t="s">
        <v>10686</v>
      </c>
      <c r="E1094" s="31"/>
      <c r="F1094" s="31" t="s">
        <v>5021</v>
      </c>
      <c r="G1094" s="31" t="n">
        <v>42</v>
      </c>
      <c r="H1094" s="31" t="s">
        <v>3692</v>
      </c>
      <c r="I1094" s="44" t="s">
        <v>4980</v>
      </c>
      <c r="J1094" s="45" t="s">
        <v>5023</v>
      </c>
      <c r="K1094" s="45" t="s">
        <v>5025</v>
      </c>
      <c r="L1094" s="31" t="n">
        <f aca="false">COUNTIF($B$3:$B$2205,$B1094)</f>
        <v>1</v>
      </c>
      <c r="M1094" s="44" t="str">
        <f aca="false">IFERROR(INDEX(SENTENCES!$T$3:$T$1802,MATCH($F1094,SENTENCES!$A$3:$A$1802,0)),"")</f>
        <v>• Chưa tới</v>
      </c>
    </row>
    <row r="1095" customFormat="false" ht="15" hidden="false" customHeight="false" outlineLevel="0" collapsed="false">
      <c r="A1095" s="31" t="n">
        <v>1093</v>
      </c>
      <c r="B1095" s="43" t="s">
        <v>12489</v>
      </c>
      <c r="C1095" s="34" t="s">
        <v>12078</v>
      </c>
      <c r="D1095" s="44" t="s">
        <v>10794</v>
      </c>
      <c r="E1095" s="31"/>
      <c r="F1095" s="31" t="s">
        <v>5027</v>
      </c>
      <c r="G1095" s="31" t="n">
        <v>42</v>
      </c>
      <c r="H1095" s="31" t="s">
        <v>3692</v>
      </c>
      <c r="I1095" s="44" t="s">
        <v>4980</v>
      </c>
      <c r="J1095" s="45" t="s">
        <v>5029</v>
      </c>
      <c r="K1095" s="45" t="s">
        <v>5031</v>
      </c>
      <c r="L1095" s="31" t="n">
        <f aca="false">COUNTIF($B$3:$B$2205,$B1095)</f>
        <v>1</v>
      </c>
      <c r="M1095" s="44" t="str">
        <f aca="false">IFERROR(INDEX(SENTENCES!$T$3:$T$1802,MATCH($F1095,SENTENCES!$A$3:$A$1802,0)),"")</f>
        <v>• Chưa tới</v>
      </c>
    </row>
    <row r="1096" customFormat="false" ht="15" hidden="false" customHeight="false" outlineLevel="0" collapsed="false">
      <c r="A1096" s="31" t="n">
        <v>1094</v>
      </c>
      <c r="B1096" s="43" t="s">
        <v>12490</v>
      </c>
      <c r="C1096" s="34" t="s">
        <v>12369</v>
      </c>
      <c r="D1096" s="44" t="s">
        <v>10681</v>
      </c>
      <c r="E1096" s="31"/>
      <c r="F1096" s="31" t="s">
        <v>5033</v>
      </c>
      <c r="G1096" s="31" t="n">
        <v>42</v>
      </c>
      <c r="H1096" s="31" t="s">
        <v>3692</v>
      </c>
      <c r="I1096" s="44" t="s">
        <v>4980</v>
      </c>
      <c r="J1096" s="45" t="s">
        <v>5035</v>
      </c>
      <c r="K1096" s="45" t="s">
        <v>5037</v>
      </c>
      <c r="L1096" s="31" t="n">
        <f aca="false">COUNTIF($B$3:$B$2205,$B1096)</f>
        <v>2</v>
      </c>
      <c r="M1096" s="44" t="str">
        <f aca="false">IFERROR(INDEX(SENTENCES!$T$3:$T$1802,MATCH($F1096,SENTENCES!$A$3:$A$1802,0)),"")</f>
        <v>• Chưa tới</v>
      </c>
    </row>
    <row r="1097" customFormat="false" ht="15" hidden="false" customHeight="false" outlineLevel="0" collapsed="false">
      <c r="A1097" s="31" t="n">
        <v>1095</v>
      </c>
      <c r="B1097" s="43" t="s">
        <v>12491</v>
      </c>
      <c r="C1097" s="34" t="s">
        <v>12492</v>
      </c>
      <c r="D1097" s="44" t="s">
        <v>10686</v>
      </c>
      <c r="E1097" s="31"/>
      <c r="F1097" s="31" t="s">
        <v>5039</v>
      </c>
      <c r="G1097" s="31" t="n">
        <v>42</v>
      </c>
      <c r="H1097" s="31" t="s">
        <v>3692</v>
      </c>
      <c r="I1097" s="44" t="s">
        <v>4980</v>
      </c>
      <c r="J1097" s="45" t="s">
        <v>5041</v>
      </c>
      <c r="K1097" s="45" t="s">
        <v>5043</v>
      </c>
      <c r="L1097" s="31" t="n">
        <f aca="false">COUNTIF($B$3:$B$2205,$B1097)</f>
        <v>1</v>
      </c>
      <c r="M1097" s="44" t="str">
        <f aca="false">IFERROR(INDEX(SENTENCES!$T$3:$T$1802,MATCH($F1097,SENTENCES!$A$3:$A$1802,0)),"")</f>
        <v>• Chưa tới</v>
      </c>
    </row>
    <row r="1098" customFormat="false" ht="15" hidden="false" customHeight="false" outlineLevel="0" collapsed="false">
      <c r="A1098" s="31" t="n">
        <v>1096</v>
      </c>
      <c r="B1098" s="43" t="s">
        <v>11394</v>
      </c>
      <c r="C1098" s="34" t="s">
        <v>11395</v>
      </c>
      <c r="D1098" s="44" t="s">
        <v>10677</v>
      </c>
      <c r="E1098" s="31" t="s">
        <v>10707</v>
      </c>
      <c r="F1098" s="31" t="s">
        <v>5045</v>
      </c>
      <c r="G1098" s="31" t="n">
        <v>42</v>
      </c>
      <c r="H1098" s="31" t="s">
        <v>3692</v>
      </c>
      <c r="I1098" s="44" t="s">
        <v>4980</v>
      </c>
      <c r="J1098" s="45" t="s">
        <v>5047</v>
      </c>
      <c r="K1098" s="45" t="s">
        <v>5049</v>
      </c>
      <c r="L1098" s="31" t="n">
        <f aca="false">COUNTIF($B$3:$B$2205,$B1098)</f>
        <v>2</v>
      </c>
      <c r="M1098" s="44" t="str">
        <f aca="false">IFERROR(INDEX(SENTENCES!$T$3:$T$1802,MATCH($F1098,SENTENCES!$A$3:$A$1802,0)),"")</f>
        <v>• Chưa tới</v>
      </c>
    </row>
    <row r="1099" customFormat="false" ht="15" hidden="false" customHeight="false" outlineLevel="0" collapsed="false">
      <c r="A1099" s="31" t="n">
        <v>1097</v>
      </c>
      <c r="B1099" s="43" t="s">
        <v>12493</v>
      </c>
      <c r="C1099" s="34" t="s">
        <v>12494</v>
      </c>
      <c r="D1099" s="44" t="s">
        <v>10794</v>
      </c>
      <c r="E1099" s="31"/>
      <c r="F1099" s="31" t="s">
        <v>5050</v>
      </c>
      <c r="G1099" s="31" t="n">
        <v>42</v>
      </c>
      <c r="H1099" s="31" t="s">
        <v>3692</v>
      </c>
      <c r="I1099" s="44" t="s">
        <v>4980</v>
      </c>
      <c r="J1099" s="45" t="s">
        <v>5051</v>
      </c>
      <c r="K1099" s="45" t="s">
        <v>5053</v>
      </c>
      <c r="L1099" s="31" t="n">
        <f aca="false">COUNTIF($B$3:$B$2205,$B1099)</f>
        <v>1</v>
      </c>
      <c r="M1099" s="44" t="str">
        <f aca="false">IFERROR(INDEX(SENTENCES!$T$3:$T$1802,MATCH($F1099,SENTENCES!$A$3:$A$1802,0)),"")</f>
        <v>• Chưa tới</v>
      </c>
    </row>
    <row r="1100" customFormat="false" ht="15" hidden="false" customHeight="false" outlineLevel="0" collapsed="false">
      <c r="A1100" s="31" t="n">
        <v>1098</v>
      </c>
      <c r="B1100" s="43" t="s">
        <v>12495</v>
      </c>
      <c r="C1100" s="34" t="s">
        <v>12496</v>
      </c>
      <c r="D1100" s="44" t="s">
        <v>10677</v>
      </c>
      <c r="E1100" s="31" t="s">
        <v>10707</v>
      </c>
      <c r="F1100" s="31" t="s">
        <v>5055</v>
      </c>
      <c r="G1100" s="31" t="n">
        <v>42</v>
      </c>
      <c r="H1100" s="31" t="s">
        <v>3692</v>
      </c>
      <c r="I1100" s="44" t="s">
        <v>4980</v>
      </c>
      <c r="J1100" s="45" t="s">
        <v>5057</v>
      </c>
      <c r="K1100" s="45" t="s">
        <v>5059</v>
      </c>
      <c r="L1100" s="31" t="n">
        <f aca="false">COUNTIF($B$3:$B$2205,$B1100)</f>
        <v>2</v>
      </c>
      <c r="M1100" s="44" t="str">
        <f aca="false">IFERROR(INDEX(SENTENCES!$T$3:$T$1802,MATCH($F1100,SENTENCES!$A$3:$A$1802,0)),"")</f>
        <v>• Chưa tới</v>
      </c>
    </row>
    <row r="1101" customFormat="false" ht="15" hidden="false" customHeight="false" outlineLevel="0" collapsed="false">
      <c r="A1101" s="31" t="n">
        <v>1099</v>
      </c>
      <c r="B1101" s="43" t="s">
        <v>12497</v>
      </c>
      <c r="C1101" s="34" t="s">
        <v>12498</v>
      </c>
      <c r="D1101" s="44" t="s">
        <v>10681</v>
      </c>
      <c r="E1101" s="31"/>
      <c r="F1101" s="31" t="s">
        <v>5061</v>
      </c>
      <c r="G1101" s="31" t="n">
        <v>42</v>
      </c>
      <c r="H1101" s="31" t="s">
        <v>3692</v>
      </c>
      <c r="I1101" s="44" t="s">
        <v>4980</v>
      </c>
      <c r="J1101" s="45" t="s">
        <v>5063</v>
      </c>
      <c r="K1101" s="45" t="s">
        <v>5065</v>
      </c>
      <c r="L1101" s="31" t="n">
        <f aca="false">COUNTIF($B$3:$B$2205,$B1101)</f>
        <v>1</v>
      </c>
      <c r="M1101" s="44" t="str">
        <f aca="false">IFERROR(INDEX(SENTENCES!$T$3:$T$1802,MATCH($F1101,SENTENCES!$A$3:$A$1802,0)),"")</f>
        <v>• Chưa tới</v>
      </c>
    </row>
    <row r="1102" customFormat="false" ht="15" hidden="false" customHeight="false" outlineLevel="0" collapsed="false">
      <c r="A1102" s="31" t="n">
        <v>1100</v>
      </c>
      <c r="B1102" s="43" t="s">
        <v>11650</v>
      </c>
      <c r="C1102" s="34" t="s">
        <v>11651</v>
      </c>
      <c r="D1102" s="44" t="s">
        <v>10677</v>
      </c>
      <c r="E1102" s="31" t="s">
        <v>10707</v>
      </c>
      <c r="F1102" s="31" t="s">
        <v>5067</v>
      </c>
      <c r="G1102" s="31" t="n">
        <v>42</v>
      </c>
      <c r="H1102" s="31" t="s">
        <v>3692</v>
      </c>
      <c r="I1102" s="44" t="s">
        <v>4980</v>
      </c>
      <c r="J1102" s="45" t="s">
        <v>5069</v>
      </c>
      <c r="K1102" s="45" t="s">
        <v>5071</v>
      </c>
      <c r="L1102" s="31" t="n">
        <f aca="false">COUNTIF($B$3:$B$2205,$B1102)</f>
        <v>2</v>
      </c>
      <c r="M1102" s="44" t="str">
        <f aca="false">IFERROR(INDEX(SENTENCES!$T$3:$T$1802,MATCH($F1102,SENTENCES!$A$3:$A$1802,0)),"")</f>
        <v>• Chưa tới</v>
      </c>
    </row>
    <row r="1103" customFormat="false" ht="15" hidden="false" customHeight="false" outlineLevel="0" collapsed="false">
      <c r="A1103" s="31" t="n">
        <v>1101</v>
      </c>
      <c r="B1103" s="43" t="s">
        <v>11593</v>
      </c>
      <c r="C1103" s="34" t="s">
        <v>11594</v>
      </c>
      <c r="D1103" s="44" t="s">
        <v>10681</v>
      </c>
      <c r="E1103" s="31"/>
      <c r="F1103" s="31" t="s">
        <v>5073</v>
      </c>
      <c r="G1103" s="31" t="n">
        <v>42</v>
      </c>
      <c r="H1103" s="31" t="s">
        <v>3692</v>
      </c>
      <c r="I1103" s="44" t="s">
        <v>4980</v>
      </c>
      <c r="J1103" s="45" t="s">
        <v>5075</v>
      </c>
      <c r="K1103" s="45" t="s">
        <v>5077</v>
      </c>
      <c r="L1103" s="31" t="n">
        <f aca="false">COUNTIF($B$3:$B$2205,$B1103)</f>
        <v>2</v>
      </c>
      <c r="M1103" s="44" t="str">
        <f aca="false">IFERROR(INDEX(SENTENCES!$T$3:$T$1802,MATCH($F1103,SENTENCES!$A$3:$A$1802,0)),"")</f>
        <v>• Chưa tới</v>
      </c>
    </row>
    <row r="1104" customFormat="false" ht="15" hidden="false" customHeight="false" outlineLevel="0" collapsed="false">
      <c r="A1104" s="31" t="n">
        <v>1102</v>
      </c>
      <c r="B1104" s="43" t="s">
        <v>12499</v>
      </c>
      <c r="C1104" s="34" t="s">
        <v>11185</v>
      </c>
      <c r="D1104" s="44" t="s">
        <v>10677</v>
      </c>
      <c r="E1104" s="31" t="s">
        <v>10678</v>
      </c>
      <c r="F1104" s="31" t="s">
        <v>5079</v>
      </c>
      <c r="G1104" s="31" t="n">
        <v>42</v>
      </c>
      <c r="H1104" s="31" t="s">
        <v>3692</v>
      </c>
      <c r="I1104" s="44" t="s">
        <v>4980</v>
      </c>
      <c r="J1104" s="45" t="s">
        <v>5081</v>
      </c>
      <c r="K1104" s="45" t="s">
        <v>5083</v>
      </c>
      <c r="L1104" s="31" t="n">
        <f aca="false">COUNTIF($B$3:$B$2205,$B1104)</f>
        <v>1</v>
      </c>
      <c r="M1104" s="44" t="str">
        <f aca="false">IFERROR(INDEX(SENTENCES!$T$3:$T$1802,MATCH($F1104,SENTENCES!$A$3:$A$1802,0)),"")</f>
        <v>• Chưa tới</v>
      </c>
    </row>
    <row r="1105" customFormat="false" ht="15" hidden="false" customHeight="false" outlineLevel="0" collapsed="false">
      <c r="A1105" s="31" t="n">
        <v>1103</v>
      </c>
      <c r="B1105" s="43" t="s">
        <v>12500</v>
      </c>
      <c r="C1105" s="34" t="s">
        <v>12501</v>
      </c>
      <c r="D1105" s="44" t="s">
        <v>10677</v>
      </c>
      <c r="E1105" s="31" t="s">
        <v>10707</v>
      </c>
      <c r="F1105" s="31" t="s">
        <v>5085</v>
      </c>
      <c r="G1105" s="31" t="n">
        <v>42</v>
      </c>
      <c r="H1105" s="31" t="s">
        <v>3692</v>
      </c>
      <c r="I1105" s="44" t="s">
        <v>4980</v>
      </c>
      <c r="J1105" s="45" t="s">
        <v>5087</v>
      </c>
      <c r="K1105" s="45" t="s">
        <v>5089</v>
      </c>
      <c r="L1105" s="31" t="n">
        <f aca="false">COUNTIF($B$3:$B$2205,$B1105)</f>
        <v>2</v>
      </c>
      <c r="M1105" s="44" t="str">
        <f aca="false">IFERROR(INDEX(SENTENCES!$T$3:$T$1802,MATCH($F1105,SENTENCES!$A$3:$A$1802,0)),"")</f>
        <v>• Chưa tới</v>
      </c>
    </row>
    <row r="1106" customFormat="false" ht="15" hidden="false" customHeight="false" outlineLevel="0" collapsed="false">
      <c r="A1106" s="31" t="n">
        <v>1104</v>
      </c>
      <c r="B1106" s="43" t="s">
        <v>12502</v>
      </c>
      <c r="C1106" s="34" t="s">
        <v>11444</v>
      </c>
      <c r="D1106" s="44" t="s">
        <v>10681</v>
      </c>
      <c r="E1106" s="31"/>
      <c r="F1106" s="31" t="s">
        <v>5091</v>
      </c>
      <c r="G1106" s="31" t="n">
        <v>42</v>
      </c>
      <c r="H1106" s="31" t="s">
        <v>3692</v>
      </c>
      <c r="I1106" s="44" t="s">
        <v>4980</v>
      </c>
      <c r="J1106" s="45" t="s">
        <v>5093</v>
      </c>
      <c r="K1106" s="45" t="s">
        <v>5095</v>
      </c>
      <c r="L1106" s="31" t="n">
        <f aca="false">COUNTIF($B$3:$B$2205,$B1106)</f>
        <v>3</v>
      </c>
      <c r="M1106" s="44" t="str">
        <f aca="false">IFERROR(INDEX(SENTENCES!$T$3:$T$1802,MATCH($F1106,SENTENCES!$A$3:$A$1802,0)),"")</f>
        <v>• Chưa tới</v>
      </c>
    </row>
    <row r="1107" customFormat="false" ht="15" hidden="false" customHeight="false" outlineLevel="0" collapsed="false">
      <c r="A1107" s="31" t="n">
        <v>1105</v>
      </c>
      <c r="B1107" s="43" t="s">
        <v>12503</v>
      </c>
      <c r="C1107" s="34" t="s">
        <v>12209</v>
      </c>
      <c r="D1107" s="44" t="s">
        <v>10681</v>
      </c>
      <c r="E1107" s="31"/>
      <c r="F1107" s="31" t="s">
        <v>5096</v>
      </c>
      <c r="G1107" s="31" t="n">
        <v>43</v>
      </c>
      <c r="H1107" s="31" t="s">
        <v>3692</v>
      </c>
      <c r="I1107" s="44" t="s">
        <v>5097</v>
      </c>
      <c r="J1107" s="45" t="s">
        <v>5099</v>
      </c>
      <c r="K1107" s="45" t="s">
        <v>5101</v>
      </c>
      <c r="L1107" s="31" t="n">
        <f aca="false">COUNTIF($B$3:$B$2205,$B1107)</f>
        <v>3</v>
      </c>
      <c r="M1107" s="44" t="str">
        <f aca="false">IFERROR(INDEX(SENTENCES!$T$3:$T$1802,MATCH($F1107,SENTENCES!$A$3:$A$1802,0)),"")</f>
        <v>• Chưa tới</v>
      </c>
    </row>
    <row r="1108" customFormat="false" ht="15" hidden="false" customHeight="false" outlineLevel="0" collapsed="false">
      <c r="A1108" s="31" t="n">
        <v>1106</v>
      </c>
      <c r="B1108" s="43" t="s">
        <v>12504</v>
      </c>
      <c r="C1108" s="34" t="s">
        <v>12505</v>
      </c>
      <c r="D1108" s="44" t="s">
        <v>10681</v>
      </c>
      <c r="E1108" s="31"/>
      <c r="F1108" s="31" t="s">
        <v>5103</v>
      </c>
      <c r="G1108" s="31" t="n">
        <v>43</v>
      </c>
      <c r="H1108" s="31" t="s">
        <v>3692</v>
      </c>
      <c r="I1108" s="44" t="s">
        <v>5097</v>
      </c>
      <c r="J1108" s="45" t="s">
        <v>5105</v>
      </c>
      <c r="K1108" s="45" t="s">
        <v>5107</v>
      </c>
      <c r="L1108" s="31" t="n">
        <f aca="false">COUNTIF($B$3:$B$2205,$B1108)</f>
        <v>1</v>
      </c>
      <c r="M1108" s="44" t="str">
        <f aca="false">IFERROR(INDEX(SENTENCES!$T$3:$T$1802,MATCH($F1108,SENTENCES!$A$3:$A$1802,0)),"")</f>
        <v>• Chưa tới</v>
      </c>
    </row>
    <row r="1109" customFormat="false" ht="15" hidden="false" customHeight="false" outlineLevel="0" collapsed="false">
      <c r="A1109" s="31" t="n">
        <v>1107</v>
      </c>
      <c r="B1109" s="43" t="s">
        <v>12506</v>
      </c>
      <c r="C1109" s="34" t="s">
        <v>12507</v>
      </c>
      <c r="D1109" s="44" t="s">
        <v>10677</v>
      </c>
      <c r="E1109" s="31" t="s">
        <v>10678</v>
      </c>
      <c r="F1109" s="31" t="s">
        <v>5109</v>
      </c>
      <c r="G1109" s="31" t="n">
        <v>43</v>
      </c>
      <c r="H1109" s="31" t="s">
        <v>3692</v>
      </c>
      <c r="I1109" s="44" t="s">
        <v>5097</v>
      </c>
      <c r="J1109" s="45" t="s">
        <v>5111</v>
      </c>
      <c r="K1109" s="45" t="s">
        <v>5113</v>
      </c>
      <c r="L1109" s="31" t="n">
        <f aca="false">COUNTIF($B$3:$B$2205,$B1109)</f>
        <v>1</v>
      </c>
      <c r="M1109" s="44" t="str">
        <f aca="false">IFERROR(INDEX(SENTENCES!$T$3:$T$1802,MATCH($F1109,SENTENCES!$A$3:$A$1802,0)),"")</f>
        <v>• Chưa tới</v>
      </c>
    </row>
    <row r="1110" customFormat="false" ht="15" hidden="false" customHeight="false" outlineLevel="0" collapsed="false">
      <c r="A1110" s="31" t="n">
        <v>1108</v>
      </c>
      <c r="B1110" s="43" t="s">
        <v>12508</v>
      </c>
      <c r="C1110" s="34" t="s">
        <v>12509</v>
      </c>
      <c r="D1110" s="44" t="s">
        <v>10677</v>
      </c>
      <c r="E1110" s="31" t="s">
        <v>10747</v>
      </c>
      <c r="F1110" s="31" t="s">
        <v>5115</v>
      </c>
      <c r="G1110" s="31" t="n">
        <v>43</v>
      </c>
      <c r="H1110" s="31" t="s">
        <v>3692</v>
      </c>
      <c r="I1110" s="44" t="s">
        <v>5097</v>
      </c>
      <c r="J1110" s="45" t="s">
        <v>5117</v>
      </c>
      <c r="K1110" s="45" t="s">
        <v>5119</v>
      </c>
      <c r="L1110" s="31" t="n">
        <f aca="false">COUNTIF($B$3:$B$2205,$B1110)</f>
        <v>1</v>
      </c>
      <c r="M1110" s="44" t="str">
        <f aca="false">IFERROR(INDEX(SENTENCES!$T$3:$T$1802,MATCH($F1110,SENTENCES!$A$3:$A$1802,0)),"")</f>
        <v>• Chưa tới</v>
      </c>
    </row>
    <row r="1111" customFormat="false" ht="15" hidden="false" customHeight="false" outlineLevel="0" collapsed="false">
      <c r="A1111" s="31" t="n">
        <v>1109</v>
      </c>
      <c r="B1111" s="43" t="s">
        <v>12510</v>
      </c>
      <c r="C1111" s="34" t="s">
        <v>12511</v>
      </c>
      <c r="D1111" s="44" t="s">
        <v>10681</v>
      </c>
      <c r="E1111" s="31"/>
      <c r="F1111" s="31" t="s">
        <v>5121</v>
      </c>
      <c r="G1111" s="31" t="n">
        <v>43</v>
      </c>
      <c r="H1111" s="31" t="s">
        <v>3692</v>
      </c>
      <c r="I1111" s="44" t="s">
        <v>5097</v>
      </c>
      <c r="J1111" s="45" t="s">
        <v>5123</v>
      </c>
      <c r="K1111" s="45" t="s">
        <v>5125</v>
      </c>
      <c r="L1111" s="31" t="n">
        <f aca="false">COUNTIF($B$3:$B$2205,$B1111)</f>
        <v>1</v>
      </c>
      <c r="M1111" s="44" t="str">
        <f aca="false">IFERROR(INDEX(SENTENCES!$T$3:$T$1802,MATCH($F1111,SENTENCES!$A$3:$A$1802,0)),"")</f>
        <v>• Chưa tới</v>
      </c>
    </row>
    <row r="1112" customFormat="false" ht="15" hidden="false" customHeight="false" outlineLevel="0" collapsed="false">
      <c r="A1112" s="31" t="n">
        <v>1110</v>
      </c>
      <c r="B1112" s="43" t="s">
        <v>11164</v>
      </c>
      <c r="C1112" s="34" t="s">
        <v>11165</v>
      </c>
      <c r="D1112" s="44" t="s">
        <v>10681</v>
      </c>
      <c r="E1112" s="31"/>
      <c r="F1112" s="31" t="s">
        <v>5127</v>
      </c>
      <c r="G1112" s="31" t="n">
        <v>43</v>
      </c>
      <c r="H1112" s="31" t="s">
        <v>3692</v>
      </c>
      <c r="I1112" s="44" t="s">
        <v>5097</v>
      </c>
      <c r="J1112" s="45" t="s">
        <v>5129</v>
      </c>
      <c r="K1112" s="45" t="s">
        <v>5131</v>
      </c>
      <c r="L1112" s="31" t="n">
        <f aca="false">COUNTIF($B$3:$B$2205,$B1112)</f>
        <v>2</v>
      </c>
      <c r="M1112" s="44" t="str">
        <f aca="false">IFERROR(INDEX(SENTENCES!$T$3:$T$1802,MATCH($F1112,SENTENCES!$A$3:$A$1802,0)),"")</f>
        <v>• Chưa tới</v>
      </c>
    </row>
    <row r="1113" customFormat="false" ht="15" hidden="false" customHeight="false" outlineLevel="0" collapsed="false">
      <c r="A1113" s="31" t="n">
        <v>1111</v>
      </c>
      <c r="B1113" s="43" t="s">
        <v>12512</v>
      </c>
      <c r="C1113" s="34" t="s">
        <v>12513</v>
      </c>
      <c r="D1113" s="44" t="s">
        <v>10677</v>
      </c>
      <c r="E1113" s="31" t="s">
        <v>10678</v>
      </c>
      <c r="F1113" s="31" t="s">
        <v>5132</v>
      </c>
      <c r="G1113" s="31" t="n">
        <v>43</v>
      </c>
      <c r="H1113" s="31" t="s">
        <v>3692</v>
      </c>
      <c r="I1113" s="44" t="s">
        <v>5097</v>
      </c>
      <c r="J1113" s="45" t="s">
        <v>5134</v>
      </c>
      <c r="K1113" s="45" t="s">
        <v>5136</v>
      </c>
      <c r="L1113" s="31" t="n">
        <f aca="false">COUNTIF($B$3:$B$2205,$B1113)</f>
        <v>2</v>
      </c>
      <c r="M1113" s="44" t="str">
        <f aca="false">IFERROR(INDEX(SENTENCES!$T$3:$T$1802,MATCH($F1113,SENTENCES!$A$3:$A$1802,0)),"")</f>
        <v>• Chưa tới</v>
      </c>
    </row>
    <row r="1114" customFormat="false" ht="15" hidden="false" customHeight="false" outlineLevel="0" collapsed="false">
      <c r="A1114" s="31" t="n">
        <v>1112</v>
      </c>
      <c r="B1114" s="43" t="s">
        <v>12514</v>
      </c>
      <c r="C1114" s="34" t="s">
        <v>12515</v>
      </c>
      <c r="D1114" s="44" t="s">
        <v>10677</v>
      </c>
      <c r="E1114" s="31" t="s">
        <v>10747</v>
      </c>
      <c r="F1114" s="31" t="s">
        <v>5138</v>
      </c>
      <c r="G1114" s="31" t="n">
        <v>43</v>
      </c>
      <c r="H1114" s="31" t="s">
        <v>3692</v>
      </c>
      <c r="I1114" s="44" t="s">
        <v>5097</v>
      </c>
      <c r="J1114" s="45" t="s">
        <v>5140</v>
      </c>
      <c r="K1114" s="45" t="s">
        <v>5142</v>
      </c>
      <c r="L1114" s="31" t="n">
        <f aca="false">COUNTIF($B$3:$B$2205,$B1114)</f>
        <v>1</v>
      </c>
      <c r="M1114" s="44" t="str">
        <f aca="false">IFERROR(INDEX(SENTENCES!$T$3:$T$1802,MATCH($F1114,SENTENCES!$A$3:$A$1802,0)),"")</f>
        <v>• Chưa tới</v>
      </c>
    </row>
    <row r="1115" customFormat="false" ht="15" hidden="false" customHeight="false" outlineLevel="0" collapsed="false">
      <c r="A1115" s="31" t="n">
        <v>1113</v>
      </c>
      <c r="B1115" s="43" t="s">
        <v>12516</v>
      </c>
      <c r="C1115" s="34" t="s">
        <v>12517</v>
      </c>
      <c r="D1115" s="44" t="s">
        <v>10677</v>
      </c>
      <c r="E1115" s="31" t="s">
        <v>10707</v>
      </c>
      <c r="F1115" s="31" t="s">
        <v>5138</v>
      </c>
      <c r="G1115" s="31" t="n">
        <v>43</v>
      </c>
      <c r="H1115" s="31" t="s">
        <v>3692</v>
      </c>
      <c r="I1115" s="44" t="s">
        <v>5097</v>
      </c>
      <c r="J1115" s="45" t="s">
        <v>5140</v>
      </c>
      <c r="K1115" s="45" t="s">
        <v>5142</v>
      </c>
      <c r="L1115" s="31" t="n">
        <f aca="false">COUNTIF($B$3:$B$2205,$B1115)</f>
        <v>1</v>
      </c>
      <c r="M1115" s="44" t="str">
        <f aca="false">IFERROR(INDEX(SENTENCES!$T$3:$T$1802,MATCH($F1115,SENTENCES!$A$3:$A$1802,0)),"")</f>
        <v>• Chưa tới</v>
      </c>
    </row>
    <row r="1116" customFormat="false" ht="15" hidden="false" customHeight="false" outlineLevel="0" collapsed="false">
      <c r="A1116" s="31" t="n">
        <v>1114</v>
      </c>
      <c r="B1116" s="43" t="s">
        <v>12518</v>
      </c>
      <c r="C1116" s="34" t="s">
        <v>12519</v>
      </c>
      <c r="D1116" s="44" t="s">
        <v>10677</v>
      </c>
      <c r="E1116" s="31" t="s">
        <v>10747</v>
      </c>
      <c r="F1116" s="31" t="s">
        <v>5144</v>
      </c>
      <c r="G1116" s="31" t="n">
        <v>43</v>
      </c>
      <c r="H1116" s="31" t="s">
        <v>3692</v>
      </c>
      <c r="I1116" s="44" t="s">
        <v>5097</v>
      </c>
      <c r="J1116" s="45" t="s">
        <v>5146</v>
      </c>
      <c r="K1116" s="45" t="s">
        <v>5148</v>
      </c>
      <c r="L1116" s="31" t="n">
        <f aca="false">COUNTIF($B$3:$B$2205,$B1116)</f>
        <v>1</v>
      </c>
      <c r="M1116" s="44" t="str">
        <f aca="false">IFERROR(INDEX(SENTENCES!$T$3:$T$1802,MATCH($F1116,SENTENCES!$A$3:$A$1802,0)),"")</f>
        <v>• Chưa tới</v>
      </c>
    </row>
    <row r="1117" customFormat="false" ht="15" hidden="false" customHeight="false" outlineLevel="0" collapsed="false">
      <c r="A1117" s="31" t="n">
        <v>1115</v>
      </c>
      <c r="B1117" s="43" t="s">
        <v>12210</v>
      </c>
      <c r="C1117" s="34" t="s">
        <v>12211</v>
      </c>
      <c r="D1117" s="44" t="s">
        <v>10681</v>
      </c>
      <c r="E1117" s="31"/>
      <c r="F1117" s="31" t="s">
        <v>5150</v>
      </c>
      <c r="G1117" s="31" t="n">
        <v>43</v>
      </c>
      <c r="H1117" s="31" t="s">
        <v>3692</v>
      </c>
      <c r="I1117" s="44" t="s">
        <v>5097</v>
      </c>
      <c r="J1117" s="45" t="s">
        <v>5152</v>
      </c>
      <c r="K1117" s="45" t="s">
        <v>5154</v>
      </c>
      <c r="L1117" s="31" t="n">
        <f aca="false">COUNTIF($B$3:$B$2205,$B1117)</f>
        <v>2</v>
      </c>
      <c r="M1117" s="44" t="str">
        <f aca="false">IFERROR(INDEX(SENTENCES!$T$3:$T$1802,MATCH($F1117,SENTENCES!$A$3:$A$1802,0)),"")</f>
        <v>• Chưa tới</v>
      </c>
    </row>
    <row r="1118" customFormat="false" ht="15" hidden="false" customHeight="false" outlineLevel="0" collapsed="false">
      <c r="A1118" s="31" t="n">
        <v>1116</v>
      </c>
      <c r="B1118" s="43" t="s">
        <v>12520</v>
      </c>
      <c r="C1118" s="34" t="s">
        <v>12521</v>
      </c>
      <c r="D1118" s="44" t="s">
        <v>10677</v>
      </c>
      <c r="E1118" s="31" t="s">
        <v>10707</v>
      </c>
      <c r="F1118" s="31" t="s">
        <v>5155</v>
      </c>
      <c r="G1118" s="31" t="n">
        <v>43</v>
      </c>
      <c r="H1118" s="31" t="s">
        <v>3692</v>
      </c>
      <c r="I1118" s="44" t="s">
        <v>5097</v>
      </c>
      <c r="J1118" s="45" t="s">
        <v>5157</v>
      </c>
      <c r="K1118" s="45" t="s">
        <v>5159</v>
      </c>
      <c r="L1118" s="31" t="n">
        <f aca="false">COUNTIF($B$3:$B$2205,$B1118)</f>
        <v>1</v>
      </c>
      <c r="M1118" s="44" t="str">
        <f aca="false">IFERROR(INDEX(SENTENCES!$T$3:$T$1802,MATCH($F1118,SENTENCES!$A$3:$A$1802,0)),"")</f>
        <v>• Chưa tới</v>
      </c>
    </row>
    <row r="1119" customFormat="false" ht="15" hidden="false" customHeight="false" outlineLevel="0" collapsed="false">
      <c r="A1119" s="31" t="n">
        <v>1117</v>
      </c>
      <c r="B1119" s="43" t="s">
        <v>12522</v>
      </c>
      <c r="C1119" s="34" t="s">
        <v>12523</v>
      </c>
      <c r="D1119" s="44" t="s">
        <v>10686</v>
      </c>
      <c r="E1119" s="31"/>
      <c r="F1119" s="31" t="s">
        <v>5155</v>
      </c>
      <c r="G1119" s="31" t="n">
        <v>43</v>
      </c>
      <c r="H1119" s="31" t="s">
        <v>3692</v>
      </c>
      <c r="I1119" s="44" t="s">
        <v>5097</v>
      </c>
      <c r="J1119" s="45" t="s">
        <v>5157</v>
      </c>
      <c r="K1119" s="45" t="s">
        <v>5159</v>
      </c>
      <c r="L1119" s="31" t="n">
        <f aca="false">COUNTIF($B$3:$B$2205,$B1119)</f>
        <v>1</v>
      </c>
      <c r="M1119" s="44" t="str">
        <f aca="false">IFERROR(INDEX(SENTENCES!$T$3:$T$1802,MATCH($F1119,SENTENCES!$A$3:$A$1802,0)),"")</f>
        <v>• Chưa tới</v>
      </c>
    </row>
    <row r="1120" customFormat="false" ht="15" hidden="false" customHeight="false" outlineLevel="0" collapsed="false">
      <c r="A1120" s="31" t="n">
        <v>1118</v>
      </c>
      <c r="B1120" s="43" t="s">
        <v>12524</v>
      </c>
      <c r="C1120" s="34" t="s">
        <v>12255</v>
      </c>
      <c r="D1120" s="44" t="s">
        <v>10677</v>
      </c>
      <c r="E1120" s="31" t="s">
        <v>10707</v>
      </c>
      <c r="F1120" s="31" t="s">
        <v>5161</v>
      </c>
      <c r="G1120" s="31" t="n">
        <v>43</v>
      </c>
      <c r="H1120" s="31" t="s">
        <v>3692</v>
      </c>
      <c r="I1120" s="44" t="s">
        <v>5097</v>
      </c>
      <c r="J1120" s="45" t="s">
        <v>5163</v>
      </c>
      <c r="K1120" s="45" t="s">
        <v>5165</v>
      </c>
      <c r="L1120" s="31" t="n">
        <f aca="false">COUNTIF($B$3:$B$2205,$B1120)</f>
        <v>1</v>
      </c>
      <c r="M1120" s="44" t="str">
        <f aca="false">IFERROR(INDEX(SENTENCES!$T$3:$T$1802,MATCH($F1120,SENTENCES!$A$3:$A$1802,0)),"")</f>
        <v>• Chưa tới</v>
      </c>
    </row>
    <row r="1121" customFormat="false" ht="15" hidden="false" customHeight="false" outlineLevel="0" collapsed="false">
      <c r="A1121" s="31" t="n">
        <v>1119</v>
      </c>
      <c r="B1121" s="43" t="s">
        <v>12525</v>
      </c>
      <c r="C1121" s="34" t="s">
        <v>12526</v>
      </c>
      <c r="D1121" s="44" t="s">
        <v>10677</v>
      </c>
      <c r="E1121" s="31" t="s">
        <v>10707</v>
      </c>
      <c r="F1121" s="31" t="s">
        <v>5167</v>
      </c>
      <c r="G1121" s="31" t="n">
        <v>43</v>
      </c>
      <c r="H1121" s="31" t="s">
        <v>3692</v>
      </c>
      <c r="I1121" s="44" t="s">
        <v>5097</v>
      </c>
      <c r="J1121" s="45" t="s">
        <v>5169</v>
      </c>
      <c r="K1121" s="45" t="s">
        <v>5171</v>
      </c>
      <c r="L1121" s="31" t="n">
        <f aca="false">COUNTIF($B$3:$B$2205,$B1121)</f>
        <v>1</v>
      </c>
      <c r="M1121" s="44" t="str">
        <f aca="false">IFERROR(INDEX(SENTENCES!$T$3:$T$1802,MATCH($F1121,SENTENCES!$A$3:$A$1802,0)),"")</f>
        <v>• Chưa tới</v>
      </c>
    </row>
    <row r="1122" customFormat="false" ht="15" hidden="false" customHeight="false" outlineLevel="0" collapsed="false">
      <c r="A1122" s="31" t="n">
        <v>1120</v>
      </c>
      <c r="B1122" s="43" t="s">
        <v>12527</v>
      </c>
      <c r="C1122" s="34" t="s">
        <v>12528</v>
      </c>
      <c r="D1122" s="44" t="s">
        <v>10677</v>
      </c>
      <c r="E1122" s="31" t="s">
        <v>10707</v>
      </c>
      <c r="F1122" s="31" t="s">
        <v>5173</v>
      </c>
      <c r="G1122" s="31" t="n">
        <v>43</v>
      </c>
      <c r="H1122" s="31" t="s">
        <v>3692</v>
      </c>
      <c r="I1122" s="44" t="s">
        <v>5097</v>
      </c>
      <c r="J1122" s="45" t="s">
        <v>5175</v>
      </c>
      <c r="K1122" s="45" t="s">
        <v>5177</v>
      </c>
      <c r="L1122" s="31" t="n">
        <f aca="false">COUNTIF($B$3:$B$2205,$B1122)</f>
        <v>1</v>
      </c>
      <c r="M1122" s="44" t="str">
        <f aca="false">IFERROR(INDEX(SENTENCES!$T$3:$T$1802,MATCH($F1122,SENTENCES!$A$3:$A$1802,0)),"")</f>
        <v>• Chưa tới</v>
      </c>
    </row>
    <row r="1123" customFormat="false" ht="15" hidden="false" customHeight="false" outlineLevel="0" collapsed="false">
      <c r="A1123" s="31" t="n">
        <v>1121</v>
      </c>
      <c r="B1123" s="43" t="s">
        <v>12529</v>
      </c>
      <c r="C1123" s="34" t="s">
        <v>12530</v>
      </c>
      <c r="D1123" s="44" t="s">
        <v>10677</v>
      </c>
      <c r="E1123" s="31" t="s">
        <v>10747</v>
      </c>
      <c r="F1123" s="31" t="s">
        <v>5179</v>
      </c>
      <c r="G1123" s="31" t="n">
        <v>43</v>
      </c>
      <c r="H1123" s="31" t="s">
        <v>3692</v>
      </c>
      <c r="I1123" s="44" t="s">
        <v>5097</v>
      </c>
      <c r="J1123" s="45" t="s">
        <v>5181</v>
      </c>
      <c r="K1123" s="45" t="s">
        <v>5183</v>
      </c>
      <c r="L1123" s="31" t="n">
        <f aca="false">COUNTIF($B$3:$B$2205,$B1123)</f>
        <v>1</v>
      </c>
      <c r="M1123" s="44" t="str">
        <f aca="false">IFERROR(INDEX(SENTENCES!$T$3:$T$1802,MATCH($F1123,SENTENCES!$A$3:$A$1802,0)),"")</f>
        <v>• Chưa tới</v>
      </c>
    </row>
    <row r="1124" customFormat="false" ht="15" hidden="false" customHeight="false" outlineLevel="0" collapsed="false">
      <c r="A1124" s="31" t="n">
        <v>1122</v>
      </c>
      <c r="B1124" s="43" t="s">
        <v>12531</v>
      </c>
      <c r="C1124" s="34" t="s">
        <v>12532</v>
      </c>
      <c r="D1124" s="44" t="s">
        <v>10677</v>
      </c>
      <c r="E1124" s="31" t="s">
        <v>10678</v>
      </c>
      <c r="F1124" s="31" t="s">
        <v>5185</v>
      </c>
      <c r="G1124" s="31" t="n">
        <v>43</v>
      </c>
      <c r="H1124" s="31" t="s">
        <v>3692</v>
      </c>
      <c r="I1124" s="44" t="s">
        <v>5097</v>
      </c>
      <c r="J1124" s="45" t="s">
        <v>5187</v>
      </c>
      <c r="K1124" s="45" t="s">
        <v>5189</v>
      </c>
      <c r="L1124" s="31" t="n">
        <f aca="false">COUNTIF($B$3:$B$2205,$B1124)</f>
        <v>1</v>
      </c>
      <c r="M1124" s="44" t="str">
        <f aca="false">IFERROR(INDEX(SENTENCES!$T$3:$T$1802,MATCH($F1124,SENTENCES!$A$3:$A$1802,0)),"")</f>
        <v>• Chưa tới</v>
      </c>
    </row>
    <row r="1125" customFormat="false" ht="15" hidden="false" customHeight="false" outlineLevel="0" collapsed="false">
      <c r="A1125" s="31" t="n">
        <v>1123</v>
      </c>
      <c r="B1125" s="43" t="s">
        <v>12533</v>
      </c>
      <c r="C1125" s="34" t="s">
        <v>12534</v>
      </c>
      <c r="D1125" s="44" t="s">
        <v>10686</v>
      </c>
      <c r="E1125" s="31"/>
      <c r="F1125" s="31" t="s">
        <v>5185</v>
      </c>
      <c r="G1125" s="31" t="n">
        <v>43</v>
      </c>
      <c r="H1125" s="31" t="s">
        <v>3692</v>
      </c>
      <c r="I1125" s="44" t="s">
        <v>5097</v>
      </c>
      <c r="J1125" s="45" t="s">
        <v>5187</v>
      </c>
      <c r="K1125" s="45" t="s">
        <v>5189</v>
      </c>
      <c r="L1125" s="31" t="n">
        <f aca="false">COUNTIF($B$3:$B$2205,$B1125)</f>
        <v>1</v>
      </c>
      <c r="M1125" s="44" t="str">
        <f aca="false">IFERROR(INDEX(SENTENCES!$T$3:$T$1802,MATCH($F1125,SENTENCES!$A$3:$A$1802,0)),"")</f>
        <v>• Chưa tới</v>
      </c>
    </row>
    <row r="1126" customFormat="false" ht="15" hidden="false" customHeight="false" outlineLevel="0" collapsed="false">
      <c r="A1126" s="31" t="n">
        <v>1124</v>
      </c>
      <c r="B1126" s="43" t="s">
        <v>11377</v>
      </c>
      <c r="C1126" s="34" t="s">
        <v>11378</v>
      </c>
      <c r="D1126" s="44" t="s">
        <v>10677</v>
      </c>
      <c r="E1126" s="31" t="s">
        <v>10678</v>
      </c>
      <c r="F1126" s="31" t="s">
        <v>5191</v>
      </c>
      <c r="G1126" s="31" t="n">
        <v>43</v>
      </c>
      <c r="H1126" s="31" t="s">
        <v>3692</v>
      </c>
      <c r="I1126" s="44" t="s">
        <v>5097</v>
      </c>
      <c r="J1126" s="45" t="s">
        <v>5192</v>
      </c>
      <c r="K1126" s="45" t="s">
        <v>5194</v>
      </c>
      <c r="L1126" s="31" t="n">
        <f aca="false">COUNTIF($B$3:$B$2205,$B1126)</f>
        <v>2</v>
      </c>
      <c r="M1126" s="44" t="str">
        <f aca="false">IFERROR(INDEX(SENTENCES!$T$3:$T$1802,MATCH($F1126,SENTENCES!$A$3:$A$1802,0)),"")</f>
        <v>• Chưa tới</v>
      </c>
    </row>
    <row r="1127" customFormat="false" ht="15" hidden="false" customHeight="false" outlineLevel="0" collapsed="false">
      <c r="A1127" s="31" t="n">
        <v>1125</v>
      </c>
      <c r="B1127" s="43" t="s">
        <v>12535</v>
      </c>
      <c r="C1127" s="34" t="s">
        <v>12536</v>
      </c>
      <c r="D1127" s="44" t="s">
        <v>10681</v>
      </c>
      <c r="E1127" s="31"/>
      <c r="F1127" s="31" t="s">
        <v>5195</v>
      </c>
      <c r="G1127" s="31" t="n">
        <v>43</v>
      </c>
      <c r="H1127" s="31" t="s">
        <v>3692</v>
      </c>
      <c r="I1127" s="44" t="s">
        <v>5097</v>
      </c>
      <c r="J1127" s="45" t="s">
        <v>5197</v>
      </c>
      <c r="K1127" s="45" t="s">
        <v>5199</v>
      </c>
      <c r="L1127" s="31" t="n">
        <f aca="false">COUNTIF($B$3:$B$2205,$B1127)</f>
        <v>2</v>
      </c>
      <c r="M1127" s="44" t="str">
        <f aca="false">IFERROR(INDEX(SENTENCES!$T$3:$T$1802,MATCH($F1127,SENTENCES!$A$3:$A$1802,0)),"")</f>
        <v>• Chưa tới</v>
      </c>
    </row>
    <row r="1128" customFormat="false" ht="15" hidden="false" customHeight="false" outlineLevel="0" collapsed="false">
      <c r="A1128" s="31" t="n">
        <v>1126</v>
      </c>
      <c r="B1128" s="43" t="s">
        <v>12537</v>
      </c>
      <c r="C1128" s="34" t="s">
        <v>12538</v>
      </c>
      <c r="D1128" s="44" t="s">
        <v>10681</v>
      </c>
      <c r="E1128" s="31"/>
      <c r="F1128" s="31" t="s">
        <v>5201</v>
      </c>
      <c r="G1128" s="31" t="n">
        <v>43</v>
      </c>
      <c r="H1128" s="31" t="s">
        <v>3692</v>
      </c>
      <c r="I1128" s="44" t="s">
        <v>5097</v>
      </c>
      <c r="J1128" s="45" t="s">
        <v>5203</v>
      </c>
      <c r="K1128" s="45" t="s">
        <v>5205</v>
      </c>
      <c r="L1128" s="31" t="n">
        <f aca="false">COUNTIF($B$3:$B$2205,$B1128)</f>
        <v>2</v>
      </c>
      <c r="M1128" s="44" t="str">
        <f aca="false">IFERROR(INDEX(SENTENCES!$T$3:$T$1802,MATCH($F1128,SENTENCES!$A$3:$A$1802,0)),"")</f>
        <v>• Chưa tới</v>
      </c>
    </row>
    <row r="1129" customFormat="false" ht="15" hidden="false" customHeight="false" outlineLevel="0" collapsed="false">
      <c r="A1129" s="31" t="n">
        <v>1127</v>
      </c>
      <c r="B1129" s="43" t="s">
        <v>12298</v>
      </c>
      <c r="C1129" s="34" t="s">
        <v>12299</v>
      </c>
      <c r="D1129" s="44" t="s">
        <v>10677</v>
      </c>
      <c r="E1129" s="31" t="s">
        <v>10747</v>
      </c>
      <c r="F1129" s="31" t="s">
        <v>5207</v>
      </c>
      <c r="G1129" s="31" t="n">
        <v>43</v>
      </c>
      <c r="H1129" s="31" t="s">
        <v>3692</v>
      </c>
      <c r="I1129" s="44" t="s">
        <v>5097</v>
      </c>
      <c r="J1129" s="45" t="s">
        <v>5209</v>
      </c>
      <c r="K1129" s="45" t="s">
        <v>5211</v>
      </c>
      <c r="L1129" s="31" t="n">
        <f aca="false">COUNTIF($B$3:$B$2205,$B1129)</f>
        <v>2</v>
      </c>
      <c r="M1129" s="44" t="str">
        <f aca="false">IFERROR(INDEX(SENTENCES!$T$3:$T$1802,MATCH($F1129,SENTENCES!$A$3:$A$1802,0)),"")</f>
        <v>• Chưa tới</v>
      </c>
    </row>
    <row r="1130" customFormat="false" ht="15" hidden="false" customHeight="false" outlineLevel="0" collapsed="false">
      <c r="A1130" s="31" t="n">
        <v>1128</v>
      </c>
      <c r="B1130" s="43" t="s">
        <v>10857</v>
      </c>
      <c r="C1130" s="34" t="s">
        <v>10858</v>
      </c>
      <c r="D1130" s="44" t="s">
        <v>10681</v>
      </c>
      <c r="E1130" s="31"/>
      <c r="F1130" s="31" t="s">
        <v>5212</v>
      </c>
      <c r="G1130" s="31" t="n">
        <v>44</v>
      </c>
      <c r="H1130" s="31" t="s">
        <v>3692</v>
      </c>
      <c r="I1130" s="44" t="s">
        <v>5213</v>
      </c>
      <c r="J1130" s="45" t="s">
        <v>5215</v>
      </c>
      <c r="K1130" s="45" t="s">
        <v>5217</v>
      </c>
      <c r="L1130" s="31" t="n">
        <f aca="false">COUNTIF($B$3:$B$2205,$B1130)</f>
        <v>2</v>
      </c>
      <c r="M1130" s="44" t="str">
        <f aca="false">IFERROR(INDEX(SENTENCES!$T$3:$T$1802,MATCH($F1130,SENTENCES!$A$3:$A$1802,0)),"")</f>
        <v>• Chưa tới</v>
      </c>
    </row>
    <row r="1131" customFormat="false" ht="15" hidden="false" customHeight="false" outlineLevel="0" collapsed="false">
      <c r="A1131" s="31" t="n">
        <v>1129</v>
      </c>
      <c r="B1131" s="43" t="s">
        <v>11528</v>
      </c>
      <c r="C1131" s="34" t="s">
        <v>11529</v>
      </c>
      <c r="D1131" s="44" t="s">
        <v>10681</v>
      </c>
      <c r="E1131" s="31"/>
      <c r="F1131" s="31" t="s">
        <v>5219</v>
      </c>
      <c r="G1131" s="31" t="n">
        <v>44</v>
      </c>
      <c r="H1131" s="31" t="s">
        <v>3692</v>
      </c>
      <c r="I1131" s="44" t="s">
        <v>5213</v>
      </c>
      <c r="J1131" s="45" t="s">
        <v>5221</v>
      </c>
      <c r="K1131" s="45" t="s">
        <v>5223</v>
      </c>
      <c r="L1131" s="31" t="n">
        <f aca="false">COUNTIF($B$3:$B$2205,$B1131)</f>
        <v>2</v>
      </c>
      <c r="M1131" s="44" t="str">
        <f aca="false">IFERROR(INDEX(SENTENCES!$T$3:$T$1802,MATCH($F1131,SENTENCES!$A$3:$A$1802,0)),"")</f>
        <v>• Chưa tới</v>
      </c>
    </row>
    <row r="1132" customFormat="false" ht="15" hidden="false" customHeight="false" outlineLevel="0" collapsed="false">
      <c r="A1132" s="31" t="n">
        <v>1130</v>
      </c>
      <c r="B1132" s="43" t="s">
        <v>10437</v>
      </c>
      <c r="C1132" s="34" t="s">
        <v>12539</v>
      </c>
      <c r="D1132" s="44" t="s">
        <v>10794</v>
      </c>
      <c r="E1132" s="31"/>
      <c r="F1132" s="31" t="s">
        <v>5225</v>
      </c>
      <c r="G1132" s="31" t="n">
        <v>44</v>
      </c>
      <c r="H1132" s="31" t="s">
        <v>3692</v>
      </c>
      <c r="I1132" s="44" t="s">
        <v>5213</v>
      </c>
      <c r="J1132" s="45" t="s">
        <v>5227</v>
      </c>
      <c r="K1132" s="45" t="s">
        <v>5229</v>
      </c>
      <c r="L1132" s="31" t="n">
        <f aca="false">COUNTIF($B$3:$B$2205,$B1132)</f>
        <v>1</v>
      </c>
      <c r="M1132" s="44" t="str">
        <f aca="false">IFERROR(INDEX(SENTENCES!$T$3:$T$1802,MATCH($F1132,SENTENCES!$A$3:$A$1802,0)),"")</f>
        <v>• Chưa tới</v>
      </c>
    </row>
    <row r="1133" customFormat="false" ht="15" hidden="false" customHeight="false" outlineLevel="0" collapsed="false">
      <c r="A1133" s="31" t="n">
        <v>1131</v>
      </c>
      <c r="B1133" s="43" t="s">
        <v>12123</v>
      </c>
      <c r="C1133" s="34" t="s">
        <v>11323</v>
      </c>
      <c r="D1133" s="44" t="s">
        <v>10681</v>
      </c>
      <c r="E1133" s="31"/>
      <c r="F1133" s="31" t="s">
        <v>5231</v>
      </c>
      <c r="G1133" s="31" t="n">
        <v>44</v>
      </c>
      <c r="H1133" s="31" t="s">
        <v>3692</v>
      </c>
      <c r="I1133" s="44" t="s">
        <v>5213</v>
      </c>
      <c r="J1133" s="45" t="s">
        <v>5233</v>
      </c>
      <c r="K1133" s="45" t="s">
        <v>5235</v>
      </c>
      <c r="L1133" s="31" t="n">
        <f aca="false">COUNTIF($B$3:$B$2205,$B1133)</f>
        <v>2</v>
      </c>
      <c r="M1133" s="44" t="str">
        <f aca="false">IFERROR(INDEX(SENTENCES!$T$3:$T$1802,MATCH($F1133,SENTENCES!$A$3:$A$1802,0)),"")</f>
        <v>• Chưa tới</v>
      </c>
    </row>
    <row r="1134" customFormat="false" ht="15" hidden="false" customHeight="false" outlineLevel="0" collapsed="false">
      <c r="A1134" s="31" t="n">
        <v>1132</v>
      </c>
      <c r="B1134" s="43" t="s">
        <v>12540</v>
      </c>
      <c r="C1134" s="34" t="s">
        <v>12541</v>
      </c>
      <c r="D1134" s="44" t="s">
        <v>10681</v>
      </c>
      <c r="E1134" s="31"/>
      <c r="F1134" s="31" t="s">
        <v>5237</v>
      </c>
      <c r="G1134" s="31" t="n">
        <v>44</v>
      </c>
      <c r="H1134" s="31" t="s">
        <v>3692</v>
      </c>
      <c r="I1134" s="44" t="s">
        <v>5213</v>
      </c>
      <c r="J1134" s="45" t="s">
        <v>5239</v>
      </c>
      <c r="K1134" s="45" t="s">
        <v>5241</v>
      </c>
      <c r="L1134" s="31" t="n">
        <f aca="false">COUNTIF($B$3:$B$2205,$B1134)</f>
        <v>1</v>
      </c>
      <c r="M1134" s="44" t="str">
        <f aca="false">IFERROR(INDEX(SENTENCES!$T$3:$T$1802,MATCH($F1134,SENTENCES!$A$3:$A$1802,0)),"")</f>
        <v>• Chưa tới</v>
      </c>
    </row>
    <row r="1135" customFormat="false" ht="15" hidden="false" customHeight="false" outlineLevel="0" collapsed="false">
      <c r="A1135" s="31" t="n">
        <v>1133</v>
      </c>
      <c r="B1135" s="43" t="s">
        <v>12542</v>
      </c>
      <c r="C1135" s="34" t="s">
        <v>11558</v>
      </c>
      <c r="D1135" s="44" t="s">
        <v>10677</v>
      </c>
      <c r="E1135" s="31" t="s">
        <v>10707</v>
      </c>
      <c r="F1135" s="31" t="s">
        <v>5243</v>
      </c>
      <c r="G1135" s="31" t="n">
        <v>44</v>
      </c>
      <c r="H1135" s="31" t="s">
        <v>3692</v>
      </c>
      <c r="I1135" s="44" t="s">
        <v>5213</v>
      </c>
      <c r="J1135" s="45" t="s">
        <v>5245</v>
      </c>
      <c r="K1135" s="45" t="s">
        <v>5247</v>
      </c>
      <c r="L1135" s="31" t="n">
        <f aca="false">COUNTIF($B$3:$B$2205,$B1135)</f>
        <v>1</v>
      </c>
      <c r="M1135" s="44" t="str">
        <f aca="false">IFERROR(INDEX(SENTENCES!$T$3:$T$1802,MATCH($F1135,SENTENCES!$A$3:$A$1802,0)),"")</f>
        <v>• Chưa tới</v>
      </c>
    </row>
    <row r="1136" customFormat="false" ht="15" hidden="false" customHeight="false" outlineLevel="0" collapsed="false">
      <c r="A1136" s="31" t="n">
        <v>1134</v>
      </c>
      <c r="B1136" s="43" t="s">
        <v>12543</v>
      </c>
      <c r="C1136" s="34" t="s">
        <v>12544</v>
      </c>
      <c r="D1136" s="44" t="s">
        <v>10681</v>
      </c>
      <c r="E1136" s="31"/>
      <c r="F1136" s="31" t="s">
        <v>5249</v>
      </c>
      <c r="G1136" s="31" t="n">
        <v>44</v>
      </c>
      <c r="H1136" s="31" t="s">
        <v>3692</v>
      </c>
      <c r="I1136" s="44" t="s">
        <v>5213</v>
      </c>
      <c r="J1136" s="45" t="s">
        <v>5251</v>
      </c>
      <c r="K1136" s="45" t="s">
        <v>5253</v>
      </c>
      <c r="L1136" s="31" t="n">
        <f aca="false">COUNTIF($B$3:$B$2205,$B1136)</f>
        <v>1</v>
      </c>
      <c r="M1136" s="44" t="str">
        <f aca="false">IFERROR(INDEX(SENTENCES!$T$3:$T$1802,MATCH($F1136,SENTENCES!$A$3:$A$1802,0)),"")</f>
        <v>• Chưa tới</v>
      </c>
    </row>
    <row r="1137" customFormat="false" ht="15" hidden="false" customHeight="false" outlineLevel="0" collapsed="false">
      <c r="A1137" s="31" t="n">
        <v>1135</v>
      </c>
      <c r="B1137" s="43" t="s">
        <v>12545</v>
      </c>
      <c r="C1137" s="34" t="s">
        <v>12546</v>
      </c>
      <c r="D1137" s="44" t="s">
        <v>10677</v>
      </c>
      <c r="E1137" s="31" t="s">
        <v>10707</v>
      </c>
      <c r="F1137" s="31" t="s">
        <v>5254</v>
      </c>
      <c r="G1137" s="31" t="n">
        <v>44</v>
      </c>
      <c r="H1137" s="31" t="s">
        <v>3692</v>
      </c>
      <c r="I1137" s="44" t="s">
        <v>5213</v>
      </c>
      <c r="J1137" s="45" t="s">
        <v>5256</v>
      </c>
      <c r="K1137" s="45" t="s">
        <v>5258</v>
      </c>
      <c r="L1137" s="31" t="n">
        <f aca="false">COUNTIF($B$3:$B$2205,$B1137)</f>
        <v>1</v>
      </c>
      <c r="M1137" s="44" t="str">
        <f aca="false">IFERROR(INDEX(SENTENCES!$T$3:$T$1802,MATCH($F1137,SENTENCES!$A$3:$A$1802,0)),"")</f>
        <v>• Chưa tới</v>
      </c>
    </row>
    <row r="1138" customFormat="false" ht="15" hidden="false" customHeight="false" outlineLevel="0" collapsed="false">
      <c r="A1138" s="31" t="n">
        <v>1136</v>
      </c>
      <c r="B1138" s="43" t="s">
        <v>11141</v>
      </c>
      <c r="C1138" s="34" t="s">
        <v>11142</v>
      </c>
      <c r="D1138" s="44" t="s">
        <v>10686</v>
      </c>
      <c r="E1138" s="31"/>
      <c r="F1138" s="31" t="s">
        <v>5260</v>
      </c>
      <c r="G1138" s="31" t="n">
        <v>44</v>
      </c>
      <c r="H1138" s="31" t="s">
        <v>3692</v>
      </c>
      <c r="I1138" s="44" t="s">
        <v>5213</v>
      </c>
      <c r="J1138" s="45" t="s">
        <v>5262</v>
      </c>
      <c r="K1138" s="45" t="s">
        <v>5264</v>
      </c>
      <c r="L1138" s="31" t="n">
        <f aca="false">COUNTIF($B$3:$B$2205,$B1138)</f>
        <v>2</v>
      </c>
      <c r="M1138" s="44" t="str">
        <f aca="false">IFERROR(INDEX(SENTENCES!$T$3:$T$1802,MATCH($F1138,SENTENCES!$A$3:$A$1802,0)),"")</f>
        <v>• Chưa tới</v>
      </c>
    </row>
    <row r="1139" customFormat="false" ht="15" hidden="false" customHeight="false" outlineLevel="0" collapsed="false">
      <c r="A1139" s="31" t="n">
        <v>1137</v>
      </c>
      <c r="B1139" s="43" t="s">
        <v>11129</v>
      </c>
      <c r="C1139" s="34" t="s">
        <v>11130</v>
      </c>
      <c r="D1139" s="44" t="s">
        <v>10681</v>
      </c>
      <c r="E1139" s="31"/>
      <c r="F1139" s="31" t="s">
        <v>5266</v>
      </c>
      <c r="G1139" s="31" t="n">
        <v>44</v>
      </c>
      <c r="H1139" s="31" t="s">
        <v>3692</v>
      </c>
      <c r="I1139" s="44" t="s">
        <v>5213</v>
      </c>
      <c r="J1139" s="45" t="s">
        <v>5268</v>
      </c>
      <c r="K1139" s="45" t="s">
        <v>5270</v>
      </c>
      <c r="L1139" s="31" t="n">
        <f aca="false">COUNTIF($B$3:$B$2205,$B1139)</f>
        <v>3</v>
      </c>
      <c r="M1139" s="44" t="str">
        <f aca="false">IFERROR(INDEX(SENTENCES!$T$3:$T$1802,MATCH($F1139,SENTENCES!$A$3:$A$1802,0)),"")</f>
        <v>• Chưa tới</v>
      </c>
    </row>
    <row r="1140" customFormat="false" ht="15" hidden="false" customHeight="false" outlineLevel="0" collapsed="false">
      <c r="A1140" s="31" t="n">
        <v>1138</v>
      </c>
      <c r="B1140" s="43" t="s">
        <v>11428</v>
      </c>
      <c r="C1140" s="34" t="s">
        <v>11429</v>
      </c>
      <c r="D1140" s="44" t="s">
        <v>10681</v>
      </c>
      <c r="E1140" s="31"/>
      <c r="F1140" s="31" t="s">
        <v>5271</v>
      </c>
      <c r="G1140" s="31" t="n">
        <v>44</v>
      </c>
      <c r="H1140" s="31" t="s">
        <v>3692</v>
      </c>
      <c r="I1140" s="44" t="s">
        <v>5213</v>
      </c>
      <c r="J1140" s="45" t="s">
        <v>5273</v>
      </c>
      <c r="K1140" s="45" t="s">
        <v>5275</v>
      </c>
      <c r="L1140" s="31" t="n">
        <f aca="false">COUNTIF($B$3:$B$2205,$B1140)</f>
        <v>3</v>
      </c>
      <c r="M1140" s="44" t="str">
        <f aca="false">IFERROR(INDEX(SENTENCES!$T$3:$T$1802,MATCH($F1140,SENTENCES!$A$3:$A$1802,0)),"")</f>
        <v>• Chưa tới</v>
      </c>
    </row>
    <row r="1141" customFormat="false" ht="15" hidden="false" customHeight="false" outlineLevel="0" collapsed="false">
      <c r="A1141" s="31" t="n">
        <v>1139</v>
      </c>
      <c r="B1141" s="43" t="s">
        <v>12547</v>
      </c>
      <c r="C1141" s="34" t="s">
        <v>12548</v>
      </c>
      <c r="D1141" s="44" t="s">
        <v>10677</v>
      </c>
      <c r="E1141" s="31" t="s">
        <v>10707</v>
      </c>
      <c r="F1141" s="31" t="s">
        <v>5276</v>
      </c>
      <c r="G1141" s="31" t="n">
        <v>44</v>
      </c>
      <c r="H1141" s="31" t="s">
        <v>3692</v>
      </c>
      <c r="I1141" s="44" t="s">
        <v>5213</v>
      </c>
      <c r="J1141" s="45" t="s">
        <v>5278</v>
      </c>
      <c r="K1141" s="45" t="s">
        <v>5280</v>
      </c>
      <c r="L1141" s="31" t="n">
        <f aca="false">COUNTIF($B$3:$B$2205,$B1141)</f>
        <v>1</v>
      </c>
      <c r="M1141" s="44" t="str">
        <f aca="false">IFERROR(INDEX(SENTENCES!$T$3:$T$1802,MATCH($F1141,SENTENCES!$A$3:$A$1802,0)),"")</f>
        <v>• Chưa tới</v>
      </c>
    </row>
    <row r="1142" customFormat="false" ht="15" hidden="false" customHeight="false" outlineLevel="0" collapsed="false">
      <c r="A1142" s="31" t="n">
        <v>1140</v>
      </c>
      <c r="B1142" s="43" t="s">
        <v>11455</v>
      </c>
      <c r="C1142" s="34" t="s">
        <v>11456</v>
      </c>
      <c r="D1142" s="44" t="s">
        <v>10681</v>
      </c>
      <c r="E1142" s="31"/>
      <c r="F1142" s="31" t="s">
        <v>5282</v>
      </c>
      <c r="G1142" s="31" t="n">
        <v>44</v>
      </c>
      <c r="H1142" s="31" t="s">
        <v>3692</v>
      </c>
      <c r="I1142" s="44" t="s">
        <v>5213</v>
      </c>
      <c r="J1142" s="45" t="s">
        <v>5284</v>
      </c>
      <c r="K1142" s="45" t="s">
        <v>5286</v>
      </c>
      <c r="L1142" s="31" t="n">
        <f aca="false">COUNTIF($B$3:$B$2205,$B1142)</f>
        <v>2</v>
      </c>
      <c r="M1142" s="44" t="str">
        <f aca="false">IFERROR(INDEX(SENTENCES!$T$3:$T$1802,MATCH($F1142,SENTENCES!$A$3:$A$1802,0)),"")</f>
        <v>• Chưa tới</v>
      </c>
    </row>
    <row r="1143" customFormat="false" ht="15" hidden="false" customHeight="false" outlineLevel="0" collapsed="false">
      <c r="A1143" s="31" t="n">
        <v>1141</v>
      </c>
      <c r="B1143" s="43" t="s">
        <v>11496</v>
      </c>
      <c r="C1143" s="34" t="s">
        <v>11497</v>
      </c>
      <c r="D1143" s="44" t="s">
        <v>10794</v>
      </c>
      <c r="E1143" s="31"/>
      <c r="F1143" s="31" t="s">
        <v>5287</v>
      </c>
      <c r="G1143" s="31" t="n">
        <v>44</v>
      </c>
      <c r="H1143" s="31" t="s">
        <v>3692</v>
      </c>
      <c r="I1143" s="44" t="s">
        <v>5213</v>
      </c>
      <c r="J1143" s="45" t="s">
        <v>5289</v>
      </c>
      <c r="K1143" s="45" t="s">
        <v>5291</v>
      </c>
      <c r="L1143" s="31" t="n">
        <f aca="false">COUNTIF($B$3:$B$2205,$B1143)</f>
        <v>2</v>
      </c>
      <c r="M1143" s="44" t="str">
        <f aca="false">IFERROR(INDEX(SENTENCES!$T$3:$T$1802,MATCH($F1143,SENTENCES!$A$3:$A$1802,0)),"")</f>
        <v>• Chưa tới</v>
      </c>
    </row>
    <row r="1144" customFormat="false" ht="15" hidden="false" customHeight="false" outlineLevel="0" collapsed="false">
      <c r="A1144" s="31" t="n">
        <v>1142</v>
      </c>
      <c r="B1144" s="43" t="s">
        <v>12549</v>
      </c>
      <c r="C1144" s="34" t="s">
        <v>12550</v>
      </c>
      <c r="D1144" s="44" t="s">
        <v>10681</v>
      </c>
      <c r="E1144" s="31"/>
      <c r="F1144" s="31" t="s">
        <v>5292</v>
      </c>
      <c r="G1144" s="31" t="n">
        <v>44</v>
      </c>
      <c r="H1144" s="31" t="s">
        <v>3692</v>
      </c>
      <c r="I1144" s="44" t="s">
        <v>5213</v>
      </c>
      <c r="J1144" s="45" t="s">
        <v>5294</v>
      </c>
      <c r="K1144" s="45" t="s">
        <v>5296</v>
      </c>
      <c r="L1144" s="31" t="n">
        <f aca="false">COUNTIF($B$3:$B$2205,$B1144)</f>
        <v>1</v>
      </c>
      <c r="M1144" s="44" t="str">
        <f aca="false">IFERROR(INDEX(SENTENCES!$T$3:$T$1802,MATCH($F1144,SENTENCES!$A$3:$A$1802,0)),"")</f>
        <v>• Chưa tới</v>
      </c>
    </row>
    <row r="1145" customFormat="false" ht="15" hidden="false" customHeight="false" outlineLevel="0" collapsed="false">
      <c r="A1145" s="31" t="n">
        <v>1143</v>
      </c>
      <c r="B1145" s="43" t="s">
        <v>11837</v>
      </c>
      <c r="C1145" s="34" t="s">
        <v>11838</v>
      </c>
      <c r="D1145" s="44" t="s">
        <v>10686</v>
      </c>
      <c r="E1145" s="31"/>
      <c r="F1145" s="31" t="s">
        <v>5298</v>
      </c>
      <c r="G1145" s="31" t="n">
        <v>44</v>
      </c>
      <c r="H1145" s="31" t="s">
        <v>3692</v>
      </c>
      <c r="I1145" s="44" t="s">
        <v>5213</v>
      </c>
      <c r="J1145" s="45" t="s">
        <v>5300</v>
      </c>
      <c r="K1145" s="45" t="s">
        <v>5302</v>
      </c>
      <c r="L1145" s="31" t="n">
        <f aca="false">COUNTIF($B$3:$B$2205,$B1145)</f>
        <v>2</v>
      </c>
      <c r="M1145" s="44" t="str">
        <f aca="false">IFERROR(INDEX(SENTENCES!$T$3:$T$1802,MATCH($F1145,SENTENCES!$A$3:$A$1802,0)),"")</f>
        <v>• Chưa tới</v>
      </c>
    </row>
    <row r="1146" customFormat="false" ht="15" hidden="false" customHeight="false" outlineLevel="0" collapsed="false">
      <c r="A1146" s="31" t="n">
        <v>1144</v>
      </c>
      <c r="B1146" s="43" t="s">
        <v>12551</v>
      </c>
      <c r="C1146" s="34" t="s">
        <v>12552</v>
      </c>
      <c r="D1146" s="44" t="s">
        <v>10686</v>
      </c>
      <c r="E1146" s="31"/>
      <c r="F1146" s="31" t="s">
        <v>5303</v>
      </c>
      <c r="G1146" s="31" t="n">
        <v>44</v>
      </c>
      <c r="H1146" s="31" t="s">
        <v>3692</v>
      </c>
      <c r="I1146" s="44" t="s">
        <v>5213</v>
      </c>
      <c r="J1146" s="45" t="s">
        <v>5305</v>
      </c>
      <c r="K1146" s="45" t="s">
        <v>5307</v>
      </c>
      <c r="L1146" s="31" t="n">
        <f aca="false">COUNTIF($B$3:$B$2205,$B1146)</f>
        <v>2</v>
      </c>
      <c r="M1146" s="44" t="str">
        <f aca="false">IFERROR(INDEX(SENTENCES!$T$3:$T$1802,MATCH($F1146,SENTENCES!$A$3:$A$1802,0)),"")</f>
        <v>• Chưa tới</v>
      </c>
    </row>
    <row r="1147" customFormat="false" ht="15" hidden="false" customHeight="false" outlineLevel="0" collapsed="false">
      <c r="A1147" s="31" t="n">
        <v>1145</v>
      </c>
      <c r="B1147" s="43" t="s">
        <v>11104</v>
      </c>
      <c r="C1147" s="34" t="s">
        <v>11105</v>
      </c>
      <c r="D1147" s="44" t="s">
        <v>10686</v>
      </c>
      <c r="E1147" s="31"/>
      <c r="F1147" s="31" t="s">
        <v>5309</v>
      </c>
      <c r="G1147" s="31" t="n">
        <v>44</v>
      </c>
      <c r="H1147" s="31" t="s">
        <v>3692</v>
      </c>
      <c r="I1147" s="44" t="s">
        <v>5213</v>
      </c>
      <c r="J1147" s="45" t="s">
        <v>5311</v>
      </c>
      <c r="K1147" s="45" t="s">
        <v>5313</v>
      </c>
      <c r="L1147" s="31" t="n">
        <f aca="false">COUNTIF($B$3:$B$2205,$B1147)</f>
        <v>5</v>
      </c>
      <c r="M1147" s="44" t="str">
        <f aca="false">IFERROR(INDEX(SENTENCES!$T$3:$T$1802,MATCH($F1147,SENTENCES!$A$3:$A$1802,0)),"")</f>
        <v>• Chưa tới</v>
      </c>
    </row>
    <row r="1148" customFormat="false" ht="15" hidden="false" customHeight="false" outlineLevel="0" collapsed="false">
      <c r="A1148" s="31" t="n">
        <v>1146</v>
      </c>
      <c r="B1148" s="43" t="s">
        <v>12553</v>
      </c>
      <c r="C1148" s="34" t="s">
        <v>12554</v>
      </c>
      <c r="D1148" s="44" t="s">
        <v>10686</v>
      </c>
      <c r="E1148" s="31"/>
      <c r="F1148" s="31" t="s">
        <v>5314</v>
      </c>
      <c r="G1148" s="31" t="n">
        <v>44</v>
      </c>
      <c r="H1148" s="31" t="s">
        <v>3692</v>
      </c>
      <c r="I1148" s="44" t="s">
        <v>5213</v>
      </c>
      <c r="J1148" s="45" t="s">
        <v>5316</v>
      </c>
      <c r="K1148" s="45" t="s">
        <v>5318</v>
      </c>
      <c r="L1148" s="31" t="n">
        <f aca="false">COUNTIF($B$3:$B$2205,$B1148)</f>
        <v>1</v>
      </c>
      <c r="M1148" s="44" t="str">
        <f aca="false">IFERROR(INDEX(SENTENCES!$T$3:$T$1802,MATCH($F1148,SENTENCES!$A$3:$A$1802,0)),"")</f>
        <v>• Chưa tới</v>
      </c>
    </row>
    <row r="1149" customFormat="false" ht="15" hidden="false" customHeight="false" outlineLevel="0" collapsed="false">
      <c r="A1149" s="31" t="n">
        <v>1147</v>
      </c>
      <c r="B1149" s="43" t="s">
        <v>12555</v>
      </c>
      <c r="C1149" s="34" t="s">
        <v>12556</v>
      </c>
      <c r="D1149" s="44" t="s">
        <v>10681</v>
      </c>
      <c r="E1149" s="31"/>
      <c r="F1149" s="31" t="s">
        <v>5320</v>
      </c>
      <c r="G1149" s="31" t="n">
        <v>44</v>
      </c>
      <c r="H1149" s="31" t="s">
        <v>3692</v>
      </c>
      <c r="I1149" s="44" t="s">
        <v>5213</v>
      </c>
      <c r="J1149" s="45" t="s">
        <v>5322</v>
      </c>
      <c r="K1149" s="45" t="s">
        <v>5324</v>
      </c>
      <c r="L1149" s="31" t="n">
        <f aca="false">COUNTIF($B$3:$B$2205,$B1149)</f>
        <v>1</v>
      </c>
      <c r="M1149" s="44" t="str">
        <f aca="false">IFERROR(INDEX(SENTENCES!$T$3:$T$1802,MATCH($F1149,SENTENCES!$A$3:$A$1802,0)),"")</f>
        <v>• Chưa tới</v>
      </c>
    </row>
    <row r="1150" customFormat="false" ht="15" hidden="false" customHeight="false" outlineLevel="0" collapsed="false">
      <c r="A1150" s="31" t="n">
        <v>1148</v>
      </c>
      <c r="B1150" s="43" t="s">
        <v>12557</v>
      </c>
      <c r="C1150" s="34" t="s">
        <v>12558</v>
      </c>
      <c r="D1150" s="44" t="s">
        <v>10681</v>
      </c>
      <c r="E1150" s="31"/>
      <c r="F1150" s="31" t="s">
        <v>5320</v>
      </c>
      <c r="G1150" s="31" t="n">
        <v>44</v>
      </c>
      <c r="H1150" s="31" t="s">
        <v>3692</v>
      </c>
      <c r="I1150" s="44" t="s">
        <v>5213</v>
      </c>
      <c r="J1150" s="45" t="s">
        <v>5322</v>
      </c>
      <c r="K1150" s="45" t="s">
        <v>5324</v>
      </c>
      <c r="L1150" s="31" t="n">
        <f aca="false">COUNTIF($B$3:$B$2205,$B1150)</f>
        <v>1</v>
      </c>
      <c r="M1150" s="44" t="str">
        <f aca="false">IFERROR(INDEX(SENTENCES!$T$3:$T$1802,MATCH($F1150,SENTENCES!$A$3:$A$1802,0)),"")</f>
        <v>• Chưa tới</v>
      </c>
    </row>
    <row r="1151" customFormat="false" ht="15" hidden="false" customHeight="false" outlineLevel="0" collapsed="false">
      <c r="A1151" s="31" t="n">
        <v>1149</v>
      </c>
      <c r="B1151" s="43" t="s">
        <v>10994</v>
      </c>
      <c r="C1151" s="34" t="s">
        <v>10995</v>
      </c>
      <c r="D1151" s="44" t="s">
        <v>10677</v>
      </c>
      <c r="E1151" s="31" t="s">
        <v>10678</v>
      </c>
      <c r="F1151" s="31" t="s">
        <v>5326</v>
      </c>
      <c r="G1151" s="31" t="n">
        <v>45</v>
      </c>
      <c r="H1151" s="31" t="s">
        <v>3692</v>
      </c>
      <c r="I1151" s="44" t="s">
        <v>5327</v>
      </c>
      <c r="J1151" s="45" t="s">
        <v>5329</v>
      </c>
      <c r="K1151" s="45" t="s">
        <v>5331</v>
      </c>
      <c r="L1151" s="31" t="n">
        <f aca="false">COUNTIF($B$3:$B$2205,$B1151)</f>
        <v>2</v>
      </c>
      <c r="M1151" s="44" t="str">
        <f aca="false">IFERROR(INDEX(SENTENCES!$T$3:$T$1802,MATCH($F1151,SENTENCES!$A$3:$A$1802,0)),"")</f>
        <v>• Chưa tới</v>
      </c>
    </row>
    <row r="1152" customFormat="false" ht="15" hidden="false" customHeight="false" outlineLevel="0" collapsed="false">
      <c r="A1152" s="31" t="n">
        <v>1150</v>
      </c>
      <c r="B1152" s="43" t="s">
        <v>11245</v>
      </c>
      <c r="C1152" s="34" t="s">
        <v>11246</v>
      </c>
      <c r="D1152" s="44" t="s">
        <v>10677</v>
      </c>
      <c r="E1152" s="31" t="s">
        <v>10707</v>
      </c>
      <c r="F1152" s="31" t="s">
        <v>5333</v>
      </c>
      <c r="G1152" s="31" t="n">
        <v>45</v>
      </c>
      <c r="H1152" s="31" t="s">
        <v>3692</v>
      </c>
      <c r="I1152" s="44" t="s">
        <v>5327</v>
      </c>
      <c r="J1152" s="45" t="s">
        <v>5334</v>
      </c>
      <c r="K1152" s="45" t="s">
        <v>5336</v>
      </c>
      <c r="L1152" s="31" t="n">
        <f aca="false">COUNTIF($B$3:$B$2205,$B1152)</f>
        <v>2</v>
      </c>
      <c r="M1152" s="44" t="str">
        <f aca="false">IFERROR(INDEX(SENTENCES!$T$3:$T$1802,MATCH($F1152,SENTENCES!$A$3:$A$1802,0)),"")</f>
        <v>• Chưa tới</v>
      </c>
    </row>
    <row r="1153" customFormat="false" ht="15" hidden="false" customHeight="false" outlineLevel="0" collapsed="false">
      <c r="A1153" s="31" t="n">
        <v>1151</v>
      </c>
      <c r="B1153" s="43" t="s">
        <v>12559</v>
      </c>
      <c r="C1153" s="34" t="s">
        <v>12560</v>
      </c>
      <c r="D1153" s="44" t="s">
        <v>10677</v>
      </c>
      <c r="E1153" s="31" t="s">
        <v>10678</v>
      </c>
      <c r="F1153" s="31" t="s">
        <v>5338</v>
      </c>
      <c r="G1153" s="31" t="n">
        <v>45</v>
      </c>
      <c r="H1153" s="31" t="s">
        <v>3692</v>
      </c>
      <c r="I1153" s="44" t="s">
        <v>5327</v>
      </c>
      <c r="J1153" s="45" t="s">
        <v>5339</v>
      </c>
      <c r="K1153" s="45" t="s">
        <v>5341</v>
      </c>
      <c r="L1153" s="31" t="n">
        <f aca="false">COUNTIF($B$3:$B$2205,$B1153)</f>
        <v>1</v>
      </c>
      <c r="M1153" s="44" t="str">
        <f aca="false">IFERROR(INDEX(SENTENCES!$T$3:$T$1802,MATCH($F1153,SENTENCES!$A$3:$A$1802,0)),"")</f>
        <v>• Chưa tới</v>
      </c>
    </row>
    <row r="1154" customFormat="false" ht="15" hidden="false" customHeight="false" outlineLevel="0" collapsed="false">
      <c r="A1154" s="31" t="n">
        <v>1152</v>
      </c>
      <c r="B1154" s="43" t="s">
        <v>12561</v>
      </c>
      <c r="C1154" s="34" t="s">
        <v>11132</v>
      </c>
      <c r="D1154" s="44" t="s">
        <v>10677</v>
      </c>
      <c r="E1154" s="31" t="s">
        <v>10707</v>
      </c>
      <c r="F1154" s="31" t="s">
        <v>5343</v>
      </c>
      <c r="G1154" s="31" t="n">
        <v>45</v>
      </c>
      <c r="H1154" s="31" t="s">
        <v>3692</v>
      </c>
      <c r="I1154" s="44" t="s">
        <v>5327</v>
      </c>
      <c r="J1154" s="45" t="s">
        <v>5345</v>
      </c>
      <c r="K1154" s="45" t="s">
        <v>5347</v>
      </c>
      <c r="L1154" s="31" t="n">
        <f aca="false">COUNTIF($B$3:$B$2205,$B1154)</f>
        <v>1</v>
      </c>
      <c r="M1154" s="44" t="str">
        <f aca="false">IFERROR(INDEX(SENTENCES!$T$3:$T$1802,MATCH($F1154,SENTENCES!$A$3:$A$1802,0)),"")</f>
        <v>• Chưa tới</v>
      </c>
    </row>
    <row r="1155" customFormat="false" ht="15" hidden="false" customHeight="false" outlineLevel="0" collapsed="false">
      <c r="A1155" s="31" t="n">
        <v>1153</v>
      </c>
      <c r="B1155" s="43" t="s">
        <v>12562</v>
      </c>
      <c r="C1155" s="34" t="s">
        <v>12563</v>
      </c>
      <c r="D1155" s="44" t="s">
        <v>10677</v>
      </c>
      <c r="E1155" s="31" t="s">
        <v>10678</v>
      </c>
      <c r="F1155" s="31" t="s">
        <v>5349</v>
      </c>
      <c r="G1155" s="31" t="n">
        <v>45</v>
      </c>
      <c r="H1155" s="31" t="s">
        <v>3692</v>
      </c>
      <c r="I1155" s="44" t="s">
        <v>5327</v>
      </c>
      <c r="J1155" s="45" t="s">
        <v>5350</v>
      </c>
      <c r="K1155" s="45" t="s">
        <v>5352</v>
      </c>
      <c r="L1155" s="31" t="n">
        <f aca="false">COUNTIF($B$3:$B$2205,$B1155)</f>
        <v>2</v>
      </c>
      <c r="M1155" s="44" t="str">
        <f aca="false">IFERROR(INDEX(SENTENCES!$T$3:$T$1802,MATCH($F1155,SENTENCES!$A$3:$A$1802,0)),"")</f>
        <v>• Chưa tới</v>
      </c>
    </row>
    <row r="1156" customFormat="false" ht="15" hidden="false" customHeight="false" outlineLevel="0" collapsed="false">
      <c r="A1156" s="31" t="n">
        <v>1154</v>
      </c>
      <c r="B1156" s="43" t="s">
        <v>12564</v>
      </c>
      <c r="C1156" s="34" t="s">
        <v>12565</v>
      </c>
      <c r="D1156" s="44" t="s">
        <v>10681</v>
      </c>
      <c r="E1156" s="31"/>
      <c r="F1156" s="31" t="s">
        <v>5354</v>
      </c>
      <c r="G1156" s="31" t="n">
        <v>45</v>
      </c>
      <c r="H1156" s="31" t="s">
        <v>3692</v>
      </c>
      <c r="I1156" s="44" t="s">
        <v>5327</v>
      </c>
      <c r="J1156" s="45" t="s">
        <v>5356</v>
      </c>
      <c r="K1156" s="45" t="s">
        <v>5358</v>
      </c>
      <c r="L1156" s="31" t="n">
        <f aca="false">COUNTIF($B$3:$B$2205,$B1156)</f>
        <v>2</v>
      </c>
      <c r="M1156" s="44" t="str">
        <f aca="false">IFERROR(INDEX(SENTENCES!$T$3:$T$1802,MATCH($F1156,SENTENCES!$A$3:$A$1802,0)),"")</f>
        <v>• Chưa tới</v>
      </c>
    </row>
    <row r="1157" customFormat="false" ht="15" hidden="false" customHeight="false" outlineLevel="0" collapsed="false">
      <c r="A1157" s="31" t="n">
        <v>1155</v>
      </c>
      <c r="B1157" s="43" t="s">
        <v>12566</v>
      </c>
      <c r="C1157" s="34" t="s">
        <v>12567</v>
      </c>
      <c r="D1157" s="44" t="s">
        <v>10677</v>
      </c>
      <c r="E1157" s="31" t="s">
        <v>10707</v>
      </c>
      <c r="F1157" s="31" t="s">
        <v>5360</v>
      </c>
      <c r="G1157" s="31" t="n">
        <v>45</v>
      </c>
      <c r="H1157" s="31" t="s">
        <v>3692</v>
      </c>
      <c r="I1157" s="44" t="s">
        <v>5327</v>
      </c>
      <c r="J1157" s="45" t="s">
        <v>5362</v>
      </c>
      <c r="K1157" s="45" t="s">
        <v>5364</v>
      </c>
      <c r="L1157" s="31" t="n">
        <f aca="false">COUNTIF($B$3:$B$2205,$B1157)</f>
        <v>1</v>
      </c>
      <c r="M1157" s="44" t="str">
        <f aca="false">IFERROR(INDEX(SENTENCES!$T$3:$T$1802,MATCH($F1157,SENTENCES!$A$3:$A$1802,0)),"")</f>
        <v>• Chưa tới</v>
      </c>
    </row>
    <row r="1158" customFormat="false" ht="15" hidden="false" customHeight="false" outlineLevel="0" collapsed="false">
      <c r="A1158" s="31" t="n">
        <v>1156</v>
      </c>
      <c r="B1158" s="43" t="s">
        <v>12568</v>
      </c>
      <c r="C1158" s="34" t="s">
        <v>12569</v>
      </c>
      <c r="D1158" s="44" t="s">
        <v>10681</v>
      </c>
      <c r="E1158" s="31"/>
      <c r="F1158" s="31" t="s">
        <v>5366</v>
      </c>
      <c r="G1158" s="31" t="n">
        <v>45</v>
      </c>
      <c r="H1158" s="31" t="s">
        <v>3692</v>
      </c>
      <c r="I1158" s="44" t="s">
        <v>5327</v>
      </c>
      <c r="J1158" s="45" t="s">
        <v>5368</v>
      </c>
      <c r="K1158" s="45" t="s">
        <v>5370</v>
      </c>
      <c r="L1158" s="31" t="n">
        <f aca="false">COUNTIF($B$3:$B$2205,$B1158)</f>
        <v>1</v>
      </c>
      <c r="M1158" s="44" t="str">
        <f aca="false">IFERROR(INDEX(SENTENCES!$T$3:$T$1802,MATCH($F1158,SENTENCES!$A$3:$A$1802,0)),"")</f>
        <v>• Chưa tới</v>
      </c>
    </row>
    <row r="1159" customFormat="false" ht="15" hidden="false" customHeight="false" outlineLevel="0" collapsed="false">
      <c r="A1159" s="31" t="n">
        <v>1157</v>
      </c>
      <c r="B1159" s="43" t="s">
        <v>12570</v>
      </c>
      <c r="C1159" s="34" t="s">
        <v>12571</v>
      </c>
      <c r="D1159" s="44" t="s">
        <v>10677</v>
      </c>
      <c r="E1159" s="31" t="s">
        <v>10747</v>
      </c>
      <c r="F1159" s="31" t="s">
        <v>5372</v>
      </c>
      <c r="G1159" s="31" t="n">
        <v>45</v>
      </c>
      <c r="H1159" s="31" t="s">
        <v>3692</v>
      </c>
      <c r="I1159" s="44" t="s">
        <v>5327</v>
      </c>
      <c r="J1159" s="45" t="s">
        <v>5374</v>
      </c>
      <c r="K1159" s="45" t="s">
        <v>5376</v>
      </c>
      <c r="L1159" s="31" t="n">
        <f aca="false">COUNTIF($B$3:$B$2205,$B1159)</f>
        <v>1</v>
      </c>
      <c r="M1159" s="44" t="str">
        <f aca="false">IFERROR(INDEX(SENTENCES!$T$3:$T$1802,MATCH($F1159,SENTENCES!$A$3:$A$1802,0)),"")</f>
        <v>• Chưa tới</v>
      </c>
    </row>
    <row r="1160" customFormat="false" ht="15" hidden="false" customHeight="false" outlineLevel="0" collapsed="false">
      <c r="A1160" s="31" t="n">
        <v>1158</v>
      </c>
      <c r="B1160" s="43" t="s">
        <v>12572</v>
      </c>
      <c r="C1160" s="34" t="s">
        <v>12573</v>
      </c>
      <c r="D1160" s="44" t="s">
        <v>10677</v>
      </c>
      <c r="E1160" s="31" t="s">
        <v>10678</v>
      </c>
      <c r="F1160" s="31" t="s">
        <v>5372</v>
      </c>
      <c r="G1160" s="31" t="n">
        <v>45</v>
      </c>
      <c r="H1160" s="31" t="s">
        <v>3692</v>
      </c>
      <c r="I1160" s="44" t="s">
        <v>5327</v>
      </c>
      <c r="J1160" s="45" t="s">
        <v>5374</v>
      </c>
      <c r="K1160" s="45" t="s">
        <v>5376</v>
      </c>
      <c r="L1160" s="31" t="n">
        <f aca="false">COUNTIF($B$3:$B$2205,$B1160)</f>
        <v>1</v>
      </c>
      <c r="M1160" s="44" t="str">
        <f aca="false">IFERROR(INDEX(SENTENCES!$T$3:$T$1802,MATCH($F1160,SENTENCES!$A$3:$A$1802,0)),"")</f>
        <v>• Chưa tới</v>
      </c>
    </row>
    <row r="1161" customFormat="false" ht="15" hidden="false" customHeight="false" outlineLevel="0" collapsed="false">
      <c r="A1161" s="31" t="n">
        <v>1159</v>
      </c>
      <c r="B1161" s="43" t="s">
        <v>12574</v>
      </c>
      <c r="C1161" s="34" t="s">
        <v>12575</v>
      </c>
      <c r="D1161" s="44" t="s">
        <v>10681</v>
      </c>
      <c r="E1161" s="31"/>
      <c r="F1161" s="31" t="s">
        <v>5378</v>
      </c>
      <c r="G1161" s="31" t="n">
        <v>45</v>
      </c>
      <c r="H1161" s="31" t="s">
        <v>3692</v>
      </c>
      <c r="I1161" s="44" t="s">
        <v>5327</v>
      </c>
      <c r="J1161" s="45" t="s">
        <v>5380</v>
      </c>
      <c r="K1161" s="45" t="s">
        <v>5382</v>
      </c>
      <c r="L1161" s="31" t="n">
        <f aca="false">COUNTIF($B$3:$B$2205,$B1161)</f>
        <v>1</v>
      </c>
      <c r="M1161" s="44" t="str">
        <f aca="false">IFERROR(INDEX(SENTENCES!$T$3:$T$1802,MATCH($F1161,SENTENCES!$A$3:$A$1802,0)),"")</f>
        <v>• Chưa tới</v>
      </c>
    </row>
    <row r="1162" customFormat="false" ht="15" hidden="false" customHeight="false" outlineLevel="0" collapsed="false">
      <c r="A1162" s="31" t="n">
        <v>1160</v>
      </c>
      <c r="B1162" s="43" t="s">
        <v>12576</v>
      </c>
      <c r="C1162" s="34" t="s">
        <v>12577</v>
      </c>
      <c r="D1162" s="44" t="s">
        <v>10677</v>
      </c>
      <c r="E1162" s="31" t="s">
        <v>10678</v>
      </c>
      <c r="F1162" s="31" t="s">
        <v>5384</v>
      </c>
      <c r="G1162" s="31" t="n">
        <v>45</v>
      </c>
      <c r="H1162" s="31" t="s">
        <v>3692</v>
      </c>
      <c r="I1162" s="44" t="s">
        <v>5327</v>
      </c>
      <c r="J1162" s="45" t="s">
        <v>5386</v>
      </c>
      <c r="K1162" s="45" t="s">
        <v>5388</v>
      </c>
      <c r="L1162" s="31" t="n">
        <f aca="false">COUNTIF($B$3:$B$2205,$B1162)</f>
        <v>2</v>
      </c>
      <c r="M1162" s="44" t="str">
        <f aca="false">IFERROR(INDEX(SENTENCES!$T$3:$T$1802,MATCH($F1162,SENTENCES!$A$3:$A$1802,0)),"")</f>
        <v>• Chưa tới</v>
      </c>
    </row>
    <row r="1163" customFormat="false" ht="15" hidden="false" customHeight="false" outlineLevel="0" collapsed="false">
      <c r="A1163" s="31" t="n">
        <v>1161</v>
      </c>
      <c r="B1163" s="43" t="s">
        <v>11769</v>
      </c>
      <c r="C1163" s="34" t="s">
        <v>12293</v>
      </c>
      <c r="D1163" s="44" t="s">
        <v>10677</v>
      </c>
      <c r="E1163" s="31" t="s">
        <v>10747</v>
      </c>
      <c r="F1163" s="31" t="s">
        <v>5390</v>
      </c>
      <c r="G1163" s="31" t="n">
        <v>45</v>
      </c>
      <c r="H1163" s="31" t="s">
        <v>3692</v>
      </c>
      <c r="I1163" s="44" t="s">
        <v>5327</v>
      </c>
      <c r="J1163" s="45" t="s">
        <v>5392</v>
      </c>
      <c r="K1163" s="45" t="s">
        <v>5394</v>
      </c>
      <c r="L1163" s="31" t="n">
        <f aca="false">COUNTIF($B$3:$B$2205,$B1163)</f>
        <v>2</v>
      </c>
      <c r="M1163" s="44" t="str">
        <f aca="false">IFERROR(INDEX(SENTENCES!$T$3:$T$1802,MATCH($F1163,SENTENCES!$A$3:$A$1802,0)),"")</f>
        <v>• Chưa tới</v>
      </c>
    </row>
    <row r="1164" customFormat="false" ht="15" hidden="false" customHeight="false" outlineLevel="0" collapsed="false">
      <c r="A1164" s="31" t="n">
        <v>1162</v>
      </c>
      <c r="B1164" s="43" t="s">
        <v>12578</v>
      </c>
      <c r="C1164" s="34" t="s">
        <v>12569</v>
      </c>
      <c r="D1164" s="44" t="s">
        <v>10681</v>
      </c>
      <c r="E1164" s="31"/>
      <c r="F1164" s="31" t="s">
        <v>5396</v>
      </c>
      <c r="G1164" s="31" t="n">
        <v>45</v>
      </c>
      <c r="H1164" s="31" t="s">
        <v>3692</v>
      </c>
      <c r="I1164" s="44" t="s">
        <v>5327</v>
      </c>
      <c r="J1164" s="45" t="s">
        <v>5398</v>
      </c>
      <c r="K1164" s="45" t="s">
        <v>5400</v>
      </c>
      <c r="L1164" s="31" t="n">
        <f aca="false">COUNTIF($B$3:$B$2205,$B1164)</f>
        <v>1</v>
      </c>
      <c r="M1164" s="44" t="str">
        <f aca="false">IFERROR(INDEX(SENTENCES!$T$3:$T$1802,MATCH($F1164,SENTENCES!$A$3:$A$1802,0)),"")</f>
        <v>• Chưa tới</v>
      </c>
    </row>
    <row r="1165" customFormat="false" ht="15" hidden="false" customHeight="false" outlineLevel="0" collapsed="false">
      <c r="A1165" s="31" t="n">
        <v>1163</v>
      </c>
      <c r="B1165" s="43" t="s">
        <v>12579</v>
      </c>
      <c r="C1165" s="34" t="s">
        <v>12580</v>
      </c>
      <c r="D1165" s="44" t="s">
        <v>10677</v>
      </c>
      <c r="E1165" s="31" t="s">
        <v>10707</v>
      </c>
      <c r="F1165" s="31" t="s">
        <v>5402</v>
      </c>
      <c r="G1165" s="31" t="n">
        <v>45</v>
      </c>
      <c r="H1165" s="31" t="s">
        <v>3692</v>
      </c>
      <c r="I1165" s="44" t="s">
        <v>5327</v>
      </c>
      <c r="J1165" s="45" t="s">
        <v>5404</v>
      </c>
      <c r="K1165" s="45" t="s">
        <v>5406</v>
      </c>
      <c r="L1165" s="31" t="n">
        <f aca="false">COUNTIF($B$3:$B$2205,$B1165)</f>
        <v>1</v>
      </c>
      <c r="M1165" s="44" t="str">
        <f aca="false">IFERROR(INDEX(SENTENCES!$T$3:$T$1802,MATCH($F1165,SENTENCES!$A$3:$A$1802,0)),"")</f>
        <v>• Chưa tới</v>
      </c>
    </row>
    <row r="1166" customFormat="false" ht="15" hidden="false" customHeight="false" outlineLevel="0" collapsed="false">
      <c r="A1166" s="31" t="n">
        <v>1164</v>
      </c>
      <c r="B1166" s="43" t="s">
        <v>12581</v>
      </c>
      <c r="C1166" s="34" t="s">
        <v>12582</v>
      </c>
      <c r="D1166" s="44" t="s">
        <v>10686</v>
      </c>
      <c r="E1166" s="31"/>
      <c r="F1166" s="31" t="s">
        <v>5402</v>
      </c>
      <c r="G1166" s="31" t="n">
        <v>45</v>
      </c>
      <c r="H1166" s="31" t="s">
        <v>3692</v>
      </c>
      <c r="I1166" s="44" t="s">
        <v>5327</v>
      </c>
      <c r="J1166" s="45" t="s">
        <v>5404</v>
      </c>
      <c r="K1166" s="45" t="s">
        <v>5406</v>
      </c>
      <c r="L1166" s="31" t="n">
        <f aca="false">COUNTIF($B$3:$B$2205,$B1166)</f>
        <v>2</v>
      </c>
      <c r="M1166" s="44" t="str">
        <f aca="false">IFERROR(INDEX(SENTENCES!$T$3:$T$1802,MATCH($F1166,SENTENCES!$A$3:$A$1802,0)),"")</f>
        <v>• Chưa tới</v>
      </c>
    </row>
    <row r="1167" customFormat="false" ht="15" hidden="false" customHeight="false" outlineLevel="0" collapsed="false">
      <c r="A1167" s="31" t="n">
        <v>1165</v>
      </c>
      <c r="B1167" s="43" t="s">
        <v>12583</v>
      </c>
      <c r="C1167" s="34" t="s">
        <v>12584</v>
      </c>
      <c r="D1167" s="44" t="s">
        <v>10794</v>
      </c>
      <c r="E1167" s="31"/>
      <c r="F1167" s="31" t="s">
        <v>5408</v>
      </c>
      <c r="G1167" s="31" t="n">
        <v>45</v>
      </c>
      <c r="H1167" s="31" t="s">
        <v>3692</v>
      </c>
      <c r="I1167" s="44" t="s">
        <v>5327</v>
      </c>
      <c r="J1167" s="45" t="s">
        <v>5410</v>
      </c>
      <c r="K1167" s="45" t="s">
        <v>5412</v>
      </c>
      <c r="L1167" s="31" t="n">
        <f aca="false">COUNTIF($B$3:$B$2205,$B1167)</f>
        <v>1</v>
      </c>
      <c r="M1167" s="44" t="str">
        <f aca="false">IFERROR(INDEX(SENTENCES!$T$3:$T$1802,MATCH($F1167,SENTENCES!$A$3:$A$1802,0)),"")</f>
        <v>• Chưa tới</v>
      </c>
    </row>
    <row r="1168" customFormat="false" ht="15" hidden="false" customHeight="false" outlineLevel="0" collapsed="false">
      <c r="A1168" s="31" t="n">
        <v>1166</v>
      </c>
      <c r="B1168" s="43" t="s">
        <v>12585</v>
      </c>
      <c r="C1168" s="34" t="s">
        <v>12586</v>
      </c>
      <c r="D1168" s="44" t="s">
        <v>10677</v>
      </c>
      <c r="E1168" s="31" t="s">
        <v>10678</v>
      </c>
      <c r="F1168" s="31" t="s">
        <v>5414</v>
      </c>
      <c r="G1168" s="31" t="n">
        <v>45</v>
      </c>
      <c r="H1168" s="31" t="s">
        <v>3692</v>
      </c>
      <c r="I1168" s="44" t="s">
        <v>5327</v>
      </c>
      <c r="J1168" s="45" t="s">
        <v>5416</v>
      </c>
      <c r="K1168" s="45" t="s">
        <v>5418</v>
      </c>
      <c r="L1168" s="31" t="n">
        <f aca="false">COUNTIF($B$3:$B$2205,$B1168)</f>
        <v>1</v>
      </c>
      <c r="M1168" s="44" t="str">
        <f aca="false">IFERROR(INDEX(SENTENCES!$T$3:$T$1802,MATCH($F1168,SENTENCES!$A$3:$A$1802,0)),"")</f>
        <v>• Chưa tới</v>
      </c>
    </row>
    <row r="1169" customFormat="false" ht="15" hidden="false" customHeight="false" outlineLevel="0" collapsed="false">
      <c r="A1169" s="31" t="n">
        <v>1167</v>
      </c>
      <c r="B1169" s="43" t="s">
        <v>12587</v>
      </c>
      <c r="C1169" s="34" t="s">
        <v>12588</v>
      </c>
      <c r="D1169" s="44" t="s">
        <v>10677</v>
      </c>
      <c r="E1169" s="31" t="s">
        <v>10678</v>
      </c>
      <c r="F1169" s="31" t="s">
        <v>5414</v>
      </c>
      <c r="G1169" s="31" t="n">
        <v>45</v>
      </c>
      <c r="H1169" s="31" t="s">
        <v>3692</v>
      </c>
      <c r="I1169" s="44" t="s">
        <v>5327</v>
      </c>
      <c r="J1169" s="45" t="s">
        <v>5416</v>
      </c>
      <c r="K1169" s="45" t="s">
        <v>5418</v>
      </c>
      <c r="L1169" s="31" t="n">
        <f aca="false">COUNTIF($B$3:$B$2205,$B1169)</f>
        <v>1</v>
      </c>
      <c r="M1169" s="44" t="str">
        <f aca="false">IFERROR(INDEX(SENTENCES!$T$3:$T$1802,MATCH($F1169,SENTENCES!$A$3:$A$1802,0)),"")</f>
        <v>• Chưa tới</v>
      </c>
    </row>
    <row r="1170" customFormat="false" ht="15" hidden="false" customHeight="false" outlineLevel="0" collapsed="false">
      <c r="A1170" s="31" t="n">
        <v>1168</v>
      </c>
      <c r="B1170" s="43" t="s">
        <v>12589</v>
      </c>
      <c r="C1170" s="34" t="s">
        <v>12590</v>
      </c>
      <c r="D1170" s="44" t="s">
        <v>10677</v>
      </c>
      <c r="E1170" s="31" t="s">
        <v>10678</v>
      </c>
      <c r="F1170" s="31" t="s">
        <v>5420</v>
      </c>
      <c r="G1170" s="31" t="n">
        <v>45</v>
      </c>
      <c r="H1170" s="31" t="s">
        <v>3692</v>
      </c>
      <c r="I1170" s="44" t="s">
        <v>5327</v>
      </c>
      <c r="J1170" s="45" t="s">
        <v>5422</v>
      </c>
      <c r="K1170" s="45" t="s">
        <v>5424</v>
      </c>
      <c r="L1170" s="31" t="n">
        <f aca="false">COUNTIF($B$3:$B$2205,$B1170)</f>
        <v>1</v>
      </c>
      <c r="M1170" s="44" t="str">
        <f aca="false">IFERROR(INDEX(SENTENCES!$T$3:$T$1802,MATCH($F1170,SENTENCES!$A$3:$A$1802,0)),"")</f>
        <v>• Chưa tới</v>
      </c>
    </row>
    <row r="1171" customFormat="false" ht="15" hidden="false" customHeight="false" outlineLevel="0" collapsed="false">
      <c r="A1171" s="31" t="n">
        <v>1169</v>
      </c>
      <c r="B1171" s="43" t="s">
        <v>12591</v>
      </c>
      <c r="C1171" s="34" t="s">
        <v>12592</v>
      </c>
      <c r="D1171" s="44" t="s">
        <v>10677</v>
      </c>
      <c r="E1171" s="31" t="s">
        <v>10707</v>
      </c>
      <c r="F1171" s="31" t="s">
        <v>5426</v>
      </c>
      <c r="G1171" s="31" t="n">
        <v>45</v>
      </c>
      <c r="H1171" s="31" t="s">
        <v>3692</v>
      </c>
      <c r="I1171" s="44" t="s">
        <v>5327</v>
      </c>
      <c r="J1171" s="45" t="s">
        <v>5428</v>
      </c>
      <c r="K1171" s="45" t="s">
        <v>5430</v>
      </c>
      <c r="L1171" s="31" t="n">
        <f aca="false">COUNTIF($B$3:$B$2205,$B1171)</f>
        <v>2</v>
      </c>
      <c r="M1171" s="44" t="str">
        <f aca="false">IFERROR(INDEX(SENTENCES!$T$3:$T$1802,MATCH($F1171,SENTENCES!$A$3:$A$1802,0)),"")</f>
        <v>• Chưa tới</v>
      </c>
    </row>
    <row r="1172" customFormat="false" ht="15" hidden="false" customHeight="false" outlineLevel="0" collapsed="false">
      <c r="A1172" s="31" t="n">
        <v>1170</v>
      </c>
      <c r="B1172" s="43" t="s">
        <v>12593</v>
      </c>
      <c r="C1172" s="34" t="s">
        <v>12594</v>
      </c>
      <c r="D1172" s="44" t="s">
        <v>10681</v>
      </c>
      <c r="E1172" s="31"/>
      <c r="F1172" s="31" t="s">
        <v>5426</v>
      </c>
      <c r="G1172" s="31" t="n">
        <v>45</v>
      </c>
      <c r="H1172" s="31" t="s">
        <v>3692</v>
      </c>
      <c r="I1172" s="44" t="s">
        <v>5327</v>
      </c>
      <c r="J1172" s="45" t="s">
        <v>5428</v>
      </c>
      <c r="K1172" s="45" t="s">
        <v>5430</v>
      </c>
      <c r="L1172" s="31" t="n">
        <f aca="false">COUNTIF($B$3:$B$2205,$B1172)</f>
        <v>1</v>
      </c>
      <c r="M1172" s="44" t="str">
        <f aca="false">IFERROR(INDEX(SENTENCES!$T$3:$T$1802,MATCH($F1172,SENTENCES!$A$3:$A$1802,0)),"")</f>
        <v>• Chưa tới</v>
      </c>
    </row>
    <row r="1173" customFormat="false" ht="15" hidden="false" customHeight="false" outlineLevel="0" collapsed="false">
      <c r="A1173" s="31" t="n">
        <v>1171</v>
      </c>
      <c r="B1173" s="43" t="s">
        <v>12595</v>
      </c>
      <c r="C1173" s="34" t="s">
        <v>12596</v>
      </c>
      <c r="D1173" s="44" t="s">
        <v>10677</v>
      </c>
      <c r="E1173" s="31" t="s">
        <v>10707</v>
      </c>
      <c r="F1173" s="31" t="s">
        <v>5432</v>
      </c>
      <c r="G1173" s="31" t="n">
        <v>45</v>
      </c>
      <c r="H1173" s="31" t="s">
        <v>3692</v>
      </c>
      <c r="I1173" s="44" t="s">
        <v>5327</v>
      </c>
      <c r="J1173" s="45" t="s">
        <v>5434</v>
      </c>
      <c r="K1173" s="45" t="s">
        <v>5436</v>
      </c>
      <c r="L1173" s="31" t="n">
        <f aca="false">COUNTIF($B$3:$B$2205,$B1173)</f>
        <v>1</v>
      </c>
      <c r="M1173" s="44" t="str">
        <f aca="false">IFERROR(INDEX(SENTENCES!$T$3:$T$1802,MATCH($F1173,SENTENCES!$A$3:$A$1802,0)),"")</f>
        <v>• Chưa tới</v>
      </c>
    </row>
    <row r="1174" customFormat="false" ht="15" hidden="false" customHeight="false" outlineLevel="0" collapsed="false">
      <c r="A1174" s="31" t="n">
        <v>1172</v>
      </c>
      <c r="B1174" s="43" t="s">
        <v>12597</v>
      </c>
      <c r="C1174" s="34" t="s">
        <v>12598</v>
      </c>
      <c r="D1174" s="44" t="s">
        <v>10681</v>
      </c>
      <c r="E1174" s="31"/>
      <c r="F1174" s="31" t="s">
        <v>5432</v>
      </c>
      <c r="G1174" s="31" t="n">
        <v>45</v>
      </c>
      <c r="H1174" s="31" t="s">
        <v>3692</v>
      </c>
      <c r="I1174" s="44" t="s">
        <v>5327</v>
      </c>
      <c r="J1174" s="45" t="s">
        <v>5434</v>
      </c>
      <c r="K1174" s="45" t="s">
        <v>5436</v>
      </c>
      <c r="L1174" s="31" t="n">
        <f aca="false">COUNTIF($B$3:$B$2205,$B1174)</f>
        <v>1</v>
      </c>
      <c r="M1174" s="44" t="str">
        <f aca="false">IFERROR(INDEX(SENTENCES!$T$3:$T$1802,MATCH($F1174,SENTENCES!$A$3:$A$1802,0)),"")</f>
        <v>• Chưa tới</v>
      </c>
    </row>
    <row r="1175" customFormat="false" ht="15" hidden="false" customHeight="false" outlineLevel="0" collapsed="false">
      <c r="A1175" s="31" t="n">
        <v>1173</v>
      </c>
      <c r="B1175" s="43" t="s">
        <v>12599</v>
      </c>
      <c r="C1175" s="34" t="s">
        <v>12600</v>
      </c>
      <c r="D1175" s="44" t="s">
        <v>10677</v>
      </c>
      <c r="E1175" s="31" t="s">
        <v>10707</v>
      </c>
      <c r="F1175" s="31" t="s">
        <v>5438</v>
      </c>
      <c r="G1175" s="31" t="n">
        <v>45</v>
      </c>
      <c r="H1175" s="31" t="s">
        <v>3692</v>
      </c>
      <c r="I1175" s="44" t="s">
        <v>5327</v>
      </c>
      <c r="J1175" s="45" t="s">
        <v>5440</v>
      </c>
      <c r="K1175" s="45" t="s">
        <v>5442</v>
      </c>
      <c r="L1175" s="31" t="n">
        <f aca="false">COUNTIF($B$3:$B$2205,$B1175)</f>
        <v>2</v>
      </c>
      <c r="M1175" s="44" t="str">
        <f aca="false">IFERROR(INDEX(SENTENCES!$T$3:$T$1802,MATCH($F1175,SENTENCES!$A$3:$A$1802,0)),"")</f>
        <v>• Chưa tới</v>
      </c>
    </row>
    <row r="1176" customFormat="false" ht="15" hidden="false" customHeight="false" outlineLevel="0" collapsed="false">
      <c r="A1176" s="31" t="n">
        <v>1174</v>
      </c>
      <c r="B1176" s="43" t="s">
        <v>12601</v>
      </c>
      <c r="C1176" s="34" t="s">
        <v>12602</v>
      </c>
      <c r="D1176" s="44" t="s">
        <v>10754</v>
      </c>
      <c r="E1176" s="31"/>
      <c r="F1176" s="31" t="s">
        <v>5444</v>
      </c>
      <c r="G1176" s="31" t="n">
        <v>46</v>
      </c>
      <c r="H1176" s="31" t="s">
        <v>3692</v>
      </c>
      <c r="I1176" s="44" t="s">
        <v>5445</v>
      </c>
      <c r="J1176" s="45" t="s">
        <v>5447</v>
      </c>
      <c r="K1176" s="45" t="s">
        <v>5449</v>
      </c>
      <c r="L1176" s="31" t="n">
        <f aca="false">COUNTIF($B$3:$B$2205,$B1176)</f>
        <v>1</v>
      </c>
      <c r="M1176" s="44" t="str">
        <f aca="false">IFERROR(INDEX(SENTENCES!$T$3:$T$1802,MATCH($F1176,SENTENCES!$A$3:$A$1802,0)),"")</f>
        <v>• Chưa tới</v>
      </c>
    </row>
    <row r="1177" customFormat="false" ht="15" hidden="false" customHeight="false" outlineLevel="0" collapsed="false">
      <c r="A1177" s="31" t="n">
        <v>1175</v>
      </c>
      <c r="B1177" s="43" t="s">
        <v>11538</v>
      </c>
      <c r="C1177" s="34" t="s">
        <v>11539</v>
      </c>
      <c r="D1177" s="44" t="s">
        <v>10754</v>
      </c>
      <c r="E1177" s="31"/>
      <c r="F1177" s="31" t="s">
        <v>5451</v>
      </c>
      <c r="G1177" s="31" t="n">
        <v>46</v>
      </c>
      <c r="H1177" s="31" t="s">
        <v>3692</v>
      </c>
      <c r="I1177" s="44" t="s">
        <v>5445</v>
      </c>
      <c r="J1177" s="45" t="s">
        <v>5453</v>
      </c>
      <c r="K1177" s="45" t="s">
        <v>5455</v>
      </c>
      <c r="L1177" s="31" t="n">
        <f aca="false">COUNTIF($B$3:$B$2205,$B1177)</f>
        <v>2</v>
      </c>
      <c r="M1177" s="44" t="str">
        <f aca="false">IFERROR(INDEX(SENTENCES!$T$3:$T$1802,MATCH($F1177,SENTENCES!$A$3:$A$1802,0)),"")</f>
        <v>• Chưa tới</v>
      </c>
    </row>
    <row r="1178" customFormat="false" ht="15" hidden="false" customHeight="false" outlineLevel="0" collapsed="false">
      <c r="A1178" s="31" t="n">
        <v>1176</v>
      </c>
      <c r="B1178" s="43" t="s">
        <v>12047</v>
      </c>
      <c r="C1178" s="34" t="s">
        <v>12048</v>
      </c>
      <c r="D1178" s="44" t="s">
        <v>10754</v>
      </c>
      <c r="E1178" s="31"/>
      <c r="F1178" s="31" t="s">
        <v>5456</v>
      </c>
      <c r="G1178" s="31" t="n">
        <v>46</v>
      </c>
      <c r="H1178" s="31" t="s">
        <v>3692</v>
      </c>
      <c r="I1178" s="44" t="s">
        <v>5445</v>
      </c>
      <c r="J1178" s="45" t="s">
        <v>5458</v>
      </c>
      <c r="K1178" s="45" t="s">
        <v>5460</v>
      </c>
      <c r="L1178" s="31" t="n">
        <f aca="false">COUNTIF($B$3:$B$2205,$B1178)</f>
        <v>3</v>
      </c>
      <c r="M1178" s="44" t="str">
        <f aca="false">IFERROR(INDEX(SENTENCES!$T$3:$T$1802,MATCH($F1178,SENTENCES!$A$3:$A$1802,0)),"")</f>
        <v>• Chưa tới</v>
      </c>
    </row>
    <row r="1179" customFormat="false" ht="15" hidden="false" customHeight="false" outlineLevel="0" collapsed="false">
      <c r="A1179" s="31" t="n">
        <v>1177</v>
      </c>
      <c r="B1179" s="43" t="s">
        <v>12603</v>
      </c>
      <c r="C1179" s="34" t="s">
        <v>12604</v>
      </c>
      <c r="D1179" s="44" t="s">
        <v>10754</v>
      </c>
      <c r="E1179" s="31"/>
      <c r="F1179" s="31" t="s">
        <v>5461</v>
      </c>
      <c r="G1179" s="31" t="n">
        <v>46</v>
      </c>
      <c r="H1179" s="31" t="s">
        <v>3692</v>
      </c>
      <c r="I1179" s="44" t="s">
        <v>5445</v>
      </c>
      <c r="J1179" s="45" t="s">
        <v>5463</v>
      </c>
      <c r="K1179" s="45" t="s">
        <v>5465</v>
      </c>
      <c r="L1179" s="31" t="n">
        <f aca="false">COUNTIF($B$3:$B$2205,$B1179)</f>
        <v>1</v>
      </c>
      <c r="M1179" s="44" t="str">
        <f aca="false">IFERROR(INDEX(SENTENCES!$T$3:$T$1802,MATCH($F1179,SENTENCES!$A$3:$A$1802,0)),"")</f>
        <v>• Chưa tới</v>
      </c>
    </row>
    <row r="1180" customFormat="false" ht="15" hidden="false" customHeight="false" outlineLevel="0" collapsed="false">
      <c r="A1180" s="31" t="n">
        <v>1178</v>
      </c>
      <c r="B1180" s="43" t="s">
        <v>12090</v>
      </c>
      <c r="C1180" s="34" t="s">
        <v>12091</v>
      </c>
      <c r="D1180" s="44" t="s">
        <v>10754</v>
      </c>
      <c r="E1180" s="31"/>
      <c r="F1180" s="31" t="s">
        <v>5467</v>
      </c>
      <c r="G1180" s="31" t="n">
        <v>46</v>
      </c>
      <c r="H1180" s="31" t="s">
        <v>3692</v>
      </c>
      <c r="I1180" s="44" t="s">
        <v>5445</v>
      </c>
      <c r="J1180" s="45" t="s">
        <v>5469</v>
      </c>
      <c r="K1180" s="45" t="s">
        <v>5471</v>
      </c>
      <c r="L1180" s="31" t="n">
        <f aca="false">COUNTIF($B$3:$B$2205,$B1180)</f>
        <v>2</v>
      </c>
      <c r="M1180" s="44" t="str">
        <f aca="false">IFERROR(INDEX(SENTENCES!$T$3:$T$1802,MATCH($F1180,SENTENCES!$A$3:$A$1802,0)),"")</f>
        <v>• Chưa tới</v>
      </c>
    </row>
    <row r="1181" customFormat="false" ht="15" hidden="false" customHeight="false" outlineLevel="0" collapsed="false">
      <c r="A1181" s="31" t="n">
        <v>1179</v>
      </c>
      <c r="B1181" s="43" t="s">
        <v>12605</v>
      </c>
      <c r="C1181" s="34" t="s">
        <v>12606</v>
      </c>
      <c r="D1181" s="44" t="s">
        <v>10754</v>
      </c>
      <c r="E1181" s="31"/>
      <c r="F1181" s="31" t="s">
        <v>5472</v>
      </c>
      <c r="G1181" s="31" t="n">
        <v>46</v>
      </c>
      <c r="H1181" s="31" t="s">
        <v>3692</v>
      </c>
      <c r="I1181" s="44" t="s">
        <v>5445</v>
      </c>
      <c r="J1181" s="45" t="s">
        <v>5473</v>
      </c>
      <c r="K1181" s="45" t="s">
        <v>5475</v>
      </c>
      <c r="L1181" s="31" t="n">
        <f aca="false">COUNTIF($B$3:$B$2205,$B1181)</f>
        <v>1</v>
      </c>
      <c r="M1181" s="44" t="str">
        <f aca="false">IFERROR(INDEX(SENTENCES!$T$3:$T$1802,MATCH($F1181,SENTENCES!$A$3:$A$1802,0)),"")</f>
        <v>• Chưa tới</v>
      </c>
    </row>
    <row r="1182" customFormat="false" ht="15" hidden="false" customHeight="false" outlineLevel="0" collapsed="false">
      <c r="A1182" s="31" t="n">
        <v>1180</v>
      </c>
      <c r="B1182" s="43" t="s">
        <v>10844</v>
      </c>
      <c r="C1182" s="34" t="s">
        <v>12607</v>
      </c>
      <c r="D1182" s="44" t="s">
        <v>10677</v>
      </c>
      <c r="E1182" s="31" t="s">
        <v>10747</v>
      </c>
      <c r="F1182" s="31" t="s">
        <v>5477</v>
      </c>
      <c r="G1182" s="31" t="n">
        <v>46</v>
      </c>
      <c r="H1182" s="31" t="s">
        <v>3692</v>
      </c>
      <c r="I1182" s="44" t="s">
        <v>5445</v>
      </c>
      <c r="J1182" s="45" t="s">
        <v>5479</v>
      </c>
      <c r="K1182" s="45" t="s">
        <v>5481</v>
      </c>
      <c r="L1182" s="31" t="n">
        <f aca="false">COUNTIF($B$3:$B$2205,$B1182)</f>
        <v>2</v>
      </c>
      <c r="M1182" s="44" t="str">
        <f aca="false">IFERROR(INDEX(SENTENCES!$T$3:$T$1802,MATCH($F1182,SENTENCES!$A$3:$A$1802,0)),"")</f>
        <v>• Chưa tới</v>
      </c>
    </row>
    <row r="1183" customFormat="false" ht="15" hidden="false" customHeight="false" outlineLevel="0" collapsed="false">
      <c r="A1183" s="31" t="n">
        <v>1181</v>
      </c>
      <c r="B1183" s="43" t="s">
        <v>12608</v>
      </c>
      <c r="C1183" s="34" t="s">
        <v>11760</v>
      </c>
      <c r="D1183" s="44" t="s">
        <v>10754</v>
      </c>
      <c r="E1183" s="31"/>
      <c r="F1183" s="31" t="s">
        <v>5483</v>
      </c>
      <c r="G1183" s="31" t="n">
        <v>46</v>
      </c>
      <c r="H1183" s="31" t="s">
        <v>3692</v>
      </c>
      <c r="I1183" s="44" t="s">
        <v>5445</v>
      </c>
      <c r="J1183" s="45" t="s">
        <v>5485</v>
      </c>
      <c r="K1183" s="45" t="s">
        <v>5487</v>
      </c>
      <c r="L1183" s="31" t="n">
        <f aca="false">COUNTIF($B$3:$B$2205,$B1183)</f>
        <v>1</v>
      </c>
      <c r="M1183" s="44" t="str">
        <f aca="false">IFERROR(INDEX(SENTENCES!$T$3:$T$1802,MATCH($F1183,SENTENCES!$A$3:$A$1802,0)),"")</f>
        <v>• Chưa tới</v>
      </c>
    </row>
    <row r="1184" customFormat="false" ht="15" hidden="false" customHeight="false" outlineLevel="0" collapsed="false">
      <c r="A1184" s="31" t="n">
        <v>1182</v>
      </c>
      <c r="B1184" s="43" t="s">
        <v>12609</v>
      </c>
      <c r="C1184" s="34" t="s">
        <v>12610</v>
      </c>
      <c r="D1184" s="44" t="s">
        <v>10754</v>
      </c>
      <c r="E1184" s="31"/>
      <c r="F1184" s="31" t="s">
        <v>5489</v>
      </c>
      <c r="G1184" s="31" t="n">
        <v>46</v>
      </c>
      <c r="H1184" s="31" t="s">
        <v>3692</v>
      </c>
      <c r="I1184" s="44" t="s">
        <v>5445</v>
      </c>
      <c r="J1184" s="45" t="s">
        <v>5491</v>
      </c>
      <c r="K1184" s="45" t="s">
        <v>5493</v>
      </c>
      <c r="L1184" s="31" t="n">
        <f aca="false">COUNTIF($B$3:$B$2205,$B1184)</f>
        <v>1</v>
      </c>
      <c r="M1184" s="44" t="str">
        <f aca="false">IFERROR(INDEX(SENTENCES!$T$3:$T$1802,MATCH($F1184,SENTENCES!$A$3:$A$1802,0)),"")</f>
        <v>• Chưa tới</v>
      </c>
    </row>
    <row r="1185" customFormat="false" ht="15" hidden="false" customHeight="false" outlineLevel="0" collapsed="false">
      <c r="A1185" s="31" t="n">
        <v>1183</v>
      </c>
      <c r="B1185" s="43" t="s">
        <v>12124</v>
      </c>
      <c r="C1185" s="34" t="s">
        <v>12125</v>
      </c>
      <c r="D1185" s="44" t="s">
        <v>10754</v>
      </c>
      <c r="E1185" s="31"/>
      <c r="F1185" s="31" t="s">
        <v>5495</v>
      </c>
      <c r="G1185" s="31" t="n">
        <v>46</v>
      </c>
      <c r="H1185" s="31" t="s">
        <v>3692</v>
      </c>
      <c r="I1185" s="44" t="s">
        <v>5445</v>
      </c>
      <c r="J1185" s="45" t="s">
        <v>5497</v>
      </c>
      <c r="K1185" s="45" t="s">
        <v>5499</v>
      </c>
      <c r="L1185" s="31" t="n">
        <f aca="false">COUNTIF($B$3:$B$2205,$B1185)</f>
        <v>2</v>
      </c>
      <c r="M1185" s="44" t="str">
        <f aca="false">IFERROR(INDEX(SENTENCES!$T$3:$T$1802,MATCH($F1185,SENTENCES!$A$3:$A$1802,0)),"")</f>
        <v>• Chưa tới</v>
      </c>
    </row>
    <row r="1186" customFormat="false" ht="15" hidden="false" customHeight="false" outlineLevel="0" collapsed="false">
      <c r="A1186" s="31" t="n">
        <v>1184</v>
      </c>
      <c r="B1186" s="43" t="s">
        <v>12611</v>
      </c>
      <c r="C1186" s="34" t="s">
        <v>12048</v>
      </c>
      <c r="D1186" s="44" t="s">
        <v>10754</v>
      </c>
      <c r="E1186" s="31"/>
      <c r="F1186" s="31" t="s">
        <v>5500</v>
      </c>
      <c r="G1186" s="31" t="n">
        <v>46</v>
      </c>
      <c r="H1186" s="31" t="s">
        <v>3692</v>
      </c>
      <c r="I1186" s="44" t="s">
        <v>5445</v>
      </c>
      <c r="J1186" s="45" t="s">
        <v>5502</v>
      </c>
      <c r="K1186" s="45" t="s">
        <v>5504</v>
      </c>
      <c r="L1186" s="31" t="n">
        <f aca="false">COUNTIF($B$3:$B$2205,$B1186)</f>
        <v>2</v>
      </c>
      <c r="M1186" s="44" t="str">
        <f aca="false">IFERROR(INDEX(SENTENCES!$T$3:$T$1802,MATCH($F1186,SENTENCES!$A$3:$A$1802,0)),"")</f>
        <v>• Chưa tới</v>
      </c>
    </row>
    <row r="1187" customFormat="false" ht="15" hidden="false" customHeight="false" outlineLevel="0" collapsed="false">
      <c r="A1187" s="31" t="n">
        <v>1185</v>
      </c>
      <c r="B1187" s="43" t="s">
        <v>12612</v>
      </c>
      <c r="C1187" s="34" t="s">
        <v>12613</v>
      </c>
      <c r="D1187" s="44" t="s">
        <v>10754</v>
      </c>
      <c r="E1187" s="31"/>
      <c r="F1187" s="31" t="s">
        <v>5506</v>
      </c>
      <c r="G1187" s="31" t="n">
        <v>46</v>
      </c>
      <c r="H1187" s="31" t="s">
        <v>3692</v>
      </c>
      <c r="I1187" s="44" t="s">
        <v>5445</v>
      </c>
      <c r="J1187" s="45" t="s">
        <v>5508</v>
      </c>
      <c r="K1187" s="45" t="s">
        <v>5510</v>
      </c>
      <c r="L1187" s="31" t="n">
        <f aca="false">COUNTIF($B$3:$B$2205,$B1187)</f>
        <v>2</v>
      </c>
      <c r="M1187" s="44" t="str">
        <f aca="false">IFERROR(INDEX(SENTENCES!$T$3:$T$1802,MATCH($F1187,SENTENCES!$A$3:$A$1802,0)),"")</f>
        <v>• Chưa tới</v>
      </c>
    </row>
    <row r="1188" customFormat="false" ht="15" hidden="false" customHeight="false" outlineLevel="0" collapsed="false">
      <c r="A1188" s="31" t="n">
        <v>1186</v>
      </c>
      <c r="B1188" s="43" t="s">
        <v>12614</v>
      </c>
      <c r="C1188" s="34" t="s">
        <v>12615</v>
      </c>
      <c r="D1188" s="44" t="s">
        <v>10677</v>
      </c>
      <c r="E1188" s="31" t="s">
        <v>10678</v>
      </c>
      <c r="F1188" s="31" t="s">
        <v>5506</v>
      </c>
      <c r="G1188" s="31" t="n">
        <v>46</v>
      </c>
      <c r="H1188" s="31" t="s">
        <v>3692</v>
      </c>
      <c r="I1188" s="44" t="s">
        <v>5445</v>
      </c>
      <c r="J1188" s="45" t="s">
        <v>5508</v>
      </c>
      <c r="K1188" s="45" t="s">
        <v>5510</v>
      </c>
      <c r="L1188" s="31" t="n">
        <f aca="false">COUNTIF($B$3:$B$2205,$B1188)</f>
        <v>1</v>
      </c>
      <c r="M1188" s="44" t="str">
        <f aca="false">IFERROR(INDEX(SENTENCES!$T$3:$T$1802,MATCH($F1188,SENTENCES!$A$3:$A$1802,0)),"")</f>
        <v>• Chưa tới</v>
      </c>
    </row>
    <row r="1189" customFormat="false" ht="15" hidden="false" customHeight="false" outlineLevel="0" collapsed="false">
      <c r="A1189" s="31" t="n">
        <v>1187</v>
      </c>
      <c r="B1189" s="43" t="s">
        <v>12616</v>
      </c>
      <c r="C1189" s="34" t="s">
        <v>12617</v>
      </c>
      <c r="D1189" s="44" t="s">
        <v>10677</v>
      </c>
      <c r="E1189" s="31" t="s">
        <v>10707</v>
      </c>
      <c r="F1189" s="31" t="s">
        <v>5512</v>
      </c>
      <c r="G1189" s="31" t="n">
        <v>46</v>
      </c>
      <c r="H1189" s="31" t="s">
        <v>3692</v>
      </c>
      <c r="I1189" s="44" t="s">
        <v>5445</v>
      </c>
      <c r="J1189" s="45" t="s">
        <v>5514</v>
      </c>
      <c r="K1189" s="45" t="s">
        <v>5516</v>
      </c>
      <c r="L1189" s="31" t="n">
        <f aca="false">COUNTIF($B$3:$B$2205,$B1189)</f>
        <v>1</v>
      </c>
      <c r="M1189" s="44" t="str">
        <f aca="false">IFERROR(INDEX(SENTENCES!$T$3:$T$1802,MATCH($F1189,SENTENCES!$A$3:$A$1802,0)),"")</f>
        <v>• Chưa tới</v>
      </c>
    </row>
    <row r="1190" customFormat="false" ht="15" hidden="false" customHeight="false" outlineLevel="0" collapsed="false">
      <c r="A1190" s="31" t="n">
        <v>1188</v>
      </c>
      <c r="B1190" s="43" t="s">
        <v>12618</v>
      </c>
      <c r="C1190" s="34" t="s">
        <v>12619</v>
      </c>
      <c r="D1190" s="44" t="s">
        <v>10754</v>
      </c>
      <c r="E1190" s="31"/>
      <c r="F1190" s="31" t="s">
        <v>5518</v>
      </c>
      <c r="G1190" s="31" t="n">
        <v>46</v>
      </c>
      <c r="H1190" s="31" t="s">
        <v>3692</v>
      </c>
      <c r="I1190" s="44" t="s">
        <v>5445</v>
      </c>
      <c r="J1190" s="45" t="s">
        <v>5520</v>
      </c>
      <c r="K1190" s="45" t="s">
        <v>5522</v>
      </c>
      <c r="L1190" s="31" t="n">
        <f aca="false">COUNTIF($B$3:$B$2205,$B1190)</f>
        <v>1</v>
      </c>
      <c r="M1190" s="44" t="str">
        <f aca="false">IFERROR(INDEX(SENTENCES!$T$3:$T$1802,MATCH($F1190,SENTENCES!$A$3:$A$1802,0)),"")</f>
        <v>• Chưa tới</v>
      </c>
    </row>
    <row r="1191" customFormat="false" ht="15" hidden="false" customHeight="false" outlineLevel="0" collapsed="false">
      <c r="A1191" s="31" t="n">
        <v>1189</v>
      </c>
      <c r="B1191" s="43" t="s">
        <v>12620</v>
      </c>
      <c r="C1191" s="34" t="s">
        <v>12621</v>
      </c>
      <c r="D1191" s="44" t="s">
        <v>10754</v>
      </c>
      <c r="E1191" s="31"/>
      <c r="F1191" s="31" t="s">
        <v>5524</v>
      </c>
      <c r="G1191" s="31" t="n">
        <v>46</v>
      </c>
      <c r="H1191" s="31" t="s">
        <v>3692</v>
      </c>
      <c r="I1191" s="44" t="s">
        <v>5445</v>
      </c>
      <c r="J1191" s="45" t="s">
        <v>5526</v>
      </c>
      <c r="K1191" s="45" t="s">
        <v>5528</v>
      </c>
      <c r="L1191" s="31" t="n">
        <f aca="false">COUNTIF($B$3:$B$2205,$B1191)</f>
        <v>1</v>
      </c>
      <c r="M1191" s="44" t="str">
        <f aca="false">IFERROR(INDEX(SENTENCES!$T$3:$T$1802,MATCH($F1191,SENTENCES!$A$3:$A$1802,0)),"")</f>
        <v>• Chưa tới</v>
      </c>
    </row>
    <row r="1192" customFormat="false" ht="15" hidden="false" customHeight="false" outlineLevel="0" collapsed="false">
      <c r="A1192" s="31" t="n">
        <v>1190</v>
      </c>
      <c r="B1192" s="43" t="s">
        <v>12622</v>
      </c>
      <c r="C1192" s="34" t="s">
        <v>10751</v>
      </c>
      <c r="D1192" s="44" t="s">
        <v>10754</v>
      </c>
      <c r="E1192" s="31"/>
      <c r="F1192" s="31" t="s">
        <v>5530</v>
      </c>
      <c r="G1192" s="31" t="n">
        <v>46</v>
      </c>
      <c r="H1192" s="31" t="s">
        <v>3692</v>
      </c>
      <c r="I1192" s="44" t="s">
        <v>5445</v>
      </c>
      <c r="J1192" s="45" t="s">
        <v>5532</v>
      </c>
      <c r="K1192" s="45" t="s">
        <v>5534</v>
      </c>
      <c r="L1192" s="31" t="n">
        <f aca="false">COUNTIF($B$3:$B$2205,$B1192)</f>
        <v>1</v>
      </c>
      <c r="M1192" s="44" t="str">
        <f aca="false">IFERROR(INDEX(SENTENCES!$T$3:$T$1802,MATCH($F1192,SENTENCES!$A$3:$A$1802,0)),"")</f>
        <v>• Chưa tới</v>
      </c>
    </row>
    <row r="1193" customFormat="false" ht="15" hidden="false" customHeight="false" outlineLevel="0" collapsed="false">
      <c r="A1193" s="31" t="n">
        <v>1191</v>
      </c>
      <c r="B1193" s="43" t="s">
        <v>12623</v>
      </c>
      <c r="C1193" s="34" t="s">
        <v>12624</v>
      </c>
      <c r="D1193" s="44" t="s">
        <v>10754</v>
      </c>
      <c r="E1193" s="31"/>
      <c r="F1193" s="31" t="s">
        <v>5536</v>
      </c>
      <c r="G1193" s="31" t="n">
        <v>46</v>
      </c>
      <c r="H1193" s="31" t="s">
        <v>3692</v>
      </c>
      <c r="I1193" s="44" t="s">
        <v>5445</v>
      </c>
      <c r="J1193" s="45" t="s">
        <v>5538</v>
      </c>
      <c r="K1193" s="45" t="s">
        <v>5540</v>
      </c>
      <c r="L1193" s="31" t="n">
        <f aca="false">COUNTIF($B$3:$B$2205,$B1193)</f>
        <v>1</v>
      </c>
      <c r="M1193" s="44" t="str">
        <f aca="false">IFERROR(INDEX(SENTENCES!$T$3:$T$1802,MATCH($F1193,SENTENCES!$A$3:$A$1802,0)),"")</f>
        <v>• Chưa tới</v>
      </c>
    </row>
    <row r="1194" customFormat="false" ht="15" hidden="false" customHeight="false" outlineLevel="0" collapsed="false">
      <c r="A1194" s="31" t="n">
        <v>1192</v>
      </c>
      <c r="B1194" s="43" t="s">
        <v>9091</v>
      </c>
      <c r="C1194" s="34" t="s">
        <v>12459</v>
      </c>
      <c r="D1194" s="44" t="s">
        <v>10754</v>
      </c>
      <c r="E1194" s="31"/>
      <c r="F1194" s="31" t="s">
        <v>5542</v>
      </c>
      <c r="G1194" s="31" t="n">
        <v>46</v>
      </c>
      <c r="H1194" s="31" t="s">
        <v>3692</v>
      </c>
      <c r="I1194" s="44" t="s">
        <v>5445</v>
      </c>
      <c r="J1194" s="45" t="s">
        <v>5544</v>
      </c>
      <c r="K1194" s="45" t="s">
        <v>5546</v>
      </c>
      <c r="L1194" s="31" t="n">
        <f aca="false">COUNTIF($B$3:$B$2205,$B1194)</f>
        <v>3</v>
      </c>
      <c r="M1194" s="44" t="str">
        <f aca="false">IFERROR(INDEX(SENTENCES!$T$3:$T$1802,MATCH($F1194,SENTENCES!$A$3:$A$1802,0)),"")</f>
        <v>• Chưa tới</v>
      </c>
    </row>
    <row r="1195" customFormat="false" ht="15" hidden="false" customHeight="false" outlineLevel="0" collapsed="false">
      <c r="A1195" s="31" t="n">
        <v>1193</v>
      </c>
      <c r="B1195" s="43" t="s">
        <v>7017</v>
      </c>
      <c r="C1195" s="34" t="s">
        <v>12625</v>
      </c>
      <c r="D1195" s="44" t="s">
        <v>10754</v>
      </c>
      <c r="E1195" s="31"/>
      <c r="F1195" s="31" t="s">
        <v>5547</v>
      </c>
      <c r="G1195" s="31" t="n">
        <v>46</v>
      </c>
      <c r="H1195" s="31" t="s">
        <v>3692</v>
      </c>
      <c r="I1195" s="44" t="s">
        <v>5445</v>
      </c>
      <c r="J1195" s="45" t="s">
        <v>5549</v>
      </c>
      <c r="K1195" s="45" t="s">
        <v>5551</v>
      </c>
      <c r="L1195" s="31" t="n">
        <f aca="false">COUNTIF($B$3:$B$2205,$B1195)</f>
        <v>1</v>
      </c>
      <c r="M1195" s="44" t="str">
        <f aca="false">IFERROR(INDEX(SENTENCES!$T$3:$T$1802,MATCH($F1195,SENTENCES!$A$3:$A$1802,0)),"")</f>
        <v>• Chưa tới</v>
      </c>
    </row>
    <row r="1196" customFormat="false" ht="15" hidden="false" customHeight="false" outlineLevel="0" collapsed="false">
      <c r="A1196" s="31" t="n">
        <v>1194</v>
      </c>
      <c r="B1196" s="43" t="s">
        <v>10777</v>
      </c>
      <c r="C1196" s="34" t="s">
        <v>12626</v>
      </c>
      <c r="D1196" s="44" t="s">
        <v>10754</v>
      </c>
      <c r="E1196" s="31"/>
      <c r="F1196" s="31" t="s">
        <v>5553</v>
      </c>
      <c r="G1196" s="31" t="n">
        <v>46</v>
      </c>
      <c r="H1196" s="31" t="s">
        <v>3692</v>
      </c>
      <c r="I1196" s="44" t="s">
        <v>5445</v>
      </c>
      <c r="J1196" s="45" t="s">
        <v>5555</v>
      </c>
      <c r="K1196" s="45" t="s">
        <v>5557</v>
      </c>
      <c r="L1196" s="31" t="n">
        <f aca="false">COUNTIF($B$3:$B$2205,$B1196)</f>
        <v>2</v>
      </c>
      <c r="M1196" s="44" t="str">
        <f aca="false">IFERROR(INDEX(SENTENCES!$T$3:$T$1802,MATCH($F1196,SENTENCES!$A$3:$A$1802,0)),"")</f>
        <v>• Chưa tới</v>
      </c>
    </row>
    <row r="1197" customFormat="false" ht="15" hidden="false" customHeight="false" outlineLevel="0" collapsed="false">
      <c r="A1197" s="31" t="n">
        <v>1195</v>
      </c>
      <c r="B1197" s="43" t="s">
        <v>12627</v>
      </c>
      <c r="C1197" s="34" t="s">
        <v>12628</v>
      </c>
      <c r="D1197" s="44" t="s">
        <v>10794</v>
      </c>
      <c r="E1197" s="31"/>
      <c r="F1197" s="31" t="s">
        <v>5559</v>
      </c>
      <c r="G1197" s="31" t="n">
        <v>47</v>
      </c>
      <c r="H1197" s="31" t="s">
        <v>3692</v>
      </c>
      <c r="I1197" s="44" t="s">
        <v>5560</v>
      </c>
      <c r="J1197" s="45" t="s">
        <v>5562</v>
      </c>
      <c r="K1197" s="45" t="s">
        <v>5564</v>
      </c>
      <c r="L1197" s="31" t="n">
        <f aca="false">COUNTIF($B$3:$B$2205,$B1197)</f>
        <v>1</v>
      </c>
      <c r="M1197" s="44" t="str">
        <f aca="false">IFERROR(INDEX(SENTENCES!$T$3:$T$1802,MATCH($F1197,SENTENCES!$A$3:$A$1802,0)),"")</f>
        <v>• Chưa tới</v>
      </c>
    </row>
    <row r="1198" customFormat="false" ht="15" hidden="false" customHeight="false" outlineLevel="0" collapsed="false">
      <c r="A1198" s="31" t="n">
        <v>1196</v>
      </c>
      <c r="B1198" s="43" t="s">
        <v>12629</v>
      </c>
      <c r="C1198" s="34" t="s">
        <v>12630</v>
      </c>
      <c r="D1198" s="44" t="s">
        <v>10681</v>
      </c>
      <c r="E1198" s="31"/>
      <c r="F1198" s="31" t="s">
        <v>5566</v>
      </c>
      <c r="G1198" s="31" t="n">
        <v>47</v>
      </c>
      <c r="H1198" s="31" t="s">
        <v>3692</v>
      </c>
      <c r="I1198" s="44" t="s">
        <v>5560</v>
      </c>
      <c r="J1198" s="45" t="s">
        <v>5568</v>
      </c>
      <c r="K1198" s="45" t="s">
        <v>5570</v>
      </c>
      <c r="L1198" s="31" t="n">
        <f aca="false">COUNTIF($B$3:$B$2205,$B1198)</f>
        <v>1</v>
      </c>
      <c r="M1198" s="44" t="str">
        <f aca="false">IFERROR(INDEX(SENTENCES!$T$3:$T$1802,MATCH($F1198,SENTENCES!$A$3:$A$1802,0)),"")</f>
        <v>• Chưa tới</v>
      </c>
    </row>
    <row r="1199" customFormat="false" ht="15" hidden="false" customHeight="false" outlineLevel="0" collapsed="false">
      <c r="A1199" s="31" t="n">
        <v>1197</v>
      </c>
      <c r="B1199" s="43" t="s">
        <v>10520</v>
      </c>
      <c r="C1199" s="34" t="s">
        <v>11175</v>
      </c>
      <c r="D1199" s="44" t="s">
        <v>10794</v>
      </c>
      <c r="E1199" s="31"/>
      <c r="F1199" s="31" t="s">
        <v>5572</v>
      </c>
      <c r="G1199" s="31" t="n">
        <v>47</v>
      </c>
      <c r="H1199" s="31" t="s">
        <v>3692</v>
      </c>
      <c r="I1199" s="44" t="s">
        <v>5560</v>
      </c>
      <c r="J1199" s="45" t="s">
        <v>5573</v>
      </c>
      <c r="K1199" s="45" t="s">
        <v>5575</v>
      </c>
      <c r="L1199" s="31" t="n">
        <f aca="false">COUNTIF($B$3:$B$2205,$B1199)</f>
        <v>3</v>
      </c>
      <c r="M1199" s="44" t="str">
        <f aca="false">IFERROR(INDEX(SENTENCES!$T$3:$T$1802,MATCH($F1199,SENTENCES!$A$3:$A$1802,0)),"")</f>
        <v>• Chưa tới</v>
      </c>
    </row>
    <row r="1200" customFormat="false" ht="15" hidden="false" customHeight="false" outlineLevel="0" collapsed="false">
      <c r="A1200" s="31" t="n">
        <v>1198</v>
      </c>
      <c r="B1200" s="43" t="s">
        <v>12631</v>
      </c>
      <c r="C1200" s="34" t="s">
        <v>12632</v>
      </c>
      <c r="D1200" s="44" t="s">
        <v>10681</v>
      </c>
      <c r="E1200" s="31"/>
      <c r="F1200" s="31" t="s">
        <v>5576</v>
      </c>
      <c r="G1200" s="31" t="n">
        <v>47</v>
      </c>
      <c r="H1200" s="31" t="s">
        <v>3692</v>
      </c>
      <c r="I1200" s="44" t="s">
        <v>5560</v>
      </c>
      <c r="J1200" s="45" t="s">
        <v>5578</v>
      </c>
      <c r="K1200" s="45" t="s">
        <v>5580</v>
      </c>
      <c r="L1200" s="31" t="n">
        <f aca="false">COUNTIF($B$3:$B$2205,$B1200)</f>
        <v>1</v>
      </c>
      <c r="M1200" s="44" t="str">
        <f aca="false">IFERROR(INDEX(SENTENCES!$T$3:$T$1802,MATCH($F1200,SENTENCES!$A$3:$A$1802,0)),"")</f>
        <v>• Chưa tới</v>
      </c>
    </row>
    <row r="1201" customFormat="false" ht="15" hidden="false" customHeight="false" outlineLevel="0" collapsed="false">
      <c r="A1201" s="31" t="n">
        <v>1199</v>
      </c>
      <c r="B1201" s="43" t="s">
        <v>12633</v>
      </c>
      <c r="C1201" s="34" t="s">
        <v>12634</v>
      </c>
      <c r="D1201" s="44" t="s">
        <v>10677</v>
      </c>
      <c r="E1201" s="31" t="s">
        <v>10707</v>
      </c>
      <c r="F1201" s="31" t="s">
        <v>5582</v>
      </c>
      <c r="G1201" s="31" t="n">
        <v>47</v>
      </c>
      <c r="H1201" s="31" t="s">
        <v>3692</v>
      </c>
      <c r="I1201" s="44" t="s">
        <v>5560</v>
      </c>
      <c r="J1201" s="45" t="s">
        <v>5584</v>
      </c>
      <c r="K1201" s="45" t="s">
        <v>5586</v>
      </c>
      <c r="L1201" s="31" t="n">
        <f aca="false">COUNTIF($B$3:$B$2205,$B1201)</f>
        <v>1</v>
      </c>
      <c r="M1201" s="44" t="str">
        <f aca="false">IFERROR(INDEX(SENTENCES!$T$3:$T$1802,MATCH($F1201,SENTENCES!$A$3:$A$1802,0)),"")</f>
        <v>• Chưa tới</v>
      </c>
    </row>
    <row r="1202" customFormat="false" ht="15" hidden="false" customHeight="false" outlineLevel="0" collapsed="false">
      <c r="A1202" s="31" t="n">
        <v>1200</v>
      </c>
      <c r="B1202" s="43" t="s">
        <v>12635</v>
      </c>
      <c r="C1202" s="34" t="s">
        <v>12636</v>
      </c>
      <c r="D1202" s="44" t="s">
        <v>10794</v>
      </c>
      <c r="E1202" s="31"/>
      <c r="F1202" s="31" t="s">
        <v>5588</v>
      </c>
      <c r="G1202" s="31" t="n">
        <v>47</v>
      </c>
      <c r="H1202" s="31" t="s">
        <v>3692</v>
      </c>
      <c r="I1202" s="44" t="s">
        <v>5560</v>
      </c>
      <c r="J1202" s="45" t="s">
        <v>5590</v>
      </c>
      <c r="K1202" s="45" t="s">
        <v>5592</v>
      </c>
      <c r="L1202" s="31" t="n">
        <f aca="false">COUNTIF($B$3:$B$2205,$B1202)</f>
        <v>1</v>
      </c>
      <c r="M1202" s="44" t="str">
        <f aca="false">IFERROR(INDEX(SENTENCES!$T$3:$T$1802,MATCH($F1202,SENTENCES!$A$3:$A$1802,0)),"")</f>
        <v>• Chưa tới</v>
      </c>
    </row>
    <row r="1203" customFormat="false" ht="15" hidden="false" customHeight="false" outlineLevel="0" collapsed="false">
      <c r="A1203" s="31" t="n">
        <v>1201</v>
      </c>
      <c r="B1203" s="43" t="s">
        <v>12637</v>
      </c>
      <c r="C1203" s="34" t="s">
        <v>12638</v>
      </c>
      <c r="D1203" s="44" t="s">
        <v>10794</v>
      </c>
      <c r="E1203" s="31"/>
      <c r="F1203" s="31" t="s">
        <v>5594</v>
      </c>
      <c r="G1203" s="31" t="n">
        <v>47</v>
      </c>
      <c r="H1203" s="31" t="s">
        <v>3692</v>
      </c>
      <c r="I1203" s="44" t="s">
        <v>5560</v>
      </c>
      <c r="J1203" s="45" t="s">
        <v>5596</v>
      </c>
      <c r="K1203" s="45" t="s">
        <v>5598</v>
      </c>
      <c r="L1203" s="31" t="n">
        <f aca="false">COUNTIF($B$3:$B$2205,$B1203)</f>
        <v>1</v>
      </c>
      <c r="M1203" s="44" t="str">
        <f aca="false">IFERROR(INDEX(SENTENCES!$T$3:$T$1802,MATCH($F1203,SENTENCES!$A$3:$A$1802,0)),"")</f>
        <v>• Chưa tới</v>
      </c>
    </row>
    <row r="1204" customFormat="false" ht="15" hidden="false" customHeight="false" outlineLevel="0" collapsed="false">
      <c r="A1204" s="31" t="n">
        <v>1202</v>
      </c>
      <c r="B1204" s="43" t="s">
        <v>12639</v>
      </c>
      <c r="C1204" s="34" t="s">
        <v>12640</v>
      </c>
      <c r="D1204" s="44" t="s">
        <v>10677</v>
      </c>
      <c r="E1204" s="31" t="s">
        <v>10707</v>
      </c>
      <c r="F1204" s="31" t="s">
        <v>5600</v>
      </c>
      <c r="G1204" s="31" t="n">
        <v>47</v>
      </c>
      <c r="H1204" s="31" t="s">
        <v>3692</v>
      </c>
      <c r="I1204" s="44" t="s">
        <v>5560</v>
      </c>
      <c r="J1204" s="45" t="s">
        <v>5601</v>
      </c>
      <c r="K1204" s="45" t="s">
        <v>5603</v>
      </c>
      <c r="L1204" s="31" t="n">
        <f aca="false">COUNTIF($B$3:$B$2205,$B1204)</f>
        <v>2</v>
      </c>
      <c r="M1204" s="44" t="str">
        <f aca="false">IFERROR(INDEX(SENTENCES!$T$3:$T$1802,MATCH($F1204,SENTENCES!$A$3:$A$1802,0)),"")</f>
        <v>• Chưa tới</v>
      </c>
    </row>
    <row r="1205" customFormat="false" ht="15" hidden="false" customHeight="false" outlineLevel="0" collapsed="false">
      <c r="A1205" s="31" t="n">
        <v>1203</v>
      </c>
      <c r="B1205" s="43" t="s">
        <v>12641</v>
      </c>
      <c r="C1205" s="34" t="s">
        <v>12642</v>
      </c>
      <c r="D1205" s="44" t="s">
        <v>10681</v>
      </c>
      <c r="E1205" s="31"/>
      <c r="F1205" s="31" t="s">
        <v>5605</v>
      </c>
      <c r="G1205" s="31" t="n">
        <v>47</v>
      </c>
      <c r="H1205" s="31" t="s">
        <v>3692</v>
      </c>
      <c r="I1205" s="44" t="s">
        <v>5560</v>
      </c>
      <c r="J1205" s="45" t="s">
        <v>5607</v>
      </c>
      <c r="K1205" s="45" t="s">
        <v>5609</v>
      </c>
      <c r="L1205" s="31" t="n">
        <f aca="false">COUNTIF($B$3:$B$2205,$B1205)</f>
        <v>1</v>
      </c>
      <c r="M1205" s="44" t="str">
        <f aca="false">IFERROR(INDEX(SENTENCES!$T$3:$T$1802,MATCH($F1205,SENTENCES!$A$3:$A$1802,0)),"")</f>
        <v>• Chưa tới</v>
      </c>
    </row>
    <row r="1206" customFormat="false" ht="15" hidden="false" customHeight="false" outlineLevel="0" collapsed="false">
      <c r="A1206" s="31" t="n">
        <v>1204</v>
      </c>
      <c r="B1206" s="43" t="s">
        <v>12643</v>
      </c>
      <c r="C1206" s="34" t="s">
        <v>12644</v>
      </c>
      <c r="D1206" s="44" t="s">
        <v>10794</v>
      </c>
      <c r="E1206" s="31"/>
      <c r="F1206" s="31" t="s">
        <v>5611</v>
      </c>
      <c r="G1206" s="31" t="n">
        <v>47</v>
      </c>
      <c r="H1206" s="31" t="s">
        <v>3692</v>
      </c>
      <c r="I1206" s="44" t="s">
        <v>5560</v>
      </c>
      <c r="J1206" s="45" t="s">
        <v>5613</v>
      </c>
      <c r="K1206" s="45" t="s">
        <v>5615</v>
      </c>
      <c r="L1206" s="31" t="n">
        <f aca="false">COUNTIF($B$3:$B$2205,$B1206)</f>
        <v>1</v>
      </c>
      <c r="M1206" s="44" t="str">
        <f aca="false">IFERROR(INDEX(SENTENCES!$T$3:$T$1802,MATCH($F1206,SENTENCES!$A$3:$A$1802,0)),"")</f>
        <v>• Chưa tới</v>
      </c>
    </row>
    <row r="1207" customFormat="false" ht="15" hidden="false" customHeight="false" outlineLevel="0" collapsed="false">
      <c r="A1207" s="31" t="n">
        <v>1205</v>
      </c>
      <c r="B1207" s="43" t="s">
        <v>12645</v>
      </c>
      <c r="C1207" s="34" t="s">
        <v>12646</v>
      </c>
      <c r="D1207" s="44" t="s">
        <v>10677</v>
      </c>
      <c r="E1207" s="31" t="s">
        <v>10707</v>
      </c>
      <c r="F1207" s="31" t="s">
        <v>5611</v>
      </c>
      <c r="G1207" s="31" t="n">
        <v>47</v>
      </c>
      <c r="H1207" s="31" t="s">
        <v>3692</v>
      </c>
      <c r="I1207" s="44" t="s">
        <v>5560</v>
      </c>
      <c r="J1207" s="45" t="s">
        <v>5613</v>
      </c>
      <c r="K1207" s="45" t="s">
        <v>5615</v>
      </c>
      <c r="L1207" s="31" t="n">
        <f aca="false">COUNTIF($B$3:$B$2205,$B1207)</f>
        <v>1</v>
      </c>
      <c r="M1207" s="44" t="str">
        <f aca="false">IFERROR(INDEX(SENTENCES!$T$3:$T$1802,MATCH($F1207,SENTENCES!$A$3:$A$1802,0)),"")</f>
        <v>• Chưa tới</v>
      </c>
    </row>
    <row r="1208" customFormat="false" ht="15" hidden="false" customHeight="false" outlineLevel="0" collapsed="false">
      <c r="A1208" s="31" t="n">
        <v>1206</v>
      </c>
      <c r="B1208" s="43" t="s">
        <v>12647</v>
      </c>
      <c r="C1208" s="34" t="s">
        <v>12648</v>
      </c>
      <c r="D1208" s="44" t="s">
        <v>10754</v>
      </c>
      <c r="E1208" s="31"/>
      <c r="F1208" s="31" t="s">
        <v>5617</v>
      </c>
      <c r="G1208" s="31" t="n">
        <v>47</v>
      </c>
      <c r="H1208" s="31" t="s">
        <v>3692</v>
      </c>
      <c r="I1208" s="44" t="s">
        <v>5560</v>
      </c>
      <c r="J1208" s="45" t="s">
        <v>5619</v>
      </c>
      <c r="K1208" s="45" t="s">
        <v>5621</v>
      </c>
      <c r="L1208" s="31" t="n">
        <f aca="false">COUNTIF($B$3:$B$2205,$B1208)</f>
        <v>1</v>
      </c>
      <c r="M1208" s="44" t="str">
        <f aca="false">IFERROR(INDEX(SENTENCES!$T$3:$T$1802,MATCH($F1208,SENTENCES!$A$3:$A$1802,0)),"")</f>
        <v>• Chưa tới</v>
      </c>
    </row>
    <row r="1209" customFormat="false" ht="22.35" hidden="false" customHeight="false" outlineLevel="0" collapsed="false">
      <c r="A1209" s="31" t="n">
        <v>1207</v>
      </c>
      <c r="B1209" s="43" t="s">
        <v>12649</v>
      </c>
      <c r="C1209" s="34" t="s">
        <v>12265</v>
      </c>
      <c r="D1209" s="44" t="s">
        <v>10794</v>
      </c>
      <c r="E1209" s="31"/>
      <c r="F1209" s="31" t="s">
        <v>5623</v>
      </c>
      <c r="G1209" s="31" t="n">
        <v>47</v>
      </c>
      <c r="H1209" s="31" t="s">
        <v>3692</v>
      </c>
      <c r="I1209" s="44" t="s">
        <v>5560</v>
      </c>
      <c r="J1209" s="45" t="s">
        <v>5625</v>
      </c>
      <c r="K1209" s="45" t="s">
        <v>5627</v>
      </c>
      <c r="L1209" s="31" t="n">
        <f aca="false">COUNTIF($B$3:$B$2205,$B1209)</f>
        <v>1</v>
      </c>
      <c r="M1209" s="44" t="str">
        <f aca="false">IFERROR(INDEX(SENTENCES!$T$3:$T$1802,MATCH($F1209,SENTENCES!$A$3:$A$1802,0)),"")</f>
        <v>• Chưa tới</v>
      </c>
    </row>
    <row r="1210" customFormat="false" ht="15" hidden="false" customHeight="false" outlineLevel="0" collapsed="false">
      <c r="A1210" s="31" t="n">
        <v>1208</v>
      </c>
      <c r="B1210" s="43" t="s">
        <v>12650</v>
      </c>
      <c r="C1210" s="34" t="s">
        <v>12651</v>
      </c>
      <c r="D1210" s="44" t="s">
        <v>10677</v>
      </c>
      <c r="E1210" s="31" t="s">
        <v>10707</v>
      </c>
      <c r="F1210" s="31" t="s">
        <v>5629</v>
      </c>
      <c r="G1210" s="31" t="n">
        <v>47</v>
      </c>
      <c r="H1210" s="31" t="s">
        <v>3692</v>
      </c>
      <c r="I1210" s="44" t="s">
        <v>5560</v>
      </c>
      <c r="J1210" s="45" t="s">
        <v>5631</v>
      </c>
      <c r="K1210" s="45" t="s">
        <v>5633</v>
      </c>
      <c r="L1210" s="31" t="n">
        <f aca="false">COUNTIF($B$3:$B$2205,$B1210)</f>
        <v>2</v>
      </c>
      <c r="M1210" s="44" t="str">
        <f aca="false">IFERROR(INDEX(SENTENCES!$T$3:$T$1802,MATCH($F1210,SENTENCES!$A$3:$A$1802,0)),"")</f>
        <v>• Chưa tới</v>
      </c>
    </row>
    <row r="1211" customFormat="false" ht="15" hidden="false" customHeight="false" outlineLevel="0" collapsed="false">
      <c r="A1211" s="31" t="n">
        <v>1209</v>
      </c>
      <c r="B1211" s="43" t="s">
        <v>12652</v>
      </c>
      <c r="C1211" s="34" t="s">
        <v>12653</v>
      </c>
      <c r="D1211" s="44" t="s">
        <v>10794</v>
      </c>
      <c r="E1211" s="31"/>
      <c r="F1211" s="31" t="s">
        <v>5635</v>
      </c>
      <c r="G1211" s="31" t="n">
        <v>47</v>
      </c>
      <c r="H1211" s="31" t="s">
        <v>3692</v>
      </c>
      <c r="I1211" s="44" t="s">
        <v>5560</v>
      </c>
      <c r="J1211" s="45" t="s">
        <v>5636</v>
      </c>
      <c r="K1211" s="45" t="s">
        <v>5638</v>
      </c>
      <c r="L1211" s="31" t="n">
        <f aca="false">COUNTIF($B$3:$B$2205,$B1211)</f>
        <v>1</v>
      </c>
      <c r="M1211" s="44" t="str">
        <f aca="false">IFERROR(INDEX(SENTENCES!$T$3:$T$1802,MATCH($F1211,SENTENCES!$A$3:$A$1802,0)),"")</f>
        <v>• Chưa tới</v>
      </c>
    </row>
    <row r="1212" customFormat="false" ht="15" hidden="false" customHeight="false" outlineLevel="0" collapsed="false">
      <c r="A1212" s="31" t="n">
        <v>1210</v>
      </c>
      <c r="B1212" s="43" t="s">
        <v>12654</v>
      </c>
      <c r="C1212" s="34" t="s">
        <v>12655</v>
      </c>
      <c r="D1212" s="44" t="s">
        <v>10677</v>
      </c>
      <c r="E1212" s="31" t="s">
        <v>10707</v>
      </c>
      <c r="F1212" s="31" t="s">
        <v>5635</v>
      </c>
      <c r="G1212" s="31" t="n">
        <v>47</v>
      </c>
      <c r="H1212" s="31" t="s">
        <v>3692</v>
      </c>
      <c r="I1212" s="44" t="s">
        <v>5560</v>
      </c>
      <c r="J1212" s="45" t="s">
        <v>5636</v>
      </c>
      <c r="K1212" s="45" t="s">
        <v>5638</v>
      </c>
      <c r="L1212" s="31" t="n">
        <f aca="false">COUNTIF($B$3:$B$2205,$B1212)</f>
        <v>1</v>
      </c>
      <c r="M1212" s="44" t="str">
        <f aca="false">IFERROR(INDEX(SENTENCES!$T$3:$T$1802,MATCH($F1212,SENTENCES!$A$3:$A$1802,0)),"")</f>
        <v>• Chưa tới</v>
      </c>
    </row>
    <row r="1213" customFormat="false" ht="15" hidden="false" customHeight="false" outlineLevel="0" collapsed="false">
      <c r="A1213" s="31" t="n">
        <v>1211</v>
      </c>
      <c r="B1213" s="43" t="s">
        <v>12656</v>
      </c>
      <c r="C1213" s="34" t="s">
        <v>12657</v>
      </c>
      <c r="D1213" s="44" t="s">
        <v>10681</v>
      </c>
      <c r="E1213" s="31"/>
      <c r="F1213" s="31" t="s">
        <v>5645</v>
      </c>
      <c r="G1213" s="31" t="n">
        <v>47</v>
      </c>
      <c r="H1213" s="31" t="s">
        <v>3692</v>
      </c>
      <c r="I1213" s="44" t="s">
        <v>5560</v>
      </c>
      <c r="J1213" s="45" t="s">
        <v>5647</v>
      </c>
      <c r="K1213" s="45" t="s">
        <v>5649</v>
      </c>
      <c r="L1213" s="31" t="n">
        <f aca="false">COUNTIF($B$3:$B$2205,$B1213)</f>
        <v>1</v>
      </c>
      <c r="M1213" s="44" t="str">
        <f aca="false">IFERROR(INDEX(SENTENCES!$T$3:$T$1802,MATCH($F1213,SENTENCES!$A$3:$A$1802,0)),"")</f>
        <v>• Chưa tới</v>
      </c>
    </row>
    <row r="1214" customFormat="false" ht="15" hidden="false" customHeight="false" outlineLevel="0" collapsed="false">
      <c r="A1214" s="31" t="n">
        <v>1212</v>
      </c>
      <c r="B1214" s="43" t="s">
        <v>12658</v>
      </c>
      <c r="C1214" s="34" t="s">
        <v>12659</v>
      </c>
      <c r="D1214" s="44" t="s">
        <v>10677</v>
      </c>
      <c r="E1214" s="31" t="s">
        <v>10707</v>
      </c>
      <c r="F1214" s="31" t="s">
        <v>5651</v>
      </c>
      <c r="G1214" s="31" t="n">
        <v>47</v>
      </c>
      <c r="H1214" s="31" t="s">
        <v>3692</v>
      </c>
      <c r="I1214" s="44" t="s">
        <v>5560</v>
      </c>
      <c r="J1214" s="45" t="s">
        <v>5653</v>
      </c>
      <c r="K1214" s="45" t="s">
        <v>5655</v>
      </c>
      <c r="L1214" s="31" t="n">
        <f aca="false">COUNTIF($B$3:$B$2205,$B1214)</f>
        <v>2</v>
      </c>
      <c r="M1214" s="44" t="str">
        <f aca="false">IFERROR(INDEX(SENTENCES!$T$3:$T$1802,MATCH($F1214,SENTENCES!$A$3:$A$1802,0)),"")</f>
        <v>• Chưa tới</v>
      </c>
    </row>
    <row r="1215" customFormat="false" ht="15" hidden="false" customHeight="false" outlineLevel="0" collapsed="false">
      <c r="A1215" s="31" t="n">
        <v>1213</v>
      </c>
      <c r="B1215" s="43" t="s">
        <v>12660</v>
      </c>
      <c r="C1215" s="34" t="s">
        <v>12661</v>
      </c>
      <c r="D1215" s="44" t="s">
        <v>10794</v>
      </c>
      <c r="E1215" s="31"/>
      <c r="F1215" s="31" t="s">
        <v>5657</v>
      </c>
      <c r="G1215" s="31" t="n">
        <v>47</v>
      </c>
      <c r="H1215" s="31" t="s">
        <v>3692</v>
      </c>
      <c r="I1215" s="44" t="s">
        <v>5560</v>
      </c>
      <c r="J1215" s="45" t="s">
        <v>5659</v>
      </c>
      <c r="K1215" s="45" t="s">
        <v>5661</v>
      </c>
      <c r="L1215" s="31" t="n">
        <f aca="false">COUNTIF($B$3:$B$2205,$B1215)</f>
        <v>1</v>
      </c>
      <c r="M1215" s="44" t="str">
        <f aca="false">IFERROR(INDEX(SENTENCES!$T$3:$T$1802,MATCH($F1215,SENTENCES!$A$3:$A$1802,0)),"")</f>
        <v>• Chưa tới</v>
      </c>
    </row>
    <row r="1216" customFormat="false" ht="15" hidden="false" customHeight="false" outlineLevel="0" collapsed="false">
      <c r="A1216" s="31" t="n">
        <v>1214</v>
      </c>
      <c r="B1216" s="43" t="s">
        <v>12662</v>
      </c>
      <c r="C1216" s="34" t="s">
        <v>12663</v>
      </c>
      <c r="D1216" s="44" t="s">
        <v>10677</v>
      </c>
      <c r="E1216" s="31" t="s">
        <v>10747</v>
      </c>
      <c r="F1216" s="31" t="s">
        <v>5663</v>
      </c>
      <c r="G1216" s="31" t="n">
        <v>47</v>
      </c>
      <c r="H1216" s="31" t="s">
        <v>3692</v>
      </c>
      <c r="I1216" s="44" t="s">
        <v>5560</v>
      </c>
      <c r="J1216" s="45" t="s">
        <v>5665</v>
      </c>
      <c r="K1216" s="45" t="s">
        <v>5667</v>
      </c>
      <c r="L1216" s="31" t="n">
        <f aca="false">COUNTIF($B$3:$B$2205,$B1216)</f>
        <v>3</v>
      </c>
      <c r="M1216" s="44" t="str">
        <f aca="false">IFERROR(INDEX(SENTENCES!$T$3:$T$1802,MATCH($F1216,SENTENCES!$A$3:$A$1802,0)),"")</f>
        <v>• Chưa tới</v>
      </c>
    </row>
    <row r="1217" customFormat="false" ht="15" hidden="false" customHeight="false" outlineLevel="0" collapsed="false">
      <c r="A1217" s="31" t="n">
        <v>1215</v>
      </c>
      <c r="B1217" s="43" t="s">
        <v>12664</v>
      </c>
      <c r="C1217" s="34" t="s">
        <v>12665</v>
      </c>
      <c r="D1217" s="44" t="s">
        <v>10681</v>
      </c>
      <c r="E1217" s="31"/>
      <c r="F1217" s="31" t="s">
        <v>5669</v>
      </c>
      <c r="G1217" s="31" t="n">
        <v>47</v>
      </c>
      <c r="H1217" s="31" t="s">
        <v>3692</v>
      </c>
      <c r="I1217" s="44" t="s">
        <v>5560</v>
      </c>
      <c r="J1217" s="45" t="s">
        <v>5671</v>
      </c>
      <c r="K1217" s="45" t="s">
        <v>1997</v>
      </c>
      <c r="L1217" s="31" t="n">
        <f aca="false">COUNTIF($B$3:$B$2205,$B1217)</f>
        <v>1</v>
      </c>
      <c r="M1217" s="44" t="str">
        <f aca="false">IFERROR(INDEX(SENTENCES!$T$3:$T$1802,MATCH($F1217,SENTENCES!$A$3:$A$1802,0)),"")</f>
        <v>• Chưa tới</v>
      </c>
    </row>
    <row r="1218" customFormat="false" ht="15" hidden="false" customHeight="false" outlineLevel="0" collapsed="false">
      <c r="A1218" s="31" t="n">
        <v>1216</v>
      </c>
      <c r="B1218" s="43" t="s">
        <v>12666</v>
      </c>
      <c r="C1218" s="34" t="s">
        <v>12667</v>
      </c>
      <c r="D1218" s="44" t="s">
        <v>10686</v>
      </c>
      <c r="E1218" s="31"/>
      <c r="F1218" s="31" t="s">
        <v>5674</v>
      </c>
      <c r="G1218" s="31" t="n">
        <v>48</v>
      </c>
      <c r="H1218" s="31" t="s">
        <v>3692</v>
      </c>
      <c r="I1218" s="44" t="s">
        <v>5675</v>
      </c>
      <c r="J1218" s="45" t="s">
        <v>5678</v>
      </c>
      <c r="K1218" s="45" t="s">
        <v>5680</v>
      </c>
      <c r="L1218" s="31" t="n">
        <f aca="false">COUNTIF($B$3:$B$2205,$B1218)</f>
        <v>1</v>
      </c>
      <c r="M1218" s="44" t="str">
        <f aca="false">IFERROR(INDEX(SENTENCES!$T$3:$T$1802,MATCH($F1218,SENTENCES!$A$3:$A$1802,0)),"")</f>
        <v>• Chưa tới</v>
      </c>
    </row>
    <row r="1219" customFormat="false" ht="15" hidden="false" customHeight="false" outlineLevel="0" collapsed="false">
      <c r="A1219" s="31" t="n">
        <v>1217</v>
      </c>
      <c r="B1219" s="43" t="s">
        <v>12668</v>
      </c>
      <c r="C1219" s="34" t="s">
        <v>10854</v>
      </c>
      <c r="D1219" s="44" t="s">
        <v>10681</v>
      </c>
      <c r="E1219" s="31"/>
      <c r="F1219" s="31" t="s">
        <v>5682</v>
      </c>
      <c r="G1219" s="31" t="n">
        <v>48</v>
      </c>
      <c r="H1219" s="31" t="s">
        <v>3692</v>
      </c>
      <c r="I1219" s="44" t="s">
        <v>5675</v>
      </c>
      <c r="J1219" s="45" t="s">
        <v>5684</v>
      </c>
      <c r="K1219" s="45" t="s">
        <v>5686</v>
      </c>
      <c r="L1219" s="31" t="n">
        <f aca="false">COUNTIF($B$3:$B$2205,$B1219)</f>
        <v>1</v>
      </c>
      <c r="M1219" s="44" t="str">
        <f aca="false">IFERROR(INDEX(SENTENCES!$T$3:$T$1802,MATCH($F1219,SENTENCES!$A$3:$A$1802,0)),"")</f>
        <v>• Chưa tới</v>
      </c>
    </row>
    <row r="1220" customFormat="false" ht="15" hidden="false" customHeight="false" outlineLevel="0" collapsed="false">
      <c r="A1220" s="31" t="n">
        <v>1218</v>
      </c>
      <c r="B1220" s="43" t="s">
        <v>8498</v>
      </c>
      <c r="C1220" s="34" t="s">
        <v>12669</v>
      </c>
      <c r="D1220" s="44" t="s">
        <v>10794</v>
      </c>
      <c r="E1220" s="31"/>
      <c r="F1220" s="31" t="s">
        <v>5688</v>
      </c>
      <c r="G1220" s="31" t="n">
        <v>48</v>
      </c>
      <c r="H1220" s="31" t="s">
        <v>3692</v>
      </c>
      <c r="I1220" s="44" t="s">
        <v>5675</v>
      </c>
      <c r="J1220" s="45" t="s">
        <v>5690</v>
      </c>
      <c r="K1220" s="45" t="s">
        <v>5692</v>
      </c>
      <c r="L1220" s="31" t="n">
        <f aca="false">COUNTIF($B$3:$B$2205,$B1220)</f>
        <v>1</v>
      </c>
      <c r="M1220" s="44" t="str">
        <f aca="false">IFERROR(INDEX(SENTENCES!$T$3:$T$1802,MATCH($F1220,SENTENCES!$A$3:$A$1802,0)),"")</f>
        <v>• Chưa tới</v>
      </c>
    </row>
    <row r="1221" customFormat="false" ht="15" hidden="false" customHeight="false" outlineLevel="0" collapsed="false">
      <c r="A1221" s="31" t="n">
        <v>1219</v>
      </c>
      <c r="B1221" s="43" t="s">
        <v>12670</v>
      </c>
      <c r="C1221" s="34" t="s">
        <v>12671</v>
      </c>
      <c r="D1221" s="44" t="s">
        <v>10794</v>
      </c>
      <c r="E1221" s="31"/>
      <c r="F1221" s="31" t="s">
        <v>5694</v>
      </c>
      <c r="G1221" s="31" t="n">
        <v>48</v>
      </c>
      <c r="H1221" s="31" t="s">
        <v>3692</v>
      </c>
      <c r="I1221" s="44" t="s">
        <v>5675</v>
      </c>
      <c r="J1221" s="45" t="s">
        <v>5696</v>
      </c>
      <c r="K1221" s="45" t="s">
        <v>5698</v>
      </c>
      <c r="L1221" s="31" t="n">
        <f aca="false">COUNTIF($B$3:$B$2205,$B1221)</f>
        <v>1</v>
      </c>
      <c r="M1221" s="44" t="str">
        <f aca="false">IFERROR(INDEX(SENTENCES!$T$3:$T$1802,MATCH($F1221,SENTENCES!$A$3:$A$1802,0)),"")</f>
        <v>• Chưa tới</v>
      </c>
    </row>
    <row r="1222" customFormat="false" ht="15" hidden="false" customHeight="false" outlineLevel="0" collapsed="false">
      <c r="A1222" s="31" t="n">
        <v>1220</v>
      </c>
      <c r="B1222" s="43" t="s">
        <v>12672</v>
      </c>
      <c r="C1222" s="34" t="s">
        <v>12569</v>
      </c>
      <c r="D1222" s="44" t="s">
        <v>10794</v>
      </c>
      <c r="E1222" s="31"/>
      <c r="F1222" s="31" t="s">
        <v>5699</v>
      </c>
      <c r="G1222" s="31" t="n">
        <v>48</v>
      </c>
      <c r="H1222" s="31" t="s">
        <v>3692</v>
      </c>
      <c r="I1222" s="44" t="s">
        <v>5675</v>
      </c>
      <c r="J1222" s="45" t="s">
        <v>5701</v>
      </c>
      <c r="K1222" s="45" t="s">
        <v>5703</v>
      </c>
      <c r="L1222" s="31" t="n">
        <f aca="false">COUNTIF($B$3:$B$2205,$B1222)</f>
        <v>1</v>
      </c>
      <c r="M1222" s="44" t="str">
        <f aca="false">IFERROR(INDEX(SENTENCES!$T$3:$T$1802,MATCH($F1222,SENTENCES!$A$3:$A$1802,0)),"")</f>
        <v>• Chưa tới</v>
      </c>
    </row>
    <row r="1223" customFormat="false" ht="15" hidden="false" customHeight="false" outlineLevel="0" collapsed="false">
      <c r="A1223" s="31" t="n">
        <v>1221</v>
      </c>
      <c r="B1223" s="43" t="s">
        <v>12350</v>
      </c>
      <c r="C1223" s="34" t="s">
        <v>12673</v>
      </c>
      <c r="D1223" s="44" t="s">
        <v>10686</v>
      </c>
      <c r="E1223" s="31"/>
      <c r="F1223" s="31" t="s">
        <v>5704</v>
      </c>
      <c r="G1223" s="31" t="n">
        <v>48</v>
      </c>
      <c r="H1223" s="31" t="s">
        <v>3692</v>
      </c>
      <c r="I1223" s="44" t="s">
        <v>5675</v>
      </c>
      <c r="J1223" s="45" t="s">
        <v>5706</v>
      </c>
      <c r="K1223" s="45" t="s">
        <v>5708</v>
      </c>
      <c r="L1223" s="31" t="n">
        <f aca="false">COUNTIF($B$3:$B$2205,$B1223)</f>
        <v>2</v>
      </c>
      <c r="M1223" s="44" t="str">
        <f aca="false">IFERROR(INDEX(SENTENCES!$T$3:$T$1802,MATCH($F1223,SENTENCES!$A$3:$A$1802,0)),"")</f>
        <v>• Chưa tới</v>
      </c>
    </row>
    <row r="1224" customFormat="false" ht="15" hidden="false" customHeight="false" outlineLevel="0" collapsed="false">
      <c r="A1224" s="31" t="n">
        <v>1222</v>
      </c>
      <c r="B1224" s="43" t="s">
        <v>12674</v>
      </c>
      <c r="C1224" s="34" t="s">
        <v>12675</v>
      </c>
      <c r="D1224" s="44" t="s">
        <v>10686</v>
      </c>
      <c r="E1224" s="31"/>
      <c r="F1224" s="31" t="s">
        <v>5710</v>
      </c>
      <c r="G1224" s="31" t="n">
        <v>48</v>
      </c>
      <c r="H1224" s="31" t="s">
        <v>3692</v>
      </c>
      <c r="I1224" s="44" t="s">
        <v>5675</v>
      </c>
      <c r="J1224" s="45" t="s">
        <v>5712</v>
      </c>
      <c r="K1224" s="45" t="s">
        <v>5714</v>
      </c>
      <c r="L1224" s="31" t="n">
        <f aca="false">COUNTIF($B$3:$B$2205,$B1224)</f>
        <v>1</v>
      </c>
      <c r="M1224" s="44" t="str">
        <f aca="false">IFERROR(INDEX(SENTENCES!$T$3:$T$1802,MATCH($F1224,SENTENCES!$A$3:$A$1802,0)),"")</f>
        <v>• Chưa tới</v>
      </c>
    </row>
    <row r="1225" customFormat="false" ht="15" hidden="false" customHeight="false" outlineLevel="0" collapsed="false">
      <c r="A1225" s="31" t="n">
        <v>1223</v>
      </c>
      <c r="B1225" s="43" t="s">
        <v>11088</v>
      </c>
      <c r="C1225" s="34" t="s">
        <v>11089</v>
      </c>
      <c r="D1225" s="44" t="s">
        <v>10686</v>
      </c>
      <c r="E1225" s="31"/>
      <c r="F1225" s="31" t="s">
        <v>5716</v>
      </c>
      <c r="G1225" s="31" t="n">
        <v>48</v>
      </c>
      <c r="H1225" s="31" t="s">
        <v>3692</v>
      </c>
      <c r="I1225" s="44" t="s">
        <v>5675</v>
      </c>
      <c r="J1225" s="45" t="s">
        <v>5718</v>
      </c>
      <c r="K1225" s="45" t="s">
        <v>5720</v>
      </c>
      <c r="L1225" s="31" t="n">
        <f aca="false">COUNTIF($B$3:$B$2205,$B1225)</f>
        <v>2</v>
      </c>
      <c r="M1225" s="44" t="str">
        <f aca="false">IFERROR(INDEX(SENTENCES!$T$3:$T$1802,MATCH($F1225,SENTENCES!$A$3:$A$1802,0)),"")</f>
        <v>• Chưa tới</v>
      </c>
    </row>
    <row r="1226" customFormat="false" ht="15" hidden="false" customHeight="false" outlineLevel="0" collapsed="false">
      <c r="A1226" s="31" t="n">
        <v>1224</v>
      </c>
      <c r="B1226" s="43" t="s">
        <v>11581</v>
      </c>
      <c r="C1226" s="34" t="s">
        <v>11582</v>
      </c>
      <c r="D1226" s="44" t="s">
        <v>10686</v>
      </c>
      <c r="E1226" s="31"/>
      <c r="F1226" s="31" t="s">
        <v>5722</v>
      </c>
      <c r="G1226" s="31" t="n">
        <v>48</v>
      </c>
      <c r="H1226" s="31" t="s">
        <v>3692</v>
      </c>
      <c r="I1226" s="44" t="s">
        <v>5675</v>
      </c>
      <c r="J1226" s="45" t="s">
        <v>5724</v>
      </c>
      <c r="K1226" s="45" t="s">
        <v>5726</v>
      </c>
      <c r="L1226" s="31" t="n">
        <f aca="false">COUNTIF($B$3:$B$2205,$B1226)</f>
        <v>2</v>
      </c>
      <c r="M1226" s="44" t="str">
        <f aca="false">IFERROR(INDEX(SENTENCES!$T$3:$T$1802,MATCH($F1226,SENTENCES!$A$3:$A$1802,0)),"")</f>
        <v>• Chưa tới</v>
      </c>
    </row>
    <row r="1227" customFormat="false" ht="15" hidden="false" customHeight="false" outlineLevel="0" collapsed="false">
      <c r="A1227" s="31" t="n">
        <v>1225</v>
      </c>
      <c r="B1227" s="43" t="s">
        <v>12374</v>
      </c>
      <c r="C1227" s="34" t="s">
        <v>12375</v>
      </c>
      <c r="D1227" s="44" t="s">
        <v>10677</v>
      </c>
      <c r="E1227" s="31" t="s">
        <v>10707</v>
      </c>
      <c r="F1227" s="31" t="s">
        <v>5727</v>
      </c>
      <c r="G1227" s="31" t="n">
        <v>48</v>
      </c>
      <c r="H1227" s="31" t="s">
        <v>3692</v>
      </c>
      <c r="I1227" s="44" t="s">
        <v>5675</v>
      </c>
      <c r="J1227" s="45" t="s">
        <v>5729</v>
      </c>
      <c r="K1227" s="45" t="s">
        <v>5731</v>
      </c>
      <c r="L1227" s="31" t="n">
        <f aca="false">COUNTIF($B$3:$B$2205,$B1227)</f>
        <v>3</v>
      </c>
      <c r="M1227" s="44" t="str">
        <f aca="false">IFERROR(INDEX(SENTENCES!$T$3:$T$1802,MATCH($F1227,SENTENCES!$A$3:$A$1802,0)),"")</f>
        <v>• Chưa tới</v>
      </c>
    </row>
    <row r="1228" customFormat="false" ht="15" hidden="false" customHeight="false" outlineLevel="0" collapsed="false">
      <c r="A1228" s="31" t="n">
        <v>1226</v>
      </c>
      <c r="B1228" s="43" t="s">
        <v>12387</v>
      </c>
      <c r="C1228" s="34" t="s">
        <v>12388</v>
      </c>
      <c r="D1228" s="44" t="s">
        <v>10686</v>
      </c>
      <c r="E1228" s="31"/>
      <c r="F1228" s="31" t="s">
        <v>5732</v>
      </c>
      <c r="G1228" s="31" t="n">
        <v>48</v>
      </c>
      <c r="H1228" s="31" t="s">
        <v>3692</v>
      </c>
      <c r="I1228" s="44" t="s">
        <v>5675</v>
      </c>
      <c r="J1228" s="45" t="s">
        <v>5734</v>
      </c>
      <c r="K1228" s="45" t="s">
        <v>5736</v>
      </c>
      <c r="L1228" s="31" t="n">
        <f aca="false">COUNTIF($B$3:$B$2205,$B1228)</f>
        <v>3</v>
      </c>
      <c r="M1228" s="44" t="str">
        <f aca="false">IFERROR(INDEX(SENTENCES!$T$3:$T$1802,MATCH($F1228,SENTENCES!$A$3:$A$1802,0)),"")</f>
        <v>• Chưa tới</v>
      </c>
    </row>
    <row r="1229" customFormat="false" ht="15" hidden="false" customHeight="false" outlineLevel="0" collapsed="false">
      <c r="A1229" s="31" t="n">
        <v>1227</v>
      </c>
      <c r="B1229" s="43" t="s">
        <v>12115</v>
      </c>
      <c r="C1229" s="34" t="s">
        <v>12116</v>
      </c>
      <c r="D1229" s="44" t="s">
        <v>10686</v>
      </c>
      <c r="E1229" s="31"/>
      <c r="F1229" s="31" t="s">
        <v>5738</v>
      </c>
      <c r="G1229" s="31" t="n">
        <v>48</v>
      </c>
      <c r="H1229" s="31" t="s">
        <v>3692</v>
      </c>
      <c r="I1229" s="44" t="s">
        <v>5675</v>
      </c>
      <c r="J1229" s="45" t="s">
        <v>5740</v>
      </c>
      <c r="K1229" s="45" t="s">
        <v>5742</v>
      </c>
      <c r="L1229" s="31" t="n">
        <f aca="false">COUNTIF($B$3:$B$2205,$B1229)</f>
        <v>2</v>
      </c>
      <c r="M1229" s="44" t="str">
        <f aca="false">IFERROR(INDEX(SENTENCES!$T$3:$T$1802,MATCH($F1229,SENTENCES!$A$3:$A$1802,0)),"")</f>
        <v>• Chưa tới</v>
      </c>
    </row>
    <row r="1230" customFormat="false" ht="15" hidden="false" customHeight="false" outlineLevel="0" collapsed="false">
      <c r="A1230" s="31" t="n">
        <v>1228</v>
      </c>
      <c r="B1230" s="43" t="s">
        <v>12676</v>
      </c>
      <c r="C1230" s="34" t="s">
        <v>12677</v>
      </c>
      <c r="D1230" s="44" t="s">
        <v>10686</v>
      </c>
      <c r="E1230" s="31"/>
      <c r="F1230" s="31" t="s">
        <v>5743</v>
      </c>
      <c r="G1230" s="31" t="n">
        <v>48</v>
      </c>
      <c r="H1230" s="31" t="s">
        <v>3692</v>
      </c>
      <c r="I1230" s="44" t="s">
        <v>5675</v>
      </c>
      <c r="J1230" s="45" t="s">
        <v>5745</v>
      </c>
      <c r="K1230" s="45" t="s">
        <v>5747</v>
      </c>
      <c r="L1230" s="31" t="n">
        <f aca="false">COUNTIF($B$3:$B$2205,$B1230)</f>
        <v>1</v>
      </c>
      <c r="M1230" s="44" t="str">
        <f aca="false">IFERROR(INDEX(SENTENCES!$T$3:$T$1802,MATCH($F1230,SENTENCES!$A$3:$A$1802,0)),"")</f>
        <v>• Chưa tới</v>
      </c>
    </row>
    <row r="1231" customFormat="false" ht="15" hidden="false" customHeight="false" outlineLevel="0" collapsed="false">
      <c r="A1231" s="31" t="n">
        <v>1229</v>
      </c>
      <c r="B1231" s="43" t="s">
        <v>12678</v>
      </c>
      <c r="C1231" s="34" t="s">
        <v>12091</v>
      </c>
      <c r="D1231" s="44" t="s">
        <v>10754</v>
      </c>
      <c r="E1231" s="31"/>
      <c r="F1231" s="31" t="s">
        <v>5749</v>
      </c>
      <c r="G1231" s="31" t="n">
        <v>48</v>
      </c>
      <c r="H1231" s="31" t="s">
        <v>3692</v>
      </c>
      <c r="I1231" s="44" t="s">
        <v>5675</v>
      </c>
      <c r="J1231" s="45" t="s">
        <v>5751</v>
      </c>
      <c r="K1231" s="45" t="s">
        <v>5753</v>
      </c>
      <c r="L1231" s="31" t="n">
        <f aca="false">COUNTIF($B$3:$B$2205,$B1231)</f>
        <v>1</v>
      </c>
      <c r="M1231" s="44" t="str">
        <f aca="false">IFERROR(INDEX(SENTENCES!$T$3:$T$1802,MATCH($F1231,SENTENCES!$A$3:$A$1802,0)),"")</f>
        <v>• Chưa tới</v>
      </c>
    </row>
    <row r="1232" customFormat="false" ht="15" hidden="false" customHeight="false" outlineLevel="0" collapsed="false">
      <c r="A1232" s="31" t="n">
        <v>1230</v>
      </c>
      <c r="B1232" s="43" t="s">
        <v>12679</v>
      </c>
      <c r="C1232" s="34" t="s">
        <v>12680</v>
      </c>
      <c r="D1232" s="44" t="s">
        <v>10686</v>
      </c>
      <c r="E1232" s="31"/>
      <c r="F1232" s="31" t="s">
        <v>5755</v>
      </c>
      <c r="G1232" s="31" t="n">
        <v>48</v>
      </c>
      <c r="H1232" s="31" t="s">
        <v>3692</v>
      </c>
      <c r="I1232" s="44" t="s">
        <v>5675</v>
      </c>
      <c r="J1232" s="45" t="s">
        <v>5757</v>
      </c>
      <c r="K1232" s="45" t="s">
        <v>5759</v>
      </c>
      <c r="L1232" s="31" t="n">
        <f aca="false">COUNTIF($B$3:$B$2205,$B1232)</f>
        <v>1</v>
      </c>
      <c r="M1232" s="44" t="str">
        <f aca="false">IFERROR(INDEX(SENTENCES!$T$3:$T$1802,MATCH($F1232,SENTENCES!$A$3:$A$1802,0)),"")</f>
        <v>• Chưa tới</v>
      </c>
    </row>
    <row r="1233" customFormat="false" ht="15" hidden="false" customHeight="false" outlineLevel="0" collapsed="false">
      <c r="A1233" s="31" t="n">
        <v>1231</v>
      </c>
      <c r="B1233" s="43" t="s">
        <v>12681</v>
      </c>
      <c r="C1233" s="34" t="s">
        <v>12682</v>
      </c>
      <c r="D1233" s="44" t="s">
        <v>10686</v>
      </c>
      <c r="E1233" s="31"/>
      <c r="F1233" s="31" t="s">
        <v>5761</v>
      </c>
      <c r="G1233" s="31" t="n">
        <v>48</v>
      </c>
      <c r="H1233" s="31" t="s">
        <v>3692</v>
      </c>
      <c r="I1233" s="44" t="s">
        <v>5675</v>
      </c>
      <c r="J1233" s="45" t="s">
        <v>5763</v>
      </c>
      <c r="K1233" s="45" t="s">
        <v>5765</v>
      </c>
      <c r="L1233" s="31" t="n">
        <f aca="false">COUNTIF($B$3:$B$2205,$B1233)</f>
        <v>1</v>
      </c>
      <c r="M1233" s="44" t="str">
        <f aca="false">IFERROR(INDEX(SENTENCES!$T$3:$T$1802,MATCH($F1233,SENTENCES!$A$3:$A$1802,0)),"")</f>
        <v>• Chưa tới</v>
      </c>
    </row>
    <row r="1234" customFormat="false" ht="15" hidden="false" customHeight="false" outlineLevel="0" collapsed="false">
      <c r="A1234" s="31" t="n">
        <v>1232</v>
      </c>
      <c r="B1234" s="43" t="s">
        <v>12409</v>
      </c>
      <c r="C1234" s="34" t="s">
        <v>12410</v>
      </c>
      <c r="D1234" s="44" t="s">
        <v>10686</v>
      </c>
      <c r="E1234" s="31"/>
      <c r="F1234" s="31" t="s">
        <v>5767</v>
      </c>
      <c r="G1234" s="31" t="n">
        <v>48</v>
      </c>
      <c r="H1234" s="31" t="s">
        <v>3692</v>
      </c>
      <c r="I1234" s="44" t="s">
        <v>5675</v>
      </c>
      <c r="J1234" s="45" t="s">
        <v>5769</v>
      </c>
      <c r="K1234" s="45" t="s">
        <v>5771</v>
      </c>
      <c r="L1234" s="31" t="n">
        <f aca="false">COUNTIF($B$3:$B$2205,$B1234)</f>
        <v>2</v>
      </c>
      <c r="M1234" s="44" t="str">
        <f aca="false">IFERROR(INDEX(SENTENCES!$T$3:$T$1802,MATCH($F1234,SENTENCES!$A$3:$A$1802,0)),"")</f>
        <v>• Chưa tới</v>
      </c>
    </row>
    <row r="1235" customFormat="false" ht="15" hidden="false" customHeight="false" outlineLevel="0" collapsed="false">
      <c r="A1235" s="31" t="n">
        <v>1233</v>
      </c>
      <c r="B1235" s="43" t="s">
        <v>10951</v>
      </c>
      <c r="C1235" s="34" t="s">
        <v>10952</v>
      </c>
      <c r="D1235" s="44" t="s">
        <v>10681</v>
      </c>
      <c r="E1235" s="31"/>
      <c r="F1235" s="31" t="s">
        <v>5772</v>
      </c>
      <c r="G1235" s="31" t="n">
        <v>48</v>
      </c>
      <c r="H1235" s="31" t="s">
        <v>3692</v>
      </c>
      <c r="I1235" s="44" t="s">
        <v>5675</v>
      </c>
      <c r="J1235" s="45" t="s">
        <v>5774</v>
      </c>
      <c r="K1235" s="45" t="s">
        <v>5776</v>
      </c>
      <c r="L1235" s="31" t="n">
        <f aca="false">COUNTIF($B$3:$B$2205,$B1235)</f>
        <v>2</v>
      </c>
      <c r="M1235" s="44" t="str">
        <f aca="false">IFERROR(INDEX(SENTENCES!$T$3:$T$1802,MATCH($F1235,SENTENCES!$A$3:$A$1802,0)),"")</f>
        <v>• Chưa tới</v>
      </c>
    </row>
    <row r="1236" customFormat="false" ht="15" hidden="false" customHeight="false" outlineLevel="0" collapsed="false">
      <c r="A1236" s="31" t="n">
        <v>1234</v>
      </c>
      <c r="B1236" s="43" t="s">
        <v>12334</v>
      </c>
      <c r="C1236" s="34" t="s">
        <v>12335</v>
      </c>
      <c r="D1236" s="44" t="s">
        <v>10686</v>
      </c>
      <c r="E1236" s="31"/>
      <c r="F1236" s="31" t="s">
        <v>5777</v>
      </c>
      <c r="G1236" s="31" t="n">
        <v>48</v>
      </c>
      <c r="H1236" s="31" t="s">
        <v>3692</v>
      </c>
      <c r="I1236" s="44" t="s">
        <v>5675</v>
      </c>
      <c r="J1236" s="45" t="s">
        <v>5779</v>
      </c>
      <c r="K1236" s="45" t="s">
        <v>5781</v>
      </c>
      <c r="L1236" s="31" t="n">
        <f aca="false">COUNTIF($B$3:$B$2205,$B1236)</f>
        <v>2</v>
      </c>
      <c r="M1236" s="44" t="str">
        <f aca="false">IFERROR(INDEX(SENTENCES!$T$3:$T$1802,MATCH($F1236,SENTENCES!$A$3:$A$1802,0)),"")</f>
        <v>• Chưa tới</v>
      </c>
    </row>
    <row r="1237" customFormat="false" ht="15" hidden="false" customHeight="false" outlineLevel="0" collapsed="false">
      <c r="A1237" s="31" t="n">
        <v>1235</v>
      </c>
      <c r="B1237" s="43" t="s">
        <v>11702</v>
      </c>
      <c r="C1237" s="34" t="s">
        <v>12078</v>
      </c>
      <c r="D1237" s="44" t="s">
        <v>10794</v>
      </c>
      <c r="E1237" s="31"/>
      <c r="F1237" s="31" t="s">
        <v>5782</v>
      </c>
      <c r="G1237" s="31" t="n">
        <v>48</v>
      </c>
      <c r="H1237" s="31" t="s">
        <v>3692</v>
      </c>
      <c r="I1237" s="44" t="s">
        <v>5675</v>
      </c>
      <c r="J1237" s="45" t="s">
        <v>5784</v>
      </c>
      <c r="K1237" s="45" t="s">
        <v>5786</v>
      </c>
      <c r="L1237" s="31" t="n">
        <f aca="false">COUNTIF($B$3:$B$2205,$B1237)</f>
        <v>3</v>
      </c>
      <c r="M1237" s="44" t="str">
        <f aca="false">IFERROR(INDEX(SENTENCES!$T$3:$T$1802,MATCH($F1237,SENTENCES!$A$3:$A$1802,0)),"")</f>
        <v>• Chưa tới</v>
      </c>
    </row>
    <row r="1238" customFormat="false" ht="15" hidden="false" customHeight="false" outlineLevel="0" collapsed="false">
      <c r="A1238" s="31" t="n">
        <v>1236</v>
      </c>
      <c r="B1238" s="43" t="s">
        <v>12296</v>
      </c>
      <c r="C1238" s="34" t="s">
        <v>12297</v>
      </c>
      <c r="D1238" s="44" t="s">
        <v>10681</v>
      </c>
      <c r="E1238" s="31"/>
      <c r="F1238" s="31" t="s">
        <v>5787</v>
      </c>
      <c r="G1238" s="31" t="n">
        <v>49</v>
      </c>
      <c r="H1238" s="31" t="s">
        <v>3692</v>
      </c>
      <c r="I1238" s="44" t="s">
        <v>5788</v>
      </c>
      <c r="J1238" s="45" t="s">
        <v>5790</v>
      </c>
      <c r="K1238" s="45" t="s">
        <v>5792</v>
      </c>
      <c r="L1238" s="31" t="n">
        <f aca="false">COUNTIF($B$3:$B$2205,$B1238)</f>
        <v>2</v>
      </c>
      <c r="M1238" s="44" t="str">
        <f aca="false">IFERROR(INDEX(SENTENCES!$T$3:$T$1802,MATCH($F1238,SENTENCES!$A$3:$A$1802,0)),"")</f>
        <v>• Chưa tới</v>
      </c>
    </row>
    <row r="1239" customFormat="false" ht="15" hidden="false" customHeight="false" outlineLevel="0" collapsed="false">
      <c r="A1239" s="31" t="n">
        <v>1237</v>
      </c>
      <c r="B1239" s="43" t="s">
        <v>12313</v>
      </c>
      <c r="C1239" s="34" t="s">
        <v>12314</v>
      </c>
      <c r="D1239" s="44" t="s">
        <v>10686</v>
      </c>
      <c r="E1239" s="31"/>
      <c r="F1239" s="31" t="s">
        <v>5794</v>
      </c>
      <c r="G1239" s="31" t="n">
        <v>49</v>
      </c>
      <c r="H1239" s="31" t="s">
        <v>3692</v>
      </c>
      <c r="I1239" s="44" t="s">
        <v>5788</v>
      </c>
      <c r="J1239" s="45" t="s">
        <v>5796</v>
      </c>
      <c r="K1239" s="45" t="s">
        <v>5798</v>
      </c>
      <c r="L1239" s="31" t="n">
        <f aca="false">COUNTIF($B$3:$B$2205,$B1239)</f>
        <v>3</v>
      </c>
      <c r="M1239" s="44" t="str">
        <f aca="false">IFERROR(INDEX(SENTENCES!$T$3:$T$1802,MATCH($F1239,SENTENCES!$A$3:$A$1802,0)),"")</f>
        <v>• Chưa tới</v>
      </c>
    </row>
    <row r="1240" customFormat="false" ht="15" hidden="false" customHeight="false" outlineLevel="0" collapsed="false">
      <c r="A1240" s="31" t="n">
        <v>1238</v>
      </c>
      <c r="B1240" s="43" t="s">
        <v>12683</v>
      </c>
      <c r="C1240" s="34" t="s">
        <v>12684</v>
      </c>
      <c r="D1240" s="44" t="s">
        <v>10794</v>
      </c>
      <c r="E1240" s="31"/>
      <c r="F1240" s="31" t="s">
        <v>5799</v>
      </c>
      <c r="G1240" s="31" t="n">
        <v>49</v>
      </c>
      <c r="H1240" s="31" t="s">
        <v>3692</v>
      </c>
      <c r="I1240" s="44" t="s">
        <v>5788</v>
      </c>
      <c r="J1240" s="45" t="s">
        <v>5801</v>
      </c>
      <c r="K1240" s="45" t="s">
        <v>5803</v>
      </c>
      <c r="L1240" s="31" t="n">
        <f aca="false">COUNTIF($B$3:$B$2205,$B1240)</f>
        <v>1</v>
      </c>
      <c r="M1240" s="44" t="str">
        <f aca="false">IFERROR(INDEX(SENTENCES!$T$3:$T$1802,MATCH($F1240,SENTENCES!$A$3:$A$1802,0)),"")</f>
        <v>• Chưa tới</v>
      </c>
    </row>
    <row r="1241" customFormat="false" ht="15" hidden="false" customHeight="false" outlineLevel="0" collapsed="false">
      <c r="A1241" s="31" t="n">
        <v>1239</v>
      </c>
      <c r="B1241" s="43" t="s">
        <v>12685</v>
      </c>
      <c r="C1241" s="34" t="s">
        <v>12686</v>
      </c>
      <c r="D1241" s="44" t="s">
        <v>10681</v>
      </c>
      <c r="E1241" s="31"/>
      <c r="F1241" s="31" t="s">
        <v>5805</v>
      </c>
      <c r="G1241" s="31" t="n">
        <v>49</v>
      </c>
      <c r="H1241" s="31" t="s">
        <v>3692</v>
      </c>
      <c r="I1241" s="44" t="s">
        <v>5788</v>
      </c>
      <c r="J1241" s="45" t="s">
        <v>5807</v>
      </c>
      <c r="K1241" s="45" t="s">
        <v>5809</v>
      </c>
      <c r="L1241" s="31" t="n">
        <f aca="false">COUNTIF($B$3:$B$2205,$B1241)</f>
        <v>1</v>
      </c>
      <c r="M1241" s="44" t="str">
        <f aca="false">IFERROR(INDEX(SENTENCES!$T$3:$T$1802,MATCH($F1241,SENTENCES!$A$3:$A$1802,0)),"")</f>
        <v>• Chưa tới</v>
      </c>
    </row>
    <row r="1242" customFormat="false" ht="15" hidden="false" customHeight="false" outlineLevel="0" collapsed="false">
      <c r="A1242" s="31" t="n">
        <v>1240</v>
      </c>
      <c r="B1242" s="43" t="s">
        <v>11613</v>
      </c>
      <c r="C1242" s="34" t="s">
        <v>11614</v>
      </c>
      <c r="D1242" s="44" t="s">
        <v>10686</v>
      </c>
      <c r="E1242" s="31"/>
      <c r="F1242" s="31" t="s">
        <v>5811</v>
      </c>
      <c r="G1242" s="31" t="n">
        <v>49</v>
      </c>
      <c r="H1242" s="31" t="s">
        <v>3692</v>
      </c>
      <c r="I1242" s="44" t="s">
        <v>5788</v>
      </c>
      <c r="J1242" s="45" t="s">
        <v>5813</v>
      </c>
      <c r="K1242" s="45" t="s">
        <v>5815</v>
      </c>
      <c r="L1242" s="31" t="n">
        <f aca="false">COUNTIF($B$3:$B$2205,$B1242)</f>
        <v>2</v>
      </c>
      <c r="M1242" s="44" t="str">
        <f aca="false">IFERROR(INDEX(SENTENCES!$T$3:$T$1802,MATCH($F1242,SENTENCES!$A$3:$A$1802,0)),"")</f>
        <v>• Chưa tới</v>
      </c>
    </row>
    <row r="1243" customFormat="false" ht="15" hidden="false" customHeight="false" outlineLevel="0" collapsed="false">
      <c r="A1243" s="31" t="n">
        <v>1241</v>
      </c>
      <c r="B1243" s="43" t="s">
        <v>11844</v>
      </c>
      <c r="C1243" s="34" t="s">
        <v>12687</v>
      </c>
      <c r="D1243" s="44" t="s">
        <v>10686</v>
      </c>
      <c r="E1243" s="31"/>
      <c r="F1243" s="31" t="s">
        <v>5816</v>
      </c>
      <c r="G1243" s="31" t="n">
        <v>49</v>
      </c>
      <c r="H1243" s="31" t="s">
        <v>3692</v>
      </c>
      <c r="I1243" s="44" t="s">
        <v>5788</v>
      </c>
      <c r="J1243" s="45" t="s">
        <v>5818</v>
      </c>
      <c r="K1243" s="45" t="s">
        <v>5820</v>
      </c>
      <c r="L1243" s="31" t="n">
        <f aca="false">COUNTIF($B$3:$B$2205,$B1243)</f>
        <v>2</v>
      </c>
      <c r="M1243" s="44" t="str">
        <f aca="false">IFERROR(INDEX(SENTENCES!$T$3:$T$1802,MATCH($F1243,SENTENCES!$A$3:$A$1802,0)),"")</f>
        <v>• Chưa tới</v>
      </c>
    </row>
    <row r="1244" customFormat="false" ht="15" hidden="false" customHeight="false" outlineLevel="0" collapsed="false">
      <c r="A1244" s="31" t="n">
        <v>1242</v>
      </c>
      <c r="B1244" s="43" t="s">
        <v>12688</v>
      </c>
      <c r="C1244" s="34" t="s">
        <v>12689</v>
      </c>
      <c r="D1244" s="44" t="s">
        <v>10686</v>
      </c>
      <c r="E1244" s="31"/>
      <c r="F1244" s="31" t="s">
        <v>5822</v>
      </c>
      <c r="G1244" s="31" t="n">
        <v>49</v>
      </c>
      <c r="H1244" s="31" t="s">
        <v>3692</v>
      </c>
      <c r="I1244" s="44" t="s">
        <v>5788</v>
      </c>
      <c r="J1244" s="45" t="s">
        <v>5824</v>
      </c>
      <c r="K1244" s="45" t="s">
        <v>5826</v>
      </c>
      <c r="L1244" s="31" t="n">
        <f aca="false">COUNTIF($B$3:$B$2205,$B1244)</f>
        <v>1</v>
      </c>
      <c r="M1244" s="44" t="str">
        <f aca="false">IFERROR(INDEX(SENTENCES!$T$3:$T$1802,MATCH($F1244,SENTENCES!$A$3:$A$1802,0)),"")</f>
        <v>• Chưa tới</v>
      </c>
    </row>
    <row r="1245" customFormat="false" ht="15" hidden="false" customHeight="false" outlineLevel="0" collapsed="false">
      <c r="A1245" s="31" t="n">
        <v>1243</v>
      </c>
      <c r="B1245" s="43" t="s">
        <v>12294</v>
      </c>
      <c r="C1245" s="34" t="s">
        <v>12295</v>
      </c>
      <c r="D1245" s="44" t="s">
        <v>10681</v>
      </c>
      <c r="E1245" s="31"/>
      <c r="F1245" s="31" t="s">
        <v>5827</v>
      </c>
      <c r="G1245" s="31" t="n">
        <v>49</v>
      </c>
      <c r="H1245" s="31" t="s">
        <v>3692</v>
      </c>
      <c r="I1245" s="44" t="s">
        <v>5788</v>
      </c>
      <c r="J1245" s="45" t="s">
        <v>5829</v>
      </c>
      <c r="K1245" s="45" t="s">
        <v>5831</v>
      </c>
      <c r="L1245" s="31" t="n">
        <f aca="false">COUNTIF($B$3:$B$2205,$B1245)</f>
        <v>2</v>
      </c>
      <c r="M1245" s="44" t="str">
        <f aca="false">IFERROR(INDEX(SENTENCES!$T$3:$T$1802,MATCH($F1245,SENTENCES!$A$3:$A$1802,0)),"")</f>
        <v>• Chưa tới</v>
      </c>
    </row>
    <row r="1246" customFormat="false" ht="15" hidden="false" customHeight="false" outlineLevel="0" collapsed="false">
      <c r="A1246" s="31" t="n">
        <v>1244</v>
      </c>
      <c r="B1246" s="43" t="s">
        <v>12690</v>
      </c>
      <c r="C1246" s="34" t="s">
        <v>12691</v>
      </c>
      <c r="D1246" s="44" t="s">
        <v>10677</v>
      </c>
      <c r="E1246" s="31" t="s">
        <v>10707</v>
      </c>
      <c r="F1246" s="31" t="s">
        <v>5833</v>
      </c>
      <c r="G1246" s="31" t="n">
        <v>49</v>
      </c>
      <c r="H1246" s="31" t="s">
        <v>3692</v>
      </c>
      <c r="I1246" s="44" t="s">
        <v>5788</v>
      </c>
      <c r="J1246" s="45" t="s">
        <v>5835</v>
      </c>
      <c r="K1246" s="45" t="s">
        <v>5837</v>
      </c>
      <c r="L1246" s="31" t="n">
        <f aca="false">COUNTIF($B$3:$B$2205,$B1246)</f>
        <v>1</v>
      </c>
      <c r="M1246" s="44" t="str">
        <f aca="false">IFERROR(INDEX(SENTENCES!$T$3:$T$1802,MATCH($F1246,SENTENCES!$A$3:$A$1802,0)),"")</f>
        <v>• Chưa tới</v>
      </c>
    </row>
    <row r="1247" customFormat="false" ht="15" hidden="false" customHeight="false" outlineLevel="0" collapsed="false">
      <c r="A1247" s="31" t="n">
        <v>1245</v>
      </c>
      <c r="B1247" s="43" t="s">
        <v>10976</v>
      </c>
      <c r="C1247" s="34" t="s">
        <v>10977</v>
      </c>
      <c r="D1247" s="44" t="s">
        <v>10681</v>
      </c>
      <c r="E1247" s="31"/>
      <c r="F1247" s="31" t="s">
        <v>5839</v>
      </c>
      <c r="G1247" s="31" t="n">
        <v>49</v>
      </c>
      <c r="H1247" s="31" t="s">
        <v>3692</v>
      </c>
      <c r="I1247" s="44" t="s">
        <v>5788</v>
      </c>
      <c r="J1247" s="45" t="s">
        <v>5841</v>
      </c>
      <c r="K1247" s="45" t="s">
        <v>5843</v>
      </c>
      <c r="L1247" s="31" t="n">
        <f aca="false">COUNTIF($B$3:$B$2205,$B1247)</f>
        <v>2</v>
      </c>
      <c r="M1247" s="44" t="str">
        <f aca="false">IFERROR(INDEX(SENTENCES!$T$3:$T$1802,MATCH($F1247,SENTENCES!$A$3:$A$1802,0)),"")</f>
        <v>• Chưa tới</v>
      </c>
    </row>
    <row r="1248" customFormat="false" ht="15" hidden="false" customHeight="false" outlineLevel="0" collapsed="false">
      <c r="A1248" s="31" t="n">
        <v>1246</v>
      </c>
      <c r="B1248" s="43" t="s">
        <v>12662</v>
      </c>
      <c r="C1248" s="34" t="s">
        <v>12663</v>
      </c>
      <c r="D1248" s="44" t="s">
        <v>10677</v>
      </c>
      <c r="E1248" s="31" t="s">
        <v>10747</v>
      </c>
      <c r="F1248" s="31" t="s">
        <v>5845</v>
      </c>
      <c r="G1248" s="31" t="n">
        <v>49</v>
      </c>
      <c r="H1248" s="31" t="s">
        <v>3692</v>
      </c>
      <c r="I1248" s="44" t="s">
        <v>5788</v>
      </c>
      <c r="J1248" s="45" t="s">
        <v>5847</v>
      </c>
      <c r="K1248" s="45" t="s">
        <v>5849</v>
      </c>
      <c r="L1248" s="31" t="n">
        <f aca="false">COUNTIF($B$3:$B$2205,$B1248)</f>
        <v>3</v>
      </c>
      <c r="M1248" s="44" t="str">
        <f aca="false">IFERROR(INDEX(SENTENCES!$T$3:$T$1802,MATCH($F1248,SENTENCES!$A$3:$A$1802,0)),"")</f>
        <v>• Chưa tới</v>
      </c>
    </row>
    <row r="1249" customFormat="false" ht="15" hidden="false" customHeight="false" outlineLevel="0" collapsed="false">
      <c r="A1249" s="31" t="n">
        <v>1247</v>
      </c>
      <c r="B1249" s="43" t="s">
        <v>11390</v>
      </c>
      <c r="C1249" s="34" t="s">
        <v>11391</v>
      </c>
      <c r="D1249" s="44" t="s">
        <v>10686</v>
      </c>
      <c r="E1249" s="31"/>
      <c r="F1249" s="31" t="s">
        <v>5850</v>
      </c>
      <c r="G1249" s="31" t="n">
        <v>49</v>
      </c>
      <c r="H1249" s="31" t="s">
        <v>3692</v>
      </c>
      <c r="I1249" s="44" t="s">
        <v>5788</v>
      </c>
      <c r="J1249" s="45" t="s">
        <v>5852</v>
      </c>
      <c r="K1249" s="45" t="s">
        <v>5854</v>
      </c>
      <c r="L1249" s="31" t="n">
        <f aca="false">COUNTIF($B$3:$B$2205,$B1249)</f>
        <v>3</v>
      </c>
      <c r="M1249" s="44" t="str">
        <f aca="false">IFERROR(INDEX(SENTENCES!$T$3:$T$1802,MATCH($F1249,SENTENCES!$A$3:$A$1802,0)),"")</f>
        <v>• Chưa tới</v>
      </c>
    </row>
    <row r="1250" customFormat="false" ht="15" hidden="false" customHeight="false" outlineLevel="0" collapsed="false">
      <c r="A1250" s="31" t="n">
        <v>1248</v>
      </c>
      <c r="B1250" s="43" t="s">
        <v>12692</v>
      </c>
      <c r="C1250" s="34" t="s">
        <v>12693</v>
      </c>
      <c r="D1250" s="44" t="s">
        <v>10681</v>
      </c>
      <c r="E1250" s="31"/>
      <c r="F1250" s="31" t="s">
        <v>5855</v>
      </c>
      <c r="G1250" s="31" t="n">
        <v>49</v>
      </c>
      <c r="H1250" s="31" t="s">
        <v>3692</v>
      </c>
      <c r="I1250" s="44" t="s">
        <v>5788</v>
      </c>
      <c r="J1250" s="45" t="s">
        <v>5857</v>
      </c>
      <c r="K1250" s="45" t="s">
        <v>5859</v>
      </c>
      <c r="L1250" s="31" t="n">
        <f aca="false">COUNTIF($B$3:$B$2205,$B1250)</f>
        <v>1</v>
      </c>
      <c r="M1250" s="44" t="str">
        <f aca="false">IFERROR(INDEX(SENTENCES!$T$3:$T$1802,MATCH($F1250,SENTENCES!$A$3:$A$1802,0)),"")</f>
        <v>• Chưa tới</v>
      </c>
    </row>
    <row r="1251" customFormat="false" ht="15" hidden="false" customHeight="false" outlineLevel="0" collapsed="false">
      <c r="A1251" s="31" t="n">
        <v>1249</v>
      </c>
      <c r="B1251" s="43" t="s">
        <v>11566</v>
      </c>
      <c r="C1251" s="34" t="s">
        <v>12694</v>
      </c>
      <c r="D1251" s="44" t="s">
        <v>10686</v>
      </c>
      <c r="E1251" s="31"/>
      <c r="F1251" s="31" t="s">
        <v>5861</v>
      </c>
      <c r="G1251" s="31" t="n">
        <v>49</v>
      </c>
      <c r="H1251" s="31" t="s">
        <v>3692</v>
      </c>
      <c r="I1251" s="44" t="s">
        <v>5788</v>
      </c>
      <c r="J1251" s="45" t="s">
        <v>5863</v>
      </c>
      <c r="K1251" s="45" t="s">
        <v>5865</v>
      </c>
      <c r="L1251" s="31" t="n">
        <f aca="false">COUNTIF($B$3:$B$2205,$B1251)</f>
        <v>2</v>
      </c>
      <c r="M1251" s="44" t="str">
        <f aca="false">IFERROR(INDEX(SENTENCES!$T$3:$T$1802,MATCH($F1251,SENTENCES!$A$3:$A$1802,0)),"")</f>
        <v>• Chưa tới</v>
      </c>
    </row>
    <row r="1252" customFormat="false" ht="15" hidden="false" customHeight="false" outlineLevel="0" collapsed="false">
      <c r="A1252" s="31" t="n">
        <v>1250</v>
      </c>
      <c r="B1252" s="43" t="s">
        <v>12443</v>
      </c>
      <c r="C1252" s="34" t="s">
        <v>12695</v>
      </c>
      <c r="D1252" s="44" t="s">
        <v>10686</v>
      </c>
      <c r="E1252" s="31"/>
      <c r="F1252" s="31" t="s">
        <v>5867</v>
      </c>
      <c r="G1252" s="31" t="n">
        <v>49</v>
      </c>
      <c r="H1252" s="31" t="s">
        <v>3692</v>
      </c>
      <c r="I1252" s="44" t="s">
        <v>5788</v>
      </c>
      <c r="J1252" s="45" t="s">
        <v>5869</v>
      </c>
      <c r="K1252" s="45" t="s">
        <v>5871</v>
      </c>
      <c r="L1252" s="31" t="n">
        <f aca="false">COUNTIF($B$3:$B$2205,$B1252)</f>
        <v>2</v>
      </c>
      <c r="M1252" s="44" t="str">
        <f aca="false">IFERROR(INDEX(SENTENCES!$T$3:$T$1802,MATCH($F1252,SENTENCES!$A$3:$A$1802,0)),"")</f>
        <v>• Chưa tới</v>
      </c>
    </row>
    <row r="1253" customFormat="false" ht="15" hidden="false" customHeight="false" outlineLevel="0" collapsed="false">
      <c r="A1253" s="31" t="n">
        <v>1251</v>
      </c>
      <c r="B1253" s="43" t="s">
        <v>12562</v>
      </c>
      <c r="C1253" s="34" t="s">
        <v>12563</v>
      </c>
      <c r="D1253" s="44" t="s">
        <v>10677</v>
      </c>
      <c r="E1253" s="31" t="s">
        <v>10678</v>
      </c>
      <c r="F1253" s="31" t="s">
        <v>5873</v>
      </c>
      <c r="G1253" s="31" t="n">
        <v>49</v>
      </c>
      <c r="H1253" s="31" t="s">
        <v>3692</v>
      </c>
      <c r="I1253" s="44" t="s">
        <v>5788</v>
      </c>
      <c r="J1253" s="45" t="s">
        <v>5875</v>
      </c>
      <c r="K1253" s="45" t="s">
        <v>5877</v>
      </c>
      <c r="L1253" s="31" t="n">
        <f aca="false">COUNTIF($B$3:$B$2205,$B1253)</f>
        <v>2</v>
      </c>
      <c r="M1253" s="44" t="str">
        <f aca="false">IFERROR(INDEX(SENTENCES!$T$3:$T$1802,MATCH($F1253,SENTENCES!$A$3:$A$1802,0)),"")</f>
        <v>• Chưa tới</v>
      </c>
    </row>
    <row r="1254" customFormat="false" ht="15" hidden="false" customHeight="false" outlineLevel="0" collapsed="false">
      <c r="A1254" s="31" t="n">
        <v>1252</v>
      </c>
      <c r="B1254" s="43" t="s">
        <v>10849</v>
      </c>
      <c r="C1254" s="34" t="s">
        <v>10850</v>
      </c>
      <c r="D1254" s="44" t="s">
        <v>10686</v>
      </c>
      <c r="E1254" s="31"/>
      <c r="F1254" s="31" t="s">
        <v>5878</v>
      </c>
      <c r="G1254" s="31" t="n">
        <v>49</v>
      </c>
      <c r="H1254" s="31" t="s">
        <v>3692</v>
      </c>
      <c r="I1254" s="44" t="s">
        <v>5788</v>
      </c>
      <c r="J1254" s="45" t="s">
        <v>5880</v>
      </c>
      <c r="K1254" s="45" t="s">
        <v>5882</v>
      </c>
      <c r="L1254" s="31" t="n">
        <f aca="false">COUNTIF($B$3:$B$2205,$B1254)</f>
        <v>4</v>
      </c>
      <c r="M1254" s="44" t="str">
        <f aca="false">IFERROR(INDEX(SENTENCES!$T$3:$T$1802,MATCH($F1254,SENTENCES!$A$3:$A$1802,0)),"")</f>
        <v>• Chưa tới</v>
      </c>
    </row>
    <row r="1255" customFormat="false" ht="15" hidden="false" customHeight="false" outlineLevel="0" collapsed="false">
      <c r="A1255" s="31" t="n">
        <v>1253</v>
      </c>
      <c r="B1255" s="43" t="s">
        <v>12696</v>
      </c>
      <c r="C1255" s="34" t="s">
        <v>12697</v>
      </c>
      <c r="D1255" s="44" t="s">
        <v>10677</v>
      </c>
      <c r="E1255" s="31" t="s">
        <v>10678</v>
      </c>
      <c r="F1255" s="31" t="s">
        <v>5883</v>
      </c>
      <c r="G1255" s="31" t="n">
        <v>49</v>
      </c>
      <c r="H1255" s="31" t="s">
        <v>3692</v>
      </c>
      <c r="I1255" s="44" t="s">
        <v>5788</v>
      </c>
      <c r="J1255" s="45" t="s">
        <v>5885</v>
      </c>
      <c r="K1255" s="45" t="s">
        <v>5887</v>
      </c>
      <c r="L1255" s="31" t="n">
        <f aca="false">COUNTIF($B$3:$B$2205,$B1255)</f>
        <v>1</v>
      </c>
      <c r="M1255" s="44" t="str">
        <f aca="false">IFERROR(INDEX(SENTENCES!$T$3:$T$1802,MATCH($F1255,SENTENCES!$A$3:$A$1802,0)),"")</f>
        <v>• Chưa tới</v>
      </c>
    </row>
    <row r="1256" customFormat="false" ht="15" hidden="false" customHeight="false" outlineLevel="0" collapsed="false">
      <c r="A1256" s="31" t="n">
        <v>1254</v>
      </c>
      <c r="B1256" s="43" t="s">
        <v>12698</v>
      </c>
      <c r="C1256" s="34" t="s">
        <v>12699</v>
      </c>
      <c r="D1256" s="44" t="s">
        <v>10686</v>
      </c>
      <c r="E1256" s="31"/>
      <c r="F1256" s="31" t="s">
        <v>5883</v>
      </c>
      <c r="G1256" s="31" t="n">
        <v>49</v>
      </c>
      <c r="H1256" s="31" t="s">
        <v>3692</v>
      </c>
      <c r="I1256" s="44" t="s">
        <v>5788</v>
      </c>
      <c r="J1256" s="45" t="s">
        <v>5885</v>
      </c>
      <c r="K1256" s="45" t="s">
        <v>5887</v>
      </c>
      <c r="L1256" s="31" t="n">
        <f aca="false">COUNTIF($B$3:$B$2205,$B1256)</f>
        <v>1</v>
      </c>
      <c r="M1256" s="44" t="str">
        <f aca="false">IFERROR(INDEX(SENTENCES!$T$3:$T$1802,MATCH($F1256,SENTENCES!$A$3:$A$1802,0)),"")</f>
        <v>• Chưa tới</v>
      </c>
    </row>
    <row r="1257" customFormat="false" ht="15" hidden="false" customHeight="false" outlineLevel="0" collapsed="false">
      <c r="A1257" s="31" t="n">
        <v>1255</v>
      </c>
      <c r="B1257" s="43" t="s">
        <v>12700</v>
      </c>
      <c r="C1257" s="34" t="s">
        <v>12701</v>
      </c>
      <c r="D1257" s="44" t="s">
        <v>10677</v>
      </c>
      <c r="E1257" s="31" t="s">
        <v>10678</v>
      </c>
      <c r="F1257" s="31" t="s">
        <v>5889</v>
      </c>
      <c r="G1257" s="31" t="n">
        <v>49</v>
      </c>
      <c r="H1257" s="31" t="s">
        <v>3692</v>
      </c>
      <c r="I1257" s="44" t="s">
        <v>5788</v>
      </c>
      <c r="J1257" s="45" t="s">
        <v>5891</v>
      </c>
      <c r="K1257" s="45" t="s">
        <v>5893</v>
      </c>
      <c r="L1257" s="31" t="n">
        <f aca="false">COUNTIF($B$3:$B$2205,$B1257)</f>
        <v>1</v>
      </c>
      <c r="M1257" s="44" t="str">
        <f aca="false">IFERROR(INDEX(SENTENCES!$T$3:$T$1802,MATCH($F1257,SENTENCES!$A$3:$A$1802,0)),"")</f>
        <v>• Chưa tới</v>
      </c>
    </row>
    <row r="1258" customFormat="false" ht="15" hidden="false" customHeight="false" outlineLevel="0" collapsed="false">
      <c r="A1258" s="31" t="n">
        <v>1256</v>
      </c>
      <c r="B1258" s="43" t="s">
        <v>12702</v>
      </c>
      <c r="C1258" s="34" t="s">
        <v>12703</v>
      </c>
      <c r="D1258" s="44" t="s">
        <v>10686</v>
      </c>
      <c r="E1258" s="31"/>
      <c r="F1258" s="31" t="s">
        <v>5889</v>
      </c>
      <c r="G1258" s="31" t="n">
        <v>49</v>
      </c>
      <c r="H1258" s="31" t="s">
        <v>3692</v>
      </c>
      <c r="I1258" s="44" t="s">
        <v>5788</v>
      </c>
      <c r="J1258" s="45" t="s">
        <v>5891</v>
      </c>
      <c r="K1258" s="45" t="s">
        <v>5893</v>
      </c>
      <c r="L1258" s="31" t="n">
        <f aca="false">COUNTIF($B$3:$B$2205,$B1258)</f>
        <v>1</v>
      </c>
      <c r="M1258" s="44" t="str">
        <f aca="false">IFERROR(INDEX(SENTENCES!$T$3:$T$1802,MATCH($F1258,SENTENCES!$A$3:$A$1802,0)),"")</f>
        <v>• Chưa tới</v>
      </c>
    </row>
    <row r="1259" customFormat="false" ht="15" hidden="false" customHeight="false" outlineLevel="0" collapsed="false">
      <c r="A1259" s="31" t="n">
        <v>1257</v>
      </c>
      <c r="B1259" s="43" t="s">
        <v>12704</v>
      </c>
      <c r="C1259" s="34" t="s">
        <v>12705</v>
      </c>
      <c r="D1259" s="44" t="s">
        <v>10677</v>
      </c>
      <c r="E1259" s="31" t="s">
        <v>10747</v>
      </c>
      <c r="F1259" s="31" t="s">
        <v>5895</v>
      </c>
      <c r="G1259" s="31" t="n">
        <v>49</v>
      </c>
      <c r="H1259" s="31" t="s">
        <v>3692</v>
      </c>
      <c r="I1259" s="44" t="s">
        <v>5788</v>
      </c>
      <c r="J1259" s="45" t="s">
        <v>5897</v>
      </c>
      <c r="K1259" s="45" t="s">
        <v>5899</v>
      </c>
      <c r="L1259" s="31" t="n">
        <f aca="false">COUNTIF($B$3:$B$2205,$B1259)</f>
        <v>2</v>
      </c>
      <c r="M1259" s="44" t="str">
        <f aca="false">IFERROR(INDEX(SENTENCES!$T$3:$T$1802,MATCH($F1259,SENTENCES!$A$3:$A$1802,0)),"")</f>
        <v>• Chưa tới</v>
      </c>
    </row>
    <row r="1260" customFormat="false" ht="15" hidden="false" customHeight="false" outlineLevel="0" collapsed="false">
      <c r="A1260" s="31" t="n">
        <v>1258</v>
      </c>
      <c r="B1260" s="43" t="s">
        <v>12706</v>
      </c>
      <c r="C1260" s="34" t="s">
        <v>12707</v>
      </c>
      <c r="D1260" s="44" t="s">
        <v>10677</v>
      </c>
      <c r="E1260" s="31" t="s">
        <v>10747</v>
      </c>
      <c r="F1260" s="31" t="s">
        <v>5895</v>
      </c>
      <c r="G1260" s="31" t="n">
        <v>49</v>
      </c>
      <c r="H1260" s="31" t="s">
        <v>3692</v>
      </c>
      <c r="I1260" s="44" t="s">
        <v>5788</v>
      </c>
      <c r="J1260" s="45" t="s">
        <v>5897</v>
      </c>
      <c r="K1260" s="45" t="s">
        <v>5899</v>
      </c>
      <c r="L1260" s="31" t="n">
        <f aca="false">COUNTIF($B$3:$B$2205,$B1260)</f>
        <v>1</v>
      </c>
      <c r="M1260" s="44" t="str">
        <f aca="false">IFERROR(INDEX(SENTENCES!$T$3:$T$1802,MATCH($F1260,SENTENCES!$A$3:$A$1802,0)),"")</f>
        <v>• Chưa tới</v>
      </c>
    </row>
    <row r="1261" customFormat="false" ht="15" hidden="false" customHeight="false" outlineLevel="0" collapsed="false">
      <c r="A1261" s="31" t="n">
        <v>1259</v>
      </c>
      <c r="B1261" s="43" t="s">
        <v>12708</v>
      </c>
      <c r="C1261" s="34" t="s">
        <v>12709</v>
      </c>
      <c r="D1261" s="44" t="s">
        <v>10681</v>
      </c>
      <c r="E1261" s="31"/>
      <c r="F1261" s="31" t="s">
        <v>5901</v>
      </c>
      <c r="G1261" s="31" t="n">
        <v>50</v>
      </c>
      <c r="H1261" s="31" t="s">
        <v>3692</v>
      </c>
      <c r="I1261" s="44" t="s">
        <v>5902</v>
      </c>
      <c r="J1261" s="45" t="s">
        <v>5904</v>
      </c>
      <c r="K1261" s="45" t="s">
        <v>5906</v>
      </c>
      <c r="L1261" s="31" t="n">
        <f aca="false">COUNTIF($B$3:$B$2205,$B1261)</f>
        <v>1</v>
      </c>
      <c r="M1261" s="44" t="str">
        <f aca="false">IFERROR(INDEX(SENTENCES!$T$3:$T$1802,MATCH($F1261,SENTENCES!$A$3:$A$1802,0)),"")</f>
        <v>• Chưa tới</v>
      </c>
    </row>
    <row r="1262" customFormat="false" ht="15" hidden="false" customHeight="false" outlineLevel="0" collapsed="false">
      <c r="A1262" s="31" t="n">
        <v>1260</v>
      </c>
      <c r="B1262" s="43" t="s">
        <v>12710</v>
      </c>
      <c r="C1262" s="34" t="s">
        <v>12711</v>
      </c>
      <c r="D1262" s="44" t="s">
        <v>10686</v>
      </c>
      <c r="E1262" s="31"/>
      <c r="F1262" s="31" t="s">
        <v>5908</v>
      </c>
      <c r="G1262" s="31" t="n">
        <v>50</v>
      </c>
      <c r="H1262" s="31" t="s">
        <v>3692</v>
      </c>
      <c r="I1262" s="44" t="s">
        <v>5902</v>
      </c>
      <c r="J1262" s="45" t="s">
        <v>5910</v>
      </c>
      <c r="K1262" s="45" t="s">
        <v>5912</v>
      </c>
      <c r="L1262" s="31" t="n">
        <f aca="false">COUNTIF($B$3:$B$2205,$B1262)</f>
        <v>1</v>
      </c>
      <c r="M1262" s="44" t="str">
        <f aca="false">IFERROR(INDEX(SENTENCES!$T$3:$T$1802,MATCH($F1262,SENTENCES!$A$3:$A$1802,0)),"")</f>
        <v>• Chưa tới</v>
      </c>
    </row>
    <row r="1263" customFormat="false" ht="15" hidden="false" customHeight="false" outlineLevel="0" collapsed="false">
      <c r="A1263" s="31" t="n">
        <v>1261</v>
      </c>
      <c r="B1263" s="43" t="s">
        <v>11565</v>
      </c>
      <c r="C1263" s="34" t="s">
        <v>10866</v>
      </c>
      <c r="D1263" s="44" t="s">
        <v>10686</v>
      </c>
      <c r="E1263" s="31"/>
      <c r="F1263" s="31" t="s">
        <v>5913</v>
      </c>
      <c r="G1263" s="31" t="n">
        <v>50</v>
      </c>
      <c r="H1263" s="31" t="s">
        <v>3692</v>
      </c>
      <c r="I1263" s="44" t="s">
        <v>5902</v>
      </c>
      <c r="J1263" s="45" t="s">
        <v>5915</v>
      </c>
      <c r="K1263" s="45" t="s">
        <v>5917</v>
      </c>
      <c r="L1263" s="31" t="n">
        <f aca="false">COUNTIF($B$3:$B$2205,$B1263)</f>
        <v>3</v>
      </c>
      <c r="M1263" s="44" t="str">
        <f aca="false">IFERROR(INDEX(SENTENCES!$T$3:$T$1802,MATCH($F1263,SENTENCES!$A$3:$A$1802,0)),"")</f>
        <v>• Chưa tới</v>
      </c>
    </row>
    <row r="1264" customFormat="false" ht="15" hidden="false" customHeight="false" outlineLevel="0" collapsed="false">
      <c r="A1264" s="31" t="n">
        <v>1262</v>
      </c>
      <c r="B1264" s="43" t="s">
        <v>12148</v>
      </c>
      <c r="C1264" s="34" t="s">
        <v>12149</v>
      </c>
      <c r="D1264" s="44" t="s">
        <v>10681</v>
      </c>
      <c r="E1264" s="31"/>
      <c r="F1264" s="31" t="s">
        <v>5919</v>
      </c>
      <c r="G1264" s="31" t="n">
        <v>50</v>
      </c>
      <c r="H1264" s="31" t="s">
        <v>3692</v>
      </c>
      <c r="I1264" s="44" t="s">
        <v>5902</v>
      </c>
      <c r="J1264" s="45" t="s">
        <v>5921</v>
      </c>
      <c r="K1264" s="45" t="s">
        <v>5923</v>
      </c>
      <c r="L1264" s="31" t="n">
        <f aca="false">COUNTIF($B$3:$B$2205,$B1264)</f>
        <v>2</v>
      </c>
      <c r="M1264" s="44" t="str">
        <f aca="false">IFERROR(INDEX(SENTENCES!$T$3:$T$1802,MATCH($F1264,SENTENCES!$A$3:$A$1802,0)),"")</f>
        <v>• Chưa tới</v>
      </c>
    </row>
    <row r="1265" customFormat="false" ht="15" hidden="false" customHeight="false" outlineLevel="0" collapsed="false">
      <c r="A1265" s="31" t="n">
        <v>1263</v>
      </c>
      <c r="B1265" s="43" t="s">
        <v>12712</v>
      </c>
      <c r="C1265" s="34" t="s">
        <v>12713</v>
      </c>
      <c r="D1265" s="44" t="s">
        <v>10681</v>
      </c>
      <c r="E1265" s="31"/>
      <c r="F1265" s="31" t="s">
        <v>5919</v>
      </c>
      <c r="G1265" s="31" t="n">
        <v>50</v>
      </c>
      <c r="H1265" s="31" t="s">
        <v>3692</v>
      </c>
      <c r="I1265" s="44" t="s">
        <v>5902</v>
      </c>
      <c r="J1265" s="45" t="s">
        <v>5921</v>
      </c>
      <c r="K1265" s="45" t="s">
        <v>5923</v>
      </c>
      <c r="L1265" s="31" t="n">
        <f aca="false">COUNTIF($B$3:$B$2205,$B1265)</f>
        <v>1</v>
      </c>
      <c r="M1265" s="44" t="str">
        <f aca="false">IFERROR(INDEX(SENTENCES!$T$3:$T$1802,MATCH($F1265,SENTENCES!$A$3:$A$1802,0)),"")</f>
        <v>• Chưa tới</v>
      </c>
    </row>
    <row r="1266" customFormat="false" ht="15" hidden="false" customHeight="false" outlineLevel="0" collapsed="false">
      <c r="A1266" s="31" t="n">
        <v>1264</v>
      </c>
      <c r="B1266" s="43" t="s">
        <v>12714</v>
      </c>
      <c r="C1266" s="34" t="s">
        <v>12715</v>
      </c>
      <c r="D1266" s="44" t="s">
        <v>10686</v>
      </c>
      <c r="E1266" s="31"/>
      <c r="F1266" s="31" t="s">
        <v>5925</v>
      </c>
      <c r="G1266" s="31" t="n">
        <v>50</v>
      </c>
      <c r="H1266" s="31" t="s">
        <v>3692</v>
      </c>
      <c r="I1266" s="44" t="s">
        <v>5902</v>
      </c>
      <c r="J1266" s="45" t="s">
        <v>5927</v>
      </c>
      <c r="K1266" s="45" t="s">
        <v>5929</v>
      </c>
      <c r="L1266" s="31" t="n">
        <f aca="false">COUNTIF($B$3:$B$2205,$B1266)</f>
        <v>1</v>
      </c>
      <c r="M1266" s="44" t="str">
        <f aca="false">IFERROR(INDEX(SENTENCES!$T$3:$T$1802,MATCH($F1266,SENTENCES!$A$3:$A$1802,0)),"")</f>
        <v>• Chưa tới</v>
      </c>
    </row>
    <row r="1267" customFormat="false" ht="15" hidden="false" customHeight="false" outlineLevel="0" collapsed="false">
      <c r="A1267" s="31" t="n">
        <v>1265</v>
      </c>
      <c r="B1267" s="43" t="s">
        <v>12716</v>
      </c>
      <c r="C1267" s="34" t="s">
        <v>12717</v>
      </c>
      <c r="D1267" s="44" t="s">
        <v>10677</v>
      </c>
      <c r="E1267" s="31" t="s">
        <v>10747</v>
      </c>
      <c r="F1267" s="31" t="s">
        <v>5931</v>
      </c>
      <c r="G1267" s="31" t="n">
        <v>50</v>
      </c>
      <c r="H1267" s="31" t="s">
        <v>3692</v>
      </c>
      <c r="I1267" s="44" t="s">
        <v>5902</v>
      </c>
      <c r="J1267" s="45" t="s">
        <v>5933</v>
      </c>
      <c r="K1267" s="45" t="s">
        <v>5935</v>
      </c>
      <c r="L1267" s="31" t="n">
        <f aca="false">COUNTIF($B$3:$B$2205,$B1267)</f>
        <v>1</v>
      </c>
      <c r="M1267" s="44" t="str">
        <f aca="false">IFERROR(INDEX(SENTENCES!$T$3:$T$1802,MATCH($F1267,SENTENCES!$A$3:$A$1802,0)),"")</f>
        <v>• Chưa tới</v>
      </c>
    </row>
    <row r="1268" customFormat="false" ht="15" hidden="false" customHeight="false" outlineLevel="0" collapsed="false">
      <c r="A1268" s="31" t="n">
        <v>1266</v>
      </c>
      <c r="B1268" s="43" t="s">
        <v>12718</v>
      </c>
      <c r="C1268" s="34" t="s">
        <v>12719</v>
      </c>
      <c r="D1268" s="44" t="s">
        <v>10686</v>
      </c>
      <c r="E1268" s="31"/>
      <c r="F1268" s="31" t="s">
        <v>5931</v>
      </c>
      <c r="G1268" s="31" t="n">
        <v>50</v>
      </c>
      <c r="H1268" s="31" t="s">
        <v>3692</v>
      </c>
      <c r="I1268" s="44" t="s">
        <v>5902</v>
      </c>
      <c r="J1268" s="45" t="s">
        <v>5933</v>
      </c>
      <c r="K1268" s="45" t="s">
        <v>5935</v>
      </c>
      <c r="L1268" s="31" t="n">
        <f aca="false">COUNTIF($B$3:$B$2205,$B1268)</f>
        <v>1</v>
      </c>
      <c r="M1268" s="44" t="str">
        <f aca="false">IFERROR(INDEX(SENTENCES!$T$3:$T$1802,MATCH($F1268,SENTENCES!$A$3:$A$1802,0)),"")</f>
        <v>• Chưa tới</v>
      </c>
    </row>
    <row r="1269" customFormat="false" ht="22.35" hidden="false" customHeight="false" outlineLevel="0" collapsed="false">
      <c r="A1269" s="31" t="n">
        <v>1267</v>
      </c>
      <c r="B1269" s="43" t="s">
        <v>12720</v>
      </c>
      <c r="C1269" s="34" t="s">
        <v>12721</v>
      </c>
      <c r="D1269" s="44" t="s">
        <v>10686</v>
      </c>
      <c r="E1269" s="31"/>
      <c r="F1269" s="31" t="s">
        <v>5937</v>
      </c>
      <c r="G1269" s="31" t="n">
        <v>50</v>
      </c>
      <c r="H1269" s="31" t="s">
        <v>3692</v>
      </c>
      <c r="I1269" s="44" t="s">
        <v>5902</v>
      </c>
      <c r="J1269" s="45" t="s">
        <v>5939</v>
      </c>
      <c r="K1269" s="45" t="s">
        <v>5941</v>
      </c>
      <c r="L1269" s="31" t="n">
        <f aca="false">COUNTIF($B$3:$B$2205,$B1269)</f>
        <v>1</v>
      </c>
      <c r="M1269" s="44" t="str">
        <f aca="false">IFERROR(INDEX(SENTENCES!$T$3:$T$1802,MATCH($F1269,SENTENCES!$A$3:$A$1802,0)),"")</f>
        <v>• Chưa tới</v>
      </c>
    </row>
    <row r="1270" customFormat="false" ht="15" hidden="false" customHeight="false" outlineLevel="0" collapsed="false">
      <c r="A1270" s="31" t="n">
        <v>1268</v>
      </c>
      <c r="B1270" s="43" t="s">
        <v>12722</v>
      </c>
      <c r="C1270" s="34" t="s">
        <v>12723</v>
      </c>
      <c r="D1270" s="44" t="s">
        <v>10794</v>
      </c>
      <c r="E1270" s="31"/>
      <c r="F1270" s="31" t="s">
        <v>5942</v>
      </c>
      <c r="G1270" s="31" t="n">
        <v>50</v>
      </c>
      <c r="H1270" s="31" t="s">
        <v>3692</v>
      </c>
      <c r="I1270" s="44" t="s">
        <v>5902</v>
      </c>
      <c r="J1270" s="45" t="s">
        <v>5944</v>
      </c>
      <c r="K1270" s="45" t="s">
        <v>5946</v>
      </c>
      <c r="L1270" s="31" t="n">
        <f aca="false">COUNTIF($B$3:$B$2205,$B1270)</f>
        <v>1</v>
      </c>
      <c r="M1270" s="44" t="str">
        <f aca="false">IFERROR(INDEX(SENTENCES!$T$3:$T$1802,MATCH($F1270,SENTENCES!$A$3:$A$1802,0)),"")</f>
        <v>• Chưa tới</v>
      </c>
    </row>
    <row r="1271" customFormat="false" ht="15" hidden="false" customHeight="false" outlineLevel="0" collapsed="false">
      <c r="A1271" s="31" t="n">
        <v>1269</v>
      </c>
      <c r="B1271" s="43" t="s">
        <v>12724</v>
      </c>
      <c r="C1271" s="34" t="s">
        <v>12725</v>
      </c>
      <c r="D1271" s="44" t="s">
        <v>10686</v>
      </c>
      <c r="E1271" s="31"/>
      <c r="F1271" s="31" t="s">
        <v>5947</v>
      </c>
      <c r="G1271" s="31" t="n">
        <v>50</v>
      </c>
      <c r="H1271" s="31" t="s">
        <v>3692</v>
      </c>
      <c r="I1271" s="44" t="s">
        <v>5902</v>
      </c>
      <c r="J1271" s="45" t="s">
        <v>5949</v>
      </c>
      <c r="K1271" s="45" t="s">
        <v>5951</v>
      </c>
      <c r="L1271" s="31" t="n">
        <f aca="false">COUNTIF($B$3:$B$2205,$B1271)</f>
        <v>1</v>
      </c>
      <c r="M1271" s="44" t="str">
        <f aca="false">IFERROR(INDEX(SENTENCES!$T$3:$T$1802,MATCH($F1271,SENTENCES!$A$3:$A$1802,0)),"")</f>
        <v>• Chưa tới</v>
      </c>
    </row>
    <row r="1272" customFormat="false" ht="15" hidden="false" customHeight="false" outlineLevel="0" collapsed="false">
      <c r="A1272" s="31" t="n">
        <v>1270</v>
      </c>
      <c r="B1272" s="43" t="s">
        <v>12726</v>
      </c>
      <c r="C1272" s="34" t="s">
        <v>12727</v>
      </c>
      <c r="D1272" s="44" t="s">
        <v>10686</v>
      </c>
      <c r="E1272" s="31"/>
      <c r="F1272" s="31" t="s">
        <v>5953</v>
      </c>
      <c r="G1272" s="31" t="n">
        <v>50</v>
      </c>
      <c r="H1272" s="31" t="s">
        <v>3692</v>
      </c>
      <c r="I1272" s="44" t="s">
        <v>5902</v>
      </c>
      <c r="J1272" s="45" t="s">
        <v>5955</v>
      </c>
      <c r="K1272" s="45" t="s">
        <v>5957</v>
      </c>
      <c r="L1272" s="31" t="n">
        <f aca="false">COUNTIF($B$3:$B$2205,$B1272)</f>
        <v>3</v>
      </c>
      <c r="M1272" s="44" t="str">
        <f aca="false">IFERROR(INDEX(SENTENCES!$T$3:$T$1802,MATCH($F1272,SENTENCES!$A$3:$A$1802,0)),"")</f>
        <v>• Chưa tới</v>
      </c>
    </row>
    <row r="1273" customFormat="false" ht="15" hidden="false" customHeight="false" outlineLevel="0" collapsed="false">
      <c r="A1273" s="31" t="n">
        <v>1271</v>
      </c>
      <c r="B1273" s="43" t="s">
        <v>12728</v>
      </c>
      <c r="C1273" s="34" t="s">
        <v>12729</v>
      </c>
      <c r="D1273" s="44" t="s">
        <v>10677</v>
      </c>
      <c r="E1273" s="31" t="s">
        <v>10707</v>
      </c>
      <c r="F1273" s="31" t="s">
        <v>5959</v>
      </c>
      <c r="G1273" s="31" t="n">
        <v>50</v>
      </c>
      <c r="H1273" s="31" t="s">
        <v>3692</v>
      </c>
      <c r="I1273" s="44" t="s">
        <v>5902</v>
      </c>
      <c r="J1273" s="45" t="s">
        <v>5961</v>
      </c>
      <c r="K1273" s="45" t="s">
        <v>5963</v>
      </c>
      <c r="L1273" s="31" t="n">
        <f aca="false">COUNTIF($B$3:$B$2205,$B1273)</f>
        <v>1</v>
      </c>
      <c r="M1273" s="44" t="str">
        <f aca="false">IFERROR(INDEX(SENTENCES!$T$3:$T$1802,MATCH($F1273,SENTENCES!$A$3:$A$1802,0)),"")</f>
        <v>• Chưa tới</v>
      </c>
    </row>
    <row r="1274" customFormat="false" ht="15" hidden="false" customHeight="false" outlineLevel="0" collapsed="false">
      <c r="A1274" s="31" t="n">
        <v>1272</v>
      </c>
      <c r="B1274" s="43" t="s">
        <v>12730</v>
      </c>
      <c r="C1274" s="34" t="s">
        <v>12731</v>
      </c>
      <c r="D1274" s="44" t="s">
        <v>10754</v>
      </c>
      <c r="E1274" s="31"/>
      <c r="F1274" s="31" t="s">
        <v>5965</v>
      </c>
      <c r="G1274" s="31" t="n">
        <v>50</v>
      </c>
      <c r="H1274" s="31" t="s">
        <v>3692</v>
      </c>
      <c r="I1274" s="44" t="s">
        <v>5902</v>
      </c>
      <c r="J1274" s="45" t="s">
        <v>5967</v>
      </c>
      <c r="K1274" s="45" t="s">
        <v>5969</v>
      </c>
      <c r="L1274" s="31" t="n">
        <f aca="false">COUNTIF($B$3:$B$2205,$B1274)</f>
        <v>3</v>
      </c>
      <c r="M1274" s="44" t="str">
        <f aca="false">IFERROR(INDEX(SENTENCES!$T$3:$T$1802,MATCH($F1274,SENTENCES!$A$3:$A$1802,0)),"")</f>
        <v>• Chưa tới</v>
      </c>
    </row>
    <row r="1275" customFormat="false" ht="15" hidden="false" customHeight="false" outlineLevel="0" collapsed="false">
      <c r="A1275" s="31" t="n">
        <v>1273</v>
      </c>
      <c r="B1275" s="43" t="s">
        <v>12732</v>
      </c>
      <c r="C1275" s="34" t="s">
        <v>12733</v>
      </c>
      <c r="D1275" s="44" t="s">
        <v>10681</v>
      </c>
      <c r="E1275" s="31"/>
      <c r="F1275" s="31" t="s">
        <v>5971</v>
      </c>
      <c r="G1275" s="31" t="n">
        <v>50</v>
      </c>
      <c r="H1275" s="31" t="s">
        <v>3692</v>
      </c>
      <c r="I1275" s="44" t="s">
        <v>5902</v>
      </c>
      <c r="J1275" s="45" t="s">
        <v>5973</v>
      </c>
      <c r="K1275" s="45" t="s">
        <v>5975</v>
      </c>
      <c r="L1275" s="31" t="n">
        <f aca="false">COUNTIF($B$3:$B$2205,$B1275)</f>
        <v>1</v>
      </c>
      <c r="M1275" s="44" t="str">
        <f aca="false">IFERROR(INDEX(SENTENCES!$T$3:$T$1802,MATCH($F1275,SENTENCES!$A$3:$A$1802,0)),"")</f>
        <v>• Chưa tới</v>
      </c>
    </row>
    <row r="1276" customFormat="false" ht="15" hidden="false" customHeight="false" outlineLevel="0" collapsed="false">
      <c r="A1276" s="31" t="n">
        <v>1274</v>
      </c>
      <c r="B1276" s="43" t="s">
        <v>12734</v>
      </c>
      <c r="C1276" s="34" t="s">
        <v>12735</v>
      </c>
      <c r="D1276" s="44" t="s">
        <v>10686</v>
      </c>
      <c r="E1276" s="31"/>
      <c r="F1276" s="31" t="s">
        <v>5977</v>
      </c>
      <c r="G1276" s="31" t="n">
        <v>50</v>
      </c>
      <c r="H1276" s="31" t="s">
        <v>3692</v>
      </c>
      <c r="I1276" s="44" t="s">
        <v>5902</v>
      </c>
      <c r="J1276" s="45" t="s">
        <v>5979</v>
      </c>
      <c r="K1276" s="45" t="s">
        <v>5981</v>
      </c>
      <c r="L1276" s="31" t="n">
        <f aca="false">COUNTIF($B$3:$B$2205,$B1276)</f>
        <v>1</v>
      </c>
      <c r="M1276" s="44" t="str">
        <f aca="false">IFERROR(INDEX(SENTENCES!$T$3:$T$1802,MATCH($F1276,SENTENCES!$A$3:$A$1802,0)),"")</f>
        <v>• Chưa tới</v>
      </c>
    </row>
    <row r="1277" customFormat="false" ht="15" hidden="false" customHeight="false" outlineLevel="0" collapsed="false">
      <c r="A1277" s="31" t="n">
        <v>1275</v>
      </c>
      <c r="B1277" s="43" t="s">
        <v>12736</v>
      </c>
      <c r="C1277" s="34" t="s">
        <v>12737</v>
      </c>
      <c r="D1277" s="44" t="s">
        <v>10686</v>
      </c>
      <c r="E1277" s="31"/>
      <c r="F1277" s="31" t="s">
        <v>5983</v>
      </c>
      <c r="G1277" s="31" t="n">
        <v>50</v>
      </c>
      <c r="H1277" s="31" t="s">
        <v>3692</v>
      </c>
      <c r="I1277" s="44" t="s">
        <v>5902</v>
      </c>
      <c r="J1277" s="45" t="s">
        <v>5985</v>
      </c>
      <c r="K1277" s="45" t="s">
        <v>5987</v>
      </c>
      <c r="L1277" s="31" t="n">
        <f aca="false">COUNTIF($B$3:$B$2205,$B1277)</f>
        <v>1</v>
      </c>
      <c r="M1277" s="44" t="str">
        <f aca="false">IFERROR(INDEX(SENTENCES!$T$3:$T$1802,MATCH($F1277,SENTENCES!$A$3:$A$1802,0)),"")</f>
        <v>• Chưa tới</v>
      </c>
    </row>
    <row r="1278" customFormat="false" ht="15" hidden="false" customHeight="false" outlineLevel="0" collapsed="false">
      <c r="A1278" s="31" t="n">
        <v>1276</v>
      </c>
      <c r="B1278" s="43" t="s">
        <v>12738</v>
      </c>
      <c r="C1278" s="34" t="s">
        <v>12739</v>
      </c>
      <c r="D1278" s="44" t="s">
        <v>10681</v>
      </c>
      <c r="E1278" s="31"/>
      <c r="F1278" s="31" t="s">
        <v>5989</v>
      </c>
      <c r="G1278" s="31" t="n">
        <v>50</v>
      </c>
      <c r="H1278" s="31" t="s">
        <v>3692</v>
      </c>
      <c r="I1278" s="44" t="s">
        <v>5902</v>
      </c>
      <c r="J1278" s="45" t="s">
        <v>5991</v>
      </c>
      <c r="K1278" s="45" t="s">
        <v>5993</v>
      </c>
      <c r="L1278" s="31" t="n">
        <f aca="false">COUNTIF($B$3:$B$2205,$B1278)</f>
        <v>1</v>
      </c>
      <c r="M1278" s="44" t="str">
        <f aca="false">IFERROR(INDEX(SENTENCES!$T$3:$T$1802,MATCH($F1278,SENTENCES!$A$3:$A$1802,0)),"")</f>
        <v>• Chưa tới</v>
      </c>
    </row>
    <row r="1279" customFormat="false" ht="15" hidden="false" customHeight="false" outlineLevel="0" collapsed="false">
      <c r="A1279" s="31" t="n">
        <v>1277</v>
      </c>
      <c r="B1279" s="43" t="s">
        <v>12740</v>
      </c>
      <c r="C1279" s="34" t="s">
        <v>12741</v>
      </c>
      <c r="D1279" s="44" t="s">
        <v>10681</v>
      </c>
      <c r="E1279" s="31"/>
      <c r="F1279" s="31" t="s">
        <v>5995</v>
      </c>
      <c r="G1279" s="31" t="n">
        <v>50</v>
      </c>
      <c r="H1279" s="31" t="s">
        <v>3692</v>
      </c>
      <c r="I1279" s="44" t="s">
        <v>5902</v>
      </c>
      <c r="J1279" s="45" t="s">
        <v>5997</v>
      </c>
      <c r="K1279" s="45" t="s">
        <v>5999</v>
      </c>
      <c r="L1279" s="31" t="n">
        <f aca="false">COUNTIF($B$3:$B$2205,$B1279)</f>
        <v>1</v>
      </c>
      <c r="M1279" s="44" t="str">
        <f aca="false">IFERROR(INDEX(SENTENCES!$T$3:$T$1802,MATCH($F1279,SENTENCES!$A$3:$A$1802,0)),"")</f>
        <v>• Chưa tới</v>
      </c>
    </row>
    <row r="1280" customFormat="false" ht="15" hidden="false" customHeight="false" outlineLevel="0" collapsed="false">
      <c r="A1280" s="31" t="n">
        <v>1278</v>
      </c>
      <c r="B1280" s="43" t="s">
        <v>12742</v>
      </c>
      <c r="C1280" s="34" t="s">
        <v>11716</v>
      </c>
      <c r="D1280" s="44" t="s">
        <v>10686</v>
      </c>
      <c r="E1280" s="31"/>
      <c r="F1280" s="31" t="s">
        <v>6001</v>
      </c>
      <c r="G1280" s="31" t="n">
        <v>50</v>
      </c>
      <c r="H1280" s="31" t="s">
        <v>3692</v>
      </c>
      <c r="I1280" s="44" t="s">
        <v>5902</v>
      </c>
      <c r="J1280" s="45" t="s">
        <v>6003</v>
      </c>
      <c r="K1280" s="45" t="s">
        <v>6005</v>
      </c>
      <c r="L1280" s="31" t="n">
        <f aca="false">COUNTIF($B$3:$B$2205,$B1280)</f>
        <v>1</v>
      </c>
      <c r="M1280" s="44" t="str">
        <f aca="false">IFERROR(INDEX(SENTENCES!$T$3:$T$1802,MATCH($F1280,SENTENCES!$A$3:$A$1802,0)),"")</f>
        <v>• Chưa tới</v>
      </c>
    </row>
    <row r="1281" customFormat="false" ht="15" hidden="false" customHeight="false" outlineLevel="0" collapsed="false">
      <c r="A1281" s="31" t="n">
        <v>1279</v>
      </c>
      <c r="B1281" s="43" t="s">
        <v>12743</v>
      </c>
      <c r="C1281" s="34" t="s">
        <v>12744</v>
      </c>
      <c r="D1281" s="44" t="s">
        <v>10794</v>
      </c>
      <c r="E1281" s="31"/>
      <c r="F1281" s="31" t="s">
        <v>6006</v>
      </c>
      <c r="G1281" s="31" t="n">
        <v>50</v>
      </c>
      <c r="H1281" s="31" t="s">
        <v>3692</v>
      </c>
      <c r="I1281" s="44" t="s">
        <v>5902</v>
      </c>
      <c r="J1281" s="45" t="s">
        <v>6008</v>
      </c>
      <c r="K1281" s="45" t="s">
        <v>6010</v>
      </c>
      <c r="L1281" s="31" t="n">
        <f aca="false">COUNTIF($B$3:$B$2205,$B1281)</f>
        <v>1</v>
      </c>
      <c r="M1281" s="44" t="str">
        <f aca="false">IFERROR(INDEX(SENTENCES!$T$3:$T$1802,MATCH($F1281,SENTENCES!$A$3:$A$1802,0)),"")</f>
        <v>• Chưa tới</v>
      </c>
    </row>
    <row r="1282" customFormat="false" ht="15" hidden="false" customHeight="false" outlineLevel="0" collapsed="false">
      <c r="A1282" s="31" t="n">
        <v>1280</v>
      </c>
      <c r="B1282" s="43" t="s">
        <v>12639</v>
      </c>
      <c r="C1282" s="34" t="s">
        <v>12640</v>
      </c>
      <c r="D1282" s="44" t="s">
        <v>10677</v>
      </c>
      <c r="E1282" s="31" t="s">
        <v>10707</v>
      </c>
      <c r="F1282" s="31" t="s">
        <v>6011</v>
      </c>
      <c r="G1282" s="31" t="n">
        <v>50</v>
      </c>
      <c r="H1282" s="31" t="s">
        <v>3692</v>
      </c>
      <c r="I1282" s="44" t="s">
        <v>5902</v>
      </c>
      <c r="J1282" s="45" t="s">
        <v>6012</v>
      </c>
      <c r="K1282" s="45" t="s">
        <v>6014</v>
      </c>
      <c r="L1282" s="31" t="n">
        <f aca="false">COUNTIF($B$3:$B$2205,$B1282)</f>
        <v>2</v>
      </c>
      <c r="M1282" s="44" t="str">
        <f aca="false">IFERROR(INDEX(SENTENCES!$T$3:$T$1802,MATCH($F1282,SENTENCES!$A$3:$A$1802,0)),"")</f>
        <v>• Chưa tới</v>
      </c>
    </row>
    <row r="1283" customFormat="false" ht="15" hidden="false" customHeight="false" outlineLevel="0" collapsed="false">
      <c r="A1283" s="31" t="n">
        <v>1281</v>
      </c>
      <c r="B1283" s="43" t="s">
        <v>12094</v>
      </c>
      <c r="C1283" s="34" t="s">
        <v>12095</v>
      </c>
      <c r="D1283" s="44" t="s">
        <v>10686</v>
      </c>
      <c r="E1283" s="31"/>
      <c r="F1283" s="31" t="s">
        <v>6011</v>
      </c>
      <c r="G1283" s="31" t="n">
        <v>50</v>
      </c>
      <c r="H1283" s="31" t="s">
        <v>3692</v>
      </c>
      <c r="I1283" s="44" t="s">
        <v>5902</v>
      </c>
      <c r="J1283" s="45" t="s">
        <v>6012</v>
      </c>
      <c r="K1283" s="45" t="s">
        <v>6014</v>
      </c>
      <c r="L1283" s="31" t="n">
        <f aca="false">COUNTIF($B$3:$B$2205,$B1283)</f>
        <v>5</v>
      </c>
      <c r="M1283" s="44" t="str">
        <f aca="false">IFERROR(INDEX(SENTENCES!$T$3:$T$1802,MATCH($F1283,SENTENCES!$A$3:$A$1802,0)),"")</f>
        <v>• Chưa tới</v>
      </c>
    </row>
    <row r="1284" customFormat="false" ht="15" hidden="false" customHeight="false" outlineLevel="0" collapsed="false">
      <c r="A1284" s="31" t="n">
        <v>1282</v>
      </c>
      <c r="B1284" s="43" t="s">
        <v>12383</v>
      </c>
      <c r="C1284" s="34" t="s">
        <v>12384</v>
      </c>
      <c r="D1284" s="44" t="s">
        <v>10794</v>
      </c>
      <c r="E1284" s="31"/>
      <c r="F1284" s="31" t="s">
        <v>6016</v>
      </c>
      <c r="G1284" s="31" t="n">
        <v>51</v>
      </c>
      <c r="H1284" s="31" t="s">
        <v>3692</v>
      </c>
      <c r="I1284" s="44" t="s">
        <v>6017</v>
      </c>
      <c r="J1284" s="45" t="s">
        <v>6019</v>
      </c>
      <c r="K1284" s="45" t="s">
        <v>6021</v>
      </c>
      <c r="L1284" s="31" t="n">
        <f aca="false">COUNTIF($B$3:$B$2205,$B1284)</f>
        <v>2</v>
      </c>
      <c r="M1284" s="44" t="str">
        <f aca="false">IFERROR(INDEX(SENTENCES!$T$3:$T$1802,MATCH($F1284,SENTENCES!$A$3:$A$1802,0)),"")</f>
        <v>• Chưa tới</v>
      </c>
    </row>
    <row r="1285" customFormat="false" ht="15" hidden="false" customHeight="false" outlineLevel="0" collapsed="false">
      <c r="A1285" s="31" t="n">
        <v>1283</v>
      </c>
      <c r="B1285" s="43" t="s">
        <v>12745</v>
      </c>
      <c r="C1285" s="34" t="s">
        <v>12746</v>
      </c>
      <c r="D1285" s="44" t="s">
        <v>10794</v>
      </c>
      <c r="E1285" s="31"/>
      <c r="F1285" s="31" t="s">
        <v>6022</v>
      </c>
      <c r="G1285" s="31" t="n">
        <v>51</v>
      </c>
      <c r="H1285" s="31" t="s">
        <v>3692</v>
      </c>
      <c r="I1285" s="44" t="s">
        <v>6017</v>
      </c>
      <c r="J1285" s="45" t="s">
        <v>6024</v>
      </c>
      <c r="K1285" s="45" t="s">
        <v>6026</v>
      </c>
      <c r="L1285" s="31" t="n">
        <f aca="false">COUNTIF($B$3:$B$2205,$B1285)</f>
        <v>1</v>
      </c>
      <c r="M1285" s="44" t="str">
        <f aca="false">IFERROR(INDEX(SENTENCES!$T$3:$T$1802,MATCH($F1285,SENTENCES!$A$3:$A$1802,0)),"")</f>
        <v>• Chưa tới</v>
      </c>
    </row>
    <row r="1286" customFormat="false" ht="15" hidden="false" customHeight="false" outlineLevel="0" collapsed="false">
      <c r="A1286" s="31" t="n">
        <v>1284</v>
      </c>
      <c r="B1286" s="43" t="s">
        <v>12747</v>
      </c>
      <c r="C1286" s="34" t="s">
        <v>12748</v>
      </c>
      <c r="D1286" s="44" t="s">
        <v>10794</v>
      </c>
      <c r="E1286" s="31"/>
      <c r="F1286" s="31" t="s">
        <v>6028</v>
      </c>
      <c r="G1286" s="31" t="n">
        <v>51</v>
      </c>
      <c r="H1286" s="31" t="s">
        <v>3692</v>
      </c>
      <c r="I1286" s="44" t="s">
        <v>6017</v>
      </c>
      <c r="J1286" s="45" t="s">
        <v>6030</v>
      </c>
      <c r="K1286" s="45" t="s">
        <v>6032</v>
      </c>
      <c r="L1286" s="31" t="n">
        <f aca="false">COUNTIF($B$3:$B$2205,$B1286)</f>
        <v>1</v>
      </c>
      <c r="M1286" s="44" t="str">
        <f aca="false">IFERROR(INDEX(SENTENCES!$T$3:$T$1802,MATCH($F1286,SENTENCES!$A$3:$A$1802,0)),"")</f>
        <v>• Chưa tới</v>
      </c>
    </row>
    <row r="1287" customFormat="false" ht="15" hidden="false" customHeight="false" outlineLevel="0" collapsed="false">
      <c r="A1287" s="31" t="n">
        <v>1285</v>
      </c>
      <c r="B1287" s="43" t="s">
        <v>8630</v>
      </c>
      <c r="C1287" s="34" t="s">
        <v>12749</v>
      </c>
      <c r="D1287" s="44" t="s">
        <v>10794</v>
      </c>
      <c r="E1287" s="31"/>
      <c r="F1287" s="31" t="s">
        <v>6034</v>
      </c>
      <c r="G1287" s="31" t="n">
        <v>51</v>
      </c>
      <c r="H1287" s="31" t="s">
        <v>3692</v>
      </c>
      <c r="I1287" s="44" t="s">
        <v>6017</v>
      </c>
      <c r="J1287" s="45" t="s">
        <v>6036</v>
      </c>
      <c r="K1287" s="45" t="s">
        <v>6038</v>
      </c>
      <c r="L1287" s="31" t="n">
        <f aca="false">COUNTIF($B$3:$B$2205,$B1287)</f>
        <v>1</v>
      </c>
      <c r="M1287" s="44" t="str">
        <f aca="false">IFERROR(INDEX(SENTENCES!$T$3:$T$1802,MATCH($F1287,SENTENCES!$A$3:$A$1802,0)),"")</f>
        <v>• Chưa tới</v>
      </c>
    </row>
    <row r="1288" customFormat="false" ht="15" hidden="false" customHeight="false" outlineLevel="0" collapsed="false">
      <c r="A1288" s="31" t="n">
        <v>1286</v>
      </c>
      <c r="B1288" s="43" t="s">
        <v>6041</v>
      </c>
      <c r="C1288" s="34" t="s">
        <v>11796</v>
      </c>
      <c r="D1288" s="44" t="s">
        <v>10794</v>
      </c>
      <c r="E1288" s="31"/>
      <c r="F1288" s="31" t="s">
        <v>6040</v>
      </c>
      <c r="G1288" s="31" t="n">
        <v>51</v>
      </c>
      <c r="H1288" s="31" t="s">
        <v>3692</v>
      </c>
      <c r="I1288" s="44" t="s">
        <v>6017</v>
      </c>
      <c r="J1288" s="45" t="s">
        <v>6042</v>
      </c>
      <c r="K1288" s="45" t="s">
        <v>6044</v>
      </c>
      <c r="L1288" s="31" t="n">
        <f aca="false">COUNTIF($B$3:$B$2205,$B1288)</f>
        <v>1</v>
      </c>
      <c r="M1288" s="44" t="str">
        <f aca="false">IFERROR(INDEX(SENTENCES!$T$3:$T$1802,MATCH($F1288,SENTENCES!$A$3:$A$1802,0)),"")</f>
        <v>• Chưa tới</v>
      </c>
    </row>
    <row r="1289" customFormat="false" ht="15" hidden="false" customHeight="false" outlineLevel="0" collapsed="false">
      <c r="A1289" s="31" t="n">
        <v>1287</v>
      </c>
      <c r="B1289" s="43" t="s">
        <v>12750</v>
      </c>
      <c r="C1289" s="34" t="s">
        <v>12751</v>
      </c>
      <c r="D1289" s="44" t="s">
        <v>10794</v>
      </c>
      <c r="E1289" s="31"/>
      <c r="F1289" s="31" t="s">
        <v>6046</v>
      </c>
      <c r="G1289" s="31" t="n">
        <v>51</v>
      </c>
      <c r="H1289" s="31" t="s">
        <v>3692</v>
      </c>
      <c r="I1289" s="44" t="s">
        <v>6017</v>
      </c>
      <c r="J1289" s="45" t="s">
        <v>6048</v>
      </c>
      <c r="K1289" s="45" t="s">
        <v>6050</v>
      </c>
      <c r="L1289" s="31" t="n">
        <f aca="false">COUNTIF($B$3:$B$2205,$B1289)</f>
        <v>1</v>
      </c>
      <c r="M1289" s="44" t="str">
        <f aca="false">IFERROR(INDEX(SENTENCES!$T$3:$T$1802,MATCH($F1289,SENTENCES!$A$3:$A$1802,0)),"")</f>
        <v>• Chưa tới</v>
      </c>
    </row>
    <row r="1290" customFormat="false" ht="15" hidden="false" customHeight="false" outlineLevel="0" collapsed="false">
      <c r="A1290" s="31" t="n">
        <v>1288</v>
      </c>
      <c r="B1290" s="43" t="s">
        <v>6053</v>
      </c>
      <c r="C1290" s="34" t="s">
        <v>12752</v>
      </c>
      <c r="D1290" s="44" t="s">
        <v>10794</v>
      </c>
      <c r="E1290" s="31"/>
      <c r="F1290" s="31" t="s">
        <v>6052</v>
      </c>
      <c r="G1290" s="31" t="n">
        <v>51</v>
      </c>
      <c r="H1290" s="31" t="s">
        <v>3692</v>
      </c>
      <c r="I1290" s="44" t="s">
        <v>6017</v>
      </c>
      <c r="J1290" s="45" t="s">
        <v>6054</v>
      </c>
      <c r="K1290" s="45" t="s">
        <v>6056</v>
      </c>
      <c r="L1290" s="31" t="n">
        <f aca="false">COUNTIF($B$3:$B$2205,$B1290)</f>
        <v>1</v>
      </c>
      <c r="M1290" s="44" t="str">
        <f aca="false">IFERROR(INDEX(SENTENCES!$T$3:$T$1802,MATCH($F1290,SENTENCES!$A$3:$A$1802,0)),"")</f>
        <v>• Chưa tới</v>
      </c>
    </row>
    <row r="1291" customFormat="false" ht="15" hidden="false" customHeight="false" outlineLevel="0" collapsed="false">
      <c r="A1291" s="31" t="n">
        <v>1289</v>
      </c>
      <c r="B1291" s="43" t="s">
        <v>8468</v>
      </c>
      <c r="C1291" s="34" t="s">
        <v>12753</v>
      </c>
      <c r="D1291" s="44" t="s">
        <v>10794</v>
      </c>
      <c r="E1291" s="31"/>
      <c r="F1291" s="31" t="s">
        <v>6058</v>
      </c>
      <c r="G1291" s="31" t="n">
        <v>51</v>
      </c>
      <c r="H1291" s="31" t="s">
        <v>3692</v>
      </c>
      <c r="I1291" s="44" t="s">
        <v>6017</v>
      </c>
      <c r="J1291" s="45" t="s">
        <v>6060</v>
      </c>
      <c r="K1291" s="45" t="s">
        <v>6062</v>
      </c>
      <c r="L1291" s="31" t="n">
        <f aca="false">COUNTIF($B$3:$B$2205,$B1291)</f>
        <v>1</v>
      </c>
      <c r="M1291" s="44" t="str">
        <f aca="false">IFERROR(INDEX(SENTENCES!$T$3:$T$1802,MATCH($F1291,SENTENCES!$A$3:$A$1802,0)),"")</f>
        <v>• Chưa tới</v>
      </c>
    </row>
    <row r="1292" customFormat="false" ht="15" hidden="false" customHeight="false" outlineLevel="0" collapsed="false">
      <c r="A1292" s="31" t="n">
        <v>1290</v>
      </c>
      <c r="B1292" s="43" t="s">
        <v>12754</v>
      </c>
      <c r="C1292" s="34" t="s">
        <v>12755</v>
      </c>
      <c r="D1292" s="44" t="s">
        <v>10794</v>
      </c>
      <c r="E1292" s="31"/>
      <c r="F1292" s="31" t="s">
        <v>6063</v>
      </c>
      <c r="G1292" s="31" t="n">
        <v>51</v>
      </c>
      <c r="H1292" s="31" t="s">
        <v>3692</v>
      </c>
      <c r="I1292" s="44" t="s">
        <v>6017</v>
      </c>
      <c r="J1292" s="45" t="s">
        <v>6064</v>
      </c>
      <c r="K1292" s="45" t="s">
        <v>6066</v>
      </c>
      <c r="L1292" s="31" t="n">
        <f aca="false">COUNTIF($B$3:$B$2205,$B1292)</f>
        <v>1</v>
      </c>
      <c r="M1292" s="44" t="str">
        <f aca="false">IFERROR(INDEX(SENTENCES!$T$3:$T$1802,MATCH($F1292,SENTENCES!$A$3:$A$1802,0)),"")</f>
        <v>• Chưa tới</v>
      </c>
    </row>
    <row r="1293" customFormat="false" ht="15" hidden="false" customHeight="false" outlineLevel="0" collapsed="false">
      <c r="A1293" s="31" t="n">
        <v>1291</v>
      </c>
      <c r="B1293" s="43" t="s">
        <v>12756</v>
      </c>
      <c r="C1293" s="34" t="s">
        <v>11124</v>
      </c>
      <c r="D1293" s="44" t="s">
        <v>10677</v>
      </c>
      <c r="E1293" s="31" t="s">
        <v>10707</v>
      </c>
      <c r="F1293" s="31" t="s">
        <v>6068</v>
      </c>
      <c r="G1293" s="31" t="n">
        <v>51</v>
      </c>
      <c r="H1293" s="31" t="s">
        <v>3692</v>
      </c>
      <c r="I1293" s="44" t="s">
        <v>6017</v>
      </c>
      <c r="J1293" s="45" t="s">
        <v>6070</v>
      </c>
      <c r="K1293" s="45" t="s">
        <v>6072</v>
      </c>
      <c r="L1293" s="31" t="n">
        <f aca="false">COUNTIF($B$3:$B$2205,$B1293)</f>
        <v>1</v>
      </c>
      <c r="M1293" s="44" t="str">
        <f aca="false">IFERROR(INDEX(SENTENCES!$T$3:$T$1802,MATCH($F1293,SENTENCES!$A$3:$A$1802,0)),"")</f>
        <v>• Chưa tới</v>
      </c>
    </row>
    <row r="1294" customFormat="false" ht="15" hidden="false" customHeight="false" outlineLevel="0" collapsed="false">
      <c r="A1294" s="31" t="n">
        <v>1292</v>
      </c>
      <c r="B1294" s="43" t="s">
        <v>6075</v>
      </c>
      <c r="C1294" s="34" t="s">
        <v>12757</v>
      </c>
      <c r="D1294" s="44" t="s">
        <v>10754</v>
      </c>
      <c r="E1294" s="31"/>
      <c r="F1294" s="31" t="s">
        <v>6074</v>
      </c>
      <c r="G1294" s="31" t="n">
        <v>51</v>
      </c>
      <c r="H1294" s="31" t="s">
        <v>3692</v>
      </c>
      <c r="I1294" s="44" t="s">
        <v>6017</v>
      </c>
      <c r="J1294" s="45" t="s">
        <v>6076</v>
      </c>
      <c r="K1294" s="45" t="s">
        <v>6078</v>
      </c>
      <c r="L1294" s="31" t="n">
        <f aca="false">COUNTIF($B$3:$B$2205,$B1294)</f>
        <v>1</v>
      </c>
      <c r="M1294" s="44" t="str">
        <f aca="false">IFERROR(INDEX(SENTENCES!$T$3:$T$1802,MATCH($F1294,SENTENCES!$A$3:$A$1802,0)),"")</f>
        <v>• Chưa tới</v>
      </c>
    </row>
    <row r="1295" customFormat="false" ht="15" hidden="false" customHeight="false" outlineLevel="0" collapsed="false">
      <c r="A1295" s="31" t="n">
        <v>1293</v>
      </c>
      <c r="B1295" s="43" t="s">
        <v>6081</v>
      </c>
      <c r="C1295" s="34" t="s">
        <v>12758</v>
      </c>
      <c r="D1295" s="44" t="s">
        <v>10794</v>
      </c>
      <c r="E1295" s="31"/>
      <c r="F1295" s="31" t="s">
        <v>6080</v>
      </c>
      <c r="G1295" s="31" t="n">
        <v>51</v>
      </c>
      <c r="H1295" s="31" t="s">
        <v>3692</v>
      </c>
      <c r="I1295" s="44" t="s">
        <v>6017</v>
      </c>
      <c r="J1295" s="45" t="s">
        <v>6082</v>
      </c>
      <c r="K1295" s="45" t="s">
        <v>6084</v>
      </c>
      <c r="L1295" s="31" t="n">
        <f aca="false">COUNTIF($B$3:$B$2205,$B1295)</f>
        <v>1</v>
      </c>
      <c r="M1295" s="44" t="str">
        <f aca="false">IFERROR(INDEX(SENTENCES!$T$3:$T$1802,MATCH($F1295,SENTENCES!$A$3:$A$1802,0)),"")</f>
        <v>• Chưa tới</v>
      </c>
    </row>
    <row r="1296" customFormat="false" ht="15" hidden="false" customHeight="false" outlineLevel="0" collapsed="false">
      <c r="A1296" s="31" t="n">
        <v>1294</v>
      </c>
      <c r="B1296" s="43" t="s">
        <v>12759</v>
      </c>
      <c r="C1296" s="34" t="s">
        <v>12760</v>
      </c>
      <c r="D1296" s="44" t="s">
        <v>10677</v>
      </c>
      <c r="E1296" s="31" t="s">
        <v>10707</v>
      </c>
      <c r="F1296" s="31" t="s">
        <v>6080</v>
      </c>
      <c r="G1296" s="31" t="n">
        <v>51</v>
      </c>
      <c r="H1296" s="31" t="s">
        <v>3692</v>
      </c>
      <c r="I1296" s="44" t="s">
        <v>6017</v>
      </c>
      <c r="J1296" s="45" t="s">
        <v>6082</v>
      </c>
      <c r="K1296" s="45" t="s">
        <v>6084</v>
      </c>
      <c r="L1296" s="31" t="n">
        <f aca="false">COUNTIF($B$3:$B$2205,$B1296)</f>
        <v>1</v>
      </c>
      <c r="M1296" s="44" t="str">
        <f aca="false">IFERROR(INDEX(SENTENCES!$T$3:$T$1802,MATCH($F1296,SENTENCES!$A$3:$A$1802,0)),"")</f>
        <v>• Chưa tới</v>
      </c>
    </row>
    <row r="1297" customFormat="false" ht="15" hidden="false" customHeight="false" outlineLevel="0" collapsed="false">
      <c r="A1297" s="31" t="n">
        <v>1295</v>
      </c>
      <c r="B1297" s="43" t="s">
        <v>12761</v>
      </c>
      <c r="C1297" s="34" t="s">
        <v>12762</v>
      </c>
      <c r="D1297" s="44" t="s">
        <v>10677</v>
      </c>
      <c r="E1297" s="31" t="s">
        <v>10678</v>
      </c>
      <c r="F1297" s="31" t="s">
        <v>6086</v>
      </c>
      <c r="G1297" s="31" t="n">
        <v>51</v>
      </c>
      <c r="H1297" s="31" t="s">
        <v>3692</v>
      </c>
      <c r="I1297" s="44" t="s">
        <v>6017</v>
      </c>
      <c r="J1297" s="45" t="s">
        <v>6088</v>
      </c>
      <c r="K1297" s="45" t="s">
        <v>6090</v>
      </c>
      <c r="L1297" s="31" t="n">
        <f aca="false">COUNTIF($B$3:$B$2205,$B1297)</f>
        <v>2</v>
      </c>
      <c r="M1297" s="44" t="str">
        <f aca="false">IFERROR(INDEX(SENTENCES!$T$3:$T$1802,MATCH($F1297,SENTENCES!$A$3:$A$1802,0)),"")</f>
        <v>• Chưa tới</v>
      </c>
    </row>
    <row r="1298" customFormat="false" ht="15" hidden="false" customHeight="false" outlineLevel="0" collapsed="false">
      <c r="A1298" s="31" t="n">
        <v>1296</v>
      </c>
      <c r="B1298" s="43" t="s">
        <v>12763</v>
      </c>
      <c r="C1298" s="34" t="s">
        <v>12764</v>
      </c>
      <c r="D1298" s="44" t="s">
        <v>10677</v>
      </c>
      <c r="E1298" s="31" t="s">
        <v>10707</v>
      </c>
      <c r="F1298" s="31" t="s">
        <v>6092</v>
      </c>
      <c r="G1298" s="31" t="n">
        <v>51</v>
      </c>
      <c r="H1298" s="31" t="s">
        <v>3692</v>
      </c>
      <c r="I1298" s="44" t="s">
        <v>6017</v>
      </c>
      <c r="J1298" s="45" t="s">
        <v>6094</v>
      </c>
      <c r="K1298" s="45" t="s">
        <v>6096</v>
      </c>
      <c r="L1298" s="31" t="n">
        <f aca="false">COUNTIF($B$3:$B$2205,$B1298)</f>
        <v>1</v>
      </c>
      <c r="M1298" s="44" t="str">
        <f aca="false">IFERROR(INDEX(SENTENCES!$T$3:$T$1802,MATCH($F1298,SENTENCES!$A$3:$A$1802,0)),"")</f>
        <v>• Chưa tới</v>
      </c>
    </row>
    <row r="1299" customFormat="false" ht="15" hidden="false" customHeight="false" outlineLevel="0" collapsed="false">
      <c r="A1299" s="31" t="n">
        <v>1297</v>
      </c>
      <c r="B1299" s="43" t="s">
        <v>6099</v>
      </c>
      <c r="C1299" s="34" t="s">
        <v>12765</v>
      </c>
      <c r="D1299" s="44" t="s">
        <v>10794</v>
      </c>
      <c r="E1299" s="31"/>
      <c r="F1299" s="31" t="s">
        <v>6098</v>
      </c>
      <c r="G1299" s="31" t="n">
        <v>51</v>
      </c>
      <c r="H1299" s="31" t="s">
        <v>3692</v>
      </c>
      <c r="I1299" s="44" t="s">
        <v>6017</v>
      </c>
      <c r="J1299" s="45" t="s">
        <v>6100</v>
      </c>
      <c r="K1299" s="45" t="s">
        <v>6102</v>
      </c>
      <c r="L1299" s="31" t="n">
        <f aca="false">COUNTIF($B$3:$B$2205,$B1299)</f>
        <v>1</v>
      </c>
      <c r="M1299" s="44" t="str">
        <f aca="false">IFERROR(INDEX(SENTENCES!$T$3:$T$1802,MATCH($F1299,SENTENCES!$A$3:$A$1802,0)),"")</f>
        <v>• Chưa tới</v>
      </c>
    </row>
    <row r="1300" customFormat="false" ht="15" hidden="false" customHeight="false" outlineLevel="0" collapsed="false">
      <c r="A1300" s="31" t="n">
        <v>1298</v>
      </c>
      <c r="B1300" s="43" t="s">
        <v>12177</v>
      </c>
      <c r="C1300" s="34" t="s">
        <v>12178</v>
      </c>
      <c r="D1300" s="44" t="s">
        <v>10677</v>
      </c>
      <c r="E1300" s="31" t="s">
        <v>10707</v>
      </c>
      <c r="F1300" s="31" t="s">
        <v>6104</v>
      </c>
      <c r="G1300" s="31" t="n">
        <v>51</v>
      </c>
      <c r="H1300" s="31" t="s">
        <v>3692</v>
      </c>
      <c r="I1300" s="44" t="s">
        <v>6017</v>
      </c>
      <c r="J1300" s="45" t="s">
        <v>6106</v>
      </c>
      <c r="K1300" s="45" t="s">
        <v>6108</v>
      </c>
      <c r="L1300" s="31" t="n">
        <f aca="false">COUNTIF($B$3:$B$2205,$B1300)</f>
        <v>2</v>
      </c>
      <c r="M1300" s="44" t="str">
        <f aca="false">IFERROR(INDEX(SENTENCES!$T$3:$T$1802,MATCH($F1300,SENTENCES!$A$3:$A$1802,0)),"")</f>
        <v>• Chưa tới</v>
      </c>
    </row>
    <row r="1301" customFormat="false" ht="15" hidden="false" customHeight="false" outlineLevel="0" collapsed="false">
      <c r="A1301" s="31" t="n">
        <v>1299</v>
      </c>
      <c r="B1301" s="43" t="s">
        <v>6111</v>
      </c>
      <c r="C1301" s="34" t="s">
        <v>12766</v>
      </c>
      <c r="D1301" s="44" t="s">
        <v>10794</v>
      </c>
      <c r="E1301" s="31"/>
      <c r="F1301" s="31" t="s">
        <v>6110</v>
      </c>
      <c r="G1301" s="31" t="n">
        <v>51</v>
      </c>
      <c r="H1301" s="31" t="s">
        <v>3692</v>
      </c>
      <c r="I1301" s="44" t="s">
        <v>6017</v>
      </c>
      <c r="J1301" s="45" t="s">
        <v>6112</v>
      </c>
      <c r="K1301" s="45" t="s">
        <v>6114</v>
      </c>
      <c r="L1301" s="31" t="n">
        <f aca="false">COUNTIF($B$3:$B$2205,$B1301)</f>
        <v>1</v>
      </c>
      <c r="M1301" s="44" t="str">
        <f aca="false">IFERROR(INDEX(SENTENCES!$T$3:$T$1802,MATCH($F1301,SENTENCES!$A$3:$A$1802,0)),"")</f>
        <v>• Chưa tới</v>
      </c>
    </row>
    <row r="1302" customFormat="false" ht="15" hidden="false" customHeight="false" outlineLevel="0" collapsed="false">
      <c r="A1302" s="31" t="n">
        <v>1300</v>
      </c>
      <c r="B1302" s="43" t="s">
        <v>12767</v>
      </c>
      <c r="C1302" s="34" t="s">
        <v>12768</v>
      </c>
      <c r="D1302" s="44" t="s">
        <v>10677</v>
      </c>
      <c r="E1302" s="31" t="s">
        <v>10747</v>
      </c>
      <c r="F1302" s="31" t="s">
        <v>6116</v>
      </c>
      <c r="G1302" s="31" t="n">
        <v>51</v>
      </c>
      <c r="H1302" s="31" t="s">
        <v>3692</v>
      </c>
      <c r="I1302" s="44" t="s">
        <v>6017</v>
      </c>
      <c r="J1302" s="45" t="s">
        <v>6118</v>
      </c>
      <c r="K1302" s="45" t="s">
        <v>6120</v>
      </c>
      <c r="L1302" s="31" t="n">
        <f aca="false">COUNTIF($B$3:$B$2205,$B1302)</f>
        <v>1</v>
      </c>
      <c r="M1302" s="44" t="str">
        <f aca="false">IFERROR(INDEX(SENTENCES!$T$3:$T$1802,MATCH($F1302,SENTENCES!$A$3:$A$1802,0)),"")</f>
        <v>• Chưa tới</v>
      </c>
    </row>
    <row r="1303" customFormat="false" ht="15" hidden="false" customHeight="false" outlineLevel="0" collapsed="false">
      <c r="A1303" s="31" t="n">
        <v>1301</v>
      </c>
      <c r="B1303" s="43" t="s">
        <v>12769</v>
      </c>
      <c r="C1303" s="34" t="s">
        <v>12770</v>
      </c>
      <c r="D1303" s="44" t="s">
        <v>10794</v>
      </c>
      <c r="E1303" s="31"/>
      <c r="F1303" s="31" t="s">
        <v>6122</v>
      </c>
      <c r="G1303" s="31" t="n">
        <v>51</v>
      </c>
      <c r="H1303" s="31" t="s">
        <v>3692</v>
      </c>
      <c r="I1303" s="44" t="s">
        <v>6017</v>
      </c>
      <c r="J1303" s="45" t="s">
        <v>6124</v>
      </c>
      <c r="K1303" s="45" t="s">
        <v>6126</v>
      </c>
      <c r="L1303" s="31" t="n">
        <f aca="false">COUNTIF($B$3:$B$2205,$B1303)</f>
        <v>1</v>
      </c>
      <c r="M1303" s="44" t="str">
        <f aca="false">IFERROR(INDEX(SENTENCES!$T$3:$T$1802,MATCH($F1303,SENTENCES!$A$3:$A$1802,0)),"")</f>
        <v>• Chưa tới</v>
      </c>
    </row>
    <row r="1304" customFormat="false" ht="15" hidden="false" customHeight="false" outlineLevel="0" collapsed="false">
      <c r="A1304" s="31" t="n">
        <v>1302</v>
      </c>
      <c r="B1304" s="43" t="s">
        <v>12771</v>
      </c>
      <c r="C1304" s="34" t="s">
        <v>12772</v>
      </c>
      <c r="D1304" s="44" t="s">
        <v>10686</v>
      </c>
      <c r="E1304" s="31"/>
      <c r="F1304" s="31" t="s">
        <v>6128</v>
      </c>
      <c r="G1304" s="31" t="n">
        <v>51</v>
      </c>
      <c r="H1304" s="31" t="s">
        <v>3692</v>
      </c>
      <c r="I1304" s="44" t="s">
        <v>6017</v>
      </c>
      <c r="J1304" s="45" t="s">
        <v>6130</v>
      </c>
      <c r="K1304" s="45" t="s">
        <v>6132</v>
      </c>
      <c r="L1304" s="31" t="n">
        <f aca="false">COUNTIF($B$3:$B$2205,$B1304)</f>
        <v>1</v>
      </c>
      <c r="M1304" s="44" t="str">
        <f aca="false">IFERROR(INDEX(SENTENCES!$T$3:$T$1802,MATCH($F1304,SENTENCES!$A$3:$A$1802,0)),"")</f>
        <v>• Chưa tới</v>
      </c>
    </row>
    <row r="1305" customFormat="false" ht="15" hidden="false" customHeight="false" outlineLevel="0" collapsed="false">
      <c r="A1305" s="31" t="n">
        <v>1303</v>
      </c>
      <c r="B1305" s="43" t="s">
        <v>12773</v>
      </c>
      <c r="C1305" s="34" t="s">
        <v>12774</v>
      </c>
      <c r="D1305" s="44" t="s">
        <v>10677</v>
      </c>
      <c r="E1305" s="31" t="s">
        <v>10678</v>
      </c>
      <c r="F1305" s="31" t="s">
        <v>6128</v>
      </c>
      <c r="G1305" s="31" t="n">
        <v>51</v>
      </c>
      <c r="H1305" s="31" t="s">
        <v>3692</v>
      </c>
      <c r="I1305" s="44" t="s">
        <v>6017</v>
      </c>
      <c r="J1305" s="45" t="s">
        <v>6130</v>
      </c>
      <c r="K1305" s="45" t="s">
        <v>6132</v>
      </c>
      <c r="L1305" s="31" t="n">
        <f aca="false">COUNTIF($B$3:$B$2205,$B1305)</f>
        <v>1</v>
      </c>
      <c r="M1305" s="44" t="str">
        <f aca="false">IFERROR(INDEX(SENTENCES!$T$3:$T$1802,MATCH($F1305,SENTENCES!$A$3:$A$1802,0)),"")</f>
        <v>• Chưa tới</v>
      </c>
    </row>
    <row r="1306" customFormat="false" ht="15" hidden="false" customHeight="false" outlineLevel="0" collapsed="false">
      <c r="A1306" s="31" t="n">
        <v>1304</v>
      </c>
      <c r="B1306" s="43" t="s">
        <v>12775</v>
      </c>
      <c r="C1306" s="34" t="s">
        <v>12776</v>
      </c>
      <c r="D1306" s="44" t="s">
        <v>10677</v>
      </c>
      <c r="E1306" s="31" t="s">
        <v>10747</v>
      </c>
      <c r="F1306" s="31" t="s">
        <v>6134</v>
      </c>
      <c r="G1306" s="31" t="n">
        <v>52</v>
      </c>
      <c r="H1306" s="31" t="s">
        <v>3692</v>
      </c>
      <c r="I1306" s="44" t="s">
        <v>6135</v>
      </c>
      <c r="J1306" s="45" t="s">
        <v>6137</v>
      </c>
      <c r="K1306" s="45" t="s">
        <v>6139</v>
      </c>
      <c r="L1306" s="31" t="n">
        <f aca="false">COUNTIF($B$3:$B$2205,$B1306)</f>
        <v>1</v>
      </c>
      <c r="M1306" s="44" t="str">
        <f aca="false">IFERROR(INDEX(SENTENCES!$T$3:$T$1802,MATCH($F1306,SENTENCES!$A$3:$A$1802,0)),"")</f>
        <v>• Chưa tới</v>
      </c>
    </row>
    <row r="1307" customFormat="false" ht="15" hidden="false" customHeight="false" outlineLevel="0" collapsed="false">
      <c r="A1307" s="31" t="n">
        <v>1305</v>
      </c>
      <c r="B1307" s="43" t="s">
        <v>12777</v>
      </c>
      <c r="C1307" s="34" t="s">
        <v>11226</v>
      </c>
      <c r="D1307" s="44" t="s">
        <v>10686</v>
      </c>
      <c r="E1307" s="31"/>
      <c r="F1307" s="31" t="s">
        <v>6134</v>
      </c>
      <c r="G1307" s="31" t="n">
        <v>52</v>
      </c>
      <c r="H1307" s="31" t="s">
        <v>3692</v>
      </c>
      <c r="I1307" s="44" t="s">
        <v>6135</v>
      </c>
      <c r="J1307" s="45" t="s">
        <v>6137</v>
      </c>
      <c r="K1307" s="45" t="s">
        <v>6139</v>
      </c>
      <c r="L1307" s="31" t="n">
        <f aca="false">COUNTIF($B$3:$B$2205,$B1307)</f>
        <v>2</v>
      </c>
      <c r="M1307" s="44" t="str">
        <f aca="false">IFERROR(INDEX(SENTENCES!$T$3:$T$1802,MATCH($F1307,SENTENCES!$A$3:$A$1802,0)),"")</f>
        <v>• Chưa tới</v>
      </c>
    </row>
    <row r="1308" customFormat="false" ht="15" hidden="false" customHeight="false" outlineLevel="0" collapsed="false">
      <c r="A1308" s="31" t="n">
        <v>1306</v>
      </c>
      <c r="B1308" s="43" t="s">
        <v>12778</v>
      </c>
      <c r="C1308" s="34" t="s">
        <v>12779</v>
      </c>
      <c r="D1308" s="44" t="s">
        <v>10677</v>
      </c>
      <c r="E1308" s="31" t="s">
        <v>10707</v>
      </c>
      <c r="F1308" s="31" t="s">
        <v>6141</v>
      </c>
      <c r="G1308" s="31" t="n">
        <v>52</v>
      </c>
      <c r="H1308" s="31" t="s">
        <v>3692</v>
      </c>
      <c r="I1308" s="44" t="s">
        <v>6135</v>
      </c>
      <c r="J1308" s="45" t="s">
        <v>6143</v>
      </c>
      <c r="K1308" s="45" t="s">
        <v>6145</v>
      </c>
      <c r="L1308" s="31" t="n">
        <f aca="false">COUNTIF($B$3:$B$2205,$B1308)</f>
        <v>2</v>
      </c>
      <c r="M1308" s="44" t="str">
        <f aca="false">IFERROR(INDEX(SENTENCES!$T$3:$T$1802,MATCH($F1308,SENTENCES!$A$3:$A$1802,0)),"")</f>
        <v>• Chưa tới</v>
      </c>
    </row>
    <row r="1309" customFormat="false" ht="15" hidden="false" customHeight="false" outlineLevel="0" collapsed="false">
      <c r="A1309" s="31" t="n">
        <v>1307</v>
      </c>
      <c r="B1309" s="43" t="s">
        <v>12780</v>
      </c>
      <c r="C1309" s="34" t="s">
        <v>12781</v>
      </c>
      <c r="D1309" s="44" t="s">
        <v>10686</v>
      </c>
      <c r="E1309" s="31"/>
      <c r="F1309" s="31" t="s">
        <v>6147</v>
      </c>
      <c r="G1309" s="31" t="n">
        <v>52</v>
      </c>
      <c r="H1309" s="31" t="s">
        <v>3692</v>
      </c>
      <c r="I1309" s="44" t="s">
        <v>6135</v>
      </c>
      <c r="J1309" s="45" t="s">
        <v>6149</v>
      </c>
      <c r="K1309" s="45" t="s">
        <v>6151</v>
      </c>
      <c r="L1309" s="31" t="n">
        <f aca="false">COUNTIF($B$3:$B$2205,$B1309)</f>
        <v>1</v>
      </c>
      <c r="M1309" s="44" t="str">
        <f aca="false">IFERROR(INDEX(SENTENCES!$T$3:$T$1802,MATCH($F1309,SENTENCES!$A$3:$A$1802,0)),"")</f>
        <v>• Chưa tới</v>
      </c>
    </row>
    <row r="1310" customFormat="false" ht="15" hidden="false" customHeight="false" outlineLevel="0" collapsed="false">
      <c r="A1310" s="31" t="n">
        <v>1308</v>
      </c>
      <c r="B1310" s="43" t="s">
        <v>12782</v>
      </c>
      <c r="C1310" s="34" t="s">
        <v>12783</v>
      </c>
      <c r="D1310" s="44" t="s">
        <v>10686</v>
      </c>
      <c r="E1310" s="31"/>
      <c r="F1310" s="31" t="s">
        <v>6152</v>
      </c>
      <c r="G1310" s="31" t="n">
        <v>52</v>
      </c>
      <c r="H1310" s="31" t="s">
        <v>3692</v>
      </c>
      <c r="I1310" s="44" t="s">
        <v>6135</v>
      </c>
      <c r="J1310" s="45" t="s">
        <v>6154</v>
      </c>
      <c r="K1310" s="45" t="s">
        <v>6156</v>
      </c>
      <c r="L1310" s="31" t="n">
        <f aca="false">COUNTIF($B$3:$B$2205,$B1310)</f>
        <v>1</v>
      </c>
      <c r="M1310" s="44" t="str">
        <f aca="false">IFERROR(INDEX(SENTENCES!$T$3:$T$1802,MATCH($F1310,SENTENCES!$A$3:$A$1802,0)),"")</f>
        <v>• Chưa tới</v>
      </c>
    </row>
    <row r="1311" customFormat="false" ht="15" hidden="false" customHeight="false" outlineLevel="0" collapsed="false">
      <c r="A1311" s="31" t="n">
        <v>1309</v>
      </c>
      <c r="B1311" s="43" t="s">
        <v>12784</v>
      </c>
      <c r="C1311" s="34" t="s">
        <v>12785</v>
      </c>
      <c r="D1311" s="44" t="s">
        <v>10677</v>
      </c>
      <c r="E1311" s="31" t="s">
        <v>10707</v>
      </c>
      <c r="F1311" s="31" t="s">
        <v>6158</v>
      </c>
      <c r="G1311" s="31" t="n">
        <v>52</v>
      </c>
      <c r="H1311" s="31" t="s">
        <v>3692</v>
      </c>
      <c r="I1311" s="44" t="s">
        <v>6135</v>
      </c>
      <c r="J1311" s="45" t="s">
        <v>6160</v>
      </c>
      <c r="K1311" s="45" t="s">
        <v>6162</v>
      </c>
      <c r="L1311" s="31" t="n">
        <f aca="false">COUNTIF($B$3:$B$2205,$B1311)</f>
        <v>1</v>
      </c>
      <c r="M1311" s="44" t="str">
        <f aca="false">IFERROR(INDEX(SENTENCES!$T$3:$T$1802,MATCH($F1311,SENTENCES!$A$3:$A$1802,0)),"")</f>
        <v>• Chưa tới</v>
      </c>
    </row>
    <row r="1312" customFormat="false" ht="15" hidden="false" customHeight="false" outlineLevel="0" collapsed="false">
      <c r="A1312" s="31" t="n">
        <v>1310</v>
      </c>
      <c r="B1312" s="43" t="s">
        <v>12786</v>
      </c>
      <c r="C1312" s="34" t="s">
        <v>12787</v>
      </c>
      <c r="D1312" s="44" t="s">
        <v>10686</v>
      </c>
      <c r="E1312" s="31"/>
      <c r="F1312" s="31" t="s">
        <v>6164</v>
      </c>
      <c r="G1312" s="31" t="n">
        <v>52</v>
      </c>
      <c r="H1312" s="31" t="s">
        <v>3692</v>
      </c>
      <c r="I1312" s="44" t="s">
        <v>6135</v>
      </c>
      <c r="J1312" s="45" t="s">
        <v>6166</v>
      </c>
      <c r="K1312" s="45" t="s">
        <v>6168</v>
      </c>
      <c r="L1312" s="31" t="n">
        <f aca="false">COUNTIF($B$3:$B$2205,$B1312)</f>
        <v>1</v>
      </c>
      <c r="M1312" s="44" t="str">
        <f aca="false">IFERROR(INDEX(SENTENCES!$T$3:$T$1802,MATCH($F1312,SENTENCES!$A$3:$A$1802,0)),"")</f>
        <v>• Chưa tới</v>
      </c>
    </row>
    <row r="1313" customFormat="false" ht="15" hidden="false" customHeight="false" outlineLevel="0" collapsed="false">
      <c r="A1313" s="31" t="n">
        <v>1311</v>
      </c>
      <c r="B1313" s="43" t="s">
        <v>12788</v>
      </c>
      <c r="C1313" s="34" t="s">
        <v>12789</v>
      </c>
      <c r="D1313" s="44" t="s">
        <v>10677</v>
      </c>
      <c r="E1313" s="31" t="s">
        <v>10678</v>
      </c>
      <c r="F1313" s="31" t="s">
        <v>6170</v>
      </c>
      <c r="G1313" s="31" t="n">
        <v>52</v>
      </c>
      <c r="H1313" s="31" t="s">
        <v>3692</v>
      </c>
      <c r="I1313" s="44" t="s">
        <v>6135</v>
      </c>
      <c r="J1313" s="45" t="s">
        <v>6171</v>
      </c>
      <c r="K1313" s="45" t="s">
        <v>6173</v>
      </c>
      <c r="L1313" s="31" t="n">
        <f aca="false">COUNTIF($B$3:$B$2205,$B1313)</f>
        <v>1</v>
      </c>
      <c r="M1313" s="44" t="str">
        <f aca="false">IFERROR(INDEX(SENTENCES!$T$3:$T$1802,MATCH($F1313,SENTENCES!$A$3:$A$1802,0)),"")</f>
        <v>• Chưa tới</v>
      </c>
    </row>
    <row r="1314" customFormat="false" ht="15" hidden="false" customHeight="false" outlineLevel="0" collapsed="false">
      <c r="A1314" s="31" t="n">
        <v>1312</v>
      </c>
      <c r="B1314" s="43" t="s">
        <v>11457</v>
      </c>
      <c r="C1314" s="34" t="s">
        <v>11458</v>
      </c>
      <c r="D1314" s="44" t="s">
        <v>10681</v>
      </c>
      <c r="E1314" s="31"/>
      <c r="F1314" s="31" t="s">
        <v>6175</v>
      </c>
      <c r="G1314" s="31" t="n">
        <v>52</v>
      </c>
      <c r="H1314" s="31" t="s">
        <v>3692</v>
      </c>
      <c r="I1314" s="44" t="s">
        <v>6135</v>
      </c>
      <c r="J1314" s="45" t="s">
        <v>6177</v>
      </c>
      <c r="K1314" s="45" t="s">
        <v>6179</v>
      </c>
      <c r="L1314" s="31" t="n">
        <f aca="false">COUNTIF($B$3:$B$2205,$B1314)</f>
        <v>2</v>
      </c>
      <c r="M1314" s="44" t="str">
        <f aca="false">IFERROR(INDEX(SENTENCES!$T$3:$T$1802,MATCH($F1314,SENTENCES!$A$3:$A$1802,0)),"")</f>
        <v>• Chưa tới</v>
      </c>
    </row>
    <row r="1315" customFormat="false" ht="15" hidden="false" customHeight="false" outlineLevel="0" collapsed="false">
      <c r="A1315" s="31" t="n">
        <v>1313</v>
      </c>
      <c r="B1315" s="43" t="s">
        <v>12790</v>
      </c>
      <c r="C1315" s="34" t="s">
        <v>12791</v>
      </c>
      <c r="D1315" s="44" t="s">
        <v>10677</v>
      </c>
      <c r="E1315" s="31" t="s">
        <v>10707</v>
      </c>
      <c r="F1315" s="31" t="s">
        <v>6181</v>
      </c>
      <c r="G1315" s="31" t="n">
        <v>52</v>
      </c>
      <c r="H1315" s="31" t="s">
        <v>3692</v>
      </c>
      <c r="I1315" s="44" t="s">
        <v>6135</v>
      </c>
      <c r="J1315" s="45" t="s">
        <v>6183</v>
      </c>
      <c r="K1315" s="45" t="s">
        <v>6185</v>
      </c>
      <c r="L1315" s="31" t="n">
        <f aca="false">COUNTIF($B$3:$B$2205,$B1315)</f>
        <v>1</v>
      </c>
      <c r="M1315" s="44" t="str">
        <f aca="false">IFERROR(INDEX(SENTENCES!$T$3:$T$1802,MATCH($F1315,SENTENCES!$A$3:$A$1802,0)),"")</f>
        <v>• Chưa tới</v>
      </c>
    </row>
    <row r="1316" customFormat="false" ht="15" hidden="false" customHeight="false" outlineLevel="0" collapsed="false">
      <c r="A1316" s="31" t="n">
        <v>1314</v>
      </c>
      <c r="B1316" s="43" t="s">
        <v>12792</v>
      </c>
      <c r="C1316" s="34" t="s">
        <v>12793</v>
      </c>
      <c r="D1316" s="44" t="s">
        <v>10677</v>
      </c>
      <c r="E1316" s="31" t="s">
        <v>10707</v>
      </c>
      <c r="F1316" s="31" t="s">
        <v>6181</v>
      </c>
      <c r="G1316" s="31" t="n">
        <v>52</v>
      </c>
      <c r="H1316" s="31" t="s">
        <v>3692</v>
      </c>
      <c r="I1316" s="44" t="s">
        <v>6135</v>
      </c>
      <c r="J1316" s="45" t="s">
        <v>6183</v>
      </c>
      <c r="K1316" s="45" t="s">
        <v>6185</v>
      </c>
      <c r="L1316" s="31" t="n">
        <f aca="false">COUNTIF($B$3:$B$2205,$B1316)</f>
        <v>1</v>
      </c>
      <c r="M1316" s="44" t="str">
        <f aca="false">IFERROR(INDEX(SENTENCES!$T$3:$T$1802,MATCH($F1316,SENTENCES!$A$3:$A$1802,0)),"")</f>
        <v>• Chưa tới</v>
      </c>
    </row>
    <row r="1317" customFormat="false" ht="15" hidden="false" customHeight="false" outlineLevel="0" collapsed="false">
      <c r="A1317" s="31" t="n">
        <v>1315</v>
      </c>
      <c r="B1317" s="43" t="s">
        <v>11127</v>
      </c>
      <c r="C1317" s="34" t="s">
        <v>11128</v>
      </c>
      <c r="D1317" s="44" t="s">
        <v>10677</v>
      </c>
      <c r="E1317" s="31" t="s">
        <v>10747</v>
      </c>
      <c r="F1317" s="31" t="s">
        <v>6187</v>
      </c>
      <c r="G1317" s="31" t="n">
        <v>52</v>
      </c>
      <c r="H1317" s="31" t="s">
        <v>3692</v>
      </c>
      <c r="I1317" s="44" t="s">
        <v>6135</v>
      </c>
      <c r="J1317" s="45" t="s">
        <v>6189</v>
      </c>
      <c r="K1317" s="45" t="s">
        <v>6191</v>
      </c>
      <c r="L1317" s="31" t="n">
        <f aca="false">COUNTIF($B$3:$B$2205,$B1317)</f>
        <v>2</v>
      </c>
      <c r="M1317" s="44" t="str">
        <f aca="false">IFERROR(INDEX(SENTENCES!$T$3:$T$1802,MATCH($F1317,SENTENCES!$A$3:$A$1802,0)),"")</f>
        <v>• Chưa tới</v>
      </c>
    </row>
    <row r="1318" customFormat="false" ht="15" hidden="false" customHeight="false" outlineLevel="0" collapsed="false">
      <c r="A1318" s="31" t="n">
        <v>1316</v>
      </c>
      <c r="B1318" s="43" t="s">
        <v>12313</v>
      </c>
      <c r="C1318" s="34" t="s">
        <v>12314</v>
      </c>
      <c r="D1318" s="44" t="s">
        <v>10686</v>
      </c>
      <c r="E1318" s="31"/>
      <c r="F1318" s="31" t="s">
        <v>6193</v>
      </c>
      <c r="G1318" s="31" t="n">
        <v>52</v>
      </c>
      <c r="H1318" s="31" t="s">
        <v>3692</v>
      </c>
      <c r="I1318" s="44" t="s">
        <v>6135</v>
      </c>
      <c r="J1318" s="45" t="s">
        <v>6195</v>
      </c>
      <c r="K1318" s="45" t="s">
        <v>6197</v>
      </c>
      <c r="L1318" s="31" t="n">
        <f aca="false">COUNTIF($B$3:$B$2205,$B1318)</f>
        <v>3</v>
      </c>
      <c r="M1318" s="44" t="str">
        <f aca="false">IFERROR(INDEX(SENTENCES!$T$3:$T$1802,MATCH($F1318,SENTENCES!$A$3:$A$1802,0)),"")</f>
        <v>• Chưa tới</v>
      </c>
    </row>
    <row r="1319" customFormat="false" ht="15" hidden="false" customHeight="false" outlineLevel="0" collapsed="false">
      <c r="A1319" s="31" t="n">
        <v>1317</v>
      </c>
      <c r="B1319" s="43" t="s">
        <v>12794</v>
      </c>
      <c r="C1319" s="34" t="s">
        <v>12795</v>
      </c>
      <c r="D1319" s="44" t="s">
        <v>10677</v>
      </c>
      <c r="E1319" s="31" t="s">
        <v>10707</v>
      </c>
      <c r="F1319" s="31" t="s">
        <v>6198</v>
      </c>
      <c r="G1319" s="31" t="n">
        <v>52</v>
      </c>
      <c r="H1319" s="31" t="s">
        <v>3692</v>
      </c>
      <c r="I1319" s="44" t="s">
        <v>6135</v>
      </c>
      <c r="J1319" s="45" t="s">
        <v>6200</v>
      </c>
      <c r="K1319" s="45" t="s">
        <v>6202</v>
      </c>
      <c r="L1319" s="31" t="n">
        <f aca="false">COUNTIF($B$3:$B$2205,$B1319)</f>
        <v>1</v>
      </c>
      <c r="M1319" s="44" t="str">
        <f aca="false">IFERROR(INDEX(SENTENCES!$T$3:$T$1802,MATCH($F1319,SENTENCES!$A$3:$A$1802,0)),"")</f>
        <v>• Chưa tới</v>
      </c>
    </row>
    <row r="1320" customFormat="false" ht="15" hidden="false" customHeight="false" outlineLevel="0" collapsed="false">
      <c r="A1320" s="31" t="n">
        <v>1318</v>
      </c>
      <c r="B1320" s="43" t="s">
        <v>12338</v>
      </c>
      <c r="C1320" s="34" t="s">
        <v>12339</v>
      </c>
      <c r="D1320" s="44" t="s">
        <v>10681</v>
      </c>
      <c r="E1320" s="31"/>
      <c r="F1320" s="31" t="s">
        <v>6198</v>
      </c>
      <c r="G1320" s="31" t="n">
        <v>52</v>
      </c>
      <c r="H1320" s="31" t="s">
        <v>3692</v>
      </c>
      <c r="I1320" s="44" t="s">
        <v>6135</v>
      </c>
      <c r="J1320" s="45" t="s">
        <v>6200</v>
      </c>
      <c r="K1320" s="45" t="s">
        <v>6202</v>
      </c>
      <c r="L1320" s="31" t="n">
        <f aca="false">COUNTIF($B$3:$B$2205,$B1320)</f>
        <v>2</v>
      </c>
      <c r="M1320" s="44" t="str">
        <f aca="false">IFERROR(INDEX(SENTENCES!$T$3:$T$1802,MATCH($F1320,SENTENCES!$A$3:$A$1802,0)),"")</f>
        <v>• Chưa tới</v>
      </c>
    </row>
    <row r="1321" customFormat="false" ht="15" hidden="false" customHeight="false" outlineLevel="0" collapsed="false">
      <c r="A1321" s="31" t="n">
        <v>1319</v>
      </c>
      <c r="B1321" s="43" t="s">
        <v>12796</v>
      </c>
      <c r="C1321" s="34" t="s">
        <v>12797</v>
      </c>
      <c r="D1321" s="44" t="s">
        <v>10677</v>
      </c>
      <c r="E1321" s="31" t="s">
        <v>10678</v>
      </c>
      <c r="F1321" s="31" t="s">
        <v>6204</v>
      </c>
      <c r="G1321" s="31" t="n">
        <v>52</v>
      </c>
      <c r="H1321" s="31" t="s">
        <v>3692</v>
      </c>
      <c r="I1321" s="44" t="s">
        <v>6135</v>
      </c>
      <c r="J1321" s="45" t="s">
        <v>6206</v>
      </c>
      <c r="K1321" s="45" t="s">
        <v>6208</v>
      </c>
      <c r="L1321" s="31" t="n">
        <f aca="false">COUNTIF($B$3:$B$2205,$B1321)</f>
        <v>1</v>
      </c>
      <c r="M1321" s="44" t="str">
        <f aca="false">IFERROR(INDEX(SENTENCES!$T$3:$T$1802,MATCH($F1321,SENTENCES!$A$3:$A$1802,0)),"")</f>
        <v>• Chưa tới</v>
      </c>
    </row>
    <row r="1322" customFormat="false" ht="15" hidden="false" customHeight="false" outlineLevel="0" collapsed="false">
      <c r="A1322" s="31" t="n">
        <v>1320</v>
      </c>
      <c r="B1322" s="43" t="s">
        <v>12798</v>
      </c>
      <c r="C1322" s="34" t="s">
        <v>12799</v>
      </c>
      <c r="D1322" s="44" t="s">
        <v>10681</v>
      </c>
      <c r="E1322" s="31"/>
      <c r="F1322" s="31" t="s">
        <v>6210</v>
      </c>
      <c r="G1322" s="31" t="n">
        <v>52</v>
      </c>
      <c r="H1322" s="31" t="s">
        <v>3692</v>
      </c>
      <c r="I1322" s="44" t="s">
        <v>6135</v>
      </c>
      <c r="J1322" s="45" t="s">
        <v>6212</v>
      </c>
      <c r="K1322" s="45" t="s">
        <v>6214</v>
      </c>
      <c r="L1322" s="31" t="n">
        <f aca="false">COUNTIF($B$3:$B$2205,$B1322)</f>
        <v>1</v>
      </c>
      <c r="M1322" s="44" t="str">
        <f aca="false">IFERROR(INDEX(SENTENCES!$T$3:$T$1802,MATCH($F1322,SENTENCES!$A$3:$A$1802,0)),"")</f>
        <v>• Chưa tới</v>
      </c>
    </row>
    <row r="1323" customFormat="false" ht="15" hidden="false" customHeight="false" outlineLevel="0" collapsed="false">
      <c r="A1323" s="31" t="n">
        <v>1321</v>
      </c>
      <c r="B1323" s="43" t="s">
        <v>12800</v>
      </c>
      <c r="C1323" s="34" t="s">
        <v>12801</v>
      </c>
      <c r="D1323" s="44" t="s">
        <v>10686</v>
      </c>
      <c r="E1323" s="31"/>
      <c r="F1323" s="31" t="s">
        <v>6215</v>
      </c>
      <c r="G1323" s="31" t="n">
        <v>52</v>
      </c>
      <c r="H1323" s="31" t="s">
        <v>3692</v>
      </c>
      <c r="I1323" s="44" t="s">
        <v>6135</v>
      </c>
      <c r="J1323" s="45" t="s">
        <v>6217</v>
      </c>
      <c r="K1323" s="45" t="s">
        <v>6219</v>
      </c>
      <c r="L1323" s="31" t="n">
        <f aca="false">COUNTIF($B$3:$B$2205,$B1323)</f>
        <v>1</v>
      </c>
      <c r="M1323" s="44" t="str">
        <f aca="false">IFERROR(INDEX(SENTENCES!$T$3:$T$1802,MATCH($F1323,SENTENCES!$A$3:$A$1802,0)),"")</f>
        <v>• Chưa tới</v>
      </c>
    </row>
    <row r="1324" customFormat="false" ht="15" hidden="false" customHeight="false" outlineLevel="0" collapsed="false">
      <c r="A1324" s="31" t="n">
        <v>1322</v>
      </c>
      <c r="B1324" s="43" t="s">
        <v>11968</v>
      </c>
      <c r="C1324" s="34" t="s">
        <v>11969</v>
      </c>
      <c r="D1324" s="44" t="s">
        <v>10677</v>
      </c>
      <c r="E1324" s="31" t="s">
        <v>10707</v>
      </c>
      <c r="F1324" s="31" t="s">
        <v>6221</v>
      </c>
      <c r="G1324" s="31" t="n">
        <v>52</v>
      </c>
      <c r="H1324" s="31" t="s">
        <v>3692</v>
      </c>
      <c r="I1324" s="44" t="s">
        <v>6135</v>
      </c>
      <c r="J1324" s="45" t="s">
        <v>6222</v>
      </c>
      <c r="K1324" s="45" t="s">
        <v>6224</v>
      </c>
      <c r="L1324" s="31" t="n">
        <f aca="false">COUNTIF($B$3:$B$2205,$B1324)</f>
        <v>2</v>
      </c>
      <c r="M1324" s="44" t="str">
        <f aca="false">IFERROR(INDEX(SENTENCES!$T$3:$T$1802,MATCH($F1324,SENTENCES!$A$3:$A$1802,0)),"")</f>
        <v>• Chưa tới</v>
      </c>
    </row>
    <row r="1325" customFormat="false" ht="15" hidden="false" customHeight="false" outlineLevel="0" collapsed="false">
      <c r="A1325" s="31" t="n">
        <v>1323</v>
      </c>
      <c r="B1325" s="43" t="s">
        <v>11135</v>
      </c>
      <c r="C1325" s="34" t="s">
        <v>12802</v>
      </c>
      <c r="D1325" s="44" t="s">
        <v>10686</v>
      </c>
      <c r="E1325" s="31"/>
      <c r="F1325" s="31" t="s">
        <v>6225</v>
      </c>
      <c r="G1325" s="31" t="n">
        <v>52</v>
      </c>
      <c r="H1325" s="31" t="s">
        <v>3692</v>
      </c>
      <c r="I1325" s="44" t="s">
        <v>6135</v>
      </c>
      <c r="J1325" s="45" t="s">
        <v>6227</v>
      </c>
      <c r="K1325" s="45" t="s">
        <v>6229</v>
      </c>
      <c r="L1325" s="31" t="n">
        <f aca="false">COUNTIF($B$3:$B$2205,$B1325)</f>
        <v>4</v>
      </c>
      <c r="M1325" s="44" t="str">
        <f aca="false">IFERROR(INDEX(SENTENCES!$T$3:$T$1802,MATCH($F1325,SENTENCES!$A$3:$A$1802,0)),"")</f>
        <v>• Chưa tới</v>
      </c>
    </row>
    <row r="1326" customFormat="false" ht="15" hidden="false" customHeight="false" outlineLevel="0" collapsed="false">
      <c r="A1326" s="31" t="n">
        <v>1324</v>
      </c>
      <c r="B1326" s="43" t="s">
        <v>12803</v>
      </c>
      <c r="C1326" s="34" t="s">
        <v>12804</v>
      </c>
      <c r="D1326" s="44" t="s">
        <v>10677</v>
      </c>
      <c r="E1326" s="31" t="s">
        <v>10707</v>
      </c>
      <c r="F1326" s="31" t="s">
        <v>6231</v>
      </c>
      <c r="G1326" s="31" t="n">
        <v>52</v>
      </c>
      <c r="H1326" s="31" t="s">
        <v>3692</v>
      </c>
      <c r="I1326" s="44" t="s">
        <v>6135</v>
      </c>
      <c r="J1326" s="45" t="s">
        <v>6233</v>
      </c>
      <c r="K1326" s="45" t="s">
        <v>6235</v>
      </c>
      <c r="L1326" s="31" t="n">
        <f aca="false">COUNTIF($B$3:$B$2205,$B1326)</f>
        <v>1</v>
      </c>
      <c r="M1326" s="44" t="str">
        <f aca="false">IFERROR(INDEX(SENTENCES!$T$3:$T$1802,MATCH($F1326,SENTENCES!$A$3:$A$1802,0)),"")</f>
        <v>• Chưa tới</v>
      </c>
    </row>
    <row r="1327" customFormat="false" ht="15" hidden="false" customHeight="false" outlineLevel="0" collapsed="false">
      <c r="A1327" s="31" t="n">
        <v>1325</v>
      </c>
      <c r="B1327" s="43" t="s">
        <v>12805</v>
      </c>
      <c r="C1327" s="34" t="s">
        <v>12806</v>
      </c>
      <c r="D1327" s="44" t="s">
        <v>10677</v>
      </c>
      <c r="E1327" s="31" t="s">
        <v>10678</v>
      </c>
      <c r="F1327" s="31" t="s">
        <v>6237</v>
      </c>
      <c r="G1327" s="31" t="n">
        <v>52</v>
      </c>
      <c r="H1327" s="31" t="s">
        <v>3692</v>
      </c>
      <c r="I1327" s="44" t="s">
        <v>6135</v>
      </c>
      <c r="J1327" s="45" t="s">
        <v>6239</v>
      </c>
      <c r="K1327" s="45" t="s">
        <v>6241</v>
      </c>
      <c r="L1327" s="31" t="n">
        <f aca="false">COUNTIF($B$3:$B$2205,$B1327)</f>
        <v>1</v>
      </c>
      <c r="M1327" s="44" t="str">
        <f aca="false">IFERROR(INDEX(SENTENCES!$T$3:$T$1802,MATCH($F1327,SENTENCES!$A$3:$A$1802,0)),"")</f>
        <v>• Chưa tới</v>
      </c>
    </row>
    <row r="1328" customFormat="false" ht="15" hidden="false" customHeight="false" outlineLevel="0" collapsed="false">
      <c r="A1328" s="31" t="n">
        <v>1326</v>
      </c>
      <c r="B1328" s="43" t="s">
        <v>12807</v>
      </c>
      <c r="C1328" s="34" t="s">
        <v>12808</v>
      </c>
      <c r="D1328" s="44" t="s">
        <v>10677</v>
      </c>
      <c r="E1328" s="31" t="s">
        <v>10707</v>
      </c>
      <c r="F1328" s="31" t="s">
        <v>6243</v>
      </c>
      <c r="G1328" s="31" t="n">
        <v>52</v>
      </c>
      <c r="H1328" s="31" t="s">
        <v>3692</v>
      </c>
      <c r="I1328" s="44" t="s">
        <v>6135</v>
      </c>
      <c r="J1328" s="45" t="s">
        <v>6245</v>
      </c>
      <c r="K1328" s="45" t="s">
        <v>6247</v>
      </c>
      <c r="L1328" s="31" t="n">
        <f aca="false">COUNTIF($B$3:$B$2205,$B1328)</f>
        <v>1</v>
      </c>
      <c r="M1328" s="44" t="str">
        <f aca="false">IFERROR(INDEX(SENTENCES!$T$3:$T$1802,MATCH($F1328,SENTENCES!$A$3:$A$1802,0)),"")</f>
        <v>• Chưa tới</v>
      </c>
    </row>
    <row r="1329" customFormat="false" ht="15" hidden="false" customHeight="false" outlineLevel="0" collapsed="false">
      <c r="A1329" s="31" t="n">
        <v>1327</v>
      </c>
      <c r="B1329" s="43" t="s">
        <v>12809</v>
      </c>
      <c r="C1329" s="34" t="s">
        <v>12810</v>
      </c>
      <c r="D1329" s="44" t="s">
        <v>10677</v>
      </c>
      <c r="E1329" s="31" t="s">
        <v>10747</v>
      </c>
      <c r="F1329" s="31" t="s">
        <v>6249</v>
      </c>
      <c r="G1329" s="31" t="n">
        <v>53</v>
      </c>
      <c r="H1329" s="31" t="s">
        <v>3692</v>
      </c>
      <c r="I1329" s="44" t="s">
        <v>6250</v>
      </c>
      <c r="J1329" s="45" t="s">
        <v>6252</v>
      </c>
      <c r="K1329" s="45" t="s">
        <v>6254</v>
      </c>
      <c r="L1329" s="31" t="n">
        <f aca="false">COUNTIF($B$3:$B$2205,$B1329)</f>
        <v>1</v>
      </c>
      <c r="M1329" s="44" t="str">
        <f aca="false">IFERROR(INDEX(SENTENCES!$T$3:$T$1802,MATCH($F1329,SENTENCES!$A$3:$A$1802,0)),"")</f>
        <v>• Chưa tới</v>
      </c>
    </row>
    <row r="1330" customFormat="false" ht="15" hidden="false" customHeight="false" outlineLevel="0" collapsed="false">
      <c r="A1330" s="31" t="n">
        <v>1328</v>
      </c>
      <c r="B1330" s="43" t="s">
        <v>12811</v>
      </c>
      <c r="C1330" s="34" t="s">
        <v>12812</v>
      </c>
      <c r="D1330" s="44" t="s">
        <v>10677</v>
      </c>
      <c r="E1330" s="31" t="s">
        <v>10707</v>
      </c>
      <c r="F1330" s="31" t="s">
        <v>6256</v>
      </c>
      <c r="G1330" s="31" t="n">
        <v>53</v>
      </c>
      <c r="H1330" s="31" t="s">
        <v>3692</v>
      </c>
      <c r="I1330" s="44" t="s">
        <v>6250</v>
      </c>
      <c r="J1330" s="45" t="s">
        <v>6258</v>
      </c>
      <c r="K1330" s="45" t="s">
        <v>6260</v>
      </c>
      <c r="L1330" s="31" t="n">
        <f aca="false">COUNTIF($B$3:$B$2205,$B1330)</f>
        <v>1</v>
      </c>
      <c r="M1330" s="44" t="str">
        <f aca="false">IFERROR(INDEX(SENTENCES!$T$3:$T$1802,MATCH($F1330,SENTENCES!$A$3:$A$1802,0)),"")</f>
        <v>• Chưa tới</v>
      </c>
    </row>
    <row r="1331" customFormat="false" ht="15" hidden="false" customHeight="false" outlineLevel="0" collapsed="false">
      <c r="A1331" s="31" t="n">
        <v>1329</v>
      </c>
      <c r="B1331" s="43" t="s">
        <v>12813</v>
      </c>
      <c r="C1331" s="34" t="s">
        <v>12814</v>
      </c>
      <c r="D1331" s="44" t="s">
        <v>10686</v>
      </c>
      <c r="E1331" s="31"/>
      <c r="F1331" s="31" t="s">
        <v>6262</v>
      </c>
      <c r="G1331" s="31" t="n">
        <v>53</v>
      </c>
      <c r="H1331" s="31" t="s">
        <v>3692</v>
      </c>
      <c r="I1331" s="44" t="s">
        <v>6250</v>
      </c>
      <c r="J1331" s="45" t="s">
        <v>6264</v>
      </c>
      <c r="K1331" s="45" t="s">
        <v>6266</v>
      </c>
      <c r="L1331" s="31" t="n">
        <f aca="false">COUNTIF($B$3:$B$2205,$B1331)</f>
        <v>1</v>
      </c>
      <c r="M1331" s="44" t="str">
        <f aca="false">IFERROR(INDEX(SENTENCES!$T$3:$T$1802,MATCH($F1331,SENTENCES!$A$3:$A$1802,0)),"")</f>
        <v>• Chưa tới</v>
      </c>
    </row>
    <row r="1332" customFormat="false" ht="15" hidden="false" customHeight="false" outlineLevel="0" collapsed="false">
      <c r="A1332" s="31" t="n">
        <v>1330</v>
      </c>
      <c r="B1332" s="43" t="s">
        <v>12815</v>
      </c>
      <c r="C1332" s="34" t="s">
        <v>12816</v>
      </c>
      <c r="D1332" s="44" t="s">
        <v>10677</v>
      </c>
      <c r="E1332" s="31" t="s">
        <v>10707</v>
      </c>
      <c r="F1332" s="31" t="s">
        <v>6267</v>
      </c>
      <c r="G1332" s="31" t="n">
        <v>53</v>
      </c>
      <c r="H1332" s="31" t="s">
        <v>3692</v>
      </c>
      <c r="I1332" s="44" t="s">
        <v>6250</v>
      </c>
      <c r="J1332" s="45" t="s">
        <v>6269</v>
      </c>
      <c r="K1332" s="45" t="s">
        <v>6271</v>
      </c>
      <c r="L1332" s="31" t="n">
        <f aca="false">COUNTIF($B$3:$B$2205,$B1332)</f>
        <v>1</v>
      </c>
      <c r="M1332" s="44" t="str">
        <f aca="false">IFERROR(INDEX(SENTENCES!$T$3:$T$1802,MATCH($F1332,SENTENCES!$A$3:$A$1802,0)),"")</f>
        <v>• Chưa tới</v>
      </c>
    </row>
    <row r="1333" customFormat="false" ht="15" hidden="false" customHeight="false" outlineLevel="0" collapsed="false">
      <c r="A1333" s="31" t="n">
        <v>1331</v>
      </c>
      <c r="B1333" s="43" t="s">
        <v>12500</v>
      </c>
      <c r="C1333" s="34" t="s">
        <v>12501</v>
      </c>
      <c r="D1333" s="44" t="s">
        <v>10677</v>
      </c>
      <c r="E1333" s="31" t="s">
        <v>10707</v>
      </c>
      <c r="F1333" s="31" t="s">
        <v>6273</v>
      </c>
      <c r="G1333" s="31" t="n">
        <v>53</v>
      </c>
      <c r="H1333" s="31" t="s">
        <v>3692</v>
      </c>
      <c r="I1333" s="44" t="s">
        <v>6250</v>
      </c>
      <c r="J1333" s="45" t="s">
        <v>6275</v>
      </c>
      <c r="K1333" s="45" t="s">
        <v>6277</v>
      </c>
      <c r="L1333" s="31" t="n">
        <f aca="false">COUNTIF($B$3:$B$2205,$B1333)</f>
        <v>2</v>
      </c>
      <c r="M1333" s="44" t="str">
        <f aca="false">IFERROR(INDEX(SENTENCES!$T$3:$T$1802,MATCH($F1333,SENTENCES!$A$3:$A$1802,0)),"")</f>
        <v>• Chưa tới</v>
      </c>
    </row>
    <row r="1334" customFormat="false" ht="15" hidden="false" customHeight="false" outlineLevel="0" collapsed="false">
      <c r="A1334" s="31" t="n">
        <v>1332</v>
      </c>
      <c r="B1334" s="43" t="s">
        <v>12817</v>
      </c>
      <c r="C1334" s="34" t="s">
        <v>12818</v>
      </c>
      <c r="D1334" s="44" t="s">
        <v>10681</v>
      </c>
      <c r="E1334" s="31"/>
      <c r="F1334" s="31" t="s">
        <v>6278</v>
      </c>
      <c r="G1334" s="31" t="n">
        <v>53</v>
      </c>
      <c r="H1334" s="31" t="s">
        <v>3692</v>
      </c>
      <c r="I1334" s="44" t="s">
        <v>6250</v>
      </c>
      <c r="J1334" s="45" t="s">
        <v>6280</v>
      </c>
      <c r="K1334" s="45" t="s">
        <v>6282</v>
      </c>
      <c r="L1334" s="31" t="n">
        <f aca="false">COUNTIF($B$3:$B$2205,$B1334)</f>
        <v>1</v>
      </c>
      <c r="M1334" s="44" t="str">
        <f aca="false">IFERROR(INDEX(SENTENCES!$T$3:$T$1802,MATCH($F1334,SENTENCES!$A$3:$A$1802,0)),"")</f>
        <v>• Chưa tới</v>
      </c>
    </row>
    <row r="1335" customFormat="false" ht="15" hidden="false" customHeight="false" outlineLevel="0" collapsed="false">
      <c r="A1335" s="31" t="n">
        <v>1333</v>
      </c>
      <c r="B1335" s="43" t="s">
        <v>12441</v>
      </c>
      <c r="C1335" s="34" t="s">
        <v>12442</v>
      </c>
      <c r="D1335" s="44" t="s">
        <v>10677</v>
      </c>
      <c r="E1335" s="31" t="s">
        <v>10678</v>
      </c>
      <c r="F1335" s="31" t="s">
        <v>6284</v>
      </c>
      <c r="G1335" s="31" t="n">
        <v>53</v>
      </c>
      <c r="H1335" s="31" t="s">
        <v>3692</v>
      </c>
      <c r="I1335" s="44" t="s">
        <v>6250</v>
      </c>
      <c r="J1335" s="45" t="s">
        <v>6286</v>
      </c>
      <c r="K1335" s="45" t="s">
        <v>6288</v>
      </c>
      <c r="L1335" s="31" t="n">
        <f aca="false">COUNTIF($B$3:$B$2205,$B1335)</f>
        <v>2</v>
      </c>
      <c r="M1335" s="44" t="str">
        <f aca="false">IFERROR(INDEX(SENTENCES!$T$3:$T$1802,MATCH($F1335,SENTENCES!$A$3:$A$1802,0)),"")</f>
        <v>• Chưa tới</v>
      </c>
    </row>
    <row r="1336" customFormat="false" ht="15" hidden="false" customHeight="false" outlineLevel="0" collapsed="false">
      <c r="A1336" s="31" t="n">
        <v>1334</v>
      </c>
      <c r="B1336" s="43" t="s">
        <v>12171</v>
      </c>
      <c r="C1336" s="34" t="s">
        <v>12172</v>
      </c>
      <c r="D1336" s="44" t="s">
        <v>10686</v>
      </c>
      <c r="E1336" s="31"/>
      <c r="F1336" s="31" t="s">
        <v>6284</v>
      </c>
      <c r="G1336" s="31" t="n">
        <v>53</v>
      </c>
      <c r="H1336" s="31" t="s">
        <v>3692</v>
      </c>
      <c r="I1336" s="44" t="s">
        <v>6250</v>
      </c>
      <c r="J1336" s="45" t="s">
        <v>6286</v>
      </c>
      <c r="K1336" s="45" t="s">
        <v>6288</v>
      </c>
      <c r="L1336" s="31" t="n">
        <f aca="false">COUNTIF($B$3:$B$2205,$B1336)</f>
        <v>3</v>
      </c>
      <c r="M1336" s="44" t="str">
        <f aca="false">IFERROR(INDEX(SENTENCES!$T$3:$T$1802,MATCH($F1336,SENTENCES!$A$3:$A$1802,0)),"")</f>
        <v>• Chưa tới</v>
      </c>
    </row>
    <row r="1337" customFormat="false" ht="15" hidden="false" customHeight="false" outlineLevel="0" collapsed="false">
      <c r="A1337" s="31" t="n">
        <v>1335</v>
      </c>
      <c r="B1337" s="43" t="s">
        <v>12819</v>
      </c>
      <c r="C1337" s="34" t="s">
        <v>12820</v>
      </c>
      <c r="D1337" s="44" t="s">
        <v>10677</v>
      </c>
      <c r="E1337" s="31" t="s">
        <v>10747</v>
      </c>
      <c r="F1337" s="31" t="s">
        <v>6290</v>
      </c>
      <c r="G1337" s="31" t="n">
        <v>53</v>
      </c>
      <c r="H1337" s="31" t="s">
        <v>3692</v>
      </c>
      <c r="I1337" s="44" t="s">
        <v>6250</v>
      </c>
      <c r="J1337" s="45" t="s">
        <v>6291</v>
      </c>
      <c r="K1337" s="45" t="s">
        <v>6293</v>
      </c>
      <c r="L1337" s="31" t="n">
        <f aca="false">COUNTIF($B$3:$B$2205,$B1337)</f>
        <v>1</v>
      </c>
      <c r="M1337" s="44" t="str">
        <f aca="false">IFERROR(INDEX(SENTENCES!$T$3:$T$1802,MATCH($F1337,SENTENCES!$A$3:$A$1802,0)),"")</f>
        <v>• Chưa tới</v>
      </c>
    </row>
    <row r="1338" customFormat="false" ht="15" hidden="false" customHeight="false" outlineLevel="0" collapsed="false">
      <c r="A1338" s="31" t="n">
        <v>1336</v>
      </c>
      <c r="B1338" s="43" t="s">
        <v>12821</v>
      </c>
      <c r="C1338" s="34" t="s">
        <v>12822</v>
      </c>
      <c r="D1338" s="44" t="s">
        <v>10677</v>
      </c>
      <c r="E1338" s="31" t="s">
        <v>10707</v>
      </c>
      <c r="F1338" s="31" t="s">
        <v>6295</v>
      </c>
      <c r="G1338" s="31" t="n">
        <v>53</v>
      </c>
      <c r="H1338" s="31" t="s">
        <v>3692</v>
      </c>
      <c r="I1338" s="44" t="s">
        <v>6250</v>
      </c>
      <c r="J1338" s="45" t="s">
        <v>6297</v>
      </c>
      <c r="K1338" s="45" t="s">
        <v>6299</v>
      </c>
      <c r="L1338" s="31" t="n">
        <f aca="false">COUNTIF($B$3:$B$2205,$B1338)</f>
        <v>1</v>
      </c>
      <c r="M1338" s="44" t="str">
        <f aca="false">IFERROR(INDEX(SENTENCES!$T$3:$T$1802,MATCH($F1338,SENTENCES!$A$3:$A$1802,0)),"")</f>
        <v>• Chưa tới</v>
      </c>
    </row>
    <row r="1339" customFormat="false" ht="15" hidden="false" customHeight="false" outlineLevel="0" collapsed="false">
      <c r="A1339" s="31" t="n">
        <v>1337</v>
      </c>
      <c r="B1339" s="43" t="s">
        <v>12823</v>
      </c>
      <c r="C1339" s="34" t="s">
        <v>12824</v>
      </c>
      <c r="D1339" s="44" t="s">
        <v>10681</v>
      </c>
      <c r="E1339" s="31"/>
      <c r="F1339" s="31" t="s">
        <v>6301</v>
      </c>
      <c r="G1339" s="31" t="n">
        <v>53</v>
      </c>
      <c r="H1339" s="31" t="s">
        <v>3692</v>
      </c>
      <c r="I1339" s="44" t="s">
        <v>6250</v>
      </c>
      <c r="J1339" s="45" t="s">
        <v>6302</v>
      </c>
      <c r="K1339" s="45" t="s">
        <v>6304</v>
      </c>
      <c r="L1339" s="31" t="n">
        <f aca="false">COUNTIF($B$3:$B$2205,$B1339)</f>
        <v>1</v>
      </c>
      <c r="M1339" s="44" t="str">
        <f aca="false">IFERROR(INDEX(SENTENCES!$T$3:$T$1802,MATCH($F1339,SENTENCES!$A$3:$A$1802,0)),"")</f>
        <v>• Chưa tới</v>
      </c>
    </row>
    <row r="1340" customFormat="false" ht="15" hidden="false" customHeight="false" outlineLevel="0" collapsed="false">
      <c r="A1340" s="31" t="n">
        <v>1338</v>
      </c>
      <c r="B1340" s="43" t="s">
        <v>12825</v>
      </c>
      <c r="C1340" s="34" t="s">
        <v>12826</v>
      </c>
      <c r="D1340" s="44" t="s">
        <v>10677</v>
      </c>
      <c r="E1340" s="31" t="s">
        <v>10707</v>
      </c>
      <c r="F1340" s="31" t="s">
        <v>6301</v>
      </c>
      <c r="G1340" s="31" t="n">
        <v>53</v>
      </c>
      <c r="H1340" s="31" t="s">
        <v>3692</v>
      </c>
      <c r="I1340" s="44" t="s">
        <v>6250</v>
      </c>
      <c r="J1340" s="45" t="s">
        <v>6302</v>
      </c>
      <c r="K1340" s="45" t="s">
        <v>6304</v>
      </c>
      <c r="L1340" s="31" t="n">
        <f aca="false">COUNTIF($B$3:$B$2205,$B1340)</f>
        <v>1</v>
      </c>
      <c r="M1340" s="44" t="str">
        <f aca="false">IFERROR(INDEX(SENTENCES!$T$3:$T$1802,MATCH($F1340,SENTENCES!$A$3:$A$1802,0)),"")</f>
        <v>• Chưa tới</v>
      </c>
    </row>
    <row r="1341" customFormat="false" ht="15" hidden="false" customHeight="false" outlineLevel="0" collapsed="false">
      <c r="A1341" s="31" t="n">
        <v>1339</v>
      </c>
      <c r="B1341" s="43" t="s">
        <v>12827</v>
      </c>
      <c r="C1341" s="34" t="s">
        <v>12828</v>
      </c>
      <c r="D1341" s="44" t="s">
        <v>10677</v>
      </c>
      <c r="E1341" s="31" t="s">
        <v>10678</v>
      </c>
      <c r="F1341" s="31" t="s">
        <v>6306</v>
      </c>
      <c r="G1341" s="31" t="n">
        <v>53</v>
      </c>
      <c r="H1341" s="31" t="s">
        <v>3692</v>
      </c>
      <c r="I1341" s="44" t="s">
        <v>6250</v>
      </c>
      <c r="J1341" s="45" t="s">
        <v>6308</v>
      </c>
      <c r="K1341" s="45" t="s">
        <v>6310</v>
      </c>
      <c r="L1341" s="31" t="n">
        <f aca="false">COUNTIF($B$3:$B$2205,$B1341)</f>
        <v>1</v>
      </c>
      <c r="M1341" s="44" t="str">
        <f aca="false">IFERROR(INDEX(SENTENCES!$T$3:$T$1802,MATCH($F1341,SENTENCES!$A$3:$A$1802,0)),"")</f>
        <v>• Chưa tới</v>
      </c>
    </row>
    <row r="1342" customFormat="false" ht="15" hidden="false" customHeight="false" outlineLevel="0" collapsed="false">
      <c r="A1342" s="31" t="n">
        <v>1340</v>
      </c>
      <c r="B1342" s="43" t="s">
        <v>12829</v>
      </c>
      <c r="C1342" s="34" t="s">
        <v>11441</v>
      </c>
      <c r="D1342" s="44" t="s">
        <v>10681</v>
      </c>
      <c r="E1342" s="31"/>
      <c r="F1342" s="31" t="s">
        <v>6306</v>
      </c>
      <c r="G1342" s="31" t="n">
        <v>53</v>
      </c>
      <c r="H1342" s="31" t="s">
        <v>3692</v>
      </c>
      <c r="I1342" s="44" t="s">
        <v>6250</v>
      </c>
      <c r="J1342" s="45" t="s">
        <v>6308</v>
      </c>
      <c r="K1342" s="45" t="s">
        <v>6310</v>
      </c>
      <c r="L1342" s="31" t="n">
        <f aca="false">COUNTIF($B$3:$B$2205,$B1342)</f>
        <v>1</v>
      </c>
      <c r="M1342" s="44" t="str">
        <f aca="false">IFERROR(INDEX(SENTENCES!$T$3:$T$1802,MATCH($F1342,SENTENCES!$A$3:$A$1802,0)),"")</f>
        <v>• Chưa tới</v>
      </c>
    </row>
    <row r="1343" customFormat="false" ht="15" hidden="false" customHeight="false" outlineLevel="0" collapsed="false">
      <c r="A1343" s="31" t="n">
        <v>1341</v>
      </c>
      <c r="B1343" s="43" t="s">
        <v>12830</v>
      </c>
      <c r="C1343" s="34" t="s">
        <v>12831</v>
      </c>
      <c r="D1343" s="44" t="s">
        <v>10677</v>
      </c>
      <c r="E1343" s="31" t="s">
        <v>10678</v>
      </c>
      <c r="F1343" s="31" t="s">
        <v>6312</v>
      </c>
      <c r="G1343" s="31" t="n">
        <v>53</v>
      </c>
      <c r="H1343" s="31" t="s">
        <v>3692</v>
      </c>
      <c r="I1343" s="44" t="s">
        <v>6250</v>
      </c>
      <c r="J1343" s="45" t="s">
        <v>6314</v>
      </c>
      <c r="K1343" s="45" t="s">
        <v>6316</v>
      </c>
      <c r="L1343" s="31" t="n">
        <f aca="false">COUNTIF($B$3:$B$2205,$B1343)</f>
        <v>1</v>
      </c>
      <c r="M1343" s="44" t="str">
        <f aca="false">IFERROR(INDEX(SENTENCES!$T$3:$T$1802,MATCH($F1343,SENTENCES!$A$3:$A$1802,0)),"")</f>
        <v>• Chưa tới</v>
      </c>
    </row>
    <row r="1344" customFormat="false" ht="15" hidden="false" customHeight="false" outlineLevel="0" collapsed="false">
      <c r="A1344" s="31" t="n">
        <v>1342</v>
      </c>
      <c r="B1344" s="43" t="s">
        <v>12832</v>
      </c>
      <c r="C1344" s="34" t="s">
        <v>12833</v>
      </c>
      <c r="D1344" s="44" t="s">
        <v>10686</v>
      </c>
      <c r="E1344" s="31"/>
      <c r="F1344" s="31" t="s">
        <v>6312</v>
      </c>
      <c r="G1344" s="31" t="n">
        <v>53</v>
      </c>
      <c r="H1344" s="31" t="s">
        <v>3692</v>
      </c>
      <c r="I1344" s="44" t="s">
        <v>6250</v>
      </c>
      <c r="J1344" s="45" t="s">
        <v>6314</v>
      </c>
      <c r="K1344" s="45" t="s">
        <v>6316</v>
      </c>
      <c r="L1344" s="31" t="n">
        <f aca="false">COUNTIF($B$3:$B$2205,$B1344)</f>
        <v>1</v>
      </c>
      <c r="M1344" s="44" t="str">
        <f aca="false">IFERROR(INDEX(SENTENCES!$T$3:$T$1802,MATCH($F1344,SENTENCES!$A$3:$A$1802,0)),"")</f>
        <v>• Chưa tới</v>
      </c>
    </row>
    <row r="1345" customFormat="false" ht="15" hidden="false" customHeight="false" outlineLevel="0" collapsed="false">
      <c r="A1345" s="31" t="n">
        <v>1343</v>
      </c>
      <c r="B1345" s="43" t="s">
        <v>12834</v>
      </c>
      <c r="C1345" s="34" t="s">
        <v>12835</v>
      </c>
      <c r="D1345" s="44" t="s">
        <v>10677</v>
      </c>
      <c r="E1345" s="31" t="s">
        <v>10707</v>
      </c>
      <c r="F1345" s="31" t="s">
        <v>6318</v>
      </c>
      <c r="G1345" s="31" t="n">
        <v>53</v>
      </c>
      <c r="H1345" s="31" t="s">
        <v>3692</v>
      </c>
      <c r="I1345" s="44" t="s">
        <v>6250</v>
      </c>
      <c r="J1345" s="45" t="s">
        <v>6319</v>
      </c>
      <c r="K1345" s="45" t="s">
        <v>6321</v>
      </c>
      <c r="L1345" s="31" t="n">
        <f aca="false">COUNTIF($B$3:$B$2205,$B1345)</f>
        <v>1</v>
      </c>
      <c r="M1345" s="44" t="str">
        <f aca="false">IFERROR(INDEX(SENTENCES!$T$3:$T$1802,MATCH($F1345,SENTENCES!$A$3:$A$1802,0)),"")</f>
        <v>• Chưa tới</v>
      </c>
    </row>
    <row r="1346" customFormat="false" ht="15" hidden="false" customHeight="false" outlineLevel="0" collapsed="false">
      <c r="A1346" s="31" t="n">
        <v>1344</v>
      </c>
      <c r="B1346" s="43" t="s">
        <v>12836</v>
      </c>
      <c r="C1346" s="34" t="s">
        <v>12837</v>
      </c>
      <c r="D1346" s="44" t="s">
        <v>10677</v>
      </c>
      <c r="E1346" s="31" t="s">
        <v>10678</v>
      </c>
      <c r="F1346" s="31" t="s">
        <v>6323</v>
      </c>
      <c r="G1346" s="31" t="n">
        <v>53</v>
      </c>
      <c r="H1346" s="31" t="s">
        <v>3692</v>
      </c>
      <c r="I1346" s="44" t="s">
        <v>6250</v>
      </c>
      <c r="J1346" s="45" t="s">
        <v>6325</v>
      </c>
      <c r="K1346" s="45" t="s">
        <v>6327</v>
      </c>
      <c r="L1346" s="31" t="n">
        <f aca="false">COUNTIF($B$3:$B$2205,$B1346)</f>
        <v>1</v>
      </c>
      <c r="M1346" s="44" t="str">
        <f aca="false">IFERROR(INDEX(SENTENCES!$T$3:$T$1802,MATCH($F1346,SENTENCES!$A$3:$A$1802,0)),"")</f>
        <v>• Chưa tới</v>
      </c>
    </row>
    <row r="1347" customFormat="false" ht="15" hidden="false" customHeight="false" outlineLevel="0" collapsed="false">
      <c r="A1347" s="31" t="n">
        <v>1345</v>
      </c>
      <c r="B1347" s="43" t="s">
        <v>12838</v>
      </c>
      <c r="C1347" s="34" t="s">
        <v>12839</v>
      </c>
      <c r="D1347" s="44" t="s">
        <v>10681</v>
      </c>
      <c r="E1347" s="31"/>
      <c r="F1347" s="31" t="s">
        <v>6323</v>
      </c>
      <c r="G1347" s="31" t="n">
        <v>53</v>
      </c>
      <c r="H1347" s="31" t="s">
        <v>3692</v>
      </c>
      <c r="I1347" s="44" t="s">
        <v>6250</v>
      </c>
      <c r="J1347" s="45" t="s">
        <v>6325</v>
      </c>
      <c r="K1347" s="45" t="s">
        <v>6327</v>
      </c>
      <c r="L1347" s="31" t="n">
        <f aca="false">COUNTIF($B$3:$B$2205,$B1347)</f>
        <v>1</v>
      </c>
      <c r="M1347" s="44" t="str">
        <f aca="false">IFERROR(INDEX(SENTENCES!$T$3:$T$1802,MATCH($F1347,SENTENCES!$A$3:$A$1802,0)),"")</f>
        <v>• Chưa tới</v>
      </c>
    </row>
    <row r="1348" customFormat="false" ht="15" hidden="false" customHeight="false" outlineLevel="0" collapsed="false">
      <c r="A1348" s="31" t="n">
        <v>1346</v>
      </c>
      <c r="B1348" s="43" t="s">
        <v>12778</v>
      </c>
      <c r="C1348" s="34" t="s">
        <v>12840</v>
      </c>
      <c r="D1348" s="44" t="s">
        <v>10677</v>
      </c>
      <c r="E1348" s="31" t="s">
        <v>10707</v>
      </c>
      <c r="F1348" s="31" t="s">
        <v>6329</v>
      </c>
      <c r="G1348" s="31" t="n">
        <v>53</v>
      </c>
      <c r="H1348" s="31" t="s">
        <v>3692</v>
      </c>
      <c r="I1348" s="44" t="s">
        <v>6250</v>
      </c>
      <c r="J1348" s="45" t="s">
        <v>6331</v>
      </c>
      <c r="K1348" s="45" t="s">
        <v>6333</v>
      </c>
      <c r="L1348" s="31" t="n">
        <f aca="false">COUNTIF($B$3:$B$2205,$B1348)</f>
        <v>2</v>
      </c>
      <c r="M1348" s="44" t="str">
        <f aca="false">IFERROR(INDEX(SENTENCES!$T$3:$T$1802,MATCH($F1348,SENTENCES!$A$3:$A$1802,0)),"")</f>
        <v>• Chưa tới</v>
      </c>
    </row>
    <row r="1349" customFormat="false" ht="15" hidden="false" customHeight="false" outlineLevel="0" collapsed="false">
      <c r="A1349" s="31" t="n">
        <v>1347</v>
      </c>
      <c r="B1349" s="43" t="s">
        <v>12841</v>
      </c>
      <c r="C1349" s="34" t="s">
        <v>12842</v>
      </c>
      <c r="D1349" s="44" t="s">
        <v>10686</v>
      </c>
      <c r="E1349" s="31"/>
      <c r="F1349" s="31" t="s">
        <v>6335</v>
      </c>
      <c r="G1349" s="31" t="n">
        <v>53</v>
      </c>
      <c r="H1349" s="31" t="s">
        <v>3692</v>
      </c>
      <c r="I1349" s="44" t="s">
        <v>6250</v>
      </c>
      <c r="J1349" s="45" t="s">
        <v>6337</v>
      </c>
      <c r="K1349" s="45" t="s">
        <v>6339</v>
      </c>
      <c r="L1349" s="31" t="n">
        <f aca="false">COUNTIF($B$3:$B$2205,$B1349)</f>
        <v>1</v>
      </c>
      <c r="M1349" s="44" t="str">
        <f aca="false">IFERROR(INDEX(SENTENCES!$T$3:$T$1802,MATCH($F1349,SENTENCES!$A$3:$A$1802,0)),"")</f>
        <v>• Chưa tới</v>
      </c>
    </row>
    <row r="1350" customFormat="false" ht="15" hidden="false" customHeight="false" outlineLevel="0" collapsed="false">
      <c r="A1350" s="31" t="n">
        <v>1348</v>
      </c>
      <c r="B1350" s="43" t="s">
        <v>12843</v>
      </c>
      <c r="C1350" s="34" t="s">
        <v>12844</v>
      </c>
      <c r="D1350" s="44" t="s">
        <v>10677</v>
      </c>
      <c r="E1350" s="31" t="s">
        <v>10678</v>
      </c>
      <c r="F1350" s="31" t="s">
        <v>6341</v>
      </c>
      <c r="G1350" s="31" t="n">
        <v>53</v>
      </c>
      <c r="H1350" s="31" t="s">
        <v>3692</v>
      </c>
      <c r="I1350" s="44" t="s">
        <v>6250</v>
      </c>
      <c r="J1350" s="45" t="s">
        <v>6343</v>
      </c>
      <c r="K1350" s="45" t="s">
        <v>6345</v>
      </c>
      <c r="L1350" s="31" t="n">
        <f aca="false">COUNTIF($B$3:$B$2205,$B1350)</f>
        <v>1</v>
      </c>
      <c r="M1350" s="44" t="str">
        <f aca="false">IFERROR(INDEX(SENTENCES!$T$3:$T$1802,MATCH($F1350,SENTENCES!$A$3:$A$1802,0)),"")</f>
        <v>• Chưa tới</v>
      </c>
    </row>
    <row r="1351" customFormat="false" ht="15" hidden="false" customHeight="false" outlineLevel="0" collapsed="false">
      <c r="A1351" s="31" t="n">
        <v>1349</v>
      </c>
      <c r="B1351" s="43" t="s">
        <v>12845</v>
      </c>
      <c r="C1351" s="34" t="s">
        <v>12846</v>
      </c>
      <c r="D1351" s="44" t="s">
        <v>10677</v>
      </c>
      <c r="E1351" s="31" t="s">
        <v>10678</v>
      </c>
      <c r="F1351" s="31" t="s">
        <v>6347</v>
      </c>
      <c r="G1351" s="31" t="n">
        <v>53</v>
      </c>
      <c r="H1351" s="31" t="s">
        <v>3692</v>
      </c>
      <c r="I1351" s="44" t="s">
        <v>6250</v>
      </c>
      <c r="J1351" s="45" t="s">
        <v>6349</v>
      </c>
      <c r="K1351" s="45" t="s">
        <v>6351</v>
      </c>
      <c r="L1351" s="31" t="n">
        <f aca="false">COUNTIF($B$3:$B$2205,$B1351)</f>
        <v>2</v>
      </c>
      <c r="M1351" s="44" t="str">
        <f aca="false">IFERROR(INDEX(SENTENCES!$T$3:$T$1802,MATCH($F1351,SENTENCES!$A$3:$A$1802,0)),"")</f>
        <v>• Chưa tới</v>
      </c>
    </row>
    <row r="1352" customFormat="false" ht="15" hidden="false" customHeight="false" outlineLevel="0" collapsed="false">
      <c r="A1352" s="31" t="n">
        <v>1350</v>
      </c>
      <c r="B1352" s="43" t="s">
        <v>12847</v>
      </c>
      <c r="C1352" s="34" t="s">
        <v>12848</v>
      </c>
      <c r="D1352" s="44" t="s">
        <v>10677</v>
      </c>
      <c r="E1352" s="31" t="s">
        <v>10707</v>
      </c>
      <c r="F1352" s="31" t="s">
        <v>6353</v>
      </c>
      <c r="G1352" s="31" t="n">
        <v>53</v>
      </c>
      <c r="H1352" s="31" t="s">
        <v>3692</v>
      </c>
      <c r="I1352" s="44" t="s">
        <v>6250</v>
      </c>
      <c r="J1352" s="45" t="s">
        <v>6355</v>
      </c>
      <c r="K1352" s="45" t="s">
        <v>6357</v>
      </c>
      <c r="L1352" s="31" t="n">
        <f aca="false">COUNTIF($B$3:$B$2205,$B1352)</f>
        <v>1</v>
      </c>
      <c r="M1352" s="44" t="str">
        <f aca="false">IFERROR(INDEX(SENTENCES!$T$3:$T$1802,MATCH($F1352,SENTENCES!$A$3:$A$1802,0)),"")</f>
        <v>• Chưa tới</v>
      </c>
    </row>
    <row r="1353" customFormat="false" ht="15" hidden="false" customHeight="false" outlineLevel="0" collapsed="false">
      <c r="A1353" s="31" t="n">
        <v>1351</v>
      </c>
      <c r="B1353" s="43" t="s">
        <v>12849</v>
      </c>
      <c r="C1353" s="34" t="s">
        <v>12850</v>
      </c>
      <c r="D1353" s="44" t="s">
        <v>10677</v>
      </c>
      <c r="E1353" s="31" t="s">
        <v>10707</v>
      </c>
      <c r="F1353" s="31" t="s">
        <v>6359</v>
      </c>
      <c r="G1353" s="31" t="n">
        <v>53</v>
      </c>
      <c r="H1353" s="31" t="s">
        <v>3692</v>
      </c>
      <c r="I1353" s="44" t="s">
        <v>6250</v>
      </c>
      <c r="J1353" s="45" t="s">
        <v>6360</v>
      </c>
      <c r="K1353" s="45" t="s">
        <v>6362</v>
      </c>
      <c r="L1353" s="31" t="n">
        <f aca="false">COUNTIF($B$3:$B$2205,$B1353)</f>
        <v>1</v>
      </c>
      <c r="M1353" s="44" t="str">
        <f aca="false">IFERROR(INDEX(SENTENCES!$T$3:$T$1802,MATCH($F1353,SENTENCES!$A$3:$A$1802,0)),"")</f>
        <v>• Chưa tới</v>
      </c>
    </row>
    <row r="1354" customFormat="false" ht="15" hidden="false" customHeight="false" outlineLevel="0" collapsed="false">
      <c r="A1354" s="31" t="n">
        <v>1352</v>
      </c>
      <c r="B1354" s="43" t="s">
        <v>12851</v>
      </c>
      <c r="C1354" s="34" t="s">
        <v>12852</v>
      </c>
      <c r="D1354" s="44" t="s">
        <v>10677</v>
      </c>
      <c r="E1354" s="31" t="s">
        <v>10747</v>
      </c>
      <c r="F1354" s="31" t="s">
        <v>6359</v>
      </c>
      <c r="G1354" s="31" t="n">
        <v>53</v>
      </c>
      <c r="H1354" s="31" t="s">
        <v>3692</v>
      </c>
      <c r="I1354" s="44" t="s">
        <v>6250</v>
      </c>
      <c r="J1354" s="45" t="s">
        <v>6360</v>
      </c>
      <c r="K1354" s="45" t="s">
        <v>6362</v>
      </c>
      <c r="L1354" s="31" t="n">
        <f aca="false">COUNTIF($B$3:$B$2205,$B1354)</f>
        <v>1</v>
      </c>
      <c r="M1354" s="44" t="str">
        <f aca="false">IFERROR(INDEX(SENTENCES!$T$3:$T$1802,MATCH($F1354,SENTENCES!$A$3:$A$1802,0)),"")</f>
        <v>• Chưa tới</v>
      </c>
    </row>
    <row r="1355" customFormat="false" ht="15" hidden="false" customHeight="false" outlineLevel="0" collapsed="false">
      <c r="A1355" s="31" t="n">
        <v>1353</v>
      </c>
      <c r="B1355" s="43" t="s">
        <v>10791</v>
      </c>
      <c r="C1355" s="34" t="s">
        <v>10792</v>
      </c>
      <c r="D1355" s="44" t="s">
        <v>10686</v>
      </c>
      <c r="E1355" s="31"/>
      <c r="F1355" s="31" t="s">
        <v>6364</v>
      </c>
      <c r="G1355" s="31" t="n">
        <v>54</v>
      </c>
      <c r="H1355" s="31" t="s">
        <v>3692</v>
      </c>
      <c r="I1355" s="44" t="s">
        <v>6365</v>
      </c>
      <c r="J1355" s="45" t="s">
        <v>6367</v>
      </c>
      <c r="K1355" s="45" t="s">
        <v>6369</v>
      </c>
      <c r="L1355" s="31" t="n">
        <f aca="false">COUNTIF($B$3:$B$2205,$B1355)</f>
        <v>3</v>
      </c>
      <c r="M1355" s="44" t="str">
        <f aca="false">IFERROR(INDEX(SENTENCES!$T$3:$T$1802,MATCH($F1355,SENTENCES!$A$3:$A$1802,0)),"")</f>
        <v>• Chưa tới</v>
      </c>
    </row>
    <row r="1356" customFormat="false" ht="15" hidden="false" customHeight="false" outlineLevel="0" collapsed="false">
      <c r="A1356" s="31" t="n">
        <v>1354</v>
      </c>
      <c r="B1356" s="43" t="s">
        <v>12853</v>
      </c>
      <c r="C1356" s="34" t="s">
        <v>12854</v>
      </c>
      <c r="D1356" s="44" t="s">
        <v>10677</v>
      </c>
      <c r="E1356" s="31" t="s">
        <v>10678</v>
      </c>
      <c r="F1356" s="31" t="s">
        <v>6370</v>
      </c>
      <c r="G1356" s="31" t="n">
        <v>54</v>
      </c>
      <c r="H1356" s="31" t="s">
        <v>3692</v>
      </c>
      <c r="I1356" s="44" t="s">
        <v>6365</v>
      </c>
      <c r="J1356" s="45" t="s">
        <v>6372</v>
      </c>
      <c r="K1356" s="45" t="s">
        <v>6374</v>
      </c>
      <c r="L1356" s="31" t="n">
        <f aca="false">COUNTIF($B$3:$B$2205,$B1356)</f>
        <v>1</v>
      </c>
      <c r="M1356" s="44" t="str">
        <f aca="false">IFERROR(INDEX(SENTENCES!$T$3:$T$1802,MATCH($F1356,SENTENCES!$A$3:$A$1802,0)),"")</f>
        <v>• Chưa tới</v>
      </c>
    </row>
    <row r="1357" customFormat="false" ht="15" hidden="false" customHeight="false" outlineLevel="0" collapsed="false">
      <c r="A1357" s="31" t="n">
        <v>1355</v>
      </c>
      <c r="B1357" s="43" t="s">
        <v>12855</v>
      </c>
      <c r="C1357" s="34" t="s">
        <v>12856</v>
      </c>
      <c r="D1357" s="44" t="s">
        <v>10686</v>
      </c>
      <c r="E1357" s="31"/>
      <c r="F1357" s="31" t="s">
        <v>6376</v>
      </c>
      <c r="G1357" s="31" t="n">
        <v>54</v>
      </c>
      <c r="H1357" s="31" t="s">
        <v>3692</v>
      </c>
      <c r="I1357" s="44" t="s">
        <v>6365</v>
      </c>
      <c r="J1357" s="45" t="s">
        <v>6378</v>
      </c>
      <c r="K1357" s="45" t="s">
        <v>6380</v>
      </c>
      <c r="L1357" s="31" t="n">
        <f aca="false">COUNTIF($B$3:$B$2205,$B1357)</f>
        <v>2</v>
      </c>
      <c r="M1357" s="44" t="str">
        <f aca="false">IFERROR(INDEX(SENTENCES!$T$3:$T$1802,MATCH($F1357,SENTENCES!$A$3:$A$1802,0)),"")</f>
        <v>• Chưa tới</v>
      </c>
    </row>
    <row r="1358" customFormat="false" ht="15" hidden="false" customHeight="false" outlineLevel="0" collapsed="false">
      <c r="A1358" s="31" t="n">
        <v>1356</v>
      </c>
      <c r="B1358" s="43" t="s">
        <v>12857</v>
      </c>
      <c r="C1358" s="34" t="s">
        <v>12858</v>
      </c>
      <c r="D1358" s="44" t="s">
        <v>10677</v>
      </c>
      <c r="E1358" s="31" t="s">
        <v>10678</v>
      </c>
      <c r="F1358" s="31" t="s">
        <v>6381</v>
      </c>
      <c r="G1358" s="31" t="n">
        <v>54</v>
      </c>
      <c r="H1358" s="31" t="s">
        <v>3692</v>
      </c>
      <c r="I1358" s="44" t="s">
        <v>6365</v>
      </c>
      <c r="J1358" s="45" t="s">
        <v>6383</v>
      </c>
      <c r="K1358" s="45" t="s">
        <v>6385</v>
      </c>
      <c r="L1358" s="31" t="n">
        <f aca="false">COUNTIF($B$3:$B$2205,$B1358)</f>
        <v>1</v>
      </c>
      <c r="M1358" s="44" t="str">
        <f aca="false">IFERROR(INDEX(SENTENCES!$T$3:$T$1802,MATCH($F1358,SENTENCES!$A$3:$A$1802,0)),"")</f>
        <v>• Chưa tới</v>
      </c>
    </row>
    <row r="1359" customFormat="false" ht="15" hidden="false" customHeight="false" outlineLevel="0" collapsed="false">
      <c r="A1359" s="31" t="n">
        <v>1357</v>
      </c>
      <c r="B1359" s="43" t="s">
        <v>12859</v>
      </c>
      <c r="C1359" s="34" t="s">
        <v>12860</v>
      </c>
      <c r="D1359" s="44" t="s">
        <v>10686</v>
      </c>
      <c r="E1359" s="31"/>
      <c r="F1359" s="31" t="s">
        <v>6387</v>
      </c>
      <c r="G1359" s="31" t="n">
        <v>54</v>
      </c>
      <c r="H1359" s="31" t="s">
        <v>3692</v>
      </c>
      <c r="I1359" s="44" t="s">
        <v>6365</v>
      </c>
      <c r="J1359" s="45" t="s">
        <v>6389</v>
      </c>
      <c r="K1359" s="45" t="s">
        <v>6391</v>
      </c>
      <c r="L1359" s="31" t="n">
        <f aca="false">COUNTIF($B$3:$B$2205,$B1359)</f>
        <v>1</v>
      </c>
      <c r="M1359" s="44" t="str">
        <f aca="false">IFERROR(INDEX(SENTENCES!$T$3:$T$1802,MATCH($F1359,SENTENCES!$A$3:$A$1802,0)),"")</f>
        <v>• Chưa tới</v>
      </c>
    </row>
    <row r="1360" customFormat="false" ht="15" hidden="false" customHeight="false" outlineLevel="0" collapsed="false">
      <c r="A1360" s="31" t="n">
        <v>1358</v>
      </c>
      <c r="B1360" s="43" t="s">
        <v>10915</v>
      </c>
      <c r="C1360" s="34" t="s">
        <v>10916</v>
      </c>
      <c r="D1360" s="44" t="s">
        <v>10686</v>
      </c>
      <c r="E1360" s="31"/>
      <c r="F1360" s="31" t="s">
        <v>6393</v>
      </c>
      <c r="G1360" s="31" t="n">
        <v>54</v>
      </c>
      <c r="H1360" s="31" t="s">
        <v>3692</v>
      </c>
      <c r="I1360" s="44" t="s">
        <v>6365</v>
      </c>
      <c r="J1360" s="45" t="s">
        <v>6394</v>
      </c>
      <c r="K1360" s="45" t="s">
        <v>6396</v>
      </c>
      <c r="L1360" s="31" t="n">
        <f aca="false">COUNTIF($B$3:$B$2205,$B1360)</f>
        <v>3</v>
      </c>
      <c r="M1360" s="44" t="str">
        <f aca="false">IFERROR(INDEX(SENTENCES!$T$3:$T$1802,MATCH($F1360,SENTENCES!$A$3:$A$1802,0)),"")</f>
        <v>• Chưa tới</v>
      </c>
    </row>
    <row r="1361" customFormat="false" ht="15" hidden="false" customHeight="false" outlineLevel="0" collapsed="false">
      <c r="A1361" s="31" t="n">
        <v>1359</v>
      </c>
      <c r="B1361" s="43" t="s">
        <v>12861</v>
      </c>
      <c r="C1361" s="34" t="s">
        <v>12862</v>
      </c>
      <c r="D1361" s="44" t="s">
        <v>10681</v>
      </c>
      <c r="E1361" s="31"/>
      <c r="F1361" s="31" t="s">
        <v>6397</v>
      </c>
      <c r="G1361" s="31" t="n">
        <v>54</v>
      </c>
      <c r="H1361" s="31" t="s">
        <v>3692</v>
      </c>
      <c r="I1361" s="44" t="s">
        <v>6365</v>
      </c>
      <c r="J1361" s="45" t="s">
        <v>6399</v>
      </c>
      <c r="K1361" s="45" t="s">
        <v>6401</v>
      </c>
      <c r="L1361" s="31" t="n">
        <f aca="false">COUNTIF($B$3:$B$2205,$B1361)</f>
        <v>1</v>
      </c>
      <c r="M1361" s="44" t="str">
        <f aca="false">IFERROR(INDEX(SENTENCES!$T$3:$T$1802,MATCH($F1361,SENTENCES!$A$3:$A$1802,0)),"")</f>
        <v>• Chưa tới</v>
      </c>
    </row>
    <row r="1362" customFormat="false" ht="15" hidden="false" customHeight="false" outlineLevel="0" collapsed="false">
      <c r="A1362" s="31" t="n">
        <v>1360</v>
      </c>
      <c r="B1362" s="43" t="s">
        <v>12863</v>
      </c>
      <c r="C1362" s="34" t="s">
        <v>12864</v>
      </c>
      <c r="D1362" s="44" t="s">
        <v>10681</v>
      </c>
      <c r="E1362" s="31"/>
      <c r="F1362" s="31" t="s">
        <v>6403</v>
      </c>
      <c r="G1362" s="31" t="n">
        <v>54</v>
      </c>
      <c r="H1362" s="31" t="s">
        <v>3692</v>
      </c>
      <c r="I1362" s="44" t="s">
        <v>6365</v>
      </c>
      <c r="J1362" s="45" t="s">
        <v>6405</v>
      </c>
      <c r="K1362" s="45" t="s">
        <v>6407</v>
      </c>
      <c r="L1362" s="31" t="n">
        <f aca="false">COUNTIF($B$3:$B$2205,$B1362)</f>
        <v>1</v>
      </c>
      <c r="M1362" s="44" t="str">
        <f aca="false">IFERROR(INDEX(SENTENCES!$T$3:$T$1802,MATCH($F1362,SENTENCES!$A$3:$A$1802,0)),"")</f>
        <v>• Chưa tới</v>
      </c>
    </row>
    <row r="1363" customFormat="false" ht="15" hidden="false" customHeight="false" outlineLevel="0" collapsed="false">
      <c r="A1363" s="31" t="n">
        <v>1361</v>
      </c>
      <c r="B1363" s="43" t="s">
        <v>12865</v>
      </c>
      <c r="C1363" s="34" t="s">
        <v>12866</v>
      </c>
      <c r="D1363" s="44" t="s">
        <v>10677</v>
      </c>
      <c r="E1363" s="31" t="s">
        <v>10707</v>
      </c>
      <c r="F1363" s="31" t="s">
        <v>6403</v>
      </c>
      <c r="G1363" s="31" t="n">
        <v>54</v>
      </c>
      <c r="H1363" s="31" t="s">
        <v>3692</v>
      </c>
      <c r="I1363" s="44" t="s">
        <v>6365</v>
      </c>
      <c r="J1363" s="45" t="s">
        <v>6405</v>
      </c>
      <c r="K1363" s="45" t="s">
        <v>6407</v>
      </c>
      <c r="L1363" s="31" t="n">
        <f aca="false">COUNTIF($B$3:$B$2205,$B1363)</f>
        <v>1</v>
      </c>
      <c r="M1363" s="44" t="str">
        <f aca="false">IFERROR(INDEX(SENTENCES!$T$3:$T$1802,MATCH($F1363,SENTENCES!$A$3:$A$1802,0)),"")</f>
        <v>• Chưa tới</v>
      </c>
    </row>
    <row r="1364" customFormat="false" ht="15" hidden="false" customHeight="false" outlineLevel="0" collapsed="false">
      <c r="A1364" s="31" t="n">
        <v>1362</v>
      </c>
      <c r="B1364" s="43" t="s">
        <v>12867</v>
      </c>
      <c r="C1364" s="34" t="s">
        <v>12868</v>
      </c>
      <c r="D1364" s="44" t="s">
        <v>10681</v>
      </c>
      <c r="E1364" s="31"/>
      <c r="F1364" s="31" t="s">
        <v>6409</v>
      </c>
      <c r="G1364" s="31" t="n">
        <v>54</v>
      </c>
      <c r="H1364" s="31" t="s">
        <v>3692</v>
      </c>
      <c r="I1364" s="44" t="s">
        <v>6365</v>
      </c>
      <c r="J1364" s="45" t="s">
        <v>6411</v>
      </c>
      <c r="K1364" s="45" t="s">
        <v>6413</v>
      </c>
      <c r="L1364" s="31" t="n">
        <f aca="false">COUNTIF($B$3:$B$2205,$B1364)</f>
        <v>1</v>
      </c>
      <c r="M1364" s="44" t="str">
        <f aca="false">IFERROR(INDEX(SENTENCES!$T$3:$T$1802,MATCH($F1364,SENTENCES!$A$3:$A$1802,0)),"")</f>
        <v>• Chưa tới</v>
      </c>
    </row>
    <row r="1365" customFormat="false" ht="15" hidden="false" customHeight="false" outlineLevel="0" collapsed="false">
      <c r="A1365" s="31" t="n">
        <v>1363</v>
      </c>
      <c r="B1365" s="43" t="s">
        <v>12495</v>
      </c>
      <c r="C1365" s="34" t="s">
        <v>12496</v>
      </c>
      <c r="D1365" s="44" t="s">
        <v>10677</v>
      </c>
      <c r="E1365" s="31" t="s">
        <v>10707</v>
      </c>
      <c r="F1365" s="31" t="s">
        <v>6415</v>
      </c>
      <c r="G1365" s="31" t="n">
        <v>54</v>
      </c>
      <c r="H1365" s="31" t="s">
        <v>3692</v>
      </c>
      <c r="I1365" s="44" t="s">
        <v>6365</v>
      </c>
      <c r="J1365" s="45" t="s">
        <v>6417</v>
      </c>
      <c r="K1365" s="45" t="s">
        <v>6419</v>
      </c>
      <c r="L1365" s="31" t="n">
        <f aca="false">COUNTIF($B$3:$B$2205,$B1365)</f>
        <v>2</v>
      </c>
      <c r="M1365" s="44" t="str">
        <f aca="false">IFERROR(INDEX(SENTENCES!$T$3:$T$1802,MATCH($F1365,SENTENCES!$A$3:$A$1802,0)),"")</f>
        <v>• Chưa tới</v>
      </c>
    </row>
    <row r="1366" customFormat="false" ht="15" hidden="false" customHeight="false" outlineLevel="0" collapsed="false">
      <c r="A1366" s="31" t="n">
        <v>1364</v>
      </c>
      <c r="B1366" s="43" t="s">
        <v>6421</v>
      </c>
      <c r="C1366" s="34" t="s">
        <v>12869</v>
      </c>
      <c r="D1366" s="44" t="s">
        <v>10794</v>
      </c>
      <c r="E1366" s="31"/>
      <c r="F1366" s="31" t="s">
        <v>6420</v>
      </c>
      <c r="G1366" s="31" t="n">
        <v>54</v>
      </c>
      <c r="H1366" s="31" t="s">
        <v>3692</v>
      </c>
      <c r="I1366" s="44" t="s">
        <v>6365</v>
      </c>
      <c r="J1366" s="45" t="s">
        <v>6422</v>
      </c>
      <c r="K1366" s="45" t="s">
        <v>6424</v>
      </c>
      <c r="L1366" s="31" t="n">
        <f aca="false">COUNTIF($B$3:$B$2205,$B1366)</f>
        <v>1</v>
      </c>
      <c r="M1366" s="44" t="str">
        <f aca="false">IFERROR(INDEX(SENTENCES!$T$3:$T$1802,MATCH($F1366,SENTENCES!$A$3:$A$1802,0)),"")</f>
        <v>• Chưa tới</v>
      </c>
    </row>
    <row r="1367" customFormat="false" ht="15" hidden="false" customHeight="false" outlineLevel="0" collapsed="false">
      <c r="A1367" s="31" t="n">
        <v>1365</v>
      </c>
      <c r="B1367" s="43" t="s">
        <v>12512</v>
      </c>
      <c r="C1367" s="34" t="s">
        <v>12513</v>
      </c>
      <c r="D1367" s="44" t="s">
        <v>10677</v>
      </c>
      <c r="E1367" s="31" t="s">
        <v>10678</v>
      </c>
      <c r="F1367" s="31" t="s">
        <v>6426</v>
      </c>
      <c r="G1367" s="31" t="n">
        <v>54</v>
      </c>
      <c r="H1367" s="31" t="s">
        <v>3692</v>
      </c>
      <c r="I1367" s="44" t="s">
        <v>6365</v>
      </c>
      <c r="J1367" s="45" t="s">
        <v>6428</v>
      </c>
      <c r="K1367" s="45" t="s">
        <v>6430</v>
      </c>
      <c r="L1367" s="31" t="n">
        <f aca="false">COUNTIF($B$3:$B$2205,$B1367)</f>
        <v>2</v>
      </c>
      <c r="M1367" s="44" t="str">
        <f aca="false">IFERROR(INDEX(SENTENCES!$T$3:$T$1802,MATCH($F1367,SENTENCES!$A$3:$A$1802,0)),"")</f>
        <v>• Chưa tới</v>
      </c>
    </row>
    <row r="1368" customFormat="false" ht="15" hidden="false" customHeight="false" outlineLevel="0" collapsed="false">
      <c r="A1368" s="31" t="n">
        <v>1366</v>
      </c>
      <c r="B1368" s="43" t="s">
        <v>12870</v>
      </c>
      <c r="C1368" s="34" t="s">
        <v>12871</v>
      </c>
      <c r="D1368" s="44" t="s">
        <v>10677</v>
      </c>
      <c r="E1368" s="31" t="s">
        <v>10707</v>
      </c>
      <c r="F1368" s="31" t="s">
        <v>6431</v>
      </c>
      <c r="G1368" s="31" t="n">
        <v>54</v>
      </c>
      <c r="H1368" s="31" t="s">
        <v>3692</v>
      </c>
      <c r="I1368" s="44" t="s">
        <v>6365</v>
      </c>
      <c r="J1368" s="45" t="s">
        <v>6433</v>
      </c>
      <c r="K1368" s="45" t="s">
        <v>6435</v>
      </c>
      <c r="L1368" s="31" t="n">
        <f aca="false">COUNTIF($B$3:$B$2205,$B1368)</f>
        <v>1</v>
      </c>
      <c r="M1368" s="44" t="str">
        <f aca="false">IFERROR(INDEX(SENTENCES!$T$3:$T$1802,MATCH($F1368,SENTENCES!$A$3:$A$1802,0)),"")</f>
        <v>• Chưa tới</v>
      </c>
    </row>
    <row r="1369" customFormat="false" ht="15" hidden="false" customHeight="false" outlineLevel="0" collapsed="false">
      <c r="A1369" s="31" t="n">
        <v>1367</v>
      </c>
      <c r="B1369" s="43" t="s">
        <v>11438</v>
      </c>
      <c r="C1369" s="34" t="s">
        <v>12872</v>
      </c>
      <c r="D1369" s="44" t="s">
        <v>10677</v>
      </c>
      <c r="E1369" s="31" t="s">
        <v>10747</v>
      </c>
      <c r="F1369" s="31" t="s">
        <v>6437</v>
      </c>
      <c r="G1369" s="31" t="n">
        <v>54</v>
      </c>
      <c r="H1369" s="31" t="s">
        <v>3692</v>
      </c>
      <c r="I1369" s="44" t="s">
        <v>6365</v>
      </c>
      <c r="J1369" s="45" t="s">
        <v>6439</v>
      </c>
      <c r="K1369" s="45" t="s">
        <v>6441</v>
      </c>
      <c r="L1369" s="31" t="n">
        <f aca="false">COUNTIF($B$3:$B$2205,$B1369)</f>
        <v>3</v>
      </c>
      <c r="M1369" s="44" t="str">
        <f aca="false">IFERROR(INDEX(SENTENCES!$T$3:$T$1802,MATCH($F1369,SENTENCES!$A$3:$A$1802,0)),"")</f>
        <v>• Chưa tới</v>
      </c>
    </row>
    <row r="1370" customFormat="false" ht="22.35" hidden="false" customHeight="false" outlineLevel="0" collapsed="false">
      <c r="A1370" s="31" t="n">
        <v>1368</v>
      </c>
      <c r="B1370" s="43" t="s">
        <v>12873</v>
      </c>
      <c r="C1370" s="34" t="s">
        <v>12874</v>
      </c>
      <c r="D1370" s="44" t="s">
        <v>10681</v>
      </c>
      <c r="E1370" s="31"/>
      <c r="F1370" s="31" t="s">
        <v>6443</v>
      </c>
      <c r="G1370" s="31" t="n">
        <v>54</v>
      </c>
      <c r="H1370" s="31" t="s">
        <v>3692</v>
      </c>
      <c r="I1370" s="44" t="s">
        <v>6365</v>
      </c>
      <c r="J1370" s="45" t="s">
        <v>6445</v>
      </c>
      <c r="K1370" s="45" t="s">
        <v>6447</v>
      </c>
      <c r="L1370" s="31" t="n">
        <f aca="false">COUNTIF($B$3:$B$2205,$B1370)</f>
        <v>1</v>
      </c>
      <c r="M1370" s="44" t="str">
        <f aca="false">IFERROR(INDEX(SENTENCES!$T$3:$T$1802,MATCH($F1370,SENTENCES!$A$3:$A$1802,0)),"")</f>
        <v>• Chưa tới</v>
      </c>
    </row>
    <row r="1371" customFormat="false" ht="15" hidden="false" customHeight="false" outlineLevel="0" collapsed="false">
      <c r="A1371" s="31" t="n">
        <v>1369</v>
      </c>
      <c r="B1371" s="43" t="s">
        <v>12094</v>
      </c>
      <c r="C1371" s="34" t="s">
        <v>12095</v>
      </c>
      <c r="D1371" s="44" t="s">
        <v>10686</v>
      </c>
      <c r="E1371" s="31"/>
      <c r="F1371" s="31" t="s">
        <v>6448</v>
      </c>
      <c r="G1371" s="31" t="n">
        <v>54</v>
      </c>
      <c r="H1371" s="31" t="s">
        <v>3692</v>
      </c>
      <c r="I1371" s="44" t="s">
        <v>6365</v>
      </c>
      <c r="J1371" s="45" t="s">
        <v>6450</v>
      </c>
      <c r="K1371" s="45" t="s">
        <v>6452</v>
      </c>
      <c r="L1371" s="31" t="n">
        <f aca="false">COUNTIF($B$3:$B$2205,$B1371)</f>
        <v>5</v>
      </c>
      <c r="M1371" s="44" t="str">
        <f aca="false">IFERROR(INDEX(SENTENCES!$T$3:$T$1802,MATCH($F1371,SENTENCES!$A$3:$A$1802,0)),"")</f>
        <v>• Chưa tới</v>
      </c>
    </row>
    <row r="1372" customFormat="false" ht="15" hidden="false" customHeight="false" outlineLevel="0" collapsed="false">
      <c r="A1372" s="31" t="n">
        <v>1370</v>
      </c>
      <c r="B1372" s="43" t="s">
        <v>12875</v>
      </c>
      <c r="C1372" s="34" t="s">
        <v>11659</v>
      </c>
      <c r="D1372" s="44" t="s">
        <v>10794</v>
      </c>
      <c r="E1372" s="31"/>
      <c r="F1372" s="31" t="s">
        <v>6453</v>
      </c>
      <c r="G1372" s="31" t="n">
        <v>54</v>
      </c>
      <c r="H1372" s="31" t="s">
        <v>3692</v>
      </c>
      <c r="I1372" s="44" t="s">
        <v>6365</v>
      </c>
      <c r="J1372" s="45" t="s">
        <v>6455</v>
      </c>
      <c r="K1372" s="45" t="s">
        <v>6457</v>
      </c>
      <c r="L1372" s="31" t="n">
        <f aca="false">COUNTIF($B$3:$B$2205,$B1372)</f>
        <v>1</v>
      </c>
      <c r="M1372" s="44" t="str">
        <f aca="false">IFERROR(INDEX(SENTENCES!$T$3:$T$1802,MATCH($F1372,SENTENCES!$A$3:$A$1802,0)),"")</f>
        <v>• Chưa tới</v>
      </c>
    </row>
    <row r="1373" customFormat="false" ht="15" hidden="false" customHeight="false" outlineLevel="0" collapsed="false">
      <c r="A1373" s="31" t="n">
        <v>1371</v>
      </c>
      <c r="B1373" s="43" t="s">
        <v>12876</v>
      </c>
      <c r="C1373" s="34" t="s">
        <v>12877</v>
      </c>
      <c r="D1373" s="44" t="s">
        <v>10677</v>
      </c>
      <c r="E1373" s="31" t="s">
        <v>10707</v>
      </c>
      <c r="F1373" s="31" t="s">
        <v>6453</v>
      </c>
      <c r="G1373" s="31" t="n">
        <v>54</v>
      </c>
      <c r="H1373" s="31" t="s">
        <v>3692</v>
      </c>
      <c r="I1373" s="44" t="s">
        <v>6365</v>
      </c>
      <c r="J1373" s="45" t="s">
        <v>6455</v>
      </c>
      <c r="K1373" s="45" t="s">
        <v>6457</v>
      </c>
      <c r="L1373" s="31" t="n">
        <f aca="false">COUNTIF($B$3:$B$2205,$B1373)</f>
        <v>1</v>
      </c>
      <c r="M1373" s="44" t="str">
        <f aca="false">IFERROR(INDEX(SENTENCES!$T$3:$T$1802,MATCH($F1373,SENTENCES!$A$3:$A$1802,0)),"")</f>
        <v>• Chưa tới</v>
      </c>
    </row>
    <row r="1374" customFormat="false" ht="15" hidden="false" customHeight="false" outlineLevel="0" collapsed="false">
      <c r="A1374" s="31" t="n">
        <v>1372</v>
      </c>
      <c r="B1374" s="43" t="s">
        <v>12878</v>
      </c>
      <c r="C1374" s="34" t="s">
        <v>12879</v>
      </c>
      <c r="D1374" s="44" t="s">
        <v>10754</v>
      </c>
      <c r="E1374" s="31"/>
      <c r="F1374" s="31" t="s">
        <v>6459</v>
      </c>
      <c r="G1374" s="31" t="n">
        <v>54</v>
      </c>
      <c r="H1374" s="31" t="s">
        <v>3692</v>
      </c>
      <c r="I1374" s="44" t="s">
        <v>6365</v>
      </c>
      <c r="J1374" s="45" t="s">
        <v>6461</v>
      </c>
      <c r="K1374" s="45" t="s">
        <v>6463</v>
      </c>
      <c r="L1374" s="31" t="n">
        <f aca="false">COUNTIF($B$3:$B$2205,$B1374)</f>
        <v>1</v>
      </c>
      <c r="M1374" s="44" t="str">
        <f aca="false">IFERROR(INDEX(SENTENCES!$T$3:$T$1802,MATCH($F1374,SENTENCES!$A$3:$A$1802,0)),"")</f>
        <v>• Chưa tới</v>
      </c>
    </row>
    <row r="1375" customFormat="false" ht="15" hidden="false" customHeight="false" outlineLevel="0" collapsed="false">
      <c r="A1375" s="31" t="n">
        <v>1373</v>
      </c>
      <c r="B1375" s="43" t="s">
        <v>12880</v>
      </c>
      <c r="C1375" s="34" t="s">
        <v>12881</v>
      </c>
      <c r="D1375" s="44" t="s">
        <v>10677</v>
      </c>
      <c r="E1375" s="31" t="s">
        <v>10747</v>
      </c>
      <c r="F1375" s="31" t="s">
        <v>6459</v>
      </c>
      <c r="G1375" s="31" t="n">
        <v>54</v>
      </c>
      <c r="H1375" s="31" t="s">
        <v>3692</v>
      </c>
      <c r="I1375" s="44" t="s">
        <v>6365</v>
      </c>
      <c r="J1375" s="45" t="s">
        <v>6461</v>
      </c>
      <c r="K1375" s="45" t="s">
        <v>6463</v>
      </c>
      <c r="L1375" s="31" t="n">
        <f aca="false">COUNTIF($B$3:$B$2205,$B1375)</f>
        <v>1</v>
      </c>
      <c r="M1375" s="44" t="str">
        <f aca="false">IFERROR(INDEX(SENTENCES!$T$3:$T$1802,MATCH($F1375,SENTENCES!$A$3:$A$1802,0)),"")</f>
        <v>• Chưa tới</v>
      </c>
    </row>
    <row r="1376" customFormat="false" ht="15" hidden="false" customHeight="false" outlineLevel="0" collapsed="false">
      <c r="A1376" s="31" t="n">
        <v>1374</v>
      </c>
      <c r="B1376" s="43" t="s">
        <v>12882</v>
      </c>
      <c r="C1376" s="34" t="s">
        <v>12883</v>
      </c>
      <c r="D1376" s="44" t="s">
        <v>10677</v>
      </c>
      <c r="E1376" s="31" t="s">
        <v>10707</v>
      </c>
      <c r="F1376" s="31" t="s">
        <v>6465</v>
      </c>
      <c r="G1376" s="31" t="n">
        <v>54</v>
      </c>
      <c r="H1376" s="31" t="s">
        <v>3692</v>
      </c>
      <c r="I1376" s="44" t="s">
        <v>6365</v>
      </c>
      <c r="J1376" s="45" t="s">
        <v>6467</v>
      </c>
      <c r="K1376" s="45" t="s">
        <v>6469</v>
      </c>
      <c r="L1376" s="31" t="n">
        <f aca="false">COUNTIF($B$3:$B$2205,$B1376)</f>
        <v>1</v>
      </c>
      <c r="M1376" s="44" t="str">
        <f aca="false">IFERROR(INDEX(SENTENCES!$T$3:$T$1802,MATCH($F1376,SENTENCES!$A$3:$A$1802,0)),"")</f>
        <v>• Chưa tới</v>
      </c>
    </row>
    <row r="1377" customFormat="false" ht="15" hidden="false" customHeight="false" outlineLevel="0" collapsed="false">
      <c r="A1377" s="31" t="n">
        <v>1375</v>
      </c>
      <c r="B1377" s="43" t="s">
        <v>12730</v>
      </c>
      <c r="C1377" s="34" t="s">
        <v>12731</v>
      </c>
      <c r="D1377" s="44" t="s">
        <v>10754</v>
      </c>
      <c r="E1377" s="31"/>
      <c r="F1377" s="31" t="s">
        <v>6470</v>
      </c>
      <c r="G1377" s="31" t="n">
        <v>54</v>
      </c>
      <c r="H1377" s="31" t="s">
        <v>3692</v>
      </c>
      <c r="I1377" s="44" t="s">
        <v>6365</v>
      </c>
      <c r="J1377" s="45" t="s">
        <v>6472</v>
      </c>
      <c r="K1377" s="45" t="s">
        <v>6474</v>
      </c>
      <c r="L1377" s="31" t="n">
        <f aca="false">COUNTIF($B$3:$B$2205,$B1377)</f>
        <v>3</v>
      </c>
      <c r="M1377" s="44" t="str">
        <f aca="false">IFERROR(INDEX(SENTENCES!$T$3:$T$1802,MATCH($F1377,SENTENCES!$A$3:$A$1802,0)),"")</f>
        <v>• Chưa tới</v>
      </c>
    </row>
    <row r="1378" customFormat="false" ht="15" hidden="false" customHeight="false" outlineLevel="0" collapsed="false">
      <c r="A1378" s="31" t="n">
        <v>1376</v>
      </c>
      <c r="B1378" s="43" t="s">
        <v>12884</v>
      </c>
      <c r="C1378" s="34" t="s">
        <v>12885</v>
      </c>
      <c r="D1378" s="44" t="s">
        <v>10686</v>
      </c>
      <c r="E1378" s="31"/>
      <c r="F1378" s="31" t="s">
        <v>6475</v>
      </c>
      <c r="G1378" s="31" t="n">
        <v>55</v>
      </c>
      <c r="H1378" s="31" t="s">
        <v>3692</v>
      </c>
      <c r="I1378" s="44" t="s">
        <v>6476</v>
      </c>
      <c r="J1378" s="45" t="s">
        <v>6477</v>
      </c>
      <c r="K1378" s="45" t="s">
        <v>6479</v>
      </c>
      <c r="L1378" s="31" t="n">
        <f aca="false">COUNTIF($B$3:$B$2205,$B1378)</f>
        <v>1</v>
      </c>
      <c r="M1378" s="44" t="str">
        <f aca="false">IFERROR(INDEX(SENTENCES!$T$3:$T$1802,MATCH($F1378,SENTENCES!$A$3:$A$1802,0)),"")</f>
        <v>• Chưa tới</v>
      </c>
    </row>
    <row r="1379" customFormat="false" ht="15" hidden="false" customHeight="false" outlineLevel="0" collapsed="false">
      <c r="A1379" s="31" t="n">
        <v>1377</v>
      </c>
      <c r="B1379" s="43" t="s">
        <v>12886</v>
      </c>
      <c r="C1379" s="34" t="s">
        <v>12887</v>
      </c>
      <c r="D1379" s="44" t="s">
        <v>10677</v>
      </c>
      <c r="E1379" s="31" t="s">
        <v>10707</v>
      </c>
      <c r="F1379" s="31" t="s">
        <v>6481</v>
      </c>
      <c r="G1379" s="31" t="n">
        <v>55</v>
      </c>
      <c r="H1379" s="31" t="s">
        <v>3692</v>
      </c>
      <c r="I1379" s="44" t="s">
        <v>6476</v>
      </c>
      <c r="J1379" s="45" t="s">
        <v>6482</v>
      </c>
      <c r="K1379" s="45" t="s">
        <v>6484</v>
      </c>
      <c r="L1379" s="31" t="n">
        <f aca="false">COUNTIF($B$3:$B$2205,$B1379)</f>
        <v>1</v>
      </c>
      <c r="M1379" s="44" t="str">
        <f aca="false">IFERROR(INDEX(SENTENCES!$T$3:$T$1802,MATCH($F1379,SENTENCES!$A$3:$A$1802,0)),"")</f>
        <v>• Chưa tới</v>
      </c>
    </row>
    <row r="1380" customFormat="false" ht="15" hidden="false" customHeight="false" outlineLevel="0" collapsed="false">
      <c r="A1380" s="31" t="n">
        <v>1378</v>
      </c>
      <c r="B1380" s="43" t="s">
        <v>12888</v>
      </c>
      <c r="C1380" s="34" t="s">
        <v>12889</v>
      </c>
      <c r="D1380" s="44" t="s">
        <v>10677</v>
      </c>
      <c r="E1380" s="31" t="s">
        <v>10707</v>
      </c>
      <c r="F1380" s="31" t="s">
        <v>6486</v>
      </c>
      <c r="G1380" s="31" t="n">
        <v>55</v>
      </c>
      <c r="H1380" s="31" t="s">
        <v>3692</v>
      </c>
      <c r="I1380" s="44" t="s">
        <v>6476</v>
      </c>
      <c r="J1380" s="45" t="s">
        <v>6488</v>
      </c>
      <c r="K1380" s="45" t="s">
        <v>6490</v>
      </c>
      <c r="L1380" s="31" t="n">
        <f aca="false">COUNTIF($B$3:$B$2205,$B1380)</f>
        <v>1</v>
      </c>
      <c r="M1380" s="44" t="str">
        <f aca="false">IFERROR(INDEX(SENTENCES!$T$3:$T$1802,MATCH($F1380,SENTENCES!$A$3:$A$1802,0)),"")</f>
        <v>• Chưa tới</v>
      </c>
    </row>
    <row r="1381" customFormat="false" ht="15" hidden="false" customHeight="false" outlineLevel="0" collapsed="false">
      <c r="A1381" s="31" t="n">
        <v>1379</v>
      </c>
      <c r="B1381" s="43" t="s">
        <v>12890</v>
      </c>
      <c r="C1381" s="34" t="s">
        <v>12891</v>
      </c>
      <c r="D1381" s="44" t="s">
        <v>10677</v>
      </c>
      <c r="E1381" s="31" t="s">
        <v>10707</v>
      </c>
      <c r="F1381" s="31" t="s">
        <v>6486</v>
      </c>
      <c r="G1381" s="31" t="n">
        <v>55</v>
      </c>
      <c r="H1381" s="31" t="s">
        <v>3692</v>
      </c>
      <c r="I1381" s="44" t="s">
        <v>6476</v>
      </c>
      <c r="J1381" s="45" t="s">
        <v>6488</v>
      </c>
      <c r="K1381" s="45" t="s">
        <v>6490</v>
      </c>
      <c r="L1381" s="31" t="n">
        <f aca="false">COUNTIF($B$3:$B$2205,$B1381)</f>
        <v>1</v>
      </c>
      <c r="M1381" s="44" t="str">
        <f aca="false">IFERROR(INDEX(SENTENCES!$T$3:$T$1802,MATCH($F1381,SENTENCES!$A$3:$A$1802,0)),"")</f>
        <v>• Chưa tới</v>
      </c>
    </row>
    <row r="1382" customFormat="false" ht="15" hidden="false" customHeight="false" outlineLevel="0" collapsed="false">
      <c r="A1382" s="31" t="n">
        <v>1380</v>
      </c>
      <c r="B1382" s="43" t="s">
        <v>12892</v>
      </c>
      <c r="C1382" s="34" t="s">
        <v>12893</v>
      </c>
      <c r="D1382" s="44" t="s">
        <v>10681</v>
      </c>
      <c r="E1382" s="31"/>
      <c r="F1382" s="31" t="s">
        <v>6492</v>
      </c>
      <c r="G1382" s="31" t="n">
        <v>55</v>
      </c>
      <c r="H1382" s="31" t="s">
        <v>3692</v>
      </c>
      <c r="I1382" s="44" t="s">
        <v>6476</v>
      </c>
      <c r="J1382" s="45" t="s">
        <v>6494</v>
      </c>
      <c r="K1382" s="45" t="s">
        <v>6496</v>
      </c>
      <c r="L1382" s="31" t="n">
        <f aca="false">COUNTIF($B$3:$B$2205,$B1382)</f>
        <v>1</v>
      </c>
      <c r="M1382" s="44" t="str">
        <f aca="false">IFERROR(INDEX(SENTENCES!$T$3:$T$1802,MATCH($F1382,SENTENCES!$A$3:$A$1802,0)),"")</f>
        <v>• Chưa tới</v>
      </c>
    </row>
    <row r="1383" customFormat="false" ht="15" hidden="false" customHeight="false" outlineLevel="0" collapsed="false">
      <c r="A1383" s="31" t="n">
        <v>1381</v>
      </c>
      <c r="B1383" s="43" t="s">
        <v>10812</v>
      </c>
      <c r="C1383" s="34" t="s">
        <v>10813</v>
      </c>
      <c r="D1383" s="44" t="s">
        <v>10686</v>
      </c>
      <c r="E1383" s="31"/>
      <c r="F1383" s="31" t="s">
        <v>6498</v>
      </c>
      <c r="G1383" s="31" t="n">
        <v>55</v>
      </c>
      <c r="H1383" s="31" t="s">
        <v>3692</v>
      </c>
      <c r="I1383" s="44" t="s">
        <v>6476</v>
      </c>
      <c r="J1383" s="45" t="s">
        <v>6499</v>
      </c>
      <c r="K1383" s="45" t="s">
        <v>6501</v>
      </c>
      <c r="L1383" s="31" t="n">
        <f aca="false">COUNTIF($B$3:$B$2205,$B1383)</f>
        <v>3</v>
      </c>
      <c r="M1383" s="44" t="str">
        <f aca="false">IFERROR(INDEX(SENTENCES!$T$3:$T$1802,MATCH($F1383,SENTENCES!$A$3:$A$1802,0)),"")</f>
        <v>• Chưa tới</v>
      </c>
    </row>
    <row r="1384" customFormat="false" ht="15" hidden="false" customHeight="false" outlineLevel="0" collapsed="false">
      <c r="A1384" s="31" t="n">
        <v>1382</v>
      </c>
      <c r="B1384" s="43" t="s">
        <v>12894</v>
      </c>
      <c r="C1384" s="34" t="s">
        <v>10952</v>
      </c>
      <c r="D1384" s="44" t="s">
        <v>10681</v>
      </c>
      <c r="E1384" s="31"/>
      <c r="F1384" s="31" t="s">
        <v>6502</v>
      </c>
      <c r="G1384" s="31" t="n">
        <v>55</v>
      </c>
      <c r="H1384" s="31" t="s">
        <v>3692</v>
      </c>
      <c r="I1384" s="44" t="s">
        <v>6476</v>
      </c>
      <c r="J1384" s="45" t="s">
        <v>6504</v>
      </c>
      <c r="K1384" s="45" t="s">
        <v>6506</v>
      </c>
      <c r="L1384" s="31" t="n">
        <f aca="false">COUNTIF($B$3:$B$2205,$B1384)</f>
        <v>1</v>
      </c>
      <c r="M1384" s="44" t="str">
        <f aca="false">IFERROR(INDEX(SENTENCES!$T$3:$T$1802,MATCH($F1384,SENTENCES!$A$3:$A$1802,0)),"")</f>
        <v>• Chưa tới</v>
      </c>
    </row>
    <row r="1385" customFormat="false" ht="15" hidden="false" customHeight="false" outlineLevel="0" collapsed="false">
      <c r="A1385" s="31" t="n">
        <v>1383</v>
      </c>
      <c r="B1385" s="43" t="s">
        <v>12895</v>
      </c>
      <c r="C1385" s="34" t="s">
        <v>12896</v>
      </c>
      <c r="D1385" s="44" t="s">
        <v>10677</v>
      </c>
      <c r="E1385" s="31" t="s">
        <v>10678</v>
      </c>
      <c r="F1385" s="31" t="s">
        <v>6508</v>
      </c>
      <c r="G1385" s="31" t="n">
        <v>55</v>
      </c>
      <c r="H1385" s="31" t="s">
        <v>3692</v>
      </c>
      <c r="I1385" s="44" t="s">
        <v>6476</v>
      </c>
      <c r="J1385" s="45" t="s">
        <v>6510</v>
      </c>
      <c r="K1385" s="45" t="s">
        <v>6512</v>
      </c>
      <c r="L1385" s="31" t="n">
        <f aca="false">COUNTIF($B$3:$B$2205,$B1385)</f>
        <v>1</v>
      </c>
      <c r="M1385" s="44" t="str">
        <f aca="false">IFERROR(INDEX(SENTENCES!$T$3:$T$1802,MATCH($F1385,SENTENCES!$A$3:$A$1802,0)),"")</f>
        <v>• Chưa tới</v>
      </c>
    </row>
    <row r="1386" customFormat="false" ht="15" hidden="false" customHeight="false" outlineLevel="0" collapsed="false">
      <c r="A1386" s="31" t="n">
        <v>1384</v>
      </c>
      <c r="B1386" s="43" t="s">
        <v>12362</v>
      </c>
      <c r="C1386" s="34" t="s">
        <v>12897</v>
      </c>
      <c r="D1386" s="44" t="s">
        <v>10677</v>
      </c>
      <c r="E1386" s="31" t="s">
        <v>10678</v>
      </c>
      <c r="F1386" s="31" t="s">
        <v>6514</v>
      </c>
      <c r="G1386" s="31" t="n">
        <v>55</v>
      </c>
      <c r="H1386" s="31" t="s">
        <v>3692</v>
      </c>
      <c r="I1386" s="44" t="s">
        <v>6476</v>
      </c>
      <c r="J1386" s="45" t="s">
        <v>6516</v>
      </c>
      <c r="K1386" s="45" t="s">
        <v>6518</v>
      </c>
      <c r="L1386" s="31" t="n">
        <f aca="false">COUNTIF($B$3:$B$2205,$B1386)</f>
        <v>3</v>
      </c>
      <c r="M1386" s="44" t="str">
        <f aca="false">IFERROR(INDEX(SENTENCES!$T$3:$T$1802,MATCH($F1386,SENTENCES!$A$3:$A$1802,0)),"")</f>
        <v>• Chưa tới</v>
      </c>
    </row>
    <row r="1387" customFormat="false" ht="15" hidden="false" customHeight="false" outlineLevel="0" collapsed="false">
      <c r="A1387" s="31" t="n">
        <v>1385</v>
      </c>
      <c r="B1387" s="43" t="s">
        <v>12898</v>
      </c>
      <c r="C1387" s="34" t="s">
        <v>12899</v>
      </c>
      <c r="D1387" s="44" t="s">
        <v>10677</v>
      </c>
      <c r="E1387" s="31" t="s">
        <v>10707</v>
      </c>
      <c r="F1387" s="31" t="s">
        <v>6514</v>
      </c>
      <c r="G1387" s="31" t="n">
        <v>55</v>
      </c>
      <c r="H1387" s="31" t="s">
        <v>3692</v>
      </c>
      <c r="I1387" s="44" t="s">
        <v>6476</v>
      </c>
      <c r="J1387" s="45" t="s">
        <v>6516</v>
      </c>
      <c r="K1387" s="45" t="s">
        <v>6518</v>
      </c>
      <c r="L1387" s="31" t="n">
        <f aca="false">COUNTIF($B$3:$B$2205,$B1387)</f>
        <v>1</v>
      </c>
      <c r="M1387" s="44" t="str">
        <f aca="false">IFERROR(INDEX(SENTENCES!$T$3:$T$1802,MATCH($F1387,SENTENCES!$A$3:$A$1802,0)),"")</f>
        <v>• Chưa tới</v>
      </c>
    </row>
    <row r="1388" customFormat="false" ht="15" hidden="false" customHeight="false" outlineLevel="0" collapsed="false">
      <c r="A1388" s="31" t="n">
        <v>1386</v>
      </c>
      <c r="B1388" s="43" t="s">
        <v>12900</v>
      </c>
      <c r="C1388" s="34" t="s">
        <v>12901</v>
      </c>
      <c r="D1388" s="44" t="s">
        <v>10677</v>
      </c>
      <c r="E1388" s="31" t="s">
        <v>10707</v>
      </c>
      <c r="F1388" s="31" t="s">
        <v>6520</v>
      </c>
      <c r="G1388" s="31" t="n">
        <v>55</v>
      </c>
      <c r="H1388" s="31" t="s">
        <v>3692</v>
      </c>
      <c r="I1388" s="44" t="s">
        <v>6476</v>
      </c>
      <c r="J1388" s="45" t="s">
        <v>6522</v>
      </c>
      <c r="K1388" s="45" t="s">
        <v>6524</v>
      </c>
      <c r="L1388" s="31" t="n">
        <f aca="false">COUNTIF($B$3:$B$2205,$B1388)</f>
        <v>1</v>
      </c>
      <c r="M1388" s="44" t="str">
        <f aca="false">IFERROR(INDEX(SENTENCES!$T$3:$T$1802,MATCH($F1388,SENTENCES!$A$3:$A$1802,0)),"")</f>
        <v>• Chưa tới</v>
      </c>
    </row>
    <row r="1389" customFormat="false" ht="15" hidden="false" customHeight="false" outlineLevel="0" collapsed="false">
      <c r="A1389" s="31" t="n">
        <v>1387</v>
      </c>
      <c r="B1389" s="43" t="s">
        <v>12761</v>
      </c>
      <c r="C1389" s="34" t="s">
        <v>12762</v>
      </c>
      <c r="D1389" s="44" t="s">
        <v>10677</v>
      </c>
      <c r="E1389" s="31" t="s">
        <v>10678</v>
      </c>
      <c r="F1389" s="31" t="s">
        <v>6526</v>
      </c>
      <c r="G1389" s="31" t="n">
        <v>55</v>
      </c>
      <c r="H1389" s="31" t="s">
        <v>3692</v>
      </c>
      <c r="I1389" s="44" t="s">
        <v>6476</v>
      </c>
      <c r="J1389" s="45" t="s">
        <v>6528</v>
      </c>
      <c r="K1389" s="45" t="s">
        <v>6530</v>
      </c>
      <c r="L1389" s="31" t="n">
        <f aca="false">COUNTIF($B$3:$B$2205,$B1389)</f>
        <v>2</v>
      </c>
      <c r="M1389" s="44" t="str">
        <f aca="false">IFERROR(INDEX(SENTENCES!$T$3:$T$1802,MATCH($F1389,SENTENCES!$A$3:$A$1802,0)),"")</f>
        <v>• Chưa tới</v>
      </c>
    </row>
    <row r="1390" customFormat="false" ht="15" hidden="false" customHeight="false" outlineLevel="0" collapsed="false">
      <c r="A1390" s="31" t="n">
        <v>1388</v>
      </c>
      <c r="B1390" s="43" t="s">
        <v>12611</v>
      </c>
      <c r="C1390" s="34" t="s">
        <v>12902</v>
      </c>
      <c r="D1390" s="44" t="s">
        <v>10754</v>
      </c>
      <c r="E1390" s="31"/>
      <c r="F1390" s="31" t="s">
        <v>6531</v>
      </c>
      <c r="G1390" s="31" t="n">
        <v>55</v>
      </c>
      <c r="H1390" s="31" t="s">
        <v>3692</v>
      </c>
      <c r="I1390" s="44" t="s">
        <v>6476</v>
      </c>
      <c r="J1390" s="45" t="s">
        <v>6533</v>
      </c>
      <c r="K1390" s="45" t="s">
        <v>6535</v>
      </c>
      <c r="L1390" s="31" t="n">
        <f aca="false">COUNTIF($B$3:$B$2205,$B1390)</f>
        <v>2</v>
      </c>
      <c r="M1390" s="44" t="str">
        <f aca="false">IFERROR(INDEX(SENTENCES!$T$3:$T$1802,MATCH($F1390,SENTENCES!$A$3:$A$1802,0)),"")</f>
        <v>• Chưa tới</v>
      </c>
    </row>
    <row r="1391" customFormat="false" ht="15" hidden="false" customHeight="false" outlineLevel="0" collapsed="false">
      <c r="A1391" s="31" t="n">
        <v>1389</v>
      </c>
      <c r="B1391" s="43" t="s">
        <v>12903</v>
      </c>
      <c r="C1391" s="34" t="s">
        <v>12904</v>
      </c>
      <c r="D1391" s="44" t="s">
        <v>10754</v>
      </c>
      <c r="E1391" s="31"/>
      <c r="F1391" s="31" t="s">
        <v>6537</v>
      </c>
      <c r="G1391" s="31" t="n">
        <v>55</v>
      </c>
      <c r="H1391" s="31" t="s">
        <v>3692</v>
      </c>
      <c r="I1391" s="44" t="s">
        <v>6476</v>
      </c>
      <c r="J1391" s="45" t="s">
        <v>6539</v>
      </c>
      <c r="K1391" s="45" t="s">
        <v>6541</v>
      </c>
      <c r="L1391" s="31" t="n">
        <f aca="false">COUNTIF($B$3:$B$2205,$B1391)</f>
        <v>1</v>
      </c>
      <c r="M1391" s="44" t="str">
        <f aca="false">IFERROR(INDEX(SENTENCES!$T$3:$T$1802,MATCH($F1391,SENTENCES!$A$3:$A$1802,0)),"")</f>
        <v>• Chưa tới</v>
      </c>
    </row>
    <row r="1392" customFormat="false" ht="15" hidden="false" customHeight="false" outlineLevel="0" collapsed="false">
      <c r="A1392" s="31" t="n">
        <v>1390</v>
      </c>
      <c r="B1392" s="43" t="s">
        <v>12905</v>
      </c>
      <c r="C1392" s="34" t="s">
        <v>12906</v>
      </c>
      <c r="D1392" s="44" t="s">
        <v>10681</v>
      </c>
      <c r="E1392" s="31"/>
      <c r="F1392" s="31" t="s">
        <v>6543</v>
      </c>
      <c r="G1392" s="31" t="n">
        <v>55</v>
      </c>
      <c r="H1392" s="31" t="s">
        <v>3692</v>
      </c>
      <c r="I1392" s="44" t="s">
        <v>6476</v>
      </c>
      <c r="J1392" s="45" t="s">
        <v>6545</v>
      </c>
      <c r="K1392" s="45" t="s">
        <v>6547</v>
      </c>
      <c r="L1392" s="31" t="n">
        <f aca="false">COUNTIF($B$3:$B$2205,$B1392)</f>
        <v>1</v>
      </c>
      <c r="M1392" s="44" t="str">
        <f aca="false">IFERROR(INDEX(SENTENCES!$T$3:$T$1802,MATCH($F1392,SENTENCES!$A$3:$A$1802,0)),"")</f>
        <v>• Chưa tới</v>
      </c>
    </row>
    <row r="1393" customFormat="false" ht="15" hidden="false" customHeight="false" outlineLevel="0" collapsed="false">
      <c r="A1393" s="31" t="n">
        <v>1391</v>
      </c>
      <c r="B1393" s="43" t="s">
        <v>12907</v>
      </c>
      <c r="C1393" s="34" t="s">
        <v>12908</v>
      </c>
      <c r="D1393" s="44" t="s">
        <v>10681</v>
      </c>
      <c r="E1393" s="31"/>
      <c r="F1393" s="31" t="s">
        <v>6543</v>
      </c>
      <c r="G1393" s="31" t="n">
        <v>55</v>
      </c>
      <c r="H1393" s="31" t="s">
        <v>3692</v>
      </c>
      <c r="I1393" s="44" t="s">
        <v>6476</v>
      </c>
      <c r="J1393" s="45" t="s">
        <v>6545</v>
      </c>
      <c r="K1393" s="45" t="s">
        <v>6547</v>
      </c>
      <c r="L1393" s="31" t="n">
        <f aca="false">COUNTIF($B$3:$B$2205,$B1393)</f>
        <v>2</v>
      </c>
      <c r="M1393" s="44" t="str">
        <f aca="false">IFERROR(INDEX(SENTENCES!$T$3:$T$1802,MATCH($F1393,SENTENCES!$A$3:$A$1802,0)),"")</f>
        <v>• Chưa tới</v>
      </c>
    </row>
    <row r="1394" customFormat="false" ht="15" hidden="false" customHeight="false" outlineLevel="0" collapsed="false">
      <c r="A1394" s="31" t="n">
        <v>1392</v>
      </c>
      <c r="B1394" s="43" t="s">
        <v>12909</v>
      </c>
      <c r="C1394" s="34" t="s">
        <v>12910</v>
      </c>
      <c r="D1394" s="44" t="s">
        <v>10677</v>
      </c>
      <c r="E1394" s="31" t="s">
        <v>10707</v>
      </c>
      <c r="F1394" s="31" t="s">
        <v>6549</v>
      </c>
      <c r="G1394" s="31" t="n">
        <v>55</v>
      </c>
      <c r="H1394" s="31" t="s">
        <v>3692</v>
      </c>
      <c r="I1394" s="44" t="s">
        <v>6476</v>
      </c>
      <c r="J1394" s="45" t="s">
        <v>6551</v>
      </c>
      <c r="K1394" s="45" t="s">
        <v>6553</v>
      </c>
      <c r="L1394" s="31" t="n">
        <f aca="false">COUNTIF($B$3:$B$2205,$B1394)</f>
        <v>1</v>
      </c>
      <c r="M1394" s="44" t="str">
        <f aca="false">IFERROR(INDEX(SENTENCES!$T$3:$T$1802,MATCH($F1394,SENTENCES!$A$3:$A$1802,0)),"")</f>
        <v>• Chưa tới</v>
      </c>
    </row>
    <row r="1395" customFormat="false" ht="15" hidden="false" customHeight="false" outlineLevel="0" collapsed="false">
      <c r="A1395" s="31" t="n">
        <v>1393</v>
      </c>
      <c r="B1395" s="43" t="s">
        <v>12911</v>
      </c>
      <c r="C1395" s="34" t="s">
        <v>12912</v>
      </c>
      <c r="D1395" s="44" t="s">
        <v>10677</v>
      </c>
      <c r="E1395" s="31" t="s">
        <v>10747</v>
      </c>
      <c r="F1395" s="31" t="s">
        <v>6555</v>
      </c>
      <c r="G1395" s="31" t="n">
        <v>55</v>
      </c>
      <c r="H1395" s="31" t="s">
        <v>3692</v>
      </c>
      <c r="I1395" s="44" t="s">
        <v>6476</v>
      </c>
      <c r="J1395" s="45" t="s">
        <v>6557</v>
      </c>
      <c r="K1395" s="45" t="s">
        <v>6559</v>
      </c>
      <c r="L1395" s="31" t="n">
        <f aca="false">COUNTIF($B$3:$B$2205,$B1395)</f>
        <v>1</v>
      </c>
      <c r="M1395" s="44" t="str">
        <f aca="false">IFERROR(INDEX(SENTENCES!$T$3:$T$1802,MATCH($F1395,SENTENCES!$A$3:$A$1802,0)),"")</f>
        <v>• Chưa tới</v>
      </c>
    </row>
    <row r="1396" customFormat="false" ht="15" hidden="false" customHeight="false" outlineLevel="0" collapsed="false">
      <c r="A1396" s="31" t="n">
        <v>1394</v>
      </c>
      <c r="B1396" s="43" t="s">
        <v>12913</v>
      </c>
      <c r="C1396" s="34" t="s">
        <v>10728</v>
      </c>
      <c r="D1396" s="44" t="s">
        <v>10681</v>
      </c>
      <c r="E1396" s="31"/>
      <c r="F1396" s="31" t="s">
        <v>6561</v>
      </c>
      <c r="G1396" s="31" t="n">
        <v>55</v>
      </c>
      <c r="H1396" s="31" t="s">
        <v>3692</v>
      </c>
      <c r="I1396" s="44" t="s">
        <v>6476</v>
      </c>
      <c r="J1396" s="45" t="s">
        <v>6563</v>
      </c>
      <c r="K1396" s="45" t="s">
        <v>6565</v>
      </c>
      <c r="L1396" s="31" t="n">
        <f aca="false">COUNTIF($B$3:$B$2205,$B1396)</f>
        <v>1</v>
      </c>
      <c r="M1396" s="44" t="str">
        <f aca="false">IFERROR(INDEX(SENTENCES!$T$3:$T$1802,MATCH($F1396,SENTENCES!$A$3:$A$1802,0)),"")</f>
        <v>• Chưa tới</v>
      </c>
    </row>
    <row r="1397" customFormat="false" ht="15" hidden="false" customHeight="false" outlineLevel="0" collapsed="false">
      <c r="A1397" s="31" t="n">
        <v>1395</v>
      </c>
      <c r="B1397" s="43" t="s">
        <v>12914</v>
      </c>
      <c r="C1397" s="34" t="s">
        <v>11621</v>
      </c>
      <c r="D1397" s="44" t="s">
        <v>10686</v>
      </c>
      <c r="E1397" s="31"/>
      <c r="F1397" s="31" t="s">
        <v>6567</v>
      </c>
      <c r="G1397" s="31" t="n">
        <v>55</v>
      </c>
      <c r="H1397" s="31" t="s">
        <v>3692</v>
      </c>
      <c r="I1397" s="44" t="s">
        <v>6476</v>
      </c>
      <c r="J1397" s="45" t="s">
        <v>6569</v>
      </c>
      <c r="K1397" s="45" t="s">
        <v>6571</v>
      </c>
      <c r="L1397" s="31" t="n">
        <f aca="false">COUNTIF($B$3:$B$2205,$B1397)</f>
        <v>1</v>
      </c>
      <c r="M1397" s="44" t="str">
        <f aca="false">IFERROR(INDEX(SENTENCES!$T$3:$T$1802,MATCH($F1397,SENTENCES!$A$3:$A$1802,0)),"")</f>
        <v>• Chưa tới</v>
      </c>
    </row>
    <row r="1398" customFormat="false" ht="15" hidden="false" customHeight="false" outlineLevel="0" collapsed="false">
      <c r="A1398" s="31" t="n">
        <v>1396</v>
      </c>
      <c r="B1398" s="43" t="s">
        <v>12564</v>
      </c>
      <c r="C1398" s="34" t="s">
        <v>12565</v>
      </c>
      <c r="D1398" s="44" t="s">
        <v>10681</v>
      </c>
      <c r="E1398" s="31"/>
      <c r="F1398" s="31" t="s">
        <v>6572</v>
      </c>
      <c r="G1398" s="31" t="n">
        <v>55</v>
      </c>
      <c r="H1398" s="31" t="s">
        <v>3692</v>
      </c>
      <c r="I1398" s="44" t="s">
        <v>6476</v>
      </c>
      <c r="J1398" s="45" t="s">
        <v>6573</v>
      </c>
      <c r="K1398" s="45" t="s">
        <v>6575</v>
      </c>
      <c r="L1398" s="31" t="n">
        <f aca="false">COUNTIF($B$3:$B$2205,$B1398)</f>
        <v>2</v>
      </c>
      <c r="M1398" s="44" t="str">
        <f aca="false">IFERROR(INDEX(SENTENCES!$T$3:$T$1802,MATCH($F1398,SENTENCES!$A$3:$A$1802,0)),"")</f>
        <v>• Chưa tới</v>
      </c>
    </row>
    <row r="1399" customFormat="false" ht="15" hidden="false" customHeight="false" outlineLevel="0" collapsed="false">
      <c r="A1399" s="31" t="n">
        <v>1397</v>
      </c>
      <c r="B1399" s="43" t="s">
        <v>12915</v>
      </c>
      <c r="C1399" s="34" t="s">
        <v>12916</v>
      </c>
      <c r="D1399" s="44" t="s">
        <v>10754</v>
      </c>
      <c r="E1399" s="31"/>
      <c r="F1399" s="31" t="s">
        <v>6576</v>
      </c>
      <c r="G1399" s="31" t="n">
        <v>55</v>
      </c>
      <c r="H1399" s="31" t="s">
        <v>3692</v>
      </c>
      <c r="I1399" s="44" t="s">
        <v>6476</v>
      </c>
      <c r="J1399" s="45" t="s">
        <v>6578</v>
      </c>
      <c r="K1399" s="45" t="s">
        <v>6580</v>
      </c>
      <c r="L1399" s="31" t="n">
        <f aca="false">COUNTIF($B$3:$B$2205,$B1399)</f>
        <v>1</v>
      </c>
      <c r="M1399" s="44" t="str">
        <f aca="false">IFERROR(INDEX(SENTENCES!$T$3:$T$1802,MATCH($F1399,SENTENCES!$A$3:$A$1802,0)),"")</f>
        <v>• Chưa tới</v>
      </c>
    </row>
    <row r="1400" customFormat="false" ht="15" hidden="false" customHeight="false" outlineLevel="0" collapsed="false">
      <c r="A1400" s="31" t="n">
        <v>1398</v>
      </c>
      <c r="B1400" s="43" t="s">
        <v>12094</v>
      </c>
      <c r="C1400" s="34" t="s">
        <v>12172</v>
      </c>
      <c r="D1400" s="44" t="s">
        <v>10686</v>
      </c>
      <c r="E1400" s="31"/>
      <c r="F1400" s="31" t="s">
        <v>6582</v>
      </c>
      <c r="G1400" s="31" t="n">
        <v>55</v>
      </c>
      <c r="H1400" s="31" t="s">
        <v>3692</v>
      </c>
      <c r="I1400" s="44" t="s">
        <v>6476</v>
      </c>
      <c r="J1400" s="45" t="s">
        <v>6584</v>
      </c>
      <c r="K1400" s="45" t="s">
        <v>6586</v>
      </c>
      <c r="L1400" s="31" t="n">
        <f aca="false">COUNTIF($B$3:$B$2205,$B1400)</f>
        <v>5</v>
      </c>
      <c r="M1400" s="44" t="str">
        <f aca="false">IFERROR(INDEX(SENTENCES!$T$3:$T$1802,MATCH($F1400,SENTENCES!$A$3:$A$1802,0)),"")</f>
        <v>• Chưa tới</v>
      </c>
    </row>
    <row r="1401" customFormat="false" ht="15" hidden="false" customHeight="false" outlineLevel="0" collapsed="false">
      <c r="A1401" s="31" t="n">
        <v>1399</v>
      </c>
      <c r="B1401" s="43" t="s">
        <v>12917</v>
      </c>
      <c r="C1401" s="34" t="s">
        <v>12918</v>
      </c>
      <c r="D1401" s="44" t="s">
        <v>10686</v>
      </c>
      <c r="E1401" s="31"/>
      <c r="F1401" s="31" t="s">
        <v>6588</v>
      </c>
      <c r="G1401" s="31" t="n">
        <v>56</v>
      </c>
      <c r="H1401" s="31" t="s">
        <v>3692</v>
      </c>
      <c r="I1401" s="44" t="s">
        <v>6589</v>
      </c>
      <c r="J1401" s="45" t="s">
        <v>6591</v>
      </c>
      <c r="K1401" s="45" t="s">
        <v>6593</v>
      </c>
      <c r="L1401" s="31" t="n">
        <f aca="false">COUNTIF($B$3:$B$2205,$B1401)</f>
        <v>1</v>
      </c>
      <c r="M1401" s="44" t="str">
        <f aca="false">IFERROR(INDEX(SENTENCES!$T$3:$T$1802,MATCH($F1401,SENTENCES!$A$3:$A$1802,0)),"")</f>
        <v>• Chưa tới</v>
      </c>
    </row>
    <row r="1402" customFormat="false" ht="15" hidden="false" customHeight="false" outlineLevel="0" collapsed="false">
      <c r="A1402" s="31" t="n">
        <v>1400</v>
      </c>
      <c r="B1402" s="43" t="s">
        <v>12919</v>
      </c>
      <c r="C1402" s="34" t="s">
        <v>12920</v>
      </c>
      <c r="D1402" s="44" t="s">
        <v>10677</v>
      </c>
      <c r="E1402" s="31" t="s">
        <v>10707</v>
      </c>
      <c r="F1402" s="31" t="s">
        <v>6595</v>
      </c>
      <c r="G1402" s="31" t="n">
        <v>56</v>
      </c>
      <c r="H1402" s="31" t="s">
        <v>3692</v>
      </c>
      <c r="I1402" s="44" t="s">
        <v>6589</v>
      </c>
      <c r="J1402" s="45" t="s">
        <v>6597</v>
      </c>
      <c r="K1402" s="45" t="s">
        <v>6599</v>
      </c>
      <c r="L1402" s="31" t="n">
        <f aca="false">COUNTIF($B$3:$B$2205,$B1402)</f>
        <v>1</v>
      </c>
      <c r="M1402" s="44" t="str">
        <f aca="false">IFERROR(INDEX(SENTENCES!$T$3:$T$1802,MATCH($F1402,SENTENCES!$A$3:$A$1802,0)),"")</f>
        <v>• Chưa tới</v>
      </c>
    </row>
    <row r="1403" customFormat="false" ht="15" hidden="false" customHeight="false" outlineLevel="0" collapsed="false">
      <c r="A1403" s="31" t="n">
        <v>1401</v>
      </c>
      <c r="B1403" s="43" t="s">
        <v>12921</v>
      </c>
      <c r="C1403" s="34" t="s">
        <v>12922</v>
      </c>
      <c r="D1403" s="44" t="s">
        <v>10677</v>
      </c>
      <c r="E1403" s="31" t="s">
        <v>10707</v>
      </c>
      <c r="F1403" s="31" t="s">
        <v>6601</v>
      </c>
      <c r="G1403" s="31" t="n">
        <v>56</v>
      </c>
      <c r="H1403" s="31" t="s">
        <v>3692</v>
      </c>
      <c r="I1403" s="44" t="s">
        <v>6589</v>
      </c>
      <c r="J1403" s="45" t="s">
        <v>6602</v>
      </c>
      <c r="K1403" s="45" t="s">
        <v>6604</v>
      </c>
      <c r="L1403" s="31" t="n">
        <f aca="false">COUNTIF($B$3:$B$2205,$B1403)</f>
        <v>1</v>
      </c>
      <c r="M1403" s="44" t="str">
        <f aca="false">IFERROR(INDEX(SENTENCES!$T$3:$T$1802,MATCH($F1403,SENTENCES!$A$3:$A$1802,0)),"")</f>
        <v>• Chưa tới</v>
      </c>
    </row>
    <row r="1404" customFormat="false" ht="15" hidden="false" customHeight="false" outlineLevel="0" collapsed="false">
      <c r="A1404" s="31" t="n">
        <v>1402</v>
      </c>
      <c r="B1404" s="43" t="s">
        <v>12923</v>
      </c>
      <c r="C1404" s="34" t="s">
        <v>12924</v>
      </c>
      <c r="D1404" s="44" t="s">
        <v>10677</v>
      </c>
      <c r="E1404" s="31" t="s">
        <v>10747</v>
      </c>
      <c r="F1404" s="31" t="s">
        <v>6606</v>
      </c>
      <c r="G1404" s="31" t="n">
        <v>56</v>
      </c>
      <c r="H1404" s="31" t="s">
        <v>3692</v>
      </c>
      <c r="I1404" s="44" t="s">
        <v>6589</v>
      </c>
      <c r="J1404" s="45" t="s">
        <v>6608</v>
      </c>
      <c r="K1404" s="45" t="s">
        <v>6610</v>
      </c>
      <c r="L1404" s="31" t="n">
        <f aca="false">COUNTIF($B$3:$B$2205,$B1404)</f>
        <v>1</v>
      </c>
      <c r="M1404" s="44" t="str">
        <f aca="false">IFERROR(INDEX(SENTENCES!$T$3:$T$1802,MATCH($F1404,SENTENCES!$A$3:$A$1802,0)),"")</f>
        <v>• Chưa tới</v>
      </c>
    </row>
    <row r="1405" customFormat="false" ht="15" hidden="false" customHeight="false" outlineLevel="0" collapsed="false">
      <c r="A1405" s="31" t="n">
        <v>1403</v>
      </c>
      <c r="B1405" s="43" t="s">
        <v>12925</v>
      </c>
      <c r="C1405" s="34" t="s">
        <v>12926</v>
      </c>
      <c r="D1405" s="44" t="s">
        <v>10677</v>
      </c>
      <c r="E1405" s="31" t="s">
        <v>10707</v>
      </c>
      <c r="F1405" s="31" t="s">
        <v>6612</v>
      </c>
      <c r="G1405" s="31" t="n">
        <v>56</v>
      </c>
      <c r="H1405" s="31" t="s">
        <v>3692</v>
      </c>
      <c r="I1405" s="44" t="s">
        <v>6589</v>
      </c>
      <c r="J1405" s="45" t="s">
        <v>6614</v>
      </c>
      <c r="K1405" s="45" t="s">
        <v>6616</v>
      </c>
      <c r="L1405" s="31" t="n">
        <f aca="false">COUNTIF($B$3:$B$2205,$B1405)</f>
        <v>1</v>
      </c>
      <c r="M1405" s="44" t="str">
        <f aca="false">IFERROR(INDEX(SENTENCES!$T$3:$T$1802,MATCH($F1405,SENTENCES!$A$3:$A$1802,0)),"")</f>
        <v>• Chưa tới</v>
      </c>
    </row>
    <row r="1406" customFormat="false" ht="15" hidden="false" customHeight="false" outlineLevel="0" collapsed="false">
      <c r="A1406" s="31" t="n">
        <v>1404</v>
      </c>
      <c r="B1406" s="43" t="s">
        <v>12927</v>
      </c>
      <c r="C1406" s="34" t="s">
        <v>12928</v>
      </c>
      <c r="D1406" s="44" t="s">
        <v>10686</v>
      </c>
      <c r="E1406" s="31"/>
      <c r="F1406" s="31" t="s">
        <v>6612</v>
      </c>
      <c r="G1406" s="31" t="n">
        <v>56</v>
      </c>
      <c r="H1406" s="31" t="s">
        <v>3692</v>
      </c>
      <c r="I1406" s="44" t="s">
        <v>6589</v>
      </c>
      <c r="J1406" s="45" t="s">
        <v>6614</v>
      </c>
      <c r="K1406" s="45" t="s">
        <v>6616</v>
      </c>
      <c r="L1406" s="31" t="n">
        <f aca="false">COUNTIF($B$3:$B$2205,$B1406)</f>
        <v>1</v>
      </c>
      <c r="M1406" s="44" t="str">
        <f aca="false">IFERROR(INDEX(SENTENCES!$T$3:$T$1802,MATCH($F1406,SENTENCES!$A$3:$A$1802,0)),"")</f>
        <v>• Chưa tới</v>
      </c>
    </row>
    <row r="1407" customFormat="false" ht="15" hidden="false" customHeight="false" outlineLevel="0" collapsed="false">
      <c r="A1407" s="31" t="n">
        <v>1405</v>
      </c>
      <c r="B1407" s="43" t="s">
        <v>12076</v>
      </c>
      <c r="C1407" s="34" t="s">
        <v>12088</v>
      </c>
      <c r="D1407" s="44" t="s">
        <v>10686</v>
      </c>
      <c r="E1407" s="31"/>
      <c r="F1407" s="31" t="s">
        <v>6618</v>
      </c>
      <c r="G1407" s="31" t="n">
        <v>56</v>
      </c>
      <c r="H1407" s="31" t="s">
        <v>3692</v>
      </c>
      <c r="I1407" s="44" t="s">
        <v>6589</v>
      </c>
      <c r="J1407" s="45" t="s">
        <v>6620</v>
      </c>
      <c r="K1407" s="45" t="s">
        <v>6622</v>
      </c>
      <c r="L1407" s="31" t="n">
        <f aca="false">COUNTIF($B$3:$B$2205,$B1407)</f>
        <v>4</v>
      </c>
      <c r="M1407" s="44" t="str">
        <f aca="false">IFERROR(INDEX(SENTENCES!$T$3:$T$1802,MATCH($F1407,SENTENCES!$A$3:$A$1802,0)),"")</f>
        <v>• Chưa tới</v>
      </c>
    </row>
    <row r="1408" customFormat="false" ht="15" hidden="false" customHeight="false" outlineLevel="0" collapsed="false">
      <c r="A1408" s="31" t="n">
        <v>1406</v>
      </c>
      <c r="B1408" s="43" t="s">
        <v>12929</v>
      </c>
      <c r="C1408" s="34" t="s">
        <v>12930</v>
      </c>
      <c r="D1408" s="44" t="s">
        <v>10686</v>
      </c>
      <c r="E1408" s="31"/>
      <c r="F1408" s="31" t="s">
        <v>6624</v>
      </c>
      <c r="G1408" s="31" t="n">
        <v>56</v>
      </c>
      <c r="H1408" s="31" t="s">
        <v>3692</v>
      </c>
      <c r="I1408" s="44" t="s">
        <v>6589</v>
      </c>
      <c r="J1408" s="45" t="s">
        <v>6626</v>
      </c>
      <c r="K1408" s="45" t="s">
        <v>6628</v>
      </c>
      <c r="L1408" s="31" t="n">
        <f aca="false">COUNTIF($B$3:$B$2205,$B1408)</f>
        <v>1</v>
      </c>
      <c r="M1408" s="44" t="str">
        <f aca="false">IFERROR(INDEX(SENTENCES!$T$3:$T$1802,MATCH($F1408,SENTENCES!$A$3:$A$1802,0)),"")</f>
        <v>• Chưa tới</v>
      </c>
    </row>
    <row r="1409" customFormat="false" ht="15" hidden="false" customHeight="false" outlineLevel="0" collapsed="false">
      <c r="A1409" s="31" t="n">
        <v>1407</v>
      </c>
      <c r="B1409" s="43" t="s">
        <v>12931</v>
      </c>
      <c r="C1409" s="34" t="s">
        <v>12932</v>
      </c>
      <c r="D1409" s="44" t="s">
        <v>10677</v>
      </c>
      <c r="E1409" s="31" t="s">
        <v>10678</v>
      </c>
      <c r="F1409" s="31" t="s">
        <v>6629</v>
      </c>
      <c r="G1409" s="31" t="n">
        <v>56</v>
      </c>
      <c r="H1409" s="31" t="s">
        <v>3692</v>
      </c>
      <c r="I1409" s="44" t="s">
        <v>6589</v>
      </c>
      <c r="J1409" s="45" t="s">
        <v>6631</v>
      </c>
      <c r="K1409" s="45" t="s">
        <v>6633</v>
      </c>
      <c r="L1409" s="31" t="n">
        <f aca="false">COUNTIF($B$3:$B$2205,$B1409)</f>
        <v>1</v>
      </c>
      <c r="M1409" s="44" t="str">
        <f aca="false">IFERROR(INDEX(SENTENCES!$T$3:$T$1802,MATCH($F1409,SENTENCES!$A$3:$A$1802,0)),"")</f>
        <v>• Chưa tới</v>
      </c>
    </row>
    <row r="1410" customFormat="false" ht="15" hidden="false" customHeight="false" outlineLevel="0" collapsed="false">
      <c r="A1410" s="31" t="n">
        <v>1408</v>
      </c>
      <c r="B1410" s="43" t="s">
        <v>12933</v>
      </c>
      <c r="C1410" s="34" t="s">
        <v>12496</v>
      </c>
      <c r="D1410" s="44" t="s">
        <v>10677</v>
      </c>
      <c r="E1410" s="31" t="s">
        <v>10747</v>
      </c>
      <c r="F1410" s="31" t="s">
        <v>6635</v>
      </c>
      <c r="G1410" s="31" t="n">
        <v>56</v>
      </c>
      <c r="H1410" s="31" t="s">
        <v>3692</v>
      </c>
      <c r="I1410" s="44" t="s">
        <v>6589</v>
      </c>
      <c r="J1410" s="45" t="s">
        <v>6637</v>
      </c>
      <c r="K1410" s="45" t="s">
        <v>6639</v>
      </c>
      <c r="L1410" s="31" t="n">
        <f aca="false">COUNTIF($B$3:$B$2205,$B1410)</f>
        <v>1</v>
      </c>
      <c r="M1410" s="44" t="str">
        <f aca="false">IFERROR(INDEX(SENTENCES!$T$3:$T$1802,MATCH($F1410,SENTENCES!$A$3:$A$1802,0)),"")</f>
        <v>• Chưa tới</v>
      </c>
    </row>
    <row r="1411" customFormat="false" ht="15" hidden="false" customHeight="false" outlineLevel="0" collapsed="false">
      <c r="A1411" s="31" t="n">
        <v>1409</v>
      </c>
      <c r="B1411" s="43" t="s">
        <v>12934</v>
      </c>
      <c r="C1411" s="34" t="s">
        <v>12935</v>
      </c>
      <c r="D1411" s="44" t="s">
        <v>10677</v>
      </c>
      <c r="E1411" s="31" t="s">
        <v>10678</v>
      </c>
      <c r="F1411" s="31" t="s">
        <v>6641</v>
      </c>
      <c r="G1411" s="31" t="n">
        <v>56</v>
      </c>
      <c r="H1411" s="31" t="s">
        <v>3692</v>
      </c>
      <c r="I1411" s="44" t="s">
        <v>6589</v>
      </c>
      <c r="J1411" s="45" t="s">
        <v>6643</v>
      </c>
      <c r="K1411" s="45" t="s">
        <v>6645</v>
      </c>
      <c r="L1411" s="31" t="n">
        <f aca="false">COUNTIF($B$3:$B$2205,$B1411)</f>
        <v>1</v>
      </c>
      <c r="M1411" s="44" t="str">
        <f aca="false">IFERROR(INDEX(SENTENCES!$T$3:$T$1802,MATCH($F1411,SENTENCES!$A$3:$A$1802,0)),"")</f>
        <v>• Chưa tới</v>
      </c>
    </row>
    <row r="1412" customFormat="false" ht="15" hidden="false" customHeight="false" outlineLevel="0" collapsed="false">
      <c r="A1412" s="31" t="n">
        <v>1410</v>
      </c>
      <c r="B1412" s="43" t="s">
        <v>7071</v>
      </c>
      <c r="C1412" s="34" t="s">
        <v>12936</v>
      </c>
      <c r="D1412" s="44" t="s">
        <v>10754</v>
      </c>
      <c r="E1412" s="31"/>
      <c r="F1412" s="31" t="s">
        <v>6647</v>
      </c>
      <c r="G1412" s="31" t="n">
        <v>56</v>
      </c>
      <c r="H1412" s="31" t="s">
        <v>3692</v>
      </c>
      <c r="I1412" s="44" t="s">
        <v>6589</v>
      </c>
      <c r="J1412" s="45" t="s">
        <v>6649</v>
      </c>
      <c r="K1412" s="45" t="s">
        <v>6651</v>
      </c>
      <c r="L1412" s="31" t="n">
        <f aca="false">COUNTIF($B$3:$B$2205,$B1412)</f>
        <v>1</v>
      </c>
      <c r="M1412" s="44" t="str">
        <f aca="false">IFERROR(INDEX(SENTENCES!$T$3:$T$1802,MATCH($F1412,SENTENCES!$A$3:$A$1802,0)),"")</f>
        <v>• Chưa tới</v>
      </c>
    </row>
    <row r="1413" customFormat="false" ht="15" hidden="false" customHeight="false" outlineLevel="0" collapsed="false">
      <c r="A1413" s="31" t="n">
        <v>1411</v>
      </c>
      <c r="B1413" s="43" t="s">
        <v>12726</v>
      </c>
      <c r="C1413" s="34" t="s">
        <v>12727</v>
      </c>
      <c r="D1413" s="44" t="s">
        <v>10686</v>
      </c>
      <c r="E1413" s="31"/>
      <c r="F1413" s="31" t="s">
        <v>6653</v>
      </c>
      <c r="G1413" s="31" t="n">
        <v>56</v>
      </c>
      <c r="H1413" s="31" t="s">
        <v>3692</v>
      </c>
      <c r="I1413" s="44" t="s">
        <v>6589</v>
      </c>
      <c r="J1413" s="45" t="s">
        <v>6655</v>
      </c>
      <c r="K1413" s="45" t="s">
        <v>6657</v>
      </c>
      <c r="L1413" s="31" t="n">
        <f aca="false">COUNTIF($B$3:$B$2205,$B1413)</f>
        <v>3</v>
      </c>
      <c r="M1413" s="44" t="str">
        <f aca="false">IFERROR(INDEX(SENTENCES!$T$3:$T$1802,MATCH($F1413,SENTENCES!$A$3:$A$1802,0)),"")</f>
        <v>• Chưa tới</v>
      </c>
    </row>
    <row r="1414" customFormat="false" ht="15" hidden="false" customHeight="false" outlineLevel="0" collapsed="false">
      <c r="A1414" s="31" t="n">
        <v>1412</v>
      </c>
      <c r="B1414" s="43" t="s">
        <v>12937</v>
      </c>
      <c r="C1414" s="34" t="s">
        <v>12938</v>
      </c>
      <c r="D1414" s="44" t="s">
        <v>10677</v>
      </c>
      <c r="E1414" s="31" t="s">
        <v>10707</v>
      </c>
      <c r="F1414" s="31" t="s">
        <v>6658</v>
      </c>
      <c r="G1414" s="31" t="n">
        <v>56</v>
      </c>
      <c r="H1414" s="31" t="s">
        <v>3692</v>
      </c>
      <c r="I1414" s="44" t="s">
        <v>6589</v>
      </c>
      <c r="J1414" s="45" t="s">
        <v>6660</v>
      </c>
      <c r="K1414" s="45" t="s">
        <v>6662</v>
      </c>
      <c r="L1414" s="31" t="n">
        <f aca="false">COUNTIF($B$3:$B$2205,$B1414)</f>
        <v>1</v>
      </c>
      <c r="M1414" s="44" t="str">
        <f aca="false">IFERROR(INDEX(SENTENCES!$T$3:$T$1802,MATCH($F1414,SENTENCES!$A$3:$A$1802,0)),"")</f>
        <v>• Chưa tới</v>
      </c>
    </row>
    <row r="1415" customFormat="false" ht="15" hidden="false" customHeight="false" outlineLevel="0" collapsed="false">
      <c r="A1415" s="31" t="n">
        <v>1413</v>
      </c>
      <c r="B1415" s="43" t="s">
        <v>12939</v>
      </c>
      <c r="C1415" s="34" t="s">
        <v>12940</v>
      </c>
      <c r="D1415" s="44" t="s">
        <v>10681</v>
      </c>
      <c r="E1415" s="31"/>
      <c r="F1415" s="31" t="s">
        <v>6658</v>
      </c>
      <c r="G1415" s="31" t="n">
        <v>56</v>
      </c>
      <c r="H1415" s="31" t="s">
        <v>3692</v>
      </c>
      <c r="I1415" s="44" t="s">
        <v>6589</v>
      </c>
      <c r="J1415" s="45" t="s">
        <v>6660</v>
      </c>
      <c r="K1415" s="45" t="s">
        <v>6662</v>
      </c>
      <c r="L1415" s="31" t="n">
        <f aca="false">COUNTIF($B$3:$B$2205,$B1415)</f>
        <v>1</v>
      </c>
      <c r="M1415" s="44" t="str">
        <f aca="false">IFERROR(INDEX(SENTENCES!$T$3:$T$1802,MATCH($F1415,SENTENCES!$A$3:$A$1802,0)),"")</f>
        <v>• Chưa tới</v>
      </c>
    </row>
    <row r="1416" customFormat="false" ht="15" hidden="false" customHeight="false" outlineLevel="0" collapsed="false">
      <c r="A1416" s="31" t="n">
        <v>1414</v>
      </c>
      <c r="B1416" s="43" t="s">
        <v>12941</v>
      </c>
      <c r="C1416" s="34" t="s">
        <v>12942</v>
      </c>
      <c r="D1416" s="44" t="s">
        <v>10794</v>
      </c>
      <c r="E1416" s="31"/>
      <c r="F1416" s="31" t="s">
        <v>6664</v>
      </c>
      <c r="G1416" s="31" t="n">
        <v>56</v>
      </c>
      <c r="H1416" s="31" t="s">
        <v>3692</v>
      </c>
      <c r="I1416" s="44" t="s">
        <v>6589</v>
      </c>
      <c r="J1416" s="45" t="s">
        <v>6666</v>
      </c>
      <c r="K1416" s="45" t="s">
        <v>6668</v>
      </c>
      <c r="L1416" s="31" t="n">
        <f aca="false">COUNTIF($B$3:$B$2205,$B1416)</f>
        <v>1</v>
      </c>
      <c r="M1416" s="44" t="str">
        <f aca="false">IFERROR(INDEX(SENTENCES!$T$3:$T$1802,MATCH($F1416,SENTENCES!$A$3:$A$1802,0)),"")</f>
        <v>• Chưa tới</v>
      </c>
    </row>
    <row r="1417" customFormat="false" ht="15" hidden="false" customHeight="false" outlineLevel="0" collapsed="false">
      <c r="A1417" s="31" t="n">
        <v>1415</v>
      </c>
      <c r="B1417" s="43" t="s">
        <v>12943</v>
      </c>
      <c r="C1417" s="34" t="s">
        <v>12944</v>
      </c>
      <c r="D1417" s="44" t="s">
        <v>10677</v>
      </c>
      <c r="E1417" s="31" t="s">
        <v>10707</v>
      </c>
      <c r="F1417" s="31" t="s">
        <v>6670</v>
      </c>
      <c r="G1417" s="31" t="n">
        <v>56</v>
      </c>
      <c r="H1417" s="31" t="s">
        <v>3692</v>
      </c>
      <c r="I1417" s="44" t="s">
        <v>6589</v>
      </c>
      <c r="J1417" s="45" t="s">
        <v>6672</v>
      </c>
      <c r="K1417" s="45" t="s">
        <v>6674</v>
      </c>
      <c r="L1417" s="31" t="n">
        <f aca="false">COUNTIF($B$3:$B$2205,$B1417)</f>
        <v>1</v>
      </c>
      <c r="M1417" s="44" t="str">
        <f aca="false">IFERROR(INDEX(SENTENCES!$T$3:$T$1802,MATCH($F1417,SENTENCES!$A$3:$A$1802,0)),"")</f>
        <v>• Chưa tới</v>
      </c>
    </row>
    <row r="1418" customFormat="false" ht="15" hidden="false" customHeight="false" outlineLevel="0" collapsed="false">
      <c r="A1418" s="31" t="n">
        <v>1416</v>
      </c>
      <c r="B1418" s="43" t="s">
        <v>12945</v>
      </c>
      <c r="C1418" s="34" t="s">
        <v>12137</v>
      </c>
      <c r="D1418" s="44" t="s">
        <v>10681</v>
      </c>
      <c r="E1418" s="31"/>
      <c r="F1418" s="31" t="s">
        <v>6670</v>
      </c>
      <c r="G1418" s="31" t="n">
        <v>56</v>
      </c>
      <c r="H1418" s="31" t="s">
        <v>3692</v>
      </c>
      <c r="I1418" s="44" t="s">
        <v>6589</v>
      </c>
      <c r="J1418" s="45" t="s">
        <v>6672</v>
      </c>
      <c r="K1418" s="45" t="s">
        <v>6674</v>
      </c>
      <c r="L1418" s="31" t="n">
        <f aca="false">COUNTIF($B$3:$B$2205,$B1418)</f>
        <v>1</v>
      </c>
      <c r="M1418" s="44" t="str">
        <f aca="false">IFERROR(INDEX(SENTENCES!$T$3:$T$1802,MATCH($F1418,SENTENCES!$A$3:$A$1802,0)),"")</f>
        <v>• Chưa tới</v>
      </c>
    </row>
    <row r="1419" customFormat="false" ht="15" hidden="false" customHeight="false" outlineLevel="0" collapsed="false">
      <c r="A1419" s="31" t="n">
        <v>1417</v>
      </c>
      <c r="B1419" s="43" t="s">
        <v>11119</v>
      </c>
      <c r="C1419" s="34" t="s">
        <v>11120</v>
      </c>
      <c r="D1419" s="44" t="s">
        <v>10677</v>
      </c>
      <c r="E1419" s="31" t="s">
        <v>10747</v>
      </c>
      <c r="F1419" s="31" t="s">
        <v>6676</v>
      </c>
      <c r="G1419" s="31" t="n">
        <v>56</v>
      </c>
      <c r="H1419" s="31" t="s">
        <v>3692</v>
      </c>
      <c r="I1419" s="44" t="s">
        <v>6589</v>
      </c>
      <c r="J1419" s="45" t="s">
        <v>6678</v>
      </c>
      <c r="K1419" s="45" t="s">
        <v>6680</v>
      </c>
      <c r="L1419" s="31" t="n">
        <f aca="false">COUNTIF($B$3:$B$2205,$B1419)</f>
        <v>2</v>
      </c>
      <c r="M1419" s="44" t="str">
        <f aca="false">IFERROR(INDEX(SENTENCES!$T$3:$T$1802,MATCH($F1419,SENTENCES!$A$3:$A$1802,0)),"")</f>
        <v>• Chưa tới</v>
      </c>
    </row>
    <row r="1420" customFormat="false" ht="15" hidden="false" customHeight="false" outlineLevel="0" collapsed="false">
      <c r="A1420" s="31" t="n">
        <v>1418</v>
      </c>
      <c r="B1420" s="43" t="s">
        <v>12946</v>
      </c>
      <c r="C1420" s="34" t="s">
        <v>12947</v>
      </c>
      <c r="D1420" s="44" t="s">
        <v>10686</v>
      </c>
      <c r="E1420" s="31"/>
      <c r="F1420" s="31" t="s">
        <v>6681</v>
      </c>
      <c r="G1420" s="31" t="n">
        <v>56</v>
      </c>
      <c r="H1420" s="31" t="s">
        <v>3692</v>
      </c>
      <c r="I1420" s="44" t="s">
        <v>6589</v>
      </c>
      <c r="J1420" s="45" t="s">
        <v>6683</v>
      </c>
      <c r="K1420" s="45" t="s">
        <v>6685</v>
      </c>
      <c r="L1420" s="31" t="n">
        <f aca="false">COUNTIF($B$3:$B$2205,$B1420)</f>
        <v>2</v>
      </c>
      <c r="M1420" s="44" t="str">
        <f aca="false">IFERROR(INDEX(SENTENCES!$T$3:$T$1802,MATCH($F1420,SENTENCES!$A$3:$A$1802,0)),"")</f>
        <v>• Chưa tới</v>
      </c>
    </row>
    <row r="1421" customFormat="false" ht="15" hidden="false" customHeight="false" outlineLevel="0" collapsed="false">
      <c r="A1421" s="31" t="n">
        <v>1419</v>
      </c>
      <c r="B1421" s="43" t="s">
        <v>12948</v>
      </c>
      <c r="C1421" s="34" t="s">
        <v>12949</v>
      </c>
      <c r="D1421" s="44" t="s">
        <v>10681</v>
      </c>
      <c r="E1421" s="31"/>
      <c r="F1421" s="31" t="s">
        <v>6687</v>
      </c>
      <c r="G1421" s="31" t="n">
        <v>56</v>
      </c>
      <c r="H1421" s="31" t="s">
        <v>3692</v>
      </c>
      <c r="I1421" s="44" t="s">
        <v>6589</v>
      </c>
      <c r="J1421" s="45" t="s">
        <v>6689</v>
      </c>
      <c r="K1421" s="45" t="s">
        <v>6691</v>
      </c>
      <c r="L1421" s="31" t="n">
        <f aca="false">COUNTIF($B$3:$B$2205,$B1421)</f>
        <v>1</v>
      </c>
      <c r="M1421" s="44" t="str">
        <f aca="false">IFERROR(INDEX(SENTENCES!$T$3:$T$1802,MATCH($F1421,SENTENCES!$A$3:$A$1802,0)),"")</f>
        <v>• Chưa tới</v>
      </c>
    </row>
    <row r="1422" customFormat="false" ht="15" hidden="false" customHeight="false" outlineLevel="0" collapsed="false">
      <c r="A1422" s="31" t="n">
        <v>1420</v>
      </c>
      <c r="B1422" s="43" t="s">
        <v>12950</v>
      </c>
      <c r="C1422" s="34" t="s">
        <v>12951</v>
      </c>
      <c r="D1422" s="44" t="s">
        <v>10686</v>
      </c>
      <c r="E1422" s="31"/>
      <c r="F1422" s="31" t="s">
        <v>6693</v>
      </c>
      <c r="G1422" s="31" t="n">
        <v>56</v>
      </c>
      <c r="H1422" s="31" t="s">
        <v>3692</v>
      </c>
      <c r="I1422" s="44" t="s">
        <v>6589</v>
      </c>
      <c r="J1422" s="45" t="s">
        <v>6695</v>
      </c>
      <c r="K1422" s="45" t="s">
        <v>6697</v>
      </c>
      <c r="L1422" s="31" t="n">
        <f aca="false">COUNTIF($B$3:$B$2205,$B1422)</f>
        <v>1</v>
      </c>
      <c r="M1422" s="44" t="str">
        <f aca="false">IFERROR(INDEX(SENTENCES!$T$3:$T$1802,MATCH($F1422,SENTENCES!$A$3:$A$1802,0)),"")</f>
        <v>• Chưa tới</v>
      </c>
    </row>
    <row r="1423" customFormat="false" ht="15" hidden="false" customHeight="false" outlineLevel="0" collapsed="false">
      <c r="A1423" s="31" t="n">
        <v>1421</v>
      </c>
      <c r="B1423" s="43" t="s">
        <v>12952</v>
      </c>
      <c r="C1423" s="34" t="s">
        <v>12953</v>
      </c>
      <c r="D1423" s="44" t="s">
        <v>10677</v>
      </c>
      <c r="E1423" s="31" t="s">
        <v>10707</v>
      </c>
      <c r="F1423" s="31" t="s">
        <v>6693</v>
      </c>
      <c r="G1423" s="31" t="n">
        <v>56</v>
      </c>
      <c r="H1423" s="31" t="s">
        <v>3692</v>
      </c>
      <c r="I1423" s="44" t="s">
        <v>6589</v>
      </c>
      <c r="J1423" s="45" t="s">
        <v>6695</v>
      </c>
      <c r="K1423" s="45" t="s">
        <v>6697</v>
      </c>
      <c r="L1423" s="31" t="n">
        <f aca="false">COUNTIF($B$3:$B$2205,$B1423)</f>
        <v>1</v>
      </c>
      <c r="M1423" s="44" t="str">
        <f aca="false">IFERROR(INDEX(SENTENCES!$T$3:$T$1802,MATCH($F1423,SENTENCES!$A$3:$A$1802,0)),"")</f>
        <v>• Chưa tới</v>
      </c>
    </row>
    <row r="1424" customFormat="false" ht="15" hidden="false" customHeight="false" outlineLevel="0" collapsed="false">
      <c r="A1424" s="31" t="n">
        <v>1422</v>
      </c>
      <c r="B1424" s="43" t="s">
        <v>12954</v>
      </c>
      <c r="C1424" s="34" t="s">
        <v>12955</v>
      </c>
      <c r="D1424" s="44" t="s">
        <v>10686</v>
      </c>
      <c r="E1424" s="31"/>
      <c r="F1424" s="31" t="s">
        <v>6699</v>
      </c>
      <c r="G1424" s="31" t="n">
        <v>56</v>
      </c>
      <c r="H1424" s="31" t="s">
        <v>3692</v>
      </c>
      <c r="I1424" s="44" t="s">
        <v>6589</v>
      </c>
      <c r="J1424" s="45" t="s">
        <v>6701</v>
      </c>
      <c r="K1424" s="45" t="s">
        <v>6703</v>
      </c>
      <c r="L1424" s="31" t="n">
        <f aca="false">COUNTIF($B$3:$B$2205,$B1424)</f>
        <v>1</v>
      </c>
      <c r="M1424" s="44" t="str">
        <f aca="false">IFERROR(INDEX(SENTENCES!$T$3:$T$1802,MATCH($F1424,SENTENCES!$A$3:$A$1802,0)),"")</f>
        <v>• Chưa tới</v>
      </c>
    </row>
    <row r="1425" customFormat="false" ht="15" hidden="false" customHeight="false" outlineLevel="0" collapsed="false">
      <c r="A1425" s="31" t="n">
        <v>1423</v>
      </c>
      <c r="B1425" s="43" t="s">
        <v>12956</v>
      </c>
      <c r="C1425" s="34" t="s">
        <v>12957</v>
      </c>
      <c r="D1425" s="44" t="s">
        <v>10677</v>
      </c>
      <c r="E1425" s="31" t="s">
        <v>10678</v>
      </c>
      <c r="F1425" s="31" t="s">
        <v>6699</v>
      </c>
      <c r="G1425" s="31" t="n">
        <v>56</v>
      </c>
      <c r="H1425" s="31" t="s">
        <v>3692</v>
      </c>
      <c r="I1425" s="44" t="s">
        <v>6589</v>
      </c>
      <c r="J1425" s="45" t="s">
        <v>6701</v>
      </c>
      <c r="K1425" s="45" t="s">
        <v>6703</v>
      </c>
      <c r="L1425" s="31" t="n">
        <f aca="false">COUNTIF($B$3:$B$2205,$B1425)</f>
        <v>1</v>
      </c>
      <c r="M1425" s="44" t="str">
        <f aca="false">IFERROR(INDEX(SENTENCES!$T$3:$T$1802,MATCH($F1425,SENTENCES!$A$3:$A$1802,0)),"")</f>
        <v>• Chưa tới</v>
      </c>
    </row>
    <row r="1426" customFormat="false" ht="15" hidden="false" customHeight="false" outlineLevel="0" collapsed="false">
      <c r="A1426" s="31" t="n">
        <v>1424</v>
      </c>
      <c r="B1426" s="43" t="s">
        <v>12958</v>
      </c>
      <c r="C1426" s="34" t="s">
        <v>12959</v>
      </c>
      <c r="D1426" s="44" t="s">
        <v>10677</v>
      </c>
      <c r="E1426" s="31" t="s">
        <v>10678</v>
      </c>
      <c r="F1426" s="31" t="s">
        <v>6705</v>
      </c>
      <c r="G1426" s="31" t="n">
        <v>57</v>
      </c>
      <c r="H1426" s="31" t="s">
        <v>3692</v>
      </c>
      <c r="I1426" s="44" t="s">
        <v>6706</v>
      </c>
      <c r="J1426" s="45" t="s">
        <v>6708</v>
      </c>
      <c r="K1426" s="45" t="s">
        <v>6710</v>
      </c>
      <c r="L1426" s="31" t="n">
        <f aca="false">COUNTIF($B$3:$B$2205,$B1426)</f>
        <v>1</v>
      </c>
      <c r="M1426" s="44" t="str">
        <f aca="false">IFERROR(INDEX(SENTENCES!$T$3:$T$1802,MATCH($F1426,SENTENCES!$A$3:$A$1802,0)),"")</f>
        <v>• Chưa tới</v>
      </c>
    </row>
    <row r="1427" customFormat="false" ht="15" hidden="false" customHeight="false" outlineLevel="0" collapsed="false">
      <c r="A1427" s="31" t="n">
        <v>1425</v>
      </c>
      <c r="B1427" s="43" t="s">
        <v>12960</v>
      </c>
      <c r="C1427" s="34" t="s">
        <v>12961</v>
      </c>
      <c r="D1427" s="44" t="s">
        <v>10677</v>
      </c>
      <c r="E1427" s="31" t="s">
        <v>10747</v>
      </c>
      <c r="F1427" s="31" t="s">
        <v>6705</v>
      </c>
      <c r="G1427" s="31" t="n">
        <v>57</v>
      </c>
      <c r="H1427" s="31" t="s">
        <v>3692</v>
      </c>
      <c r="I1427" s="44" t="s">
        <v>6706</v>
      </c>
      <c r="J1427" s="45" t="s">
        <v>6708</v>
      </c>
      <c r="K1427" s="45" t="s">
        <v>6710</v>
      </c>
      <c r="L1427" s="31" t="n">
        <f aca="false">COUNTIF($B$3:$B$2205,$B1427)</f>
        <v>1</v>
      </c>
      <c r="M1427" s="44" t="str">
        <f aca="false">IFERROR(INDEX(SENTENCES!$T$3:$T$1802,MATCH($F1427,SENTENCES!$A$3:$A$1802,0)),"")</f>
        <v>• Chưa tới</v>
      </c>
    </row>
    <row r="1428" customFormat="false" ht="15" hidden="false" customHeight="false" outlineLevel="0" collapsed="false">
      <c r="A1428" s="31" t="n">
        <v>1426</v>
      </c>
      <c r="B1428" s="43" t="s">
        <v>12962</v>
      </c>
      <c r="C1428" s="34" t="s">
        <v>12963</v>
      </c>
      <c r="D1428" s="44" t="s">
        <v>10677</v>
      </c>
      <c r="E1428" s="31" t="s">
        <v>10707</v>
      </c>
      <c r="F1428" s="31" t="s">
        <v>6712</v>
      </c>
      <c r="G1428" s="31" t="n">
        <v>57</v>
      </c>
      <c r="H1428" s="31" t="s">
        <v>3692</v>
      </c>
      <c r="I1428" s="44" t="s">
        <v>6706</v>
      </c>
      <c r="J1428" s="45" t="s">
        <v>6714</v>
      </c>
      <c r="K1428" s="45" t="s">
        <v>6716</v>
      </c>
      <c r="L1428" s="31" t="n">
        <f aca="false">COUNTIF($B$3:$B$2205,$B1428)</f>
        <v>1</v>
      </c>
      <c r="M1428" s="44" t="str">
        <f aca="false">IFERROR(INDEX(SENTENCES!$T$3:$T$1802,MATCH($F1428,SENTENCES!$A$3:$A$1802,0)),"")</f>
        <v>• Chưa tới</v>
      </c>
    </row>
    <row r="1429" customFormat="false" ht="15" hidden="false" customHeight="false" outlineLevel="0" collapsed="false">
      <c r="A1429" s="31" t="n">
        <v>1427</v>
      </c>
      <c r="B1429" s="43" t="s">
        <v>12964</v>
      </c>
      <c r="C1429" s="34" t="s">
        <v>12965</v>
      </c>
      <c r="D1429" s="44" t="s">
        <v>10677</v>
      </c>
      <c r="E1429" s="31" t="s">
        <v>10707</v>
      </c>
      <c r="F1429" s="31" t="s">
        <v>6718</v>
      </c>
      <c r="G1429" s="31" t="n">
        <v>57</v>
      </c>
      <c r="H1429" s="31" t="s">
        <v>3692</v>
      </c>
      <c r="I1429" s="44" t="s">
        <v>6706</v>
      </c>
      <c r="J1429" s="45" t="s">
        <v>6719</v>
      </c>
      <c r="K1429" s="45" t="s">
        <v>6721</v>
      </c>
      <c r="L1429" s="31" t="n">
        <f aca="false">COUNTIF($B$3:$B$2205,$B1429)</f>
        <v>1</v>
      </c>
      <c r="M1429" s="44" t="str">
        <f aca="false">IFERROR(INDEX(SENTENCES!$T$3:$T$1802,MATCH($F1429,SENTENCES!$A$3:$A$1802,0)),"")</f>
        <v>• Chưa tới</v>
      </c>
    </row>
    <row r="1430" customFormat="false" ht="15" hidden="false" customHeight="false" outlineLevel="0" collapsed="false">
      <c r="A1430" s="31" t="n">
        <v>1428</v>
      </c>
      <c r="B1430" s="43" t="s">
        <v>12966</v>
      </c>
      <c r="C1430" s="34" t="s">
        <v>12967</v>
      </c>
      <c r="D1430" s="44" t="s">
        <v>10677</v>
      </c>
      <c r="E1430" s="31" t="s">
        <v>10678</v>
      </c>
      <c r="F1430" s="31" t="s">
        <v>6723</v>
      </c>
      <c r="G1430" s="31" t="n">
        <v>57</v>
      </c>
      <c r="H1430" s="31" t="s">
        <v>3692</v>
      </c>
      <c r="I1430" s="44" t="s">
        <v>6706</v>
      </c>
      <c r="J1430" s="45" t="s">
        <v>6724</v>
      </c>
      <c r="K1430" s="45" t="s">
        <v>6726</v>
      </c>
      <c r="L1430" s="31" t="n">
        <f aca="false">COUNTIF($B$3:$B$2205,$B1430)</f>
        <v>1</v>
      </c>
      <c r="M1430" s="44" t="str">
        <f aca="false">IFERROR(INDEX(SENTENCES!$T$3:$T$1802,MATCH($F1430,SENTENCES!$A$3:$A$1802,0)),"")</f>
        <v>• Chưa tới</v>
      </c>
    </row>
    <row r="1431" customFormat="false" ht="15" hidden="false" customHeight="false" outlineLevel="0" collapsed="false">
      <c r="A1431" s="31" t="n">
        <v>1429</v>
      </c>
      <c r="B1431" s="43" t="s">
        <v>12968</v>
      </c>
      <c r="C1431" s="34" t="s">
        <v>12969</v>
      </c>
      <c r="D1431" s="44" t="s">
        <v>10677</v>
      </c>
      <c r="E1431" s="31" t="s">
        <v>10707</v>
      </c>
      <c r="F1431" s="31" t="s">
        <v>6728</v>
      </c>
      <c r="G1431" s="31" t="n">
        <v>57</v>
      </c>
      <c r="H1431" s="31" t="s">
        <v>3692</v>
      </c>
      <c r="I1431" s="44" t="s">
        <v>6706</v>
      </c>
      <c r="J1431" s="45" t="s">
        <v>6730</v>
      </c>
      <c r="K1431" s="45" t="s">
        <v>6732</v>
      </c>
      <c r="L1431" s="31" t="n">
        <f aca="false">COUNTIF($B$3:$B$2205,$B1431)</f>
        <v>1</v>
      </c>
      <c r="M1431" s="44" t="str">
        <f aca="false">IFERROR(INDEX(SENTENCES!$T$3:$T$1802,MATCH($F1431,SENTENCES!$A$3:$A$1802,0)),"")</f>
        <v>• Chưa tới</v>
      </c>
    </row>
    <row r="1432" customFormat="false" ht="15" hidden="false" customHeight="false" outlineLevel="0" collapsed="false">
      <c r="A1432" s="31" t="n">
        <v>1430</v>
      </c>
      <c r="B1432" s="43" t="s">
        <v>12970</v>
      </c>
      <c r="C1432" s="34" t="s">
        <v>12971</v>
      </c>
      <c r="D1432" s="44" t="s">
        <v>10686</v>
      </c>
      <c r="E1432" s="31"/>
      <c r="F1432" s="31" t="s">
        <v>6734</v>
      </c>
      <c r="G1432" s="31" t="n">
        <v>57</v>
      </c>
      <c r="H1432" s="31" t="s">
        <v>3692</v>
      </c>
      <c r="I1432" s="44" t="s">
        <v>6706</v>
      </c>
      <c r="J1432" s="45" t="s">
        <v>6736</v>
      </c>
      <c r="K1432" s="45" t="s">
        <v>6738</v>
      </c>
      <c r="L1432" s="31" t="n">
        <f aca="false">COUNTIF($B$3:$B$2205,$B1432)</f>
        <v>1</v>
      </c>
      <c r="M1432" s="44" t="str">
        <f aca="false">IFERROR(INDEX(SENTENCES!$T$3:$T$1802,MATCH($F1432,SENTENCES!$A$3:$A$1802,0)),"")</f>
        <v>• Chưa tới</v>
      </c>
    </row>
    <row r="1433" customFormat="false" ht="15" hidden="false" customHeight="false" outlineLevel="0" collapsed="false">
      <c r="A1433" s="31" t="n">
        <v>1431</v>
      </c>
      <c r="B1433" s="43" t="s">
        <v>12972</v>
      </c>
      <c r="C1433" s="34" t="s">
        <v>12973</v>
      </c>
      <c r="D1433" s="44" t="s">
        <v>10754</v>
      </c>
      <c r="E1433" s="31"/>
      <c r="F1433" s="31" t="s">
        <v>6740</v>
      </c>
      <c r="G1433" s="31" t="n">
        <v>57</v>
      </c>
      <c r="H1433" s="31" t="s">
        <v>3692</v>
      </c>
      <c r="I1433" s="44" t="s">
        <v>6706</v>
      </c>
      <c r="J1433" s="45" t="s">
        <v>6742</v>
      </c>
      <c r="K1433" s="45" t="s">
        <v>6744</v>
      </c>
      <c r="L1433" s="31" t="n">
        <f aca="false">COUNTIF($B$3:$B$2205,$B1433)</f>
        <v>1</v>
      </c>
      <c r="M1433" s="44" t="str">
        <f aca="false">IFERROR(INDEX(SENTENCES!$T$3:$T$1802,MATCH($F1433,SENTENCES!$A$3:$A$1802,0)),"")</f>
        <v>• Chưa tới</v>
      </c>
    </row>
    <row r="1434" customFormat="false" ht="15" hidden="false" customHeight="false" outlineLevel="0" collapsed="false">
      <c r="A1434" s="31" t="n">
        <v>1432</v>
      </c>
      <c r="B1434" s="43" t="s">
        <v>12974</v>
      </c>
      <c r="C1434" s="34" t="s">
        <v>12975</v>
      </c>
      <c r="D1434" s="44" t="s">
        <v>10677</v>
      </c>
      <c r="E1434" s="31" t="s">
        <v>10707</v>
      </c>
      <c r="F1434" s="31" t="s">
        <v>6746</v>
      </c>
      <c r="G1434" s="31" t="n">
        <v>57</v>
      </c>
      <c r="H1434" s="31" t="s">
        <v>3692</v>
      </c>
      <c r="I1434" s="44" t="s">
        <v>6706</v>
      </c>
      <c r="J1434" s="45" t="s">
        <v>6747</v>
      </c>
      <c r="K1434" s="45" t="s">
        <v>6749</v>
      </c>
      <c r="L1434" s="31" t="n">
        <f aca="false">COUNTIF($B$3:$B$2205,$B1434)</f>
        <v>1</v>
      </c>
      <c r="M1434" s="44" t="str">
        <f aca="false">IFERROR(INDEX(SENTENCES!$T$3:$T$1802,MATCH($F1434,SENTENCES!$A$3:$A$1802,0)),"")</f>
        <v>• Chưa tới</v>
      </c>
    </row>
    <row r="1435" customFormat="false" ht="15" hidden="false" customHeight="false" outlineLevel="0" collapsed="false">
      <c r="A1435" s="31" t="n">
        <v>1433</v>
      </c>
      <c r="B1435" s="43" t="s">
        <v>12976</v>
      </c>
      <c r="C1435" s="34" t="s">
        <v>12977</v>
      </c>
      <c r="D1435" s="44" t="s">
        <v>10677</v>
      </c>
      <c r="E1435" s="31" t="s">
        <v>10678</v>
      </c>
      <c r="F1435" s="31" t="s">
        <v>6751</v>
      </c>
      <c r="G1435" s="31" t="n">
        <v>57</v>
      </c>
      <c r="H1435" s="31" t="s">
        <v>3692</v>
      </c>
      <c r="I1435" s="44" t="s">
        <v>6706</v>
      </c>
      <c r="J1435" s="45" t="s">
        <v>6752</v>
      </c>
      <c r="K1435" s="45" t="s">
        <v>6754</v>
      </c>
      <c r="L1435" s="31" t="n">
        <f aca="false">COUNTIF($B$3:$B$2205,$B1435)</f>
        <v>1</v>
      </c>
      <c r="M1435" s="44" t="str">
        <f aca="false">IFERROR(INDEX(SENTENCES!$T$3:$T$1802,MATCH($F1435,SENTENCES!$A$3:$A$1802,0)),"")</f>
        <v>• Chưa tới</v>
      </c>
    </row>
    <row r="1436" customFormat="false" ht="15" hidden="false" customHeight="false" outlineLevel="0" collapsed="false">
      <c r="A1436" s="31" t="n">
        <v>1434</v>
      </c>
      <c r="B1436" s="43" t="s">
        <v>12978</v>
      </c>
      <c r="C1436" s="34" t="s">
        <v>12979</v>
      </c>
      <c r="D1436" s="44" t="s">
        <v>10677</v>
      </c>
      <c r="E1436" s="31" t="s">
        <v>10707</v>
      </c>
      <c r="F1436" s="31" t="s">
        <v>6756</v>
      </c>
      <c r="G1436" s="31" t="n">
        <v>57</v>
      </c>
      <c r="H1436" s="31" t="s">
        <v>3692</v>
      </c>
      <c r="I1436" s="44" t="s">
        <v>6706</v>
      </c>
      <c r="J1436" s="45" t="s">
        <v>6757</v>
      </c>
      <c r="K1436" s="45" t="s">
        <v>6759</v>
      </c>
      <c r="L1436" s="31" t="n">
        <f aca="false">COUNTIF($B$3:$B$2205,$B1436)</f>
        <v>1</v>
      </c>
      <c r="M1436" s="44" t="str">
        <f aca="false">IFERROR(INDEX(SENTENCES!$T$3:$T$1802,MATCH($F1436,SENTENCES!$A$3:$A$1802,0)),"")</f>
        <v>• Chưa tới</v>
      </c>
    </row>
    <row r="1437" customFormat="false" ht="15" hidden="false" customHeight="false" outlineLevel="0" collapsed="false">
      <c r="A1437" s="31" t="n">
        <v>1435</v>
      </c>
      <c r="B1437" s="43" t="s">
        <v>12980</v>
      </c>
      <c r="C1437" s="34" t="s">
        <v>12981</v>
      </c>
      <c r="D1437" s="44" t="s">
        <v>10681</v>
      </c>
      <c r="E1437" s="31"/>
      <c r="F1437" s="31" t="s">
        <v>6761</v>
      </c>
      <c r="G1437" s="31" t="n">
        <v>57</v>
      </c>
      <c r="H1437" s="31" t="s">
        <v>3692</v>
      </c>
      <c r="I1437" s="44" t="s">
        <v>6706</v>
      </c>
      <c r="J1437" s="45" t="s">
        <v>6763</v>
      </c>
      <c r="K1437" s="45" t="s">
        <v>6765</v>
      </c>
      <c r="L1437" s="31" t="n">
        <f aca="false">COUNTIF($B$3:$B$2205,$B1437)</f>
        <v>1</v>
      </c>
      <c r="M1437" s="44" t="str">
        <f aca="false">IFERROR(INDEX(SENTENCES!$T$3:$T$1802,MATCH($F1437,SENTENCES!$A$3:$A$1802,0)),"")</f>
        <v>• Chưa tới</v>
      </c>
    </row>
    <row r="1438" customFormat="false" ht="15" hidden="false" customHeight="false" outlineLevel="0" collapsed="false">
      <c r="A1438" s="31" t="n">
        <v>1436</v>
      </c>
      <c r="B1438" s="43" t="s">
        <v>12982</v>
      </c>
      <c r="C1438" s="34" t="s">
        <v>12983</v>
      </c>
      <c r="D1438" s="44" t="s">
        <v>10677</v>
      </c>
      <c r="E1438" s="31" t="s">
        <v>10707</v>
      </c>
      <c r="F1438" s="31" t="s">
        <v>6767</v>
      </c>
      <c r="G1438" s="31" t="n">
        <v>57</v>
      </c>
      <c r="H1438" s="31" t="s">
        <v>3692</v>
      </c>
      <c r="I1438" s="44" t="s">
        <v>6706</v>
      </c>
      <c r="J1438" s="45" t="s">
        <v>6769</v>
      </c>
      <c r="K1438" s="45" t="s">
        <v>6771</v>
      </c>
      <c r="L1438" s="31" t="n">
        <f aca="false">COUNTIF($B$3:$B$2205,$B1438)</f>
        <v>1</v>
      </c>
      <c r="M1438" s="44" t="str">
        <f aca="false">IFERROR(INDEX(SENTENCES!$T$3:$T$1802,MATCH($F1438,SENTENCES!$A$3:$A$1802,0)),"")</f>
        <v>• Chưa tới</v>
      </c>
    </row>
    <row r="1439" customFormat="false" ht="15" hidden="false" customHeight="false" outlineLevel="0" collapsed="false">
      <c r="A1439" s="31" t="n">
        <v>1437</v>
      </c>
      <c r="B1439" s="43" t="s">
        <v>12984</v>
      </c>
      <c r="C1439" s="34" t="s">
        <v>12985</v>
      </c>
      <c r="D1439" s="44" t="s">
        <v>10677</v>
      </c>
      <c r="E1439" s="31" t="s">
        <v>10707</v>
      </c>
      <c r="F1439" s="31" t="s">
        <v>6773</v>
      </c>
      <c r="G1439" s="31" t="n">
        <v>57</v>
      </c>
      <c r="H1439" s="31" t="s">
        <v>3692</v>
      </c>
      <c r="I1439" s="44" t="s">
        <v>6706</v>
      </c>
      <c r="J1439" s="45" t="s">
        <v>6775</v>
      </c>
      <c r="K1439" s="45" t="s">
        <v>6777</v>
      </c>
      <c r="L1439" s="31" t="n">
        <f aca="false">COUNTIF($B$3:$B$2205,$B1439)</f>
        <v>1</v>
      </c>
      <c r="M1439" s="44" t="str">
        <f aca="false">IFERROR(INDEX(SENTENCES!$T$3:$T$1802,MATCH($F1439,SENTENCES!$A$3:$A$1802,0)),"")</f>
        <v>• Chưa tới</v>
      </c>
    </row>
    <row r="1440" customFormat="false" ht="15" hidden="false" customHeight="false" outlineLevel="0" collapsed="false">
      <c r="A1440" s="31" t="n">
        <v>1438</v>
      </c>
      <c r="B1440" s="43" t="s">
        <v>12986</v>
      </c>
      <c r="C1440" s="34" t="s">
        <v>12987</v>
      </c>
      <c r="D1440" s="44" t="s">
        <v>10677</v>
      </c>
      <c r="E1440" s="31" t="s">
        <v>10707</v>
      </c>
      <c r="F1440" s="31" t="s">
        <v>6779</v>
      </c>
      <c r="G1440" s="31" t="n">
        <v>57</v>
      </c>
      <c r="H1440" s="31" t="s">
        <v>3692</v>
      </c>
      <c r="I1440" s="44" t="s">
        <v>6706</v>
      </c>
      <c r="J1440" s="45" t="s">
        <v>6780</v>
      </c>
      <c r="K1440" s="45" t="s">
        <v>6782</v>
      </c>
      <c r="L1440" s="31" t="n">
        <f aca="false">COUNTIF($B$3:$B$2205,$B1440)</f>
        <v>1</v>
      </c>
      <c r="M1440" s="44" t="str">
        <f aca="false">IFERROR(INDEX(SENTENCES!$T$3:$T$1802,MATCH($F1440,SENTENCES!$A$3:$A$1802,0)),"")</f>
        <v>• Chưa tới</v>
      </c>
    </row>
    <row r="1441" customFormat="false" ht="15" hidden="false" customHeight="false" outlineLevel="0" collapsed="false">
      <c r="A1441" s="31" t="n">
        <v>1439</v>
      </c>
      <c r="B1441" s="43" t="s">
        <v>12447</v>
      </c>
      <c r="C1441" s="34" t="s">
        <v>12988</v>
      </c>
      <c r="D1441" s="44" t="s">
        <v>10686</v>
      </c>
      <c r="E1441" s="31"/>
      <c r="F1441" s="31" t="s">
        <v>6784</v>
      </c>
      <c r="G1441" s="31" t="n">
        <v>57</v>
      </c>
      <c r="H1441" s="31" t="s">
        <v>3692</v>
      </c>
      <c r="I1441" s="44" t="s">
        <v>6706</v>
      </c>
      <c r="J1441" s="45" t="s">
        <v>6786</v>
      </c>
      <c r="K1441" s="45" t="s">
        <v>6788</v>
      </c>
      <c r="L1441" s="31" t="n">
        <f aca="false">COUNTIF($B$3:$B$2205,$B1441)</f>
        <v>2</v>
      </c>
      <c r="M1441" s="44" t="str">
        <f aca="false">IFERROR(INDEX(SENTENCES!$T$3:$T$1802,MATCH($F1441,SENTENCES!$A$3:$A$1802,0)),"")</f>
        <v>• Chưa tới</v>
      </c>
    </row>
    <row r="1442" customFormat="false" ht="15" hidden="false" customHeight="false" outlineLevel="0" collapsed="false">
      <c r="A1442" s="31" t="n">
        <v>1440</v>
      </c>
      <c r="B1442" s="43" t="s">
        <v>12989</v>
      </c>
      <c r="C1442" s="34" t="s">
        <v>12990</v>
      </c>
      <c r="D1442" s="44" t="s">
        <v>10754</v>
      </c>
      <c r="E1442" s="31"/>
      <c r="F1442" s="31" t="s">
        <v>6790</v>
      </c>
      <c r="G1442" s="31" t="n">
        <v>57</v>
      </c>
      <c r="H1442" s="31" t="s">
        <v>3692</v>
      </c>
      <c r="I1442" s="44" t="s">
        <v>6706</v>
      </c>
      <c r="J1442" s="45" t="s">
        <v>6792</v>
      </c>
      <c r="K1442" s="45" t="s">
        <v>6794</v>
      </c>
      <c r="L1442" s="31" t="n">
        <f aca="false">COUNTIF($B$3:$B$2205,$B1442)</f>
        <v>1</v>
      </c>
      <c r="M1442" s="44" t="str">
        <f aca="false">IFERROR(INDEX(SENTENCES!$T$3:$T$1802,MATCH($F1442,SENTENCES!$A$3:$A$1802,0)),"")</f>
        <v>• Chưa tới</v>
      </c>
    </row>
    <row r="1443" customFormat="false" ht="15" hidden="false" customHeight="false" outlineLevel="0" collapsed="false">
      <c r="A1443" s="31" t="n">
        <v>1441</v>
      </c>
      <c r="B1443" s="43" t="s">
        <v>12991</v>
      </c>
      <c r="C1443" s="34" t="s">
        <v>12992</v>
      </c>
      <c r="D1443" s="44" t="s">
        <v>10677</v>
      </c>
      <c r="E1443" s="31" t="s">
        <v>10707</v>
      </c>
      <c r="F1443" s="31" t="s">
        <v>6796</v>
      </c>
      <c r="G1443" s="31" t="n">
        <v>57</v>
      </c>
      <c r="H1443" s="31" t="s">
        <v>3692</v>
      </c>
      <c r="I1443" s="44" t="s">
        <v>6706</v>
      </c>
      <c r="J1443" s="45" t="s">
        <v>6798</v>
      </c>
      <c r="K1443" s="45" t="s">
        <v>6800</v>
      </c>
      <c r="L1443" s="31" t="n">
        <f aca="false">COUNTIF($B$3:$B$2205,$B1443)</f>
        <v>1</v>
      </c>
      <c r="M1443" s="44" t="str">
        <f aca="false">IFERROR(INDEX(SENTENCES!$T$3:$T$1802,MATCH($F1443,SENTENCES!$A$3:$A$1802,0)),"")</f>
        <v>• Chưa tới</v>
      </c>
    </row>
    <row r="1444" customFormat="false" ht="15" hidden="false" customHeight="false" outlineLevel="0" collapsed="false">
      <c r="A1444" s="31" t="n">
        <v>1442</v>
      </c>
      <c r="B1444" s="43" t="s">
        <v>12993</v>
      </c>
      <c r="C1444" s="34" t="s">
        <v>12994</v>
      </c>
      <c r="D1444" s="44" t="s">
        <v>10677</v>
      </c>
      <c r="E1444" s="31" t="s">
        <v>10747</v>
      </c>
      <c r="F1444" s="31" t="s">
        <v>6796</v>
      </c>
      <c r="G1444" s="31" t="n">
        <v>57</v>
      </c>
      <c r="H1444" s="31" t="s">
        <v>3692</v>
      </c>
      <c r="I1444" s="44" t="s">
        <v>6706</v>
      </c>
      <c r="J1444" s="45" t="s">
        <v>6798</v>
      </c>
      <c r="K1444" s="45" t="s">
        <v>6800</v>
      </c>
      <c r="L1444" s="31" t="n">
        <f aca="false">COUNTIF($B$3:$B$2205,$B1444)</f>
        <v>1</v>
      </c>
      <c r="M1444" s="44" t="str">
        <f aca="false">IFERROR(INDEX(SENTENCES!$T$3:$T$1802,MATCH($F1444,SENTENCES!$A$3:$A$1802,0)),"")</f>
        <v>• Chưa tới</v>
      </c>
    </row>
    <row r="1445" customFormat="false" ht="15" hidden="false" customHeight="false" outlineLevel="0" collapsed="false">
      <c r="A1445" s="31" t="n">
        <v>1443</v>
      </c>
      <c r="B1445" s="43" t="s">
        <v>12995</v>
      </c>
      <c r="C1445" s="34" t="s">
        <v>12996</v>
      </c>
      <c r="D1445" s="44" t="s">
        <v>10677</v>
      </c>
      <c r="E1445" s="31" t="s">
        <v>10747</v>
      </c>
      <c r="F1445" s="31" t="s">
        <v>6802</v>
      </c>
      <c r="G1445" s="31" t="n">
        <v>57</v>
      </c>
      <c r="H1445" s="31" t="s">
        <v>3692</v>
      </c>
      <c r="I1445" s="44" t="s">
        <v>6706</v>
      </c>
      <c r="J1445" s="45" t="s">
        <v>6803</v>
      </c>
      <c r="K1445" s="45" t="s">
        <v>6805</v>
      </c>
      <c r="L1445" s="31" t="n">
        <f aca="false">COUNTIF($B$3:$B$2205,$B1445)</f>
        <v>1</v>
      </c>
      <c r="M1445" s="44" t="str">
        <f aca="false">IFERROR(INDEX(SENTENCES!$T$3:$T$1802,MATCH($F1445,SENTENCES!$A$3:$A$1802,0)),"")</f>
        <v>• Chưa tới</v>
      </c>
    </row>
    <row r="1446" customFormat="false" ht="15" hidden="false" customHeight="false" outlineLevel="0" collapsed="false">
      <c r="A1446" s="31" t="n">
        <v>1444</v>
      </c>
      <c r="B1446" s="43" t="s">
        <v>12997</v>
      </c>
      <c r="C1446" s="34" t="s">
        <v>12998</v>
      </c>
      <c r="D1446" s="44" t="s">
        <v>10677</v>
      </c>
      <c r="E1446" s="31" t="s">
        <v>10678</v>
      </c>
      <c r="F1446" s="31" t="s">
        <v>6807</v>
      </c>
      <c r="G1446" s="31" t="n">
        <v>57</v>
      </c>
      <c r="H1446" s="31" t="s">
        <v>3692</v>
      </c>
      <c r="I1446" s="44" t="s">
        <v>6706</v>
      </c>
      <c r="J1446" s="45" t="s">
        <v>6809</v>
      </c>
      <c r="K1446" s="45" t="s">
        <v>6811</v>
      </c>
      <c r="L1446" s="31" t="n">
        <f aca="false">COUNTIF($B$3:$B$2205,$B1446)</f>
        <v>1</v>
      </c>
      <c r="M1446" s="44" t="str">
        <f aca="false">IFERROR(INDEX(SENTENCES!$T$3:$T$1802,MATCH($F1446,SENTENCES!$A$3:$A$1802,0)),"")</f>
        <v>• Chưa tới</v>
      </c>
    </row>
    <row r="1447" customFormat="false" ht="15" hidden="false" customHeight="false" outlineLevel="0" collapsed="false">
      <c r="A1447" s="31" t="n">
        <v>1445</v>
      </c>
      <c r="B1447" s="43" t="s">
        <v>12999</v>
      </c>
      <c r="C1447" s="34" t="s">
        <v>13000</v>
      </c>
      <c r="D1447" s="44" t="s">
        <v>10681</v>
      </c>
      <c r="E1447" s="31"/>
      <c r="F1447" s="31" t="s">
        <v>6807</v>
      </c>
      <c r="G1447" s="31" t="n">
        <v>57</v>
      </c>
      <c r="H1447" s="31" t="s">
        <v>3692</v>
      </c>
      <c r="I1447" s="44" t="s">
        <v>6706</v>
      </c>
      <c r="J1447" s="45" t="s">
        <v>6809</v>
      </c>
      <c r="K1447" s="45" t="s">
        <v>6811</v>
      </c>
      <c r="L1447" s="31" t="n">
        <f aca="false">COUNTIF($B$3:$B$2205,$B1447)</f>
        <v>1</v>
      </c>
      <c r="M1447" s="44" t="str">
        <f aca="false">IFERROR(INDEX(SENTENCES!$T$3:$T$1802,MATCH($F1447,SENTENCES!$A$3:$A$1802,0)),"")</f>
        <v>• Chưa tới</v>
      </c>
    </row>
    <row r="1448" customFormat="false" ht="15" hidden="false" customHeight="false" outlineLevel="0" collapsed="false">
      <c r="A1448" s="31" t="n">
        <v>1446</v>
      </c>
      <c r="B1448" s="43" t="s">
        <v>13001</v>
      </c>
      <c r="C1448" s="34" t="s">
        <v>13002</v>
      </c>
      <c r="D1448" s="44" t="s">
        <v>10686</v>
      </c>
      <c r="E1448" s="31"/>
      <c r="F1448" s="31" t="s">
        <v>6813</v>
      </c>
      <c r="G1448" s="31" t="n">
        <v>57</v>
      </c>
      <c r="H1448" s="31" t="s">
        <v>3692</v>
      </c>
      <c r="I1448" s="44" t="s">
        <v>6706</v>
      </c>
      <c r="J1448" s="45" t="s">
        <v>6815</v>
      </c>
      <c r="K1448" s="45" t="s">
        <v>6817</v>
      </c>
      <c r="L1448" s="31" t="n">
        <f aca="false">COUNTIF($B$3:$B$2205,$B1448)</f>
        <v>1</v>
      </c>
      <c r="M1448" s="44" t="str">
        <f aca="false">IFERROR(INDEX(SENTENCES!$T$3:$T$1802,MATCH($F1448,SENTENCES!$A$3:$A$1802,0)),"")</f>
        <v>• Chưa tới</v>
      </c>
    </row>
    <row r="1449" customFormat="false" ht="15" hidden="false" customHeight="false" outlineLevel="0" collapsed="false">
      <c r="A1449" s="31" t="n">
        <v>1447</v>
      </c>
      <c r="B1449" s="43" t="s">
        <v>13003</v>
      </c>
      <c r="C1449" s="34" t="s">
        <v>13004</v>
      </c>
      <c r="D1449" s="44" t="s">
        <v>10677</v>
      </c>
      <c r="E1449" s="31" t="s">
        <v>10707</v>
      </c>
      <c r="F1449" s="31" t="s">
        <v>6819</v>
      </c>
      <c r="G1449" s="31" t="n">
        <v>58</v>
      </c>
      <c r="H1449" s="31" t="s">
        <v>3692</v>
      </c>
      <c r="I1449" s="44" t="s">
        <v>6820</v>
      </c>
      <c r="J1449" s="45" t="s">
        <v>6822</v>
      </c>
      <c r="K1449" s="45" t="s">
        <v>6824</v>
      </c>
      <c r="L1449" s="31" t="n">
        <f aca="false">COUNTIF($B$3:$B$2205,$B1449)</f>
        <v>1</v>
      </c>
      <c r="M1449" s="44" t="str">
        <f aca="false">IFERROR(INDEX(SENTENCES!$T$3:$T$1802,MATCH($F1449,SENTENCES!$A$3:$A$1802,0)),"")</f>
        <v>• Chưa tới</v>
      </c>
    </row>
    <row r="1450" customFormat="false" ht="15" hidden="false" customHeight="false" outlineLevel="0" collapsed="false">
      <c r="A1450" s="31" t="n">
        <v>1448</v>
      </c>
      <c r="B1450" s="43" t="s">
        <v>13005</v>
      </c>
      <c r="C1450" s="34" t="s">
        <v>13006</v>
      </c>
      <c r="D1450" s="44" t="s">
        <v>10677</v>
      </c>
      <c r="E1450" s="31" t="s">
        <v>10707</v>
      </c>
      <c r="F1450" s="31" t="s">
        <v>6826</v>
      </c>
      <c r="G1450" s="31" t="n">
        <v>58</v>
      </c>
      <c r="H1450" s="31" t="s">
        <v>3692</v>
      </c>
      <c r="I1450" s="44" t="s">
        <v>6820</v>
      </c>
      <c r="J1450" s="45" t="s">
        <v>6828</v>
      </c>
      <c r="K1450" s="45" t="s">
        <v>6830</v>
      </c>
      <c r="L1450" s="31" t="n">
        <f aca="false">COUNTIF($B$3:$B$2205,$B1450)</f>
        <v>1</v>
      </c>
      <c r="M1450" s="44" t="str">
        <f aca="false">IFERROR(INDEX(SENTENCES!$T$3:$T$1802,MATCH($F1450,SENTENCES!$A$3:$A$1802,0)),"")</f>
        <v>• Chưa tới</v>
      </c>
    </row>
    <row r="1451" customFormat="false" ht="15" hidden="false" customHeight="false" outlineLevel="0" collapsed="false">
      <c r="A1451" s="31" t="n">
        <v>1449</v>
      </c>
      <c r="B1451" s="43" t="s">
        <v>13007</v>
      </c>
      <c r="C1451" s="34" t="s">
        <v>13008</v>
      </c>
      <c r="D1451" s="44" t="s">
        <v>10677</v>
      </c>
      <c r="E1451" s="31" t="s">
        <v>10707</v>
      </c>
      <c r="F1451" s="31" t="s">
        <v>6832</v>
      </c>
      <c r="G1451" s="31" t="n">
        <v>58</v>
      </c>
      <c r="H1451" s="31" t="s">
        <v>3692</v>
      </c>
      <c r="I1451" s="44" t="s">
        <v>6820</v>
      </c>
      <c r="J1451" s="45" t="s">
        <v>6834</v>
      </c>
      <c r="K1451" s="45" t="s">
        <v>6836</v>
      </c>
      <c r="L1451" s="31" t="n">
        <f aca="false">COUNTIF($B$3:$B$2205,$B1451)</f>
        <v>1</v>
      </c>
      <c r="M1451" s="44" t="str">
        <f aca="false">IFERROR(INDEX(SENTENCES!$T$3:$T$1802,MATCH($F1451,SENTENCES!$A$3:$A$1802,0)),"")</f>
        <v>• Chưa tới</v>
      </c>
    </row>
    <row r="1452" customFormat="false" ht="15" hidden="false" customHeight="false" outlineLevel="0" collapsed="false">
      <c r="A1452" s="31" t="n">
        <v>1450</v>
      </c>
      <c r="B1452" s="43" t="s">
        <v>13009</v>
      </c>
      <c r="C1452" s="34" t="s">
        <v>13010</v>
      </c>
      <c r="D1452" s="44" t="s">
        <v>10686</v>
      </c>
      <c r="E1452" s="31"/>
      <c r="F1452" s="31" t="s">
        <v>6838</v>
      </c>
      <c r="G1452" s="31" t="n">
        <v>58</v>
      </c>
      <c r="H1452" s="31" t="s">
        <v>3692</v>
      </c>
      <c r="I1452" s="44" t="s">
        <v>6820</v>
      </c>
      <c r="J1452" s="45" t="s">
        <v>6840</v>
      </c>
      <c r="K1452" s="45" t="s">
        <v>6842</v>
      </c>
      <c r="L1452" s="31" t="n">
        <f aca="false">COUNTIF($B$3:$B$2205,$B1452)</f>
        <v>1</v>
      </c>
      <c r="M1452" s="44" t="str">
        <f aca="false">IFERROR(INDEX(SENTENCES!$T$3:$T$1802,MATCH($F1452,SENTENCES!$A$3:$A$1802,0)),"")</f>
        <v>• Chưa tới</v>
      </c>
    </row>
    <row r="1453" customFormat="false" ht="15" hidden="false" customHeight="false" outlineLevel="0" collapsed="false">
      <c r="A1453" s="31" t="n">
        <v>1451</v>
      </c>
      <c r="B1453" s="43" t="s">
        <v>12537</v>
      </c>
      <c r="C1453" s="34" t="s">
        <v>13011</v>
      </c>
      <c r="D1453" s="44" t="s">
        <v>10681</v>
      </c>
      <c r="E1453" s="31"/>
      <c r="F1453" s="31" t="s">
        <v>6844</v>
      </c>
      <c r="G1453" s="31" t="n">
        <v>58</v>
      </c>
      <c r="H1453" s="31" t="s">
        <v>3692</v>
      </c>
      <c r="I1453" s="44" t="s">
        <v>6820</v>
      </c>
      <c r="J1453" s="45" t="s">
        <v>6846</v>
      </c>
      <c r="K1453" s="45" t="s">
        <v>6848</v>
      </c>
      <c r="L1453" s="31" t="n">
        <f aca="false">COUNTIF($B$3:$B$2205,$B1453)</f>
        <v>2</v>
      </c>
      <c r="M1453" s="44" t="str">
        <f aca="false">IFERROR(INDEX(SENTENCES!$T$3:$T$1802,MATCH($F1453,SENTENCES!$A$3:$A$1802,0)),"")</f>
        <v>• Chưa tới</v>
      </c>
    </row>
    <row r="1454" customFormat="false" ht="15" hidden="false" customHeight="false" outlineLevel="0" collapsed="false">
      <c r="A1454" s="31" t="n">
        <v>1452</v>
      </c>
      <c r="B1454" s="43" t="s">
        <v>13012</v>
      </c>
      <c r="C1454" s="34" t="s">
        <v>10738</v>
      </c>
      <c r="D1454" s="44" t="s">
        <v>10681</v>
      </c>
      <c r="E1454" s="31"/>
      <c r="F1454" s="31" t="s">
        <v>6850</v>
      </c>
      <c r="G1454" s="31" t="n">
        <v>58</v>
      </c>
      <c r="H1454" s="31" t="s">
        <v>3692</v>
      </c>
      <c r="I1454" s="44" t="s">
        <v>6820</v>
      </c>
      <c r="J1454" s="45" t="s">
        <v>6852</v>
      </c>
      <c r="K1454" s="45" t="s">
        <v>6854</v>
      </c>
      <c r="L1454" s="31" t="n">
        <f aca="false">COUNTIF($B$3:$B$2205,$B1454)</f>
        <v>1</v>
      </c>
      <c r="M1454" s="44" t="str">
        <f aca="false">IFERROR(INDEX(SENTENCES!$T$3:$T$1802,MATCH($F1454,SENTENCES!$A$3:$A$1802,0)),"")</f>
        <v>• Chưa tới</v>
      </c>
    </row>
    <row r="1455" customFormat="false" ht="15" hidden="false" customHeight="false" outlineLevel="0" collapsed="false">
      <c r="A1455" s="31" t="n">
        <v>1453</v>
      </c>
      <c r="B1455" s="43" t="s">
        <v>13013</v>
      </c>
      <c r="C1455" s="34" t="s">
        <v>13014</v>
      </c>
      <c r="D1455" s="44" t="s">
        <v>10677</v>
      </c>
      <c r="E1455" s="31" t="s">
        <v>10707</v>
      </c>
      <c r="F1455" s="31" t="s">
        <v>6856</v>
      </c>
      <c r="G1455" s="31" t="n">
        <v>58</v>
      </c>
      <c r="H1455" s="31" t="s">
        <v>3692</v>
      </c>
      <c r="I1455" s="44" t="s">
        <v>6820</v>
      </c>
      <c r="J1455" s="45" t="s">
        <v>6857</v>
      </c>
      <c r="K1455" s="45" t="s">
        <v>6859</v>
      </c>
      <c r="L1455" s="31" t="n">
        <f aca="false">COUNTIF($B$3:$B$2205,$B1455)</f>
        <v>1</v>
      </c>
      <c r="M1455" s="44" t="str">
        <f aca="false">IFERROR(INDEX(SENTENCES!$T$3:$T$1802,MATCH($F1455,SENTENCES!$A$3:$A$1802,0)),"")</f>
        <v>• Chưa tới</v>
      </c>
    </row>
    <row r="1456" customFormat="false" ht="15" hidden="false" customHeight="false" outlineLevel="0" collapsed="false">
      <c r="A1456" s="31" t="n">
        <v>1454</v>
      </c>
      <c r="B1456" s="43" t="s">
        <v>13015</v>
      </c>
      <c r="C1456" s="34" t="s">
        <v>13016</v>
      </c>
      <c r="D1456" s="44" t="s">
        <v>10677</v>
      </c>
      <c r="E1456" s="31" t="s">
        <v>10678</v>
      </c>
      <c r="F1456" s="31" t="s">
        <v>6861</v>
      </c>
      <c r="G1456" s="31" t="n">
        <v>58</v>
      </c>
      <c r="H1456" s="31" t="s">
        <v>3692</v>
      </c>
      <c r="I1456" s="44" t="s">
        <v>6820</v>
      </c>
      <c r="J1456" s="45" t="s">
        <v>6863</v>
      </c>
      <c r="K1456" s="45" t="s">
        <v>6865</v>
      </c>
      <c r="L1456" s="31" t="n">
        <f aca="false">COUNTIF($B$3:$B$2205,$B1456)</f>
        <v>1</v>
      </c>
      <c r="M1456" s="44" t="str">
        <f aca="false">IFERROR(INDEX(SENTENCES!$T$3:$T$1802,MATCH($F1456,SENTENCES!$A$3:$A$1802,0)),"")</f>
        <v>• Chưa tới</v>
      </c>
    </row>
    <row r="1457" customFormat="false" ht="15" hidden="false" customHeight="false" outlineLevel="0" collapsed="false">
      <c r="A1457" s="31" t="n">
        <v>1455</v>
      </c>
      <c r="B1457" s="43" t="s">
        <v>13017</v>
      </c>
      <c r="C1457" s="34" t="s">
        <v>13018</v>
      </c>
      <c r="D1457" s="44" t="s">
        <v>10677</v>
      </c>
      <c r="E1457" s="31" t="s">
        <v>10747</v>
      </c>
      <c r="F1457" s="31" t="s">
        <v>6861</v>
      </c>
      <c r="G1457" s="31" t="n">
        <v>58</v>
      </c>
      <c r="H1457" s="31" t="s">
        <v>3692</v>
      </c>
      <c r="I1457" s="44" t="s">
        <v>6820</v>
      </c>
      <c r="J1457" s="45" t="s">
        <v>6863</v>
      </c>
      <c r="K1457" s="45" t="s">
        <v>6865</v>
      </c>
      <c r="L1457" s="31" t="n">
        <f aca="false">COUNTIF($B$3:$B$2205,$B1457)</f>
        <v>1</v>
      </c>
      <c r="M1457" s="44" t="str">
        <f aca="false">IFERROR(INDEX(SENTENCES!$T$3:$T$1802,MATCH($F1457,SENTENCES!$A$3:$A$1802,0)),"")</f>
        <v>• Chưa tới</v>
      </c>
    </row>
    <row r="1458" customFormat="false" ht="15" hidden="false" customHeight="false" outlineLevel="0" collapsed="false">
      <c r="A1458" s="31" t="n">
        <v>1456</v>
      </c>
      <c r="B1458" s="43" t="s">
        <v>11615</v>
      </c>
      <c r="C1458" s="34" t="s">
        <v>11616</v>
      </c>
      <c r="D1458" s="44" t="s">
        <v>10686</v>
      </c>
      <c r="E1458" s="31"/>
      <c r="F1458" s="31" t="s">
        <v>6867</v>
      </c>
      <c r="G1458" s="31" t="n">
        <v>58</v>
      </c>
      <c r="H1458" s="31" t="s">
        <v>3692</v>
      </c>
      <c r="I1458" s="44" t="s">
        <v>6820</v>
      </c>
      <c r="J1458" s="45" t="s">
        <v>6869</v>
      </c>
      <c r="K1458" s="45" t="s">
        <v>6871</v>
      </c>
      <c r="L1458" s="31" t="n">
        <f aca="false">COUNTIF($B$3:$B$2205,$B1458)</f>
        <v>3</v>
      </c>
      <c r="M1458" s="44" t="str">
        <f aca="false">IFERROR(INDEX(SENTENCES!$T$3:$T$1802,MATCH($F1458,SENTENCES!$A$3:$A$1802,0)),"")</f>
        <v>• Chưa tới</v>
      </c>
    </row>
    <row r="1459" customFormat="false" ht="15" hidden="false" customHeight="false" outlineLevel="0" collapsed="false">
      <c r="A1459" s="31" t="n">
        <v>1457</v>
      </c>
      <c r="B1459" s="43" t="s">
        <v>13019</v>
      </c>
      <c r="C1459" s="34" t="s">
        <v>13020</v>
      </c>
      <c r="D1459" s="44" t="s">
        <v>10677</v>
      </c>
      <c r="E1459" s="31" t="s">
        <v>10678</v>
      </c>
      <c r="F1459" s="31" t="s">
        <v>6872</v>
      </c>
      <c r="G1459" s="31" t="n">
        <v>58</v>
      </c>
      <c r="H1459" s="31" t="s">
        <v>3692</v>
      </c>
      <c r="I1459" s="44" t="s">
        <v>6820</v>
      </c>
      <c r="J1459" s="45" t="s">
        <v>6874</v>
      </c>
      <c r="K1459" s="45" t="s">
        <v>6876</v>
      </c>
      <c r="L1459" s="31" t="n">
        <f aca="false">COUNTIF($B$3:$B$2205,$B1459)</f>
        <v>1</v>
      </c>
      <c r="M1459" s="44" t="str">
        <f aca="false">IFERROR(INDEX(SENTENCES!$T$3:$T$1802,MATCH($F1459,SENTENCES!$A$3:$A$1802,0)),"")</f>
        <v>• Chưa tới</v>
      </c>
    </row>
    <row r="1460" customFormat="false" ht="15" hidden="false" customHeight="false" outlineLevel="0" collapsed="false">
      <c r="A1460" s="31" t="n">
        <v>1458</v>
      </c>
      <c r="B1460" s="43" t="s">
        <v>11453</v>
      </c>
      <c r="C1460" s="34" t="s">
        <v>13021</v>
      </c>
      <c r="D1460" s="44" t="s">
        <v>10686</v>
      </c>
      <c r="E1460" s="31"/>
      <c r="F1460" s="31" t="s">
        <v>6878</v>
      </c>
      <c r="G1460" s="31" t="n">
        <v>58</v>
      </c>
      <c r="H1460" s="31" t="s">
        <v>3692</v>
      </c>
      <c r="I1460" s="44" t="s">
        <v>6820</v>
      </c>
      <c r="J1460" s="45" t="s">
        <v>6880</v>
      </c>
      <c r="K1460" s="45" t="s">
        <v>6882</v>
      </c>
      <c r="L1460" s="31" t="n">
        <f aca="false">COUNTIF($B$3:$B$2205,$B1460)</f>
        <v>2</v>
      </c>
      <c r="M1460" s="44" t="str">
        <f aca="false">IFERROR(INDEX(SENTENCES!$T$3:$T$1802,MATCH($F1460,SENTENCES!$A$3:$A$1802,0)),"")</f>
        <v>• Chưa tới</v>
      </c>
    </row>
    <row r="1461" customFormat="false" ht="15" hidden="false" customHeight="false" outlineLevel="0" collapsed="false">
      <c r="A1461" s="31" t="n">
        <v>1459</v>
      </c>
      <c r="B1461" s="43" t="s">
        <v>11884</v>
      </c>
      <c r="C1461" s="34" t="s">
        <v>11885</v>
      </c>
      <c r="D1461" s="44" t="s">
        <v>10677</v>
      </c>
      <c r="E1461" s="31" t="s">
        <v>10678</v>
      </c>
      <c r="F1461" s="31" t="s">
        <v>6884</v>
      </c>
      <c r="G1461" s="31" t="n">
        <v>58</v>
      </c>
      <c r="H1461" s="31" t="s">
        <v>3692</v>
      </c>
      <c r="I1461" s="44" t="s">
        <v>6820</v>
      </c>
      <c r="J1461" s="45" t="s">
        <v>6885</v>
      </c>
      <c r="K1461" s="45" t="s">
        <v>6887</v>
      </c>
      <c r="L1461" s="31" t="n">
        <f aca="false">COUNTIF($B$3:$B$2205,$B1461)</f>
        <v>2</v>
      </c>
      <c r="M1461" s="44" t="str">
        <f aca="false">IFERROR(INDEX(SENTENCES!$T$3:$T$1802,MATCH($F1461,SENTENCES!$A$3:$A$1802,0)),"")</f>
        <v>• Chưa tới</v>
      </c>
    </row>
    <row r="1462" customFormat="false" ht="15" hidden="false" customHeight="false" outlineLevel="0" collapsed="false">
      <c r="A1462" s="31" t="n">
        <v>1460</v>
      </c>
      <c r="B1462" s="43" t="s">
        <v>13022</v>
      </c>
      <c r="C1462" s="34" t="s">
        <v>13023</v>
      </c>
      <c r="D1462" s="44" t="s">
        <v>10677</v>
      </c>
      <c r="E1462" s="31" t="s">
        <v>10707</v>
      </c>
      <c r="F1462" s="31" t="s">
        <v>6888</v>
      </c>
      <c r="G1462" s="31" t="n">
        <v>58</v>
      </c>
      <c r="H1462" s="31" t="s">
        <v>3692</v>
      </c>
      <c r="I1462" s="44" t="s">
        <v>6820</v>
      </c>
      <c r="J1462" s="45" t="s">
        <v>6890</v>
      </c>
      <c r="K1462" s="45" t="s">
        <v>6892</v>
      </c>
      <c r="L1462" s="31" t="n">
        <f aca="false">COUNTIF($B$3:$B$2205,$B1462)</f>
        <v>1</v>
      </c>
      <c r="M1462" s="44" t="str">
        <f aca="false">IFERROR(INDEX(SENTENCES!$T$3:$T$1802,MATCH($F1462,SENTENCES!$A$3:$A$1802,0)),"")</f>
        <v>• Chưa tới</v>
      </c>
    </row>
    <row r="1463" customFormat="false" ht="15" hidden="false" customHeight="false" outlineLevel="0" collapsed="false">
      <c r="A1463" s="31" t="n">
        <v>1461</v>
      </c>
      <c r="B1463" s="43" t="s">
        <v>13024</v>
      </c>
      <c r="C1463" s="34" t="s">
        <v>13025</v>
      </c>
      <c r="D1463" s="44" t="s">
        <v>10686</v>
      </c>
      <c r="E1463" s="31"/>
      <c r="F1463" s="31" t="s">
        <v>6894</v>
      </c>
      <c r="G1463" s="31" t="n">
        <v>58</v>
      </c>
      <c r="H1463" s="31" t="s">
        <v>3692</v>
      </c>
      <c r="I1463" s="44" t="s">
        <v>6820</v>
      </c>
      <c r="J1463" s="45" t="s">
        <v>6896</v>
      </c>
      <c r="K1463" s="45" t="s">
        <v>6898</v>
      </c>
      <c r="L1463" s="31" t="n">
        <f aca="false">COUNTIF($B$3:$B$2205,$B1463)</f>
        <v>1</v>
      </c>
      <c r="M1463" s="44" t="str">
        <f aca="false">IFERROR(INDEX(SENTENCES!$T$3:$T$1802,MATCH($F1463,SENTENCES!$A$3:$A$1802,0)),"")</f>
        <v>• Chưa tới</v>
      </c>
    </row>
    <row r="1464" customFormat="false" ht="15" hidden="false" customHeight="false" outlineLevel="0" collapsed="false">
      <c r="A1464" s="31" t="n">
        <v>1462</v>
      </c>
      <c r="B1464" s="43" t="s">
        <v>13026</v>
      </c>
      <c r="C1464" s="34" t="s">
        <v>13027</v>
      </c>
      <c r="D1464" s="44" t="s">
        <v>10681</v>
      </c>
      <c r="E1464" s="31"/>
      <c r="F1464" s="31" t="s">
        <v>6894</v>
      </c>
      <c r="G1464" s="31" t="n">
        <v>58</v>
      </c>
      <c r="H1464" s="31" t="s">
        <v>3692</v>
      </c>
      <c r="I1464" s="44" t="s">
        <v>6820</v>
      </c>
      <c r="J1464" s="45" t="s">
        <v>6896</v>
      </c>
      <c r="K1464" s="45" t="s">
        <v>6898</v>
      </c>
      <c r="L1464" s="31" t="n">
        <f aca="false">COUNTIF($B$3:$B$2205,$B1464)</f>
        <v>1</v>
      </c>
      <c r="M1464" s="44" t="str">
        <f aca="false">IFERROR(INDEX(SENTENCES!$T$3:$T$1802,MATCH($F1464,SENTENCES!$A$3:$A$1802,0)),"")</f>
        <v>• Chưa tới</v>
      </c>
    </row>
    <row r="1465" customFormat="false" ht="15" hidden="false" customHeight="false" outlineLevel="0" collapsed="false">
      <c r="A1465" s="31" t="n">
        <v>1463</v>
      </c>
      <c r="B1465" s="43" t="s">
        <v>13028</v>
      </c>
      <c r="C1465" s="34" t="s">
        <v>13029</v>
      </c>
      <c r="D1465" s="44" t="s">
        <v>10677</v>
      </c>
      <c r="E1465" s="31" t="s">
        <v>10678</v>
      </c>
      <c r="F1465" s="31" t="s">
        <v>6900</v>
      </c>
      <c r="G1465" s="31" t="n">
        <v>58</v>
      </c>
      <c r="H1465" s="31" t="s">
        <v>3692</v>
      </c>
      <c r="I1465" s="44" t="s">
        <v>6820</v>
      </c>
      <c r="J1465" s="45" t="s">
        <v>6902</v>
      </c>
      <c r="K1465" s="45" t="s">
        <v>6904</v>
      </c>
      <c r="L1465" s="31" t="n">
        <f aca="false">COUNTIF($B$3:$B$2205,$B1465)</f>
        <v>1</v>
      </c>
      <c r="M1465" s="44" t="str">
        <f aca="false">IFERROR(INDEX(SENTENCES!$T$3:$T$1802,MATCH($F1465,SENTENCES!$A$3:$A$1802,0)),"")</f>
        <v>• Chưa tới</v>
      </c>
    </row>
    <row r="1466" customFormat="false" ht="15" hidden="false" customHeight="false" outlineLevel="0" collapsed="false">
      <c r="A1466" s="31" t="n">
        <v>1464</v>
      </c>
      <c r="B1466" s="43" t="s">
        <v>13030</v>
      </c>
      <c r="C1466" s="34" t="s">
        <v>13031</v>
      </c>
      <c r="D1466" s="44" t="s">
        <v>10686</v>
      </c>
      <c r="E1466" s="31"/>
      <c r="F1466" s="31" t="s">
        <v>6900</v>
      </c>
      <c r="G1466" s="31" t="n">
        <v>58</v>
      </c>
      <c r="H1466" s="31" t="s">
        <v>3692</v>
      </c>
      <c r="I1466" s="44" t="s">
        <v>6820</v>
      </c>
      <c r="J1466" s="45" t="s">
        <v>6902</v>
      </c>
      <c r="K1466" s="45" t="s">
        <v>6904</v>
      </c>
      <c r="L1466" s="31" t="n">
        <f aca="false">COUNTIF($B$3:$B$2205,$B1466)</f>
        <v>1</v>
      </c>
      <c r="M1466" s="44" t="str">
        <f aca="false">IFERROR(INDEX(SENTENCES!$T$3:$T$1802,MATCH($F1466,SENTENCES!$A$3:$A$1802,0)),"")</f>
        <v>• Chưa tới</v>
      </c>
    </row>
    <row r="1467" customFormat="false" ht="15" hidden="false" customHeight="false" outlineLevel="0" collapsed="false">
      <c r="A1467" s="31" t="n">
        <v>1465</v>
      </c>
      <c r="B1467" s="43" t="s">
        <v>13032</v>
      </c>
      <c r="C1467" s="34" t="s">
        <v>13033</v>
      </c>
      <c r="D1467" s="44" t="s">
        <v>10677</v>
      </c>
      <c r="E1467" s="31" t="s">
        <v>10707</v>
      </c>
      <c r="F1467" s="31" t="s">
        <v>6906</v>
      </c>
      <c r="G1467" s="31" t="n">
        <v>58</v>
      </c>
      <c r="H1467" s="31" t="s">
        <v>3692</v>
      </c>
      <c r="I1467" s="44" t="s">
        <v>6820</v>
      </c>
      <c r="J1467" s="45" t="s">
        <v>6907</v>
      </c>
      <c r="K1467" s="45" t="s">
        <v>6909</v>
      </c>
      <c r="L1467" s="31" t="n">
        <f aca="false">COUNTIF($B$3:$B$2205,$B1467)</f>
        <v>1</v>
      </c>
      <c r="M1467" s="44" t="str">
        <f aca="false">IFERROR(INDEX(SENTENCES!$T$3:$T$1802,MATCH($F1467,SENTENCES!$A$3:$A$1802,0)),"")</f>
        <v>• Chưa tới</v>
      </c>
    </row>
    <row r="1468" customFormat="false" ht="15" hidden="false" customHeight="false" outlineLevel="0" collapsed="false">
      <c r="A1468" s="31" t="n">
        <v>1466</v>
      </c>
      <c r="B1468" s="43" t="s">
        <v>12117</v>
      </c>
      <c r="C1468" s="34" t="s">
        <v>12456</v>
      </c>
      <c r="D1468" s="44" t="s">
        <v>10677</v>
      </c>
      <c r="E1468" s="31" t="s">
        <v>10707</v>
      </c>
      <c r="F1468" s="31" t="s">
        <v>6911</v>
      </c>
      <c r="G1468" s="31" t="n">
        <v>58</v>
      </c>
      <c r="H1468" s="31" t="s">
        <v>3692</v>
      </c>
      <c r="I1468" s="44" t="s">
        <v>6820</v>
      </c>
      <c r="J1468" s="45" t="s">
        <v>6913</v>
      </c>
      <c r="K1468" s="45" t="s">
        <v>6915</v>
      </c>
      <c r="L1468" s="31" t="n">
        <f aca="false">COUNTIF($B$3:$B$2205,$B1468)</f>
        <v>2</v>
      </c>
      <c r="M1468" s="44" t="str">
        <f aca="false">IFERROR(INDEX(SENTENCES!$T$3:$T$1802,MATCH($F1468,SENTENCES!$A$3:$A$1802,0)),"")</f>
        <v>• Chưa tới</v>
      </c>
    </row>
    <row r="1469" customFormat="false" ht="15" hidden="false" customHeight="false" outlineLevel="0" collapsed="false">
      <c r="A1469" s="31" t="n">
        <v>1467</v>
      </c>
      <c r="B1469" s="43" t="s">
        <v>13034</v>
      </c>
      <c r="C1469" s="34" t="s">
        <v>13035</v>
      </c>
      <c r="D1469" s="44" t="s">
        <v>10686</v>
      </c>
      <c r="E1469" s="31"/>
      <c r="F1469" s="31" t="s">
        <v>6917</v>
      </c>
      <c r="G1469" s="31" t="n">
        <v>58</v>
      </c>
      <c r="H1469" s="31" t="s">
        <v>3692</v>
      </c>
      <c r="I1469" s="44" t="s">
        <v>6820</v>
      </c>
      <c r="J1469" s="45" t="s">
        <v>6919</v>
      </c>
      <c r="K1469" s="45" t="s">
        <v>6921</v>
      </c>
      <c r="L1469" s="31" t="n">
        <f aca="false">COUNTIF($B$3:$B$2205,$B1469)</f>
        <v>2</v>
      </c>
      <c r="M1469" s="44" t="str">
        <f aca="false">IFERROR(INDEX(SENTENCES!$T$3:$T$1802,MATCH($F1469,SENTENCES!$A$3:$A$1802,0)),"")</f>
        <v>• Chưa tới</v>
      </c>
    </row>
    <row r="1470" customFormat="false" ht="15" hidden="false" customHeight="false" outlineLevel="0" collapsed="false">
      <c r="A1470" s="31" t="n">
        <v>1468</v>
      </c>
      <c r="B1470" s="43" t="s">
        <v>13036</v>
      </c>
      <c r="C1470" s="34" t="s">
        <v>13037</v>
      </c>
      <c r="D1470" s="44" t="s">
        <v>10677</v>
      </c>
      <c r="E1470" s="31" t="s">
        <v>10707</v>
      </c>
      <c r="F1470" s="31" t="s">
        <v>6917</v>
      </c>
      <c r="G1470" s="31" t="n">
        <v>58</v>
      </c>
      <c r="H1470" s="31" t="s">
        <v>3692</v>
      </c>
      <c r="I1470" s="44" t="s">
        <v>6820</v>
      </c>
      <c r="J1470" s="45" t="s">
        <v>6919</v>
      </c>
      <c r="K1470" s="45" t="s">
        <v>6921</v>
      </c>
      <c r="L1470" s="31" t="n">
        <f aca="false">COUNTIF($B$3:$B$2205,$B1470)</f>
        <v>1</v>
      </c>
      <c r="M1470" s="44" t="str">
        <f aca="false">IFERROR(INDEX(SENTENCES!$T$3:$T$1802,MATCH($F1470,SENTENCES!$A$3:$A$1802,0)),"")</f>
        <v>• Chưa tới</v>
      </c>
    </row>
    <row r="1471" customFormat="false" ht="15" hidden="false" customHeight="false" outlineLevel="0" collapsed="false">
      <c r="A1471" s="31" t="n">
        <v>1469</v>
      </c>
      <c r="B1471" s="43" t="s">
        <v>13038</v>
      </c>
      <c r="C1471" s="34" t="s">
        <v>13039</v>
      </c>
      <c r="D1471" s="44" t="s">
        <v>10677</v>
      </c>
      <c r="E1471" s="31" t="s">
        <v>10678</v>
      </c>
      <c r="F1471" s="31" t="s">
        <v>6923</v>
      </c>
      <c r="G1471" s="31" t="n">
        <v>58</v>
      </c>
      <c r="H1471" s="31" t="s">
        <v>3692</v>
      </c>
      <c r="I1471" s="44" t="s">
        <v>6820</v>
      </c>
      <c r="J1471" s="45" t="s">
        <v>6925</v>
      </c>
      <c r="K1471" s="45" t="s">
        <v>6927</v>
      </c>
      <c r="L1471" s="31" t="n">
        <f aca="false">COUNTIF($B$3:$B$2205,$B1471)</f>
        <v>1</v>
      </c>
      <c r="M1471" s="44" t="str">
        <f aca="false">IFERROR(INDEX(SENTENCES!$T$3:$T$1802,MATCH($F1471,SENTENCES!$A$3:$A$1802,0)),"")</f>
        <v>• Chưa tới</v>
      </c>
    </row>
    <row r="1472" customFormat="false" ht="15" hidden="false" customHeight="false" outlineLevel="0" collapsed="false">
      <c r="A1472" s="31" t="n">
        <v>1470</v>
      </c>
      <c r="B1472" s="43" t="s">
        <v>13040</v>
      </c>
      <c r="C1472" s="34" t="s">
        <v>13041</v>
      </c>
      <c r="D1472" s="44" t="s">
        <v>10686</v>
      </c>
      <c r="E1472" s="31"/>
      <c r="F1472" s="31" t="s">
        <v>6929</v>
      </c>
      <c r="G1472" s="31" t="n">
        <v>58</v>
      </c>
      <c r="H1472" s="31" t="s">
        <v>3692</v>
      </c>
      <c r="I1472" s="44" t="s">
        <v>6820</v>
      </c>
      <c r="J1472" s="45" t="s">
        <v>6931</v>
      </c>
      <c r="K1472" s="45" t="s">
        <v>6933</v>
      </c>
      <c r="L1472" s="31" t="n">
        <f aca="false">COUNTIF($B$3:$B$2205,$B1472)</f>
        <v>1</v>
      </c>
      <c r="M1472" s="44" t="str">
        <f aca="false">IFERROR(INDEX(SENTENCES!$T$3:$T$1802,MATCH($F1472,SENTENCES!$A$3:$A$1802,0)),"")</f>
        <v>• Chưa tới</v>
      </c>
    </row>
    <row r="1473" customFormat="false" ht="15" hidden="false" customHeight="false" outlineLevel="0" collapsed="false">
      <c r="A1473" s="31" t="n">
        <v>1471</v>
      </c>
      <c r="B1473" s="43" t="s">
        <v>13042</v>
      </c>
      <c r="C1473" s="34" t="s">
        <v>13043</v>
      </c>
      <c r="D1473" s="44" t="s">
        <v>10686</v>
      </c>
      <c r="E1473" s="31"/>
      <c r="F1473" s="31" t="s">
        <v>6935</v>
      </c>
      <c r="G1473" s="31" t="n">
        <v>59</v>
      </c>
      <c r="H1473" s="31" t="s">
        <v>3692</v>
      </c>
      <c r="I1473" s="44" t="s">
        <v>6936</v>
      </c>
      <c r="J1473" s="45" t="s">
        <v>6937</v>
      </c>
      <c r="K1473" s="45" t="s">
        <v>6939</v>
      </c>
      <c r="L1473" s="31" t="n">
        <f aca="false">COUNTIF($B$3:$B$2205,$B1473)</f>
        <v>1</v>
      </c>
      <c r="M1473" s="44" t="str">
        <f aca="false">IFERROR(INDEX(SENTENCES!$T$3:$T$1802,MATCH($F1473,SENTENCES!$A$3:$A$1802,0)),"")</f>
        <v>• Chưa tới</v>
      </c>
    </row>
    <row r="1474" customFormat="false" ht="15" hidden="false" customHeight="false" outlineLevel="0" collapsed="false">
      <c r="A1474" s="31" t="n">
        <v>1472</v>
      </c>
      <c r="B1474" s="43" t="s">
        <v>11332</v>
      </c>
      <c r="C1474" s="34" t="s">
        <v>11333</v>
      </c>
      <c r="D1474" s="44" t="s">
        <v>10677</v>
      </c>
      <c r="E1474" s="31" t="s">
        <v>10747</v>
      </c>
      <c r="F1474" s="31" t="s">
        <v>6941</v>
      </c>
      <c r="G1474" s="31" t="n">
        <v>59</v>
      </c>
      <c r="H1474" s="31" t="s">
        <v>3692</v>
      </c>
      <c r="I1474" s="44" t="s">
        <v>6936</v>
      </c>
      <c r="J1474" s="45" t="s">
        <v>6943</v>
      </c>
      <c r="K1474" s="45" t="s">
        <v>6945</v>
      </c>
      <c r="L1474" s="31" t="n">
        <f aca="false">COUNTIF($B$3:$B$2205,$B1474)</f>
        <v>2</v>
      </c>
      <c r="M1474" s="44" t="str">
        <f aca="false">IFERROR(INDEX(SENTENCES!$T$3:$T$1802,MATCH($F1474,SENTENCES!$A$3:$A$1802,0)),"")</f>
        <v>• Chưa tới</v>
      </c>
    </row>
    <row r="1475" customFormat="false" ht="15" hidden="false" customHeight="false" outlineLevel="0" collapsed="false">
      <c r="A1475" s="31" t="n">
        <v>1473</v>
      </c>
      <c r="B1475" s="43" t="s">
        <v>13044</v>
      </c>
      <c r="C1475" s="34" t="s">
        <v>13045</v>
      </c>
      <c r="D1475" s="44" t="s">
        <v>10686</v>
      </c>
      <c r="E1475" s="31"/>
      <c r="F1475" s="31" t="s">
        <v>6947</v>
      </c>
      <c r="G1475" s="31" t="n">
        <v>59</v>
      </c>
      <c r="H1475" s="31" t="s">
        <v>3692</v>
      </c>
      <c r="I1475" s="44" t="s">
        <v>6936</v>
      </c>
      <c r="J1475" s="45" t="s">
        <v>6949</v>
      </c>
      <c r="K1475" s="45" t="s">
        <v>6951</v>
      </c>
      <c r="L1475" s="31" t="n">
        <f aca="false">COUNTIF($B$3:$B$2205,$B1475)</f>
        <v>1</v>
      </c>
      <c r="M1475" s="44" t="str">
        <f aca="false">IFERROR(INDEX(SENTENCES!$T$3:$T$1802,MATCH($F1475,SENTENCES!$A$3:$A$1802,0)),"")</f>
        <v>• Chưa tới</v>
      </c>
    </row>
    <row r="1476" customFormat="false" ht="15" hidden="false" customHeight="false" outlineLevel="0" collapsed="false">
      <c r="A1476" s="31" t="n">
        <v>1474</v>
      </c>
      <c r="B1476" s="43" t="s">
        <v>13046</v>
      </c>
      <c r="C1476" s="34" t="s">
        <v>13047</v>
      </c>
      <c r="D1476" s="44" t="s">
        <v>10677</v>
      </c>
      <c r="E1476" s="31" t="s">
        <v>10678</v>
      </c>
      <c r="F1476" s="31" t="s">
        <v>6953</v>
      </c>
      <c r="G1476" s="31" t="n">
        <v>59</v>
      </c>
      <c r="H1476" s="31" t="s">
        <v>3692</v>
      </c>
      <c r="I1476" s="44" t="s">
        <v>6936</v>
      </c>
      <c r="J1476" s="45" t="s">
        <v>6954</v>
      </c>
      <c r="K1476" s="45" t="s">
        <v>6956</v>
      </c>
      <c r="L1476" s="31" t="n">
        <f aca="false">COUNTIF($B$3:$B$2205,$B1476)</f>
        <v>1</v>
      </c>
      <c r="M1476" s="44" t="str">
        <f aca="false">IFERROR(INDEX(SENTENCES!$T$3:$T$1802,MATCH($F1476,SENTENCES!$A$3:$A$1802,0)),"")</f>
        <v>• Chưa tới</v>
      </c>
    </row>
    <row r="1477" customFormat="false" ht="15" hidden="false" customHeight="false" outlineLevel="0" collapsed="false">
      <c r="A1477" s="31" t="n">
        <v>1475</v>
      </c>
      <c r="B1477" s="43" t="s">
        <v>13048</v>
      </c>
      <c r="C1477" s="34" t="s">
        <v>13049</v>
      </c>
      <c r="D1477" s="44" t="s">
        <v>10677</v>
      </c>
      <c r="E1477" s="31" t="s">
        <v>10747</v>
      </c>
      <c r="F1477" s="31" t="s">
        <v>6958</v>
      </c>
      <c r="G1477" s="31" t="n">
        <v>59</v>
      </c>
      <c r="H1477" s="31" t="s">
        <v>3692</v>
      </c>
      <c r="I1477" s="44" t="s">
        <v>6936</v>
      </c>
      <c r="J1477" s="45" t="s">
        <v>6959</v>
      </c>
      <c r="K1477" s="45" t="s">
        <v>6961</v>
      </c>
      <c r="L1477" s="31" t="n">
        <f aca="false">COUNTIF($B$3:$B$2205,$B1477)</f>
        <v>1</v>
      </c>
      <c r="M1477" s="44" t="str">
        <f aca="false">IFERROR(INDEX(SENTENCES!$T$3:$T$1802,MATCH($F1477,SENTENCES!$A$3:$A$1802,0)),"")</f>
        <v>• Chưa tới</v>
      </c>
    </row>
    <row r="1478" customFormat="false" ht="15" hidden="false" customHeight="false" outlineLevel="0" collapsed="false">
      <c r="A1478" s="31" t="n">
        <v>1476</v>
      </c>
      <c r="B1478" s="43" t="s">
        <v>11931</v>
      </c>
      <c r="C1478" s="34" t="s">
        <v>13050</v>
      </c>
      <c r="D1478" s="44" t="s">
        <v>10677</v>
      </c>
      <c r="E1478" s="31" t="s">
        <v>10707</v>
      </c>
      <c r="F1478" s="31" t="s">
        <v>6963</v>
      </c>
      <c r="G1478" s="31" t="n">
        <v>59</v>
      </c>
      <c r="H1478" s="31" t="s">
        <v>3692</v>
      </c>
      <c r="I1478" s="44" t="s">
        <v>6936</v>
      </c>
      <c r="J1478" s="45" t="s">
        <v>6965</v>
      </c>
      <c r="K1478" s="45" t="s">
        <v>6967</v>
      </c>
      <c r="L1478" s="31" t="n">
        <f aca="false">COUNTIF($B$3:$B$2205,$B1478)</f>
        <v>3</v>
      </c>
      <c r="M1478" s="44" t="str">
        <f aca="false">IFERROR(INDEX(SENTENCES!$T$3:$T$1802,MATCH($F1478,SENTENCES!$A$3:$A$1802,0)),"")</f>
        <v>• Chưa tới</v>
      </c>
    </row>
    <row r="1479" customFormat="false" ht="15" hidden="false" customHeight="false" outlineLevel="0" collapsed="false">
      <c r="A1479" s="31" t="n">
        <v>1477</v>
      </c>
      <c r="B1479" s="43" t="s">
        <v>13051</v>
      </c>
      <c r="C1479" s="34" t="s">
        <v>13052</v>
      </c>
      <c r="D1479" s="44" t="s">
        <v>10677</v>
      </c>
      <c r="E1479" s="31" t="s">
        <v>10747</v>
      </c>
      <c r="F1479" s="31" t="s">
        <v>6969</v>
      </c>
      <c r="G1479" s="31" t="n">
        <v>59</v>
      </c>
      <c r="H1479" s="31" t="s">
        <v>3692</v>
      </c>
      <c r="I1479" s="44" t="s">
        <v>6936</v>
      </c>
      <c r="J1479" s="45" t="s">
        <v>6971</v>
      </c>
      <c r="K1479" s="45" t="s">
        <v>6973</v>
      </c>
      <c r="L1479" s="31" t="n">
        <f aca="false">COUNTIF($B$3:$B$2205,$B1479)</f>
        <v>1</v>
      </c>
      <c r="M1479" s="44" t="str">
        <f aca="false">IFERROR(INDEX(SENTENCES!$T$3:$T$1802,MATCH($F1479,SENTENCES!$A$3:$A$1802,0)),"")</f>
        <v>• Chưa tới</v>
      </c>
    </row>
    <row r="1480" customFormat="false" ht="15" hidden="false" customHeight="false" outlineLevel="0" collapsed="false">
      <c r="A1480" s="31" t="n">
        <v>1478</v>
      </c>
      <c r="B1480" s="43" t="s">
        <v>12503</v>
      </c>
      <c r="C1480" s="34" t="s">
        <v>12209</v>
      </c>
      <c r="D1480" s="44" t="s">
        <v>10681</v>
      </c>
      <c r="E1480" s="31"/>
      <c r="F1480" s="31" t="s">
        <v>6975</v>
      </c>
      <c r="G1480" s="31" t="n">
        <v>59</v>
      </c>
      <c r="H1480" s="31" t="s">
        <v>3692</v>
      </c>
      <c r="I1480" s="44" t="s">
        <v>6936</v>
      </c>
      <c r="J1480" s="45" t="s">
        <v>6977</v>
      </c>
      <c r="K1480" s="45" t="s">
        <v>6979</v>
      </c>
      <c r="L1480" s="31" t="n">
        <f aca="false">COUNTIF($B$3:$B$2205,$B1480)</f>
        <v>3</v>
      </c>
      <c r="M1480" s="44" t="str">
        <f aca="false">IFERROR(INDEX(SENTENCES!$T$3:$T$1802,MATCH($F1480,SENTENCES!$A$3:$A$1802,0)),"")</f>
        <v>• Chưa tới</v>
      </c>
    </row>
    <row r="1481" customFormat="false" ht="15" hidden="false" customHeight="false" outlineLevel="0" collapsed="false">
      <c r="A1481" s="31" t="n">
        <v>1479</v>
      </c>
      <c r="B1481" s="43" t="s">
        <v>13053</v>
      </c>
      <c r="C1481" s="34" t="s">
        <v>13054</v>
      </c>
      <c r="D1481" s="44" t="s">
        <v>10677</v>
      </c>
      <c r="E1481" s="31" t="s">
        <v>10707</v>
      </c>
      <c r="F1481" s="31" t="s">
        <v>6980</v>
      </c>
      <c r="G1481" s="31" t="n">
        <v>59</v>
      </c>
      <c r="H1481" s="31" t="s">
        <v>3692</v>
      </c>
      <c r="I1481" s="44" t="s">
        <v>6936</v>
      </c>
      <c r="J1481" s="45" t="s">
        <v>6982</v>
      </c>
      <c r="K1481" s="45" t="s">
        <v>6984</v>
      </c>
      <c r="L1481" s="31" t="n">
        <f aca="false">COUNTIF($B$3:$B$2205,$B1481)</f>
        <v>1</v>
      </c>
      <c r="M1481" s="44" t="str">
        <f aca="false">IFERROR(INDEX(SENTENCES!$T$3:$T$1802,MATCH($F1481,SENTENCES!$A$3:$A$1802,0)),"")</f>
        <v>• Chưa tới</v>
      </c>
    </row>
    <row r="1482" customFormat="false" ht="22.35" hidden="false" customHeight="false" outlineLevel="0" collapsed="false">
      <c r="A1482" s="31" t="n">
        <v>1480</v>
      </c>
      <c r="B1482" s="43" t="s">
        <v>13055</v>
      </c>
      <c r="C1482" s="34" t="s">
        <v>13056</v>
      </c>
      <c r="D1482" s="44" t="s">
        <v>10677</v>
      </c>
      <c r="E1482" s="31" t="s">
        <v>10707</v>
      </c>
      <c r="F1482" s="31" t="s">
        <v>6986</v>
      </c>
      <c r="G1482" s="31" t="n">
        <v>59</v>
      </c>
      <c r="H1482" s="31" t="s">
        <v>3692</v>
      </c>
      <c r="I1482" s="44" t="s">
        <v>6936</v>
      </c>
      <c r="J1482" s="45" t="s">
        <v>6988</v>
      </c>
      <c r="K1482" s="45" t="s">
        <v>6990</v>
      </c>
      <c r="L1482" s="31" t="n">
        <f aca="false">COUNTIF($B$3:$B$2205,$B1482)</f>
        <v>1</v>
      </c>
      <c r="M1482" s="44" t="str">
        <f aca="false">IFERROR(INDEX(SENTENCES!$T$3:$T$1802,MATCH($F1482,SENTENCES!$A$3:$A$1802,0)),"")</f>
        <v>• Chưa tới</v>
      </c>
    </row>
    <row r="1483" customFormat="false" ht="15" hidden="false" customHeight="false" outlineLevel="0" collapsed="false">
      <c r="A1483" s="31" t="n">
        <v>1481</v>
      </c>
      <c r="B1483" s="43" t="s">
        <v>13057</v>
      </c>
      <c r="C1483" s="34" t="s">
        <v>13058</v>
      </c>
      <c r="D1483" s="44" t="s">
        <v>10677</v>
      </c>
      <c r="E1483" s="31" t="s">
        <v>10707</v>
      </c>
      <c r="F1483" s="31" t="s">
        <v>6992</v>
      </c>
      <c r="G1483" s="31" t="n">
        <v>59</v>
      </c>
      <c r="H1483" s="31" t="s">
        <v>3692</v>
      </c>
      <c r="I1483" s="44" t="s">
        <v>6936</v>
      </c>
      <c r="J1483" s="45" t="s">
        <v>6994</v>
      </c>
      <c r="K1483" s="45" t="s">
        <v>6996</v>
      </c>
      <c r="L1483" s="31" t="n">
        <f aca="false">COUNTIF($B$3:$B$2205,$B1483)</f>
        <v>1</v>
      </c>
      <c r="M1483" s="44" t="str">
        <f aca="false">IFERROR(INDEX(SENTENCES!$T$3:$T$1802,MATCH($F1483,SENTENCES!$A$3:$A$1802,0)),"")</f>
        <v>• Chưa tới</v>
      </c>
    </row>
    <row r="1484" customFormat="false" ht="15" hidden="false" customHeight="false" outlineLevel="0" collapsed="false">
      <c r="A1484" s="31" t="n">
        <v>1482</v>
      </c>
      <c r="B1484" s="43" t="s">
        <v>13059</v>
      </c>
      <c r="C1484" s="34" t="s">
        <v>13060</v>
      </c>
      <c r="D1484" s="44" t="s">
        <v>10677</v>
      </c>
      <c r="E1484" s="31" t="s">
        <v>10678</v>
      </c>
      <c r="F1484" s="31" t="s">
        <v>6998</v>
      </c>
      <c r="G1484" s="31" t="n">
        <v>59</v>
      </c>
      <c r="H1484" s="31" t="s">
        <v>3692</v>
      </c>
      <c r="I1484" s="44" t="s">
        <v>6936</v>
      </c>
      <c r="J1484" s="45" t="s">
        <v>7000</v>
      </c>
      <c r="K1484" s="45" t="s">
        <v>7002</v>
      </c>
      <c r="L1484" s="31" t="n">
        <f aca="false">COUNTIF($B$3:$B$2205,$B1484)</f>
        <v>1</v>
      </c>
      <c r="M1484" s="44" t="str">
        <f aca="false">IFERROR(INDEX(SENTENCES!$T$3:$T$1802,MATCH($F1484,SENTENCES!$A$3:$A$1802,0)),"")</f>
        <v>• Chưa tới</v>
      </c>
    </row>
    <row r="1485" customFormat="false" ht="15" hidden="false" customHeight="false" outlineLevel="0" collapsed="false">
      <c r="A1485" s="31" t="n">
        <v>1483</v>
      </c>
      <c r="B1485" s="43" t="s">
        <v>13061</v>
      </c>
      <c r="C1485" s="34" t="s">
        <v>13062</v>
      </c>
      <c r="D1485" s="44" t="s">
        <v>10681</v>
      </c>
      <c r="E1485" s="31"/>
      <c r="F1485" s="31" t="s">
        <v>7004</v>
      </c>
      <c r="G1485" s="31" t="n">
        <v>59</v>
      </c>
      <c r="H1485" s="31" t="s">
        <v>3692</v>
      </c>
      <c r="I1485" s="44" t="s">
        <v>6936</v>
      </c>
      <c r="J1485" s="45" t="s">
        <v>7006</v>
      </c>
      <c r="K1485" s="45" t="s">
        <v>7008</v>
      </c>
      <c r="L1485" s="31" t="n">
        <f aca="false">COUNTIF($B$3:$B$2205,$B1485)</f>
        <v>1</v>
      </c>
      <c r="M1485" s="44" t="str">
        <f aca="false">IFERROR(INDEX(SENTENCES!$T$3:$T$1802,MATCH($F1485,SENTENCES!$A$3:$A$1802,0)),"")</f>
        <v>• Chưa tới</v>
      </c>
    </row>
    <row r="1486" customFormat="false" ht="15" hidden="false" customHeight="false" outlineLevel="0" collapsed="false">
      <c r="A1486" s="31" t="n">
        <v>1484</v>
      </c>
      <c r="B1486" s="43" t="s">
        <v>13063</v>
      </c>
      <c r="C1486" s="34" t="s">
        <v>13064</v>
      </c>
      <c r="D1486" s="44" t="s">
        <v>10677</v>
      </c>
      <c r="E1486" s="31" t="s">
        <v>10707</v>
      </c>
      <c r="F1486" s="31" t="s">
        <v>7010</v>
      </c>
      <c r="G1486" s="31" t="n">
        <v>59</v>
      </c>
      <c r="H1486" s="31" t="s">
        <v>3692</v>
      </c>
      <c r="I1486" s="44" t="s">
        <v>6936</v>
      </c>
      <c r="J1486" s="45" t="s">
        <v>7012</v>
      </c>
      <c r="K1486" s="45" t="s">
        <v>7014</v>
      </c>
      <c r="L1486" s="31" t="n">
        <f aca="false">COUNTIF($B$3:$B$2205,$B1486)</f>
        <v>1</v>
      </c>
      <c r="M1486" s="44" t="str">
        <f aca="false">IFERROR(INDEX(SENTENCES!$T$3:$T$1802,MATCH($F1486,SENTENCES!$A$3:$A$1802,0)),"")</f>
        <v>• Chưa tới</v>
      </c>
    </row>
    <row r="1487" customFormat="false" ht="15" hidden="false" customHeight="false" outlineLevel="0" collapsed="false">
      <c r="A1487" s="31" t="n">
        <v>1485</v>
      </c>
      <c r="B1487" s="43" t="s">
        <v>13065</v>
      </c>
      <c r="C1487" s="34" t="s">
        <v>11066</v>
      </c>
      <c r="D1487" s="44" t="s">
        <v>10677</v>
      </c>
      <c r="E1487" s="31" t="s">
        <v>10707</v>
      </c>
      <c r="F1487" s="31" t="s">
        <v>7016</v>
      </c>
      <c r="G1487" s="31" t="n">
        <v>59</v>
      </c>
      <c r="H1487" s="31" t="s">
        <v>3692</v>
      </c>
      <c r="I1487" s="44" t="s">
        <v>6936</v>
      </c>
      <c r="J1487" s="45" t="s">
        <v>7018</v>
      </c>
      <c r="K1487" s="45" t="s">
        <v>7020</v>
      </c>
      <c r="L1487" s="31" t="n">
        <f aca="false">COUNTIF($B$3:$B$2205,$B1487)</f>
        <v>1</v>
      </c>
      <c r="M1487" s="44" t="str">
        <f aca="false">IFERROR(INDEX(SENTENCES!$T$3:$T$1802,MATCH($F1487,SENTENCES!$A$3:$A$1802,0)),"")</f>
        <v>• Chưa tới</v>
      </c>
    </row>
    <row r="1488" customFormat="false" ht="15" hidden="false" customHeight="false" outlineLevel="0" collapsed="false">
      <c r="A1488" s="31" t="n">
        <v>1486</v>
      </c>
      <c r="B1488" s="43" t="s">
        <v>13066</v>
      </c>
      <c r="C1488" s="34" t="s">
        <v>13067</v>
      </c>
      <c r="D1488" s="44" t="s">
        <v>10686</v>
      </c>
      <c r="E1488" s="31"/>
      <c r="F1488" s="31" t="s">
        <v>7022</v>
      </c>
      <c r="G1488" s="31" t="n">
        <v>59</v>
      </c>
      <c r="H1488" s="31" t="s">
        <v>3692</v>
      </c>
      <c r="I1488" s="44" t="s">
        <v>6936</v>
      </c>
      <c r="J1488" s="45" t="s">
        <v>7024</v>
      </c>
      <c r="K1488" s="45" t="s">
        <v>7026</v>
      </c>
      <c r="L1488" s="31" t="n">
        <f aca="false">COUNTIF($B$3:$B$2205,$B1488)</f>
        <v>1</v>
      </c>
      <c r="M1488" s="44" t="str">
        <f aca="false">IFERROR(INDEX(SENTENCES!$T$3:$T$1802,MATCH($F1488,SENTENCES!$A$3:$A$1802,0)),"")</f>
        <v>• Chưa tới</v>
      </c>
    </row>
    <row r="1489" customFormat="false" ht="15" hidden="false" customHeight="false" outlineLevel="0" collapsed="false">
      <c r="A1489" s="31" t="n">
        <v>1487</v>
      </c>
      <c r="B1489" s="43" t="s">
        <v>13068</v>
      </c>
      <c r="C1489" s="34" t="s">
        <v>13069</v>
      </c>
      <c r="D1489" s="44" t="s">
        <v>10677</v>
      </c>
      <c r="E1489" s="31" t="s">
        <v>10678</v>
      </c>
      <c r="F1489" s="31" t="s">
        <v>7028</v>
      </c>
      <c r="G1489" s="31" t="n">
        <v>59</v>
      </c>
      <c r="H1489" s="31" t="s">
        <v>3692</v>
      </c>
      <c r="I1489" s="44" t="s">
        <v>6936</v>
      </c>
      <c r="J1489" s="45" t="s">
        <v>7030</v>
      </c>
      <c r="K1489" s="45" t="s">
        <v>7032</v>
      </c>
      <c r="L1489" s="31" t="n">
        <f aca="false">COUNTIF($B$3:$B$2205,$B1489)</f>
        <v>1</v>
      </c>
      <c r="M1489" s="44" t="str">
        <f aca="false">IFERROR(INDEX(SENTENCES!$T$3:$T$1802,MATCH($F1489,SENTENCES!$A$3:$A$1802,0)),"")</f>
        <v>• Chưa tới</v>
      </c>
    </row>
    <row r="1490" customFormat="false" ht="15" hidden="false" customHeight="false" outlineLevel="0" collapsed="false">
      <c r="A1490" s="31" t="n">
        <v>1488</v>
      </c>
      <c r="B1490" s="43" t="s">
        <v>11008</v>
      </c>
      <c r="C1490" s="34" t="s">
        <v>13070</v>
      </c>
      <c r="D1490" s="44" t="s">
        <v>10677</v>
      </c>
      <c r="E1490" s="31" t="s">
        <v>10747</v>
      </c>
      <c r="F1490" s="31" t="s">
        <v>7034</v>
      </c>
      <c r="G1490" s="31" t="n">
        <v>59</v>
      </c>
      <c r="H1490" s="31" t="s">
        <v>3692</v>
      </c>
      <c r="I1490" s="44" t="s">
        <v>6936</v>
      </c>
      <c r="J1490" s="45" t="s">
        <v>7035</v>
      </c>
      <c r="K1490" s="45" t="s">
        <v>7037</v>
      </c>
      <c r="L1490" s="31" t="n">
        <f aca="false">COUNTIF($B$3:$B$2205,$B1490)</f>
        <v>2</v>
      </c>
      <c r="M1490" s="44" t="str">
        <f aca="false">IFERROR(INDEX(SENTENCES!$T$3:$T$1802,MATCH($F1490,SENTENCES!$A$3:$A$1802,0)),"")</f>
        <v>• Chưa tới</v>
      </c>
    </row>
    <row r="1491" customFormat="false" ht="15" hidden="false" customHeight="false" outlineLevel="0" collapsed="false">
      <c r="A1491" s="31" t="n">
        <v>1489</v>
      </c>
      <c r="B1491" s="43" t="s">
        <v>13071</v>
      </c>
      <c r="C1491" s="34" t="s">
        <v>13072</v>
      </c>
      <c r="D1491" s="44" t="s">
        <v>10677</v>
      </c>
      <c r="E1491" s="31" t="s">
        <v>10707</v>
      </c>
      <c r="F1491" s="31" t="s">
        <v>7039</v>
      </c>
      <c r="G1491" s="31" t="n">
        <v>59</v>
      </c>
      <c r="H1491" s="31" t="s">
        <v>3692</v>
      </c>
      <c r="I1491" s="44" t="s">
        <v>6936</v>
      </c>
      <c r="J1491" s="45" t="s">
        <v>7041</v>
      </c>
      <c r="K1491" s="45" t="s">
        <v>7043</v>
      </c>
      <c r="L1491" s="31" t="n">
        <f aca="false">COUNTIF($B$3:$B$2205,$B1491)</f>
        <v>1</v>
      </c>
      <c r="M1491" s="44" t="str">
        <f aca="false">IFERROR(INDEX(SENTENCES!$T$3:$T$1802,MATCH($F1491,SENTENCES!$A$3:$A$1802,0)),"")</f>
        <v>• Chưa tới</v>
      </c>
    </row>
    <row r="1492" customFormat="false" ht="15" hidden="false" customHeight="false" outlineLevel="0" collapsed="false">
      <c r="A1492" s="31" t="n">
        <v>1490</v>
      </c>
      <c r="B1492" s="43" t="s">
        <v>13073</v>
      </c>
      <c r="C1492" s="34" t="s">
        <v>13074</v>
      </c>
      <c r="D1492" s="44" t="s">
        <v>10681</v>
      </c>
      <c r="E1492" s="31"/>
      <c r="F1492" s="31" t="s">
        <v>7039</v>
      </c>
      <c r="G1492" s="31" t="n">
        <v>59</v>
      </c>
      <c r="H1492" s="31" t="s">
        <v>3692</v>
      </c>
      <c r="I1492" s="44" t="s">
        <v>6936</v>
      </c>
      <c r="J1492" s="45" t="s">
        <v>7041</v>
      </c>
      <c r="K1492" s="45" t="s">
        <v>7043</v>
      </c>
      <c r="L1492" s="31" t="n">
        <f aca="false">COUNTIF($B$3:$B$2205,$B1492)</f>
        <v>1</v>
      </c>
      <c r="M1492" s="44" t="str">
        <f aca="false">IFERROR(INDEX(SENTENCES!$T$3:$T$1802,MATCH($F1492,SENTENCES!$A$3:$A$1802,0)),"")</f>
        <v>• Chưa tới</v>
      </c>
    </row>
    <row r="1493" customFormat="false" ht="15" hidden="false" customHeight="false" outlineLevel="0" collapsed="false">
      <c r="A1493" s="31" t="n">
        <v>1491</v>
      </c>
      <c r="B1493" s="43" t="s">
        <v>11624</v>
      </c>
      <c r="C1493" s="34" t="s">
        <v>11625</v>
      </c>
      <c r="D1493" s="44" t="s">
        <v>10686</v>
      </c>
      <c r="E1493" s="31"/>
      <c r="F1493" s="31" t="s">
        <v>7045</v>
      </c>
      <c r="G1493" s="31" t="n">
        <v>59</v>
      </c>
      <c r="H1493" s="31" t="s">
        <v>3692</v>
      </c>
      <c r="I1493" s="44" t="s">
        <v>6936</v>
      </c>
      <c r="J1493" s="45" t="s">
        <v>7047</v>
      </c>
      <c r="K1493" s="45" t="s">
        <v>7049</v>
      </c>
      <c r="L1493" s="31" t="n">
        <f aca="false">COUNTIF($B$3:$B$2205,$B1493)</f>
        <v>2</v>
      </c>
      <c r="M1493" s="44" t="str">
        <f aca="false">IFERROR(INDEX(SENTENCES!$T$3:$T$1802,MATCH($F1493,SENTENCES!$A$3:$A$1802,0)),"")</f>
        <v>• Chưa tới</v>
      </c>
    </row>
    <row r="1494" customFormat="false" ht="15" hidden="false" customHeight="false" outlineLevel="0" collapsed="false">
      <c r="A1494" s="31" t="n">
        <v>1492</v>
      </c>
      <c r="B1494" s="43" t="s">
        <v>13075</v>
      </c>
      <c r="C1494" s="34" t="s">
        <v>13076</v>
      </c>
      <c r="D1494" s="44" t="s">
        <v>10677</v>
      </c>
      <c r="E1494" s="31" t="s">
        <v>10707</v>
      </c>
      <c r="F1494" s="31" t="s">
        <v>7051</v>
      </c>
      <c r="G1494" s="31" t="n">
        <v>60</v>
      </c>
      <c r="H1494" s="31" t="s">
        <v>3692</v>
      </c>
      <c r="I1494" s="44" t="s">
        <v>7052</v>
      </c>
      <c r="J1494" s="45" t="s">
        <v>7054</v>
      </c>
      <c r="K1494" s="45" t="s">
        <v>7056</v>
      </c>
      <c r="L1494" s="31" t="n">
        <f aca="false">COUNTIF($B$3:$B$2205,$B1494)</f>
        <v>1</v>
      </c>
      <c r="M1494" s="44" t="str">
        <f aca="false">IFERROR(INDEX(SENTENCES!$T$3:$T$1802,MATCH($F1494,SENTENCES!$A$3:$A$1802,0)),"")</f>
        <v>• Chưa tới</v>
      </c>
    </row>
    <row r="1495" customFormat="false" ht="15" hidden="false" customHeight="false" outlineLevel="0" collapsed="false">
      <c r="A1495" s="31" t="n">
        <v>1493</v>
      </c>
      <c r="B1495" s="43" t="s">
        <v>13077</v>
      </c>
      <c r="C1495" s="34" t="s">
        <v>13078</v>
      </c>
      <c r="D1495" s="44" t="s">
        <v>10681</v>
      </c>
      <c r="E1495" s="31"/>
      <c r="F1495" s="31" t="s">
        <v>7058</v>
      </c>
      <c r="G1495" s="31" t="n">
        <v>60</v>
      </c>
      <c r="H1495" s="31" t="s">
        <v>3692</v>
      </c>
      <c r="I1495" s="44" t="s">
        <v>7052</v>
      </c>
      <c r="J1495" s="45" t="s">
        <v>7060</v>
      </c>
      <c r="K1495" s="45" t="s">
        <v>7062</v>
      </c>
      <c r="L1495" s="31" t="n">
        <f aca="false">COUNTIF($B$3:$B$2205,$B1495)</f>
        <v>1</v>
      </c>
      <c r="M1495" s="44" t="str">
        <f aca="false">IFERROR(INDEX(SENTENCES!$T$3:$T$1802,MATCH($F1495,SENTENCES!$A$3:$A$1802,0)),"")</f>
        <v>• Chưa tới</v>
      </c>
    </row>
    <row r="1496" customFormat="false" ht="15" hidden="false" customHeight="false" outlineLevel="0" collapsed="false">
      <c r="A1496" s="31" t="n">
        <v>1494</v>
      </c>
      <c r="B1496" s="43" t="s">
        <v>10913</v>
      </c>
      <c r="C1496" s="34" t="s">
        <v>10914</v>
      </c>
      <c r="D1496" s="44" t="s">
        <v>10681</v>
      </c>
      <c r="E1496" s="31"/>
      <c r="F1496" s="31" t="s">
        <v>7064</v>
      </c>
      <c r="G1496" s="31" t="n">
        <v>60</v>
      </c>
      <c r="H1496" s="31" t="s">
        <v>3692</v>
      </c>
      <c r="I1496" s="44" t="s">
        <v>7052</v>
      </c>
      <c r="J1496" s="45" t="s">
        <v>7066</v>
      </c>
      <c r="K1496" s="45" t="s">
        <v>7068</v>
      </c>
      <c r="L1496" s="31" t="n">
        <f aca="false">COUNTIF($B$3:$B$2205,$B1496)</f>
        <v>2</v>
      </c>
      <c r="M1496" s="44" t="str">
        <f aca="false">IFERROR(INDEX(SENTENCES!$T$3:$T$1802,MATCH($F1496,SENTENCES!$A$3:$A$1802,0)),"")</f>
        <v>• Chưa tới</v>
      </c>
    </row>
    <row r="1497" customFormat="false" ht="15" hidden="false" customHeight="false" outlineLevel="0" collapsed="false">
      <c r="A1497" s="31" t="n">
        <v>1495</v>
      </c>
      <c r="B1497" s="43" t="s">
        <v>13079</v>
      </c>
      <c r="C1497" s="34" t="s">
        <v>12382</v>
      </c>
      <c r="D1497" s="44" t="s">
        <v>10677</v>
      </c>
      <c r="E1497" s="31" t="s">
        <v>10707</v>
      </c>
      <c r="F1497" s="31" t="s">
        <v>7070</v>
      </c>
      <c r="G1497" s="31" t="n">
        <v>60</v>
      </c>
      <c r="H1497" s="31" t="s">
        <v>3692</v>
      </c>
      <c r="I1497" s="44" t="s">
        <v>7052</v>
      </c>
      <c r="J1497" s="45" t="s">
        <v>7072</v>
      </c>
      <c r="K1497" s="45" t="s">
        <v>7074</v>
      </c>
      <c r="L1497" s="31" t="n">
        <f aca="false">COUNTIF($B$3:$B$2205,$B1497)</f>
        <v>1</v>
      </c>
      <c r="M1497" s="44" t="str">
        <f aca="false">IFERROR(INDEX(SENTENCES!$T$3:$T$1802,MATCH($F1497,SENTENCES!$A$3:$A$1802,0)),"")</f>
        <v>• Chưa tới</v>
      </c>
    </row>
    <row r="1498" customFormat="false" ht="15" hidden="false" customHeight="false" outlineLevel="0" collapsed="false">
      <c r="A1498" s="31" t="n">
        <v>1496</v>
      </c>
      <c r="B1498" s="43" t="s">
        <v>13080</v>
      </c>
      <c r="C1498" s="34" t="s">
        <v>13081</v>
      </c>
      <c r="D1498" s="44" t="s">
        <v>10677</v>
      </c>
      <c r="E1498" s="31" t="s">
        <v>10707</v>
      </c>
      <c r="F1498" s="31" t="s">
        <v>7076</v>
      </c>
      <c r="G1498" s="31" t="n">
        <v>60</v>
      </c>
      <c r="H1498" s="31" t="s">
        <v>3692</v>
      </c>
      <c r="I1498" s="44" t="s">
        <v>7052</v>
      </c>
      <c r="J1498" s="45" t="s">
        <v>7078</v>
      </c>
      <c r="K1498" s="45" t="s">
        <v>7080</v>
      </c>
      <c r="L1498" s="31" t="n">
        <f aca="false">COUNTIF($B$3:$B$2205,$B1498)</f>
        <v>1</v>
      </c>
      <c r="M1498" s="44" t="str">
        <f aca="false">IFERROR(INDEX(SENTENCES!$T$3:$T$1802,MATCH($F1498,SENTENCES!$A$3:$A$1802,0)),"")</f>
        <v>• Chưa tới</v>
      </c>
    </row>
    <row r="1499" customFormat="false" ht="15" hidden="false" customHeight="false" outlineLevel="0" collapsed="false">
      <c r="A1499" s="31" t="n">
        <v>1497</v>
      </c>
      <c r="B1499" s="43" t="s">
        <v>13082</v>
      </c>
      <c r="C1499" s="34" t="s">
        <v>13083</v>
      </c>
      <c r="D1499" s="44" t="s">
        <v>10677</v>
      </c>
      <c r="E1499" s="31" t="s">
        <v>10707</v>
      </c>
      <c r="F1499" s="31" t="s">
        <v>7082</v>
      </c>
      <c r="G1499" s="31" t="n">
        <v>60</v>
      </c>
      <c r="H1499" s="31" t="s">
        <v>3692</v>
      </c>
      <c r="I1499" s="44" t="s">
        <v>7052</v>
      </c>
      <c r="J1499" s="45" t="s">
        <v>7084</v>
      </c>
      <c r="K1499" s="45" t="s">
        <v>7086</v>
      </c>
      <c r="L1499" s="31" t="n">
        <f aca="false">COUNTIF($B$3:$B$2205,$B1499)</f>
        <v>1</v>
      </c>
      <c r="M1499" s="44" t="str">
        <f aca="false">IFERROR(INDEX(SENTENCES!$T$3:$T$1802,MATCH($F1499,SENTENCES!$A$3:$A$1802,0)),"")</f>
        <v>• Chưa tới</v>
      </c>
    </row>
    <row r="1500" customFormat="false" ht="15" hidden="false" customHeight="false" outlineLevel="0" collapsed="false">
      <c r="A1500" s="31" t="n">
        <v>1498</v>
      </c>
      <c r="B1500" s="43" t="s">
        <v>13084</v>
      </c>
      <c r="C1500" s="34" t="s">
        <v>13085</v>
      </c>
      <c r="D1500" s="44" t="s">
        <v>10677</v>
      </c>
      <c r="E1500" s="31" t="s">
        <v>10747</v>
      </c>
      <c r="F1500" s="31" t="s">
        <v>7088</v>
      </c>
      <c r="G1500" s="31" t="n">
        <v>60</v>
      </c>
      <c r="H1500" s="31" t="s">
        <v>3692</v>
      </c>
      <c r="I1500" s="44" t="s">
        <v>7052</v>
      </c>
      <c r="J1500" s="45" t="s">
        <v>7090</v>
      </c>
      <c r="K1500" s="45" t="s">
        <v>7092</v>
      </c>
      <c r="L1500" s="31" t="n">
        <f aca="false">COUNTIF($B$3:$B$2205,$B1500)</f>
        <v>1</v>
      </c>
      <c r="M1500" s="44" t="str">
        <f aca="false">IFERROR(INDEX(SENTENCES!$T$3:$T$1802,MATCH($F1500,SENTENCES!$A$3:$A$1802,0)),"")</f>
        <v>• Chưa tới</v>
      </c>
    </row>
    <row r="1501" customFormat="false" ht="15" hidden="false" customHeight="false" outlineLevel="0" collapsed="false">
      <c r="A1501" s="31" t="n">
        <v>1499</v>
      </c>
      <c r="B1501" s="43" t="s">
        <v>13086</v>
      </c>
      <c r="C1501" s="34" t="s">
        <v>13087</v>
      </c>
      <c r="D1501" s="44" t="s">
        <v>10686</v>
      </c>
      <c r="E1501" s="31"/>
      <c r="F1501" s="31" t="s">
        <v>7094</v>
      </c>
      <c r="G1501" s="31" t="n">
        <v>60</v>
      </c>
      <c r="H1501" s="31" t="s">
        <v>3692</v>
      </c>
      <c r="I1501" s="44" t="s">
        <v>7052</v>
      </c>
      <c r="J1501" s="45" t="s">
        <v>7096</v>
      </c>
      <c r="K1501" s="45" t="s">
        <v>7098</v>
      </c>
      <c r="L1501" s="31" t="n">
        <f aca="false">COUNTIF($B$3:$B$2205,$B1501)</f>
        <v>1</v>
      </c>
      <c r="M1501" s="44" t="str">
        <f aca="false">IFERROR(INDEX(SENTENCES!$T$3:$T$1802,MATCH($F1501,SENTENCES!$A$3:$A$1802,0)),"")</f>
        <v>• Chưa tới</v>
      </c>
    </row>
    <row r="1502" customFormat="false" ht="15" hidden="false" customHeight="false" outlineLevel="0" collapsed="false">
      <c r="A1502" s="31" t="n">
        <v>1500</v>
      </c>
      <c r="B1502" s="43" t="s">
        <v>13088</v>
      </c>
      <c r="C1502" s="34" t="s">
        <v>12402</v>
      </c>
      <c r="D1502" s="44" t="s">
        <v>10677</v>
      </c>
      <c r="E1502" s="31" t="s">
        <v>10707</v>
      </c>
      <c r="F1502" s="31" t="s">
        <v>7099</v>
      </c>
      <c r="G1502" s="31" t="n">
        <v>60</v>
      </c>
      <c r="H1502" s="31" t="s">
        <v>3692</v>
      </c>
      <c r="I1502" s="44" t="s">
        <v>7052</v>
      </c>
      <c r="J1502" s="45" t="s">
        <v>7101</v>
      </c>
      <c r="K1502" s="45" t="s">
        <v>7103</v>
      </c>
      <c r="L1502" s="31" t="n">
        <f aca="false">COUNTIF($B$3:$B$2205,$B1502)</f>
        <v>1</v>
      </c>
      <c r="M1502" s="44" t="str">
        <f aca="false">IFERROR(INDEX(SENTENCES!$T$3:$T$1802,MATCH($F1502,SENTENCES!$A$3:$A$1802,0)),"")</f>
        <v>• Chưa tới</v>
      </c>
    </row>
    <row r="1503" customFormat="false" ht="15" hidden="false" customHeight="false" outlineLevel="0" collapsed="false">
      <c r="A1503" s="31" t="n">
        <v>1501</v>
      </c>
      <c r="B1503" s="43" t="s">
        <v>13089</v>
      </c>
      <c r="C1503" s="34" t="s">
        <v>13090</v>
      </c>
      <c r="D1503" s="44" t="s">
        <v>10681</v>
      </c>
      <c r="E1503" s="31"/>
      <c r="F1503" s="31" t="s">
        <v>7105</v>
      </c>
      <c r="G1503" s="31" t="n">
        <v>60</v>
      </c>
      <c r="H1503" s="31" t="s">
        <v>3692</v>
      </c>
      <c r="I1503" s="44" t="s">
        <v>7052</v>
      </c>
      <c r="J1503" s="45" t="s">
        <v>7107</v>
      </c>
      <c r="K1503" s="45" t="s">
        <v>7109</v>
      </c>
      <c r="L1503" s="31" t="n">
        <f aca="false">COUNTIF($B$3:$B$2205,$B1503)</f>
        <v>1</v>
      </c>
      <c r="M1503" s="44" t="str">
        <f aca="false">IFERROR(INDEX(SENTENCES!$T$3:$T$1802,MATCH($F1503,SENTENCES!$A$3:$A$1802,0)),"")</f>
        <v>• Chưa tới</v>
      </c>
    </row>
    <row r="1504" customFormat="false" ht="15" hidden="false" customHeight="false" outlineLevel="0" collapsed="false">
      <c r="A1504" s="31" t="n">
        <v>1502</v>
      </c>
      <c r="B1504" s="43" t="s">
        <v>13091</v>
      </c>
      <c r="C1504" s="34" t="s">
        <v>13092</v>
      </c>
      <c r="D1504" s="44" t="s">
        <v>10677</v>
      </c>
      <c r="E1504" s="31" t="s">
        <v>10678</v>
      </c>
      <c r="F1504" s="31" t="s">
        <v>7111</v>
      </c>
      <c r="G1504" s="31" t="n">
        <v>60</v>
      </c>
      <c r="H1504" s="31" t="s">
        <v>3692</v>
      </c>
      <c r="I1504" s="44" t="s">
        <v>7052</v>
      </c>
      <c r="J1504" s="45" t="s">
        <v>7113</v>
      </c>
      <c r="K1504" s="45" t="s">
        <v>7115</v>
      </c>
      <c r="L1504" s="31" t="n">
        <f aca="false">COUNTIF($B$3:$B$2205,$B1504)</f>
        <v>1</v>
      </c>
      <c r="M1504" s="44" t="str">
        <f aca="false">IFERROR(INDEX(SENTENCES!$T$3:$T$1802,MATCH($F1504,SENTENCES!$A$3:$A$1802,0)),"")</f>
        <v>• Chưa tới</v>
      </c>
    </row>
    <row r="1505" customFormat="false" ht="15" hidden="false" customHeight="false" outlineLevel="0" collapsed="false">
      <c r="A1505" s="31" t="n">
        <v>1503</v>
      </c>
      <c r="B1505" s="43" t="s">
        <v>13093</v>
      </c>
      <c r="C1505" s="34" t="s">
        <v>13094</v>
      </c>
      <c r="D1505" s="44" t="s">
        <v>10677</v>
      </c>
      <c r="E1505" s="31" t="s">
        <v>10707</v>
      </c>
      <c r="F1505" s="31" t="s">
        <v>7117</v>
      </c>
      <c r="G1505" s="31" t="n">
        <v>60</v>
      </c>
      <c r="H1505" s="31" t="s">
        <v>3692</v>
      </c>
      <c r="I1505" s="44" t="s">
        <v>7052</v>
      </c>
      <c r="J1505" s="45" t="s">
        <v>7118</v>
      </c>
      <c r="K1505" s="45" t="s">
        <v>7120</v>
      </c>
      <c r="L1505" s="31" t="n">
        <f aca="false">COUNTIF($B$3:$B$2205,$B1505)</f>
        <v>1</v>
      </c>
      <c r="M1505" s="44" t="str">
        <f aca="false">IFERROR(INDEX(SENTENCES!$T$3:$T$1802,MATCH($F1505,SENTENCES!$A$3:$A$1802,0)),"")</f>
        <v>• Chưa tới</v>
      </c>
    </row>
    <row r="1506" customFormat="false" ht="15" hidden="false" customHeight="false" outlineLevel="0" collapsed="false">
      <c r="A1506" s="31" t="n">
        <v>1504</v>
      </c>
      <c r="B1506" s="43" t="s">
        <v>13095</v>
      </c>
      <c r="C1506" s="34" t="s">
        <v>13064</v>
      </c>
      <c r="D1506" s="44" t="s">
        <v>10677</v>
      </c>
      <c r="E1506" s="31" t="s">
        <v>10678</v>
      </c>
      <c r="F1506" s="31" t="s">
        <v>7122</v>
      </c>
      <c r="G1506" s="31" t="n">
        <v>60</v>
      </c>
      <c r="H1506" s="31" t="s">
        <v>3692</v>
      </c>
      <c r="I1506" s="44" t="s">
        <v>7052</v>
      </c>
      <c r="J1506" s="45" t="s">
        <v>7123</v>
      </c>
      <c r="K1506" s="45" t="s">
        <v>7125</v>
      </c>
      <c r="L1506" s="31" t="n">
        <f aca="false">COUNTIF($B$3:$B$2205,$B1506)</f>
        <v>1</v>
      </c>
      <c r="M1506" s="44" t="str">
        <f aca="false">IFERROR(INDEX(SENTENCES!$T$3:$T$1802,MATCH($F1506,SENTENCES!$A$3:$A$1802,0)),"")</f>
        <v>• Chưa tới</v>
      </c>
    </row>
    <row r="1507" customFormat="false" ht="15" hidden="false" customHeight="false" outlineLevel="0" collapsed="false">
      <c r="A1507" s="31" t="n">
        <v>1505</v>
      </c>
      <c r="B1507" s="43" t="s">
        <v>13096</v>
      </c>
      <c r="C1507" s="34" t="s">
        <v>13097</v>
      </c>
      <c r="D1507" s="44" t="s">
        <v>10677</v>
      </c>
      <c r="E1507" s="31" t="s">
        <v>10747</v>
      </c>
      <c r="F1507" s="31" t="s">
        <v>7127</v>
      </c>
      <c r="G1507" s="31" t="n">
        <v>60</v>
      </c>
      <c r="H1507" s="31" t="s">
        <v>3692</v>
      </c>
      <c r="I1507" s="44" t="s">
        <v>7052</v>
      </c>
      <c r="J1507" s="45" t="s">
        <v>7129</v>
      </c>
      <c r="K1507" s="45" t="s">
        <v>7131</v>
      </c>
      <c r="L1507" s="31" t="n">
        <f aca="false">COUNTIF($B$3:$B$2205,$B1507)</f>
        <v>1</v>
      </c>
      <c r="M1507" s="44" t="str">
        <f aca="false">IFERROR(INDEX(SENTENCES!$T$3:$T$1802,MATCH($F1507,SENTENCES!$A$3:$A$1802,0)),"")</f>
        <v>• Chưa tới</v>
      </c>
    </row>
    <row r="1508" customFormat="false" ht="15" hidden="false" customHeight="false" outlineLevel="0" collapsed="false">
      <c r="A1508" s="31" t="n">
        <v>1506</v>
      </c>
      <c r="B1508" s="43" t="s">
        <v>13098</v>
      </c>
      <c r="C1508" s="34" t="s">
        <v>13099</v>
      </c>
      <c r="D1508" s="44" t="s">
        <v>10677</v>
      </c>
      <c r="E1508" s="31" t="s">
        <v>10678</v>
      </c>
      <c r="F1508" s="31" t="s">
        <v>7127</v>
      </c>
      <c r="G1508" s="31" t="n">
        <v>60</v>
      </c>
      <c r="H1508" s="31" t="s">
        <v>3692</v>
      </c>
      <c r="I1508" s="44" t="s">
        <v>7052</v>
      </c>
      <c r="J1508" s="45" t="s">
        <v>7129</v>
      </c>
      <c r="K1508" s="45" t="s">
        <v>7131</v>
      </c>
      <c r="L1508" s="31" t="n">
        <f aca="false">COUNTIF($B$3:$B$2205,$B1508)</f>
        <v>1</v>
      </c>
      <c r="M1508" s="44" t="str">
        <f aca="false">IFERROR(INDEX(SENTENCES!$T$3:$T$1802,MATCH($F1508,SENTENCES!$A$3:$A$1802,0)),"")</f>
        <v>• Chưa tới</v>
      </c>
    </row>
    <row r="1509" customFormat="false" ht="15" hidden="false" customHeight="false" outlineLevel="0" collapsed="false">
      <c r="A1509" s="31" t="n">
        <v>1507</v>
      </c>
      <c r="B1509" s="43" t="s">
        <v>12551</v>
      </c>
      <c r="C1509" s="34" t="s">
        <v>12552</v>
      </c>
      <c r="D1509" s="44" t="s">
        <v>10686</v>
      </c>
      <c r="E1509" s="31"/>
      <c r="F1509" s="31" t="s">
        <v>7133</v>
      </c>
      <c r="G1509" s="31" t="n">
        <v>60</v>
      </c>
      <c r="H1509" s="31" t="s">
        <v>3692</v>
      </c>
      <c r="I1509" s="44" t="s">
        <v>7052</v>
      </c>
      <c r="J1509" s="45" t="s">
        <v>7135</v>
      </c>
      <c r="K1509" s="45" t="s">
        <v>7137</v>
      </c>
      <c r="L1509" s="31" t="n">
        <f aca="false">COUNTIF($B$3:$B$2205,$B1509)</f>
        <v>2</v>
      </c>
      <c r="M1509" s="44" t="str">
        <f aca="false">IFERROR(INDEX(SENTENCES!$T$3:$T$1802,MATCH($F1509,SENTENCES!$A$3:$A$1802,0)),"")</f>
        <v>• Chưa tới</v>
      </c>
    </row>
    <row r="1510" customFormat="false" ht="15" hidden="false" customHeight="false" outlineLevel="0" collapsed="false">
      <c r="A1510" s="31" t="n">
        <v>1508</v>
      </c>
      <c r="B1510" s="43" t="s">
        <v>13100</v>
      </c>
      <c r="C1510" s="34" t="s">
        <v>12846</v>
      </c>
      <c r="D1510" s="44" t="s">
        <v>10677</v>
      </c>
      <c r="E1510" s="31" t="s">
        <v>10707</v>
      </c>
      <c r="F1510" s="31" t="s">
        <v>7138</v>
      </c>
      <c r="G1510" s="31" t="n">
        <v>60</v>
      </c>
      <c r="H1510" s="31" t="s">
        <v>3692</v>
      </c>
      <c r="I1510" s="44" t="s">
        <v>7052</v>
      </c>
      <c r="J1510" s="45" t="s">
        <v>7140</v>
      </c>
      <c r="K1510" s="45" t="s">
        <v>7142</v>
      </c>
      <c r="L1510" s="31" t="n">
        <f aca="false">COUNTIF($B$3:$B$2205,$B1510)</f>
        <v>1</v>
      </c>
      <c r="M1510" s="44" t="str">
        <f aca="false">IFERROR(INDEX(SENTENCES!$T$3:$T$1802,MATCH($F1510,SENTENCES!$A$3:$A$1802,0)),"")</f>
        <v>• Chưa tới</v>
      </c>
    </row>
    <row r="1511" customFormat="false" ht="15" hidden="false" customHeight="false" outlineLevel="0" collapsed="false">
      <c r="A1511" s="31" t="n">
        <v>1509</v>
      </c>
      <c r="B1511" s="43" t="s">
        <v>11445</v>
      </c>
      <c r="C1511" s="34" t="s">
        <v>11446</v>
      </c>
      <c r="D1511" s="44" t="s">
        <v>10686</v>
      </c>
      <c r="E1511" s="31"/>
      <c r="F1511" s="31" t="s">
        <v>7144</v>
      </c>
      <c r="G1511" s="31" t="n">
        <v>60</v>
      </c>
      <c r="H1511" s="31" t="s">
        <v>3692</v>
      </c>
      <c r="I1511" s="44" t="s">
        <v>7052</v>
      </c>
      <c r="J1511" s="45" t="s">
        <v>7146</v>
      </c>
      <c r="K1511" s="45" t="s">
        <v>7148</v>
      </c>
      <c r="L1511" s="31" t="n">
        <f aca="false">COUNTIF($B$3:$B$2205,$B1511)</f>
        <v>2</v>
      </c>
      <c r="M1511" s="44" t="str">
        <f aca="false">IFERROR(INDEX(SENTENCES!$T$3:$T$1802,MATCH($F1511,SENTENCES!$A$3:$A$1802,0)),"")</f>
        <v>• Chưa tới</v>
      </c>
    </row>
    <row r="1512" customFormat="false" ht="15" hidden="false" customHeight="false" outlineLevel="0" collapsed="false">
      <c r="A1512" s="31" t="n">
        <v>1510</v>
      </c>
      <c r="B1512" s="43" t="s">
        <v>13101</v>
      </c>
      <c r="C1512" s="34" t="s">
        <v>13102</v>
      </c>
      <c r="D1512" s="44" t="s">
        <v>10686</v>
      </c>
      <c r="E1512" s="31"/>
      <c r="F1512" s="31" t="s">
        <v>7149</v>
      </c>
      <c r="G1512" s="31" t="n">
        <v>60</v>
      </c>
      <c r="H1512" s="31" t="s">
        <v>3692</v>
      </c>
      <c r="I1512" s="44" t="s">
        <v>7052</v>
      </c>
      <c r="J1512" s="45" t="s">
        <v>7151</v>
      </c>
      <c r="K1512" s="45" t="s">
        <v>7153</v>
      </c>
      <c r="L1512" s="31" t="n">
        <f aca="false">COUNTIF($B$3:$B$2205,$B1512)</f>
        <v>1</v>
      </c>
      <c r="M1512" s="44" t="str">
        <f aca="false">IFERROR(INDEX(SENTENCES!$T$3:$T$1802,MATCH($F1512,SENTENCES!$A$3:$A$1802,0)),"")</f>
        <v>• Chưa tới</v>
      </c>
    </row>
    <row r="1513" customFormat="false" ht="15" hidden="false" customHeight="false" outlineLevel="0" collapsed="false">
      <c r="A1513" s="31" t="n">
        <v>1511</v>
      </c>
      <c r="B1513" s="43" t="s">
        <v>13103</v>
      </c>
      <c r="C1513" s="34" t="s">
        <v>10956</v>
      </c>
      <c r="D1513" s="44" t="s">
        <v>10681</v>
      </c>
      <c r="E1513" s="31"/>
      <c r="F1513" s="31" t="s">
        <v>7149</v>
      </c>
      <c r="G1513" s="31" t="n">
        <v>60</v>
      </c>
      <c r="H1513" s="31" t="s">
        <v>3692</v>
      </c>
      <c r="I1513" s="44" t="s">
        <v>7052</v>
      </c>
      <c r="J1513" s="45" t="s">
        <v>7151</v>
      </c>
      <c r="K1513" s="45" t="s">
        <v>7153</v>
      </c>
      <c r="L1513" s="31" t="n">
        <f aca="false">COUNTIF($B$3:$B$2205,$B1513)</f>
        <v>1</v>
      </c>
      <c r="M1513" s="44" t="str">
        <f aca="false">IFERROR(INDEX(SENTENCES!$T$3:$T$1802,MATCH($F1513,SENTENCES!$A$3:$A$1802,0)),"")</f>
        <v>• Chưa tới</v>
      </c>
    </row>
    <row r="1514" customFormat="false" ht="15" hidden="false" customHeight="false" outlineLevel="0" collapsed="false">
      <c r="A1514" s="31" t="n">
        <v>1512</v>
      </c>
      <c r="B1514" s="43" t="s">
        <v>13104</v>
      </c>
      <c r="C1514" s="34" t="s">
        <v>13105</v>
      </c>
      <c r="D1514" s="44" t="s">
        <v>10677</v>
      </c>
      <c r="E1514" s="31" t="s">
        <v>10678</v>
      </c>
      <c r="F1514" s="31" t="s">
        <v>7155</v>
      </c>
      <c r="G1514" s="31" t="n">
        <v>60</v>
      </c>
      <c r="H1514" s="31" t="s">
        <v>3692</v>
      </c>
      <c r="I1514" s="44" t="s">
        <v>7052</v>
      </c>
      <c r="J1514" s="45" t="s">
        <v>7157</v>
      </c>
      <c r="K1514" s="45" t="s">
        <v>7159</v>
      </c>
      <c r="L1514" s="31" t="n">
        <f aca="false">COUNTIF($B$3:$B$2205,$B1514)</f>
        <v>1</v>
      </c>
      <c r="M1514" s="44" t="str">
        <f aca="false">IFERROR(INDEX(SENTENCES!$T$3:$T$1802,MATCH($F1514,SENTENCES!$A$3:$A$1802,0)),"")</f>
        <v>• Chưa tới</v>
      </c>
    </row>
    <row r="1515" customFormat="false" ht="15" hidden="false" customHeight="false" outlineLevel="0" collapsed="false">
      <c r="A1515" s="31" t="n">
        <v>1513</v>
      </c>
      <c r="B1515" s="43" t="s">
        <v>13106</v>
      </c>
      <c r="C1515" s="34" t="s">
        <v>13107</v>
      </c>
      <c r="D1515" s="44" t="s">
        <v>10681</v>
      </c>
      <c r="E1515" s="31"/>
      <c r="F1515" s="31" t="s">
        <v>7155</v>
      </c>
      <c r="G1515" s="31" t="n">
        <v>60</v>
      </c>
      <c r="H1515" s="31" t="s">
        <v>3692</v>
      </c>
      <c r="I1515" s="44" t="s">
        <v>7052</v>
      </c>
      <c r="J1515" s="45" t="s">
        <v>7157</v>
      </c>
      <c r="K1515" s="45" t="s">
        <v>7159</v>
      </c>
      <c r="L1515" s="31" t="n">
        <f aca="false">COUNTIF($B$3:$B$2205,$B1515)</f>
        <v>1</v>
      </c>
      <c r="M1515" s="44" t="str">
        <f aca="false">IFERROR(INDEX(SENTENCES!$T$3:$T$1802,MATCH($F1515,SENTENCES!$A$3:$A$1802,0)),"")</f>
        <v>• Chưa tới</v>
      </c>
    </row>
    <row r="1516" customFormat="false" ht="15" hidden="false" customHeight="false" outlineLevel="0" collapsed="false">
      <c r="A1516" s="31" t="n">
        <v>1514</v>
      </c>
      <c r="B1516" s="43" t="s">
        <v>13108</v>
      </c>
      <c r="C1516" s="34" t="s">
        <v>13109</v>
      </c>
      <c r="D1516" s="44" t="s">
        <v>10677</v>
      </c>
      <c r="E1516" s="31" t="s">
        <v>10678</v>
      </c>
      <c r="F1516" s="31" t="s">
        <v>7161</v>
      </c>
      <c r="G1516" s="31" t="n">
        <v>60</v>
      </c>
      <c r="H1516" s="31" t="s">
        <v>3692</v>
      </c>
      <c r="I1516" s="44" t="s">
        <v>7052</v>
      </c>
      <c r="J1516" s="45" t="s">
        <v>7163</v>
      </c>
      <c r="K1516" s="45" t="s">
        <v>7165</v>
      </c>
      <c r="L1516" s="31" t="n">
        <f aca="false">COUNTIF($B$3:$B$2205,$B1516)</f>
        <v>1</v>
      </c>
      <c r="M1516" s="44" t="str">
        <f aca="false">IFERROR(INDEX(SENTENCES!$T$3:$T$1802,MATCH($F1516,SENTENCES!$A$3:$A$1802,0)),"")</f>
        <v>• Chưa tới</v>
      </c>
    </row>
    <row r="1517" customFormat="false" ht="15" hidden="false" customHeight="false" outlineLevel="0" collapsed="false">
      <c r="A1517" s="31" t="n">
        <v>1515</v>
      </c>
      <c r="B1517" s="43" t="s">
        <v>13110</v>
      </c>
      <c r="C1517" s="34" t="s">
        <v>13111</v>
      </c>
      <c r="D1517" s="44" t="s">
        <v>10677</v>
      </c>
      <c r="E1517" s="31" t="s">
        <v>10707</v>
      </c>
      <c r="F1517" s="31" t="s">
        <v>7167</v>
      </c>
      <c r="G1517" s="31" t="n">
        <v>61</v>
      </c>
      <c r="H1517" s="31" t="s">
        <v>7168</v>
      </c>
      <c r="I1517" s="44" t="s">
        <v>7169</v>
      </c>
      <c r="J1517" s="45" t="s">
        <v>7171</v>
      </c>
      <c r="K1517" s="45" t="s">
        <v>7173</v>
      </c>
      <c r="L1517" s="31" t="n">
        <f aca="false">COUNTIF($B$3:$B$2205,$B1517)</f>
        <v>1</v>
      </c>
      <c r="M1517" s="44" t="str">
        <f aca="false">IFERROR(INDEX(SENTENCES!$T$3:$T$1802,MATCH($F1517,SENTENCES!$A$3:$A$1802,0)),"")</f>
        <v>• Chưa tới</v>
      </c>
    </row>
    <row r="1518" customFormat="false" ht="15" hidden="false" customHeight="false" outlineLevel="0" collapsed="false">
      <c r="A1518" s="31" t="n">
        <v>1516</v>
      </c>
      <c r="B1518" s="43" t="s">
        <v>13112</v>
      </c>
      <c r="C1518" s="34" t="s">
        <v>13113</v>
      </c>
      <c r="D1518" s="44" t="s">
        <v>10677</v>
      </c>
      <c r="E1518" s="31" t="s">
        <v>10707</v>
      </c>
      <c r="F1518" s="31" t="s">
        <v>7175</v>
      </c>
      <c r="G1518" s="31" t="n">
        <v>61</v>
      </c>
      <c r="H1518" s="31" t="s">
        <v>7168</v>
      </c>
      <c r="I1518" s="44" t="s">
        <v>7169</v>
      </c>
      <c r="J1518" s="45" t="s">
        <v>7177</v>
      </c>
      <c r="K1518" s="45" t="s">
        <v>7179</v>
      </c>
      <c r="L1518" s="31" t="n">
        <f aca="false">COUNTIF($B$3:$B$2205,$B1518)</f>
        <v>1</v>
      </c>
      <c r="M1518" s="44" t="str">
        <f aca="false">IFERROR(INDEX(SENTENCES!$T$3:$T$1802,MATCH($F1518,SENTENCES!$A$3:$A$1802,0)),"")</f>
        <v>• Chưa tới</v>
      </c>
    </row>
    <row r="1519" customFormat="false" ht="15" hidden="false" customHeight="false" outlineLevel="0" collapsed="false">
      <c r="A1519" s="31" t="n">
        <v>1517</v>
      </c>
      <c r="B1519" s="43" t="s">
        <v>13114</v>
      </c>
      <c r="C1519" s="34" t="s">
        <v>13115</v>
      </c>
      <c r="D1519" s="44" t="s">
        <v>10686</v>
      </c>
      <c r="E1519" s="31"/>
      <c r="F1519" s="31" t="s">
        <v>7175</v>
      </c>
      <c r="G1519" s="31" t="n">
        <v>61</v>
      </c>
      <c r="H1519" s="31" t="s">
        <v>7168</v>
      </c>
      <c r="I1519" s="44" t="s">
        <v>7169</v>
      </c>
      <c r="J1519" s="45" t="s">
        <v>7177</v>
      </c>
      <c r="K1519" s="45" t="s">
        <v>7179</v>
      </c>
      <c r="L1519" s="31" t="n">
        <f aca="false">COUNTIF($B$3:$B$2205,$B1519)</f>
        <v>1</v>
      </c>
      <c r="M1519" s="44" t="str">
        <f aca="false">IFERROR(INDEX(SENTENCES!$T$3:$T$1802,MATCH($F1519,SENTENCES!$A$3:$A$1802,0)),"")</f>
        <v>• Chưa tới</v>
      </c>
    </row>
    <row r="1520" customFormat="false" ht="15" hidden="false" customHeight="false" outlineLevel="0" collapsed="false">
      <c r="A1520" s="31" t="n">
        <v>1518</v>
      </c>
      <c r="B1520" s="43" t="s">
        <v>13116</v>
      </c>
      <c r="C1520" s="34" t="s">
        <v>13117</v>
      </c>
      <c r="D1520" s="44" t="s">
        <v>10686</v>
      </c>
      <c r="E1520" s="31"/>
      <c r="F1520" s="31" t="s">
        <v>7181</v>
      </c>
      <c r="G1520" s="31" t="n">
        <v>61</v>
      </c>
      <c r="H1520" s="31" t="s">
        <v>7168</v>
      </c>
      <c r="I1520" s="44" t="s">
        <v>7169</v>
      </c>
      <c r="J1520" s="45" t="s">
        <v>7183</v>
      </c>
      <c r="K1520" s="45" t="s">
        <v>7185</v>
      </c>
      <c r="L1520" s="31" t="n">
        <f aca="false">COUNTIF($B$3:$B$2205,$B1520)</f>
        <v>1</v>
      </c>
      <c r="M1520" s="44" t="str">
        <f aca="false">IFERROR(INDEX(SENTENCES!$T$3:$T$1802,MATCH($F1520,SENTENCES!$A$3:$A$1802,0)),"")</f>
        <v>• Chưa tới</v>
      </c>
    </row>
    <row r="1521" customFormat="false" ht="15" hidden="false" customHeight="false" outlineLevel="0" collapsed="false">
      <c r="A1521" s="31" t="n">
        <v>1519</v>
      </c>
      <c r="B1521" s="43" t="s">
        <v>13118</v>
      </c>
      <c r="C1521" s="34" t="s">
        <v>13119</v>
      </c>
      <c r="D1521" s="44" t="s">
        <v>10677</v>
      </c>
      <c r="E1521" s="31" t="s">
        <v>10678</v>
      </c>
      <c r="F1521" s="31" t="s">
        <v>7181</v>
      </c>
      <c r="G1521" s="31" t="n">
        <v>61</v>
      </c>
      <c r="H1521" s="31" t="s">
        <v>7168</v>
      </c>
      <c r="I1521" s="44" t="s">
        <v>7169</v>
      </c>
      <c r="J1521" s="45" t="s">
        <v>7183</v>
      </c>
      <c r="K1521" s="45" t="s">
        <v>7185</v>
      </c>
      <c r="L1521" s="31" t="n">
        <f aca="false">COUNTIF($B$3:$B$2205,$B1521)</f>
        <v>1</v>
      </c>
      <c r="M1521" s="44" t="str">
        <f aca="false">IFERROR(INDEX(SENTENCES!$T$3:$T$1802,MATCH($F1521,SENTENCES!$A$3:$A$1802,0)),"")</f>
        <v>• Chưa tới</v>
      </c>
    </row>
    <row r="1522" customFormat="false" ht="15" hidden="false" customHeight="false" outlineLevel="0" collapsed="false">
      <c r="A1522" s="31" t="n">
        <v>1520</v>
      </c>
      <c r="B1522" s="43" t="s">
        <v>13120</v>
      </c>
      <c r="C1522" s="34" t="s">
        <v>13121</v>
      </c>
      <c r="D1522" s="44" t="s">
        <v>10794</v>
      </c>
      <c r="E1522" s="31"/>
      <c r="F1522" s="31" t="s">
        <v>7187</v>
      </c>
      <c r="G1522" s="31" t="n">
        <v>61</v>
      </c>
      <c r="H1522" s="31" t="s">
        <v>7168</v>
      </c>
      <c r="I1522" s="44" t="s">
        <v>7169</v>
      </c>
      <c r="J1522" s="45" t="s">
        <v>7189</v>
      </c>
      <c r="K1522" s="45" t="s">
        <v>7191</v>
      </c>
      <c r="L1522" s="31" t="n">
        <f aca="false">COUNTIF($B$3:$B$2205,$B1522)</f>
        <v>1</v>
      </c>
      <c r="M1522" s="44" t="str">
        <f aca="false">IFERROR(INDEX(SENTENCES!$T$3:$T$1802,MATCH($F1522,SENTENCES!$A$3:$A$1802,0)),"")</f>
        <v>• Chưa tới</v>
      </c>
    </row>
    <row r="1523" customFormat="false" ht="15" hidden="false" customHeight="false" outlineLevel="0" collapsed="false">
      <c r="A1523" s="31" t="n">
        <v>1521</v>
      </c>
      <c r="B1523" s="43" t="s">
        <v>13122</v>
      </c>
      <c r="C1523" s="34" t="s">
        <v>13123</v>
      </c>
      <c r="D1523" s="44" t="s">
        <v>10794</v>
      </c>
      <c r="E1523" s="31"/>
      <c r="F1523" s="31" t="s">
        <v>7193</v>
      </c>
      <c r="G1523" s="31" t="n">
        <v>61</v>
      </c>
      <c r="H1523" s="31" t="s">
        <v>7168</v>
      </c>
      <c r="I1523" s="44" t="s">
        <v>7169</v>
      </c>
      <c r="J1523" s="45" t="s">
        <v>7195</v>
      </c>
      <c r="K1523" s="45" t="s">
        <v>7197</v>
      </c>
      <c r="L1523" s="31" t="n">
        <f aca="false">COUNTIF($B$3:$B$2205,$B1523)</f>
        <v>1</v>
      </c>
      <c r="M1523" s="44" t="str">
        <f aca="false">IFERROR(INDEX(SENTENCES!$T$3:$T$1802,MATCH($F1523,SENTENCES!$A$3:$A$1802,0)),"")</f>
        <v>• Chưa tới</v>
      </c>
    </row>
    <row r="1524" customFormat="false" ht="15" hidden="false" customHeight="false" outlineLevel="0" collapsed="false">
      <c r="A1524" s="31" t="n">
        <v>1522</v>
      </c>
      <c r="B1524" s="43" t="s">
        <v>7305</v>
      </c>
      <c r="C1524" s="34" t="s">
        <v>13124</v>
      </c>
      <c r="D1524" s="44" t="s">
        <v>10794</v>
      </c>
      <c r="E1524" s="31"/>
      <c r="F1524" s="31" t="s">
        <v>7199</v>
      </c>
      <c r="G1524" s="31" t="n">
        <v>61</v>
      </c>
      <c r="H1524" s="31" t="s">
        <v>7168</v>
      </c>
      <c r="I1524" s="44" t="s">
        <v>7169</v>
      </c>
      <c r="J1524" s="45" t="s">
        <v>7201</v>
      </c>
      <c r="K1524" s="45" t="s">
        <v>7203</v>
      </c>
      <c r="L1524" s="31" t="n">
        <f aca="false">COUNTIF($B$3:$B$2205,$B1524)</f>
        <v>1</v>
      </c>
      <c r="M1524" s="44" t="str">
        <f aca="false">IFERROR(INDEX(SENTENCES!$T$3:$T$1802,MATCH($F1524,SENTENCES!$A$3:$A$1802,0)),"")</f>
        <v>• Chưa tới</v>
      </c>
    </row>
    <row r="1525" customFormat="false" ht="15" hidden="false" customHeight="false" outlineLevel="0" collapsed="false">
      <c r="A1525" s="31" t="n">
        <v>1523</v>
      </c>
      <c r="B1525" s="43" t="s">
        <v>13125</v>
      </c>
      <c r="C1525" s="34" t="s">
        <v>13126</v>
      </c>
      <c r="D1525" s="44" t="s">
        <v>10681</v>
      </c>
      <c r="E1525" s="31"/>
      <c r="F1525" s="31" t="s">
        <v>7199</v>
      </c>
      <c r="G1525" s="31" t="n">
        <v>61</v>
      </c>
      <c r="H1525" s="31" t="s">
        <v>7168</v>
      </c>
      <c r="I1525" s="44" t="s">
        <v>7169</v>
      </c>
      <c r="J1525" s="45" t="s">
        <v>7201</v>
      </c>
      <c r="K1525" s="45" t="s">
        <v>7203</v>
      </c>
      <c r="L1525" s="31" t="n">
        <f aca="false">COUNTIF($B$3:$B$2205,$B1525)</f>
        <v>1</v>
      </c>
      <c r="M1525" s="44" t="str">
        <f aca="false">IFERROR(INDEX(SENTENCES!$T$3:$T$1802,MATCH($F1525,SENTENCES!$A$3:$A$1802,0)),"")</f>
        <v>• Chưa tới</v>
      </c>
    </row>
    <row r="1526" customFormat="false" ht="15" hidden="false" customHeight="false" outlineLevel="0" collapsed="false">
      <c r="A1526" s="31" t="n">
        <v>1524</v>
      </c>
      <c r="B1526" s="43" t="s">
        <v>13127</v>
      </c>
      <c r="C1526" s="34" t="s">
        <v>13128</v>
      </c>
      <c r="D1526" s="44" t="s">
        <v>10686</v>
      </c>
      <c r="E1526" s="31"/>
      <c r="F1526" s="31" t="s">
        <v>7205</v>
      </c>
      <c r="G1526" s="31" t="n">
        <v>61</v>
      </c>
      <c r="H1526" s="31" t="s">
        <v>7168</v>
      </c>
      <c r="I1526" s="44" t="s">
        <v>7169</v>
      </c>
      <c r="J1526" s="45" t="s">
        <v>7207</v>
      </c>
      <c r="K1526" s="45" t="s">
        <v>7209</v>
      </c>
      <c r="L1526" s="31" t="n">
        <f aca="false">COUNTIF($B$3:$B$2205,$B1526)</f>
        <v>1</v>
      </c>
      <c r="M1526" s="44" t="str">
        <f aca="false">IFERROR(INDEX(SENTENCES!$T$3:$T$1802,MATCH($F1526,SENTENCES!$A$3:$A$1802,0)),"")</f>
        <v>• Chưa tới</v>
      </c>
    </row>
    <row r="1527" customFormat="false" ht="15" hidden="false" customHeight="false" outlineLevel="0" collapsed="false">
      <c r="A1527" s="31" t="n">
        <v>1525</v>
      </c>
      <c r="B1527" s="43" t="s">
        <v>11795</v>
      </c>
      <c r="C1527" s="34" t="s">
        <v>13129</v>
      </c>
      <c r="D1527" s="44" t="s">
        <v>10686</v>
      </c>
      <c r="E1527" s="31"/>
      <c r="F1527" s="31" t="s">
        <v>7205</v>
      </c>
      <c r="G1527" s="31" t="n">
        <v>61</v>
      </c>
      <c r="H1527" s="31" t="s">
        <v>7168</v>
      </c>
      <c r="I1527" s="44" t="s">
        <v>7169</v>
      </c>
      <c r="J1527" s="45" t="s">
        <v>7207</v>
      </c>
      <c r="K1527" s="45" t="s">
        <v>7209</v>
      </c>
      <c r="L1527" s="31" t="n">
        <f aca="false">COUNTIF($B$3:$B$2205,$B1527)</f>
        <v>3</v>
      </c>
      <c r="M1527" s="44" t="str">
        <f aca="false">IFERROR(INDEX(SENTENCES!$T$3:$T$1802,MATCH($F1527,SENTENCES!$A$3:$A$1802,0)),"")</f>
        <v>• Chưa tới</v>
      </c>
    </row>
    <row r="1528" customFormat="false" ht="15" hidden="false" customHeight="false" outlineLevel="0" collapsed="false">
      <c r="A1528" s="31" t="n">
        <v>1526</v>
      </c>
      <c r="B1528" s="43" t="s">
        <v>13130</v>
      </c>
      <c r="C1528" s="34" t="s">
        <v>13131</v>
      </c>
      <c r="D1528" s="44" t="s">
        <v>10681</v>
      </c>
      <c r="E1528" s="31"/>
      <c r="F1528" s="31" t="s">
        <v>7211</v>
      </c>
      <c r="G1528" s="31" t="n">
        <v>61</v>
      </c>
      <c r="H1528" s="31" t="s">
        <v>7168</v>
      </c>
      <c r="I1528" s="44" t="s">
        <v>7169</v>
      </c>
      <c r="J1528" s="45" t="s">
        <v>7213</v>
      </c>
      <c r="K1528" s="45" t="s">
        <v>7215</v>
      </c>
      <c r="L1528" s="31" t="n">
        <f aca="false">COUNTIF($B$3:$B$2205,$B1528)</f>
        <v>1</v>
      </c>
      <c r="M1528" s="44" t="str">
        <f aca="false">IFERROR(INDEX(SENTENCES!$T$3:$T$1802,MATCH($F1528,SENTENCES!$A$3:$A$1802,0)),"")</f>
        <v>• Chưa tới</v>
      </c>
    </row>
    <row r="1529" customFormat="false" ht="15" hidden="false" customHeight="false" outlineLevel="0" collapsed="false">
      <c r="A1529" s="31" t="n">
        <v>1527</v>
      </c>
      <c r="B1529" s="43" t="s">
        <v>13132</v>
      </c>
      <c r="C1529" s="34" t="s">
        <v>13133</v>
      </c>
      <c r="D1529" s="44" t="s">
        <v>10794</v>
      </c>
      <c r="E1529" s="31"/>
      <c r="F1529" s="31" t="s">
        <v>7217</v>
      </c>
      <c r="G1529" s="31" t="n">
        <v>61</v>
      </c>
      <c r="H1529" s="31" t="s">
        <v>7168</v>
      </c>
      <c r="I1529" s="44" t="s">
        <v>7169</v>
      </c>
      <c r="J1529" s="45" t="s">
        <v>7219</v>
      </c>
      <c r="K1529" s="45" t="s">
        <v>7221</v>
      </c>
      <c r="L1529" s="31" t="n">
        <f aca="false">COUNTIF($B$3:$B$2205,$B1529)</f>
        <v>1</v>
      </c>
      <c r="M1529" s="44" t="str">
        <f aca="false">IFERROR(INDEX(SENTENCES!$T$3:$T$1802,MATCH($F1529,SENTENCES!$A$3:$A$1802,0)),"")</f>
        <v>• Chưa tới</v>
      </c>
    </row>
    <row r="1530" customFormat="false" ht="15" hidden="false" customHeight="false" outlineLevel="0" collapsed="false">
      <c r="A1530" s="31" t="n">
        <v>1528</v>
      </c>
      <c r="B1530" s="43" t="s">
        <v>13134</v>
      </c>
      <c r="C1530" s="34" t="s">
        <v>13135</v>
      </c>
      <c r="D1530" s="44" t="s">
        <v>10677</v>
      </c>
      <c r="E1530" s="31" t="s">
        <v>10707</v>
      </c>
      <c r="F1530" s="31" t="s">
        <v>7223</v>
      </c>
      <c r="G1530" s="31" t="n">
        <v>61</v>
      </c>
      <c r="H1530" s="31" t="s">
        <v>7168</v>
      </c>
      <c r="I1530" s="44" t="s">
        <v>7169</v>
      </c>
      <c r="J1530" s="45" t="s">
        <v>7224</v>
      </c>
      <c r="K1530" s="45" t="s">
        <v>7226</v>
      </c>
      <c r="L1530" s="31" t="n">
        <f aca="false">COUNTIF($B$3:$B$2205,$B1530)</f>
        <v>2</v>
      </c>
      <c r="M1530" s="44" t="str">
        <f aca="false">IFERROR(INDEX(SENTENCES!$T$3:$T$1802,MATCH($F1530,SENTENCES!$A$3:$A$1802,0)),"")</f>
        <v>• Chưa tới</v>
      </c>
    </row>
    <row r="1531" customFormat="false" ht="15" hidden="false" customHeight="false" outlineLevel="0" collapsed="false">
      <c r="A1531" s="31" t="n">
        <v>1529</v>
      </c>
      <c r="B1531" s="43" t="s">
        <v>13136</v>
      </c>
      <c r="C1531" s="34" t="s">
        <v>13137</v>
      </c>
      <c r="D1531" s="44" t="s">
        <v>10681</v>
      </c>
      <c r="E1531" s="31"/>
      <c r="F1531" s="31" t="s">
        <v>7223</v>
      </c>
      <c r="G1531" s="31" t="n">
        <v>61</v>
      </c>
      <c r="H1531" s="31" t="s">
        <v>7168</v>
      </c>
      <c r="I1531" s="44" t="s">
        <v>7169</v>
      </c>
      <c r="J1531" s="45" t="s">
        <v>7224</v>
      </c>
      <c r="K1531" s="45" t="s">
        <v>7226</v>
      </c>
      <c r="L1531" s="31" t="n">
        <f aca="false">COUNTIF($B$3:$B$2205,$B1531)</f>
        <v>1</v>
      </c>
      <c r="M1531" s="44" t="str">
        <f aca="false">IFERROR(INDEX(SENTENCES!$T$3:$T$1802,MATCH($F1531,SENTENCES!$A$3:$A$1802,0)),"")</f>
        <v>• Chưa tới</v>
      </c>
    </row>
    <row r="1532" customFormat="false" ht="15" hidden="false" customHeight="false" outlineLevel="0" collapsed="false">
      <c r="A1532" s="31" t="n">
        <v>1530</v>
      </c>
      <c r="B1532" s="43" t="s">
        <v>13138</v>
      </c>
      <c r="C1532" s="34" t="s">
        <v>13139</v>
      </c>
      <c r="D1532" s="44" t="s">
        <v>10681</v>
      </c>
      <c r="E1532" s="31"/>
      <c r="F1532" s="31" t="s">
        <v>7228</v>
      </c>
      <c r="G1532" s="31" t="n">
        <v>61</v>
      </c>
      <c r="H1532" s="31" t="s">
        <v>7168</v>
      </c>
      <c r="I1532" s="44" t="s">
        <v>7169</v>
      </c>
      <c r="J1532" s="45" t="s">
        <v>7230</v>
      </c>
      <c r="K1532" s="45" t="s">
        <v>7232</v>
      </c>
      <c r="L1532" s="31" t="n">
        <f aca="false">COUNTIF($B$3:$B$2205,$B1532)</f>
        <v>1</v>
      </c>
      <c r="M1532" s="44" t="str">
        <f aca="false">IFERROR(INDEX(SENTENCES!$T$3:$T$1802,MATCH($F1532,SENTENCES!$A$3:$A$1802,0)),"")</f>
        <v>• Chưa tới</v>
      </c>
    </row>
    <row r="1533" customFormat="false" ht="22.35" hidden="false" customHeight="false" outlineLevel="0" collapsed="false">
      <c r="A1533" s="31" t="n">
        <v>1531</v>
      </c>
      <c r="B1533" s="43" t="s">
        <v>13140</v>
      </c>
      <c r="C1533" s="34" t="s">
        <v>13141</v>
      </c>
      <c r="D1533" s="44" t="s">
        <v>10681</v>
      </c>
      <c r="E1533" s="31"/>
      <c r="F1533" s="31" t="s">
        <v>7234</v>
      </c>
      <c r="G1533" s="31" t="n">
        <v>61</v>
      </c>
      <c r="H1533" s="31" t="s">
        <v>7168</v>
      </c>
      <c r="I1533" s="44" t="s">
        <v>7169</v>
      </c>
      <c r="J1533" s="45" t="s">
        <v>7236</v>
      </c>
      <c r="K1533" s="45" t="s">
        <v>7238</v>
      </c>
      <c r="L1533" s="31" t="n">
        <f aca="false">COUNTIF($B$3:$B$2205,$B1533)</f>
        <v>1</v>
      </c>
      <c r="M1533" s="44" t="str">
        <f aca="false">IFERROR(INDEX(SENTENCES!$T$3:$T$1802,MATCH($F1533,SENTENCES!$A$3:$A$1802,0)),"")</f>
        <v>• Chưa tới</v>
      </c>
    </row>
    <row r="1534" customFormat="false" ht="22.35" hidden="false" customHeight="false" outlineLevel="0" collapsed="false">
      <c r="A1534" s="31" t="n">
        <v>1532</v>
      </c>
      <c r="B1534" s="43" t="s">
        <v>13142</v>
      </c>
      <c r="C1534" s="34" t="s">
        <v>13143</v>
      </c>
      <c r="D1534" s="44" t="s">
        <v>10681</v>
      </c>
      <c r="E1534" s="31"/>
      <c r="F1534" s="31" t="s">
        <v>7234</v>
      </c>
      <c r="G1534" s="31" t="n">
        <v>61</v>
      </c>
      <c r="H1534" s="31" t="s">
        <v>7168</v>
      </c>
      <c r="I1534" s="44" t="s">
        <v>7169</v>
      </c>
      <c r="J1534" s="45" t="s">
        <v>7236</v>
      </c>
      <c r="K1534" s="45" t="s">
        <v>7238</v>
      </c>
      <c r="L1534" s="31" t="n">
        <f aca="false">COUNTIF($B$3:$B$2205,$B1534)</f>
        <v>1</v>
      </c>
      <c r="M1534" s="44" t="str">
        <f aca="false">IFERROR(INDEX(SENTENCES!$T$3:$T$1802,MATCH($F1534,SENTENCES!$A$3:$A$1802,0)),"")</f>
        <v>• Chưa tới</v>
      </c>
    </row>
    <row r="1535" customFormat="false" ht="15" hidden="false" customHeight="false" outlineLevel="0" collapsed="false">
      <c r="A1535" s="31" t="n">
        <v>1533</v>
      </c>
      <c r="B1535" s="43" t="s">
        <v>13144</v>
      </c>
      <c r="C1535" s="34" t="s">
        <v>12492</v>
      </c>
      <c r="D1535" s="44" t="s">
        <v>10686</v>
      </c>
      <c r="E1535" s="31"/>
      <c r="F1535" s="31" t="s">
        <v>7240</v>
      </c>
      <c r="G1535" s="31" t="n">
        <v>61</v>
      </c>
      <c r="H1535" s="31" t="s">
        <v>7168</v>
      </c>
      <c r="I1535" s="44" t="s">
        <v>7169</v>
      </c>
      <c r="J1535" s="45" t="s">
        <v>7242</v>
      </c>
      <c r="K1535" s="45" t="s">
        <v>7244</v>
      </c>
      <c r="L1535" s="31" t="n">
        <f aca="false">COUNTIF($B$3:$B$2205,$B1535)</f>
        <v>1</v>
      </c>
      <c r="M1535" s="44" t="str">
        <f aca="false">IFERROR(INDEX(SENTENCES!$T$3:$T$1802,MATCH($F1535,SENTENCES!$A$3:$A$1802,0)),"")</f>
        <v>• Chưa tới</v>
      </c>
    </row>
    <row r="1536" customFormat="false" ht="22.35" hidden="false" customHeight="false" outlineLevel="0" collapsed="false">
      <c r="A1536" s="31" t="n">
        <v>1534</v>
      </c>
      <c r="B1536" s="43" t="s">
        <v>10200</v>
      </c>
      <c r="C1536" s="34" t="s">
        <v>13145</v>
      </c>
      <c r="D1536" s="44" t="s">
        <v>10681</v>
      </c>
      <c r="E1536" s="31"/>
      <c r="F1536" s="31" t="s">
        <v>7246</v>
      </c>
      <c r="G1536" s="31" t="n">
        <v>61</v>
      </c>
      <c r="H1536" s="31" t="s">
        <v>7168</v>
      </c>
      <c r="I1536" s="44" t="s">
        <v>7169</v>
      </c>
      <c r="J1536" s="45" t="s">
        <v>7248</v>
      </c>
      <c r="K1536" s="45" t="s">
        <v>7250</v>
      </c>
      <c r="L1536" s="31" t="n">
        <f aca="false">COUNTIF($B$3:$B$2205,$B1536)</f>
        <v>2</v>
      </c>
      <c r="M1536" s="44" t="str">
        <f aca="false">IFERROR(INDEX(SENTENCES!$T$3:$T$1802,MATCH($F1536,SENTENCES!$A$3:$A$1802,0)),"")</f>
        <v>• Chưa tới</v>
      </c>
    </row>
    <row r="1537" customFormat="false" ht="15" hidden="false" customHeight="false" outlineLevel="0" collapsed="false">
      <c r="A1537" s="31" t="n">
        <v>1535</v>
      </c>
      <c r="B1537" s="43" t="s">
        <v>13146</v>
      </c>
      <c r="C1537" s="34" t="s">
        <v>13147</v>
      </c>
      <c r="D1537" s="44" t="s">
        <v>10681</v>
      </c>
      <c r="E1537" s="31"/>
      <c r="F1537" s="31" t="s">
        <v>7252</v>
      </c>
      <c r="G1537" s="31" t="n">
        <v>61</v>
      </c>
      <c r="H1537" s="31" t="s">
        <v>7168</v>
      </c>
      <c r="I1537" s="44" t="s">
        <v>7169</v>
      </c>
      <c r="J1537" s="45" t="s">
        <v>7254</v>
      </c>
      <c r="K1537" s="45" t="s">
        <v>7256</v>
      </c>
      <c r="L1537" s="31" t="n">
        <f aca="false">COUNTIF($B$3:$B$2205,$B1537)</f>
        <v>1</v>
      </c>
      <c r="M1537" s="44" t="str">
        <f aca="false">IFERROR(INDEX(SENTENCES!$T$3:$T$1802,MATCH($F1537,SENTENCES!$A$3:$A$1802,0)),"")</f>
        <v>• Chưa tới</v>
      </c>
    </row>
    <row r="1538" customFormat="false" ht="15" hidden="false" customHeight="false" outlineLevel="0" collapsed="false">
      <c r="A1538" s="31" t="n">
        <v>1536</v>
      </c>
      <c r="B1538" s="43" t="s">
        <v>13148</v>
      </c>
      <c r="C1538" s="34" t="s">
        <v>13149</v>
      </c>
      <c r="D1538" s="44" t="s">
        <v>10686</v>
      </c>
      <c r="E1538" s="31"/>
      <c r="F1538" s="31" t="s">
        <v>7258</v>
      </c>
      <c r="G1538" s="31" t="n">
        <v>61</v>
      </c>
      <c r="H1538" s="31" t="s">
        <v>7168</v>
      </c>
      <c r="I1538" s="44" t="s">
        <v>7169</v>
      </c>
      <c r="J1538" s="45" t="s">
        <v>7260</v>
      </c>
      <c r="K1538" s="45" t="s">
        <v>7262</v>
      </c>
      <c r="L1538" s="31" t="n">
        <f aca="false">COUNTIF($B$3:$B$2205,$B1538)</f>
        <v>1</v>
      </c>
      <c r="M1538" s="44" t="str">
        <f aca="false">IFERROR(INDEX(SENTENCES!$T$3:$T$1802,MATCH($F1538,SENTENCES!$A$3:$A$1802,0)),"")</f>
        <v>• Chưa tới</v>
      </c>
    </row>
    <row r="1539" customFormat="false" ht="15" hidden="false" customHeight="false" outlineLevel="0" collapsed="false">
      <c r="A1539" s="31" t="n">
        <v>1537</v>
      </c>
      <c r="B1539" s="43" t="s">
        <v>13150</v>
      </c>
      <c r="C1539" s="34" t="s">
        <v>13151</v>
      </c>
      <c r="D1539" s="44" t="s">
        <v>10681</v>
      </c>
      <c r="E1539" s="31"/>
      <c r="F1539" s="31" t="s">
        <v>7264</v>
      </c>
      <c r="G1539" s="31" t="n">
        <v>61</v>
      </c>
      <c r="H1539" s="31" t="s">
        <v>7168</v>
      </c>
      <c r="I1539" s="44" t="s">
        <v>7169</v>
      </c>
      <c r="J1539" s="45" t="s">
        <v>7266</v>
      </c>
      <c r="K1539" s="45" t="s">
        <v>7268</v>
      </c>
      <c r="L1539" s="31" t="n">
        <f aca="false">COUNTIF($B$3:$B$2205,$B1539)</f>
        <v>1</v>
      </c>
      <c r="M1539" s="44" t="str">
        <f aca="false">IFERROR(INDEX(SENTENCES!$T$3:$T$1802,MATCH($F1539,SENTENCES!$A$3:$A$1802,0)),"")</f>
        <v>• Chưa tới</v>
      </c>
    </row>
    <row r="1540" customFormat="false" ht="15" hidden="false" customHeight="false" outlineLevel="0" collapsed="false">
      <c r="A1540" s="31" t="n">
        <v>1538</v>
      </c>
      <c r="B1540" s="43" t="s">
        <v>13152</v>
      </c>
      <c r="C1540" s="34" t="s">
        <v>13153</v>
      </c>
      <c r="D1540" s="44" t="s">
        <v>10686</v>
      </c>
      <c r="E1540" s="31"/>
      <c r="F1540" s="31" t="s">
        <v>7264</v>
      </c>
      <c r="G1540" s="31" t="n">
        <v>61</v>
      </c>
      <c r="H1540" s="31" t="s">
        <v>7168</v>
      </c>
      <c r="I1540" s="44" t="s">
        <v>7169</v>
      </c>
      <c r="J1540" s="45" t="s">
        <v>7266</v>
      </c>
      <c r="K1540" s="45" t="s">
        <v>7268</v>
      </c>
      <c r="L1540" s="31" t="n">
        <f aca="false">COUNTIF($B$3:$B$2205,$B1540)</f>
        <v>2</v>
      </c>
      <c r="M1540" s="44" t="str">
        <f aca="false">IFERROR(INDEX(SENTENCES!$T$3:$T$1802,MATCH($F1540,SENTENCES!$A$3:$A$1802,0)),"")</f>
        <v>• Chưa tới</v>
      </c>
    </row>
    <row r="1541" customFormat="false" ht="15" hidden="false" customHeight="false" outlineLevel="0" collapsed="false">
      <c r="A1541" s="31" t="n">
        <v>1539</v>
      </c>
      <c r="B1541" s="43" t="s">
        <v>13154</v>
      </c>
      <c r="C1541" s="34" t="s">
        <v>12727</v>
      </c>
      <c r="D1541" s="44" t="s">
        <v>10686</v>
      </c>
      <c r="E1541" s="31"/>
      <c r="F1541" s="31" t="s">
        <v>7270</v>
      </c>
      <c r="G1541" s="31" t="n">
        <v>61</v>
      </c>
      <c r="H1541" s="31" t="s">
        <v>7168</v>
      </c>
      <c r="I1541" s="44" t="s">
        <v>7169</v>
      </c>
      <c r="J1541" s="45" t="s">
        <v>7272</v>
      </c>
      <c r="K1541" s="45" t="s">
        <v>7274</v>
      </c>
      <c r="L1541" s="31" t="n">
        <f aca="false">COUNTIF($B$3:$B$2205,$B1541)</f>
        <v>2</v>
      </c>
      <c r="M1541" s="44" t="str">
        <f aca="false">IFERROR(INDEX(SENTENCES!$T$3:$T$1802,MATCH($F1541,SENTENCES!$A$3:$A$1802,0)),"")</f>
        <v>• Chưa tới</v>
      </c>
    </row>
    <row r="1542" customFormat="false" ht="15" hidden="false" customHeight="false" outlineLevel="0" collapsed="false">
      <c r="A1542" s="31" t="n">
        <v>1540</v>
      </c>
      <c r="B1542" s="43" t="s">
        <v>12502</v>
      </c>
      <c r="C1542" s="34" t="s">
        <v>11444</v>
      </c>
      <c r="D1542" s="44" t="s">
        <v>10681</v>
      </c>
      <c r="E1542" s="31"/>
      <c r="F1542" s="31" t="s">
        <v>7276</v>
      </c>
      <c r="G1542" s="31" t="n">
        <v>61</v>
      </c>
      <c r="H1542" s="31" t="s">
        <v>7168</v>
      </c>
      <c r="I1542" s="44" t="s">
        <v>7169</v>
      </c>
      <c r="J1542" s="45" t="s">
        <v>7278</v>
      </c>
      <c r="K1542" s="45" t="s">
        <v>7280</v>
      </c>
      <c r="L1542" s="31" t="n">
        <f aca="false">COUNTIF($B$3:$B$2205,$B1542)</f>
        <v>3</v>
      </c>
      <c r="M1542" s="44" t="str">
        <f aca="false">IFERROR(INDEX(SENTENCES!$T$3:$T$1802,MATCH($F1542,SENTENCES!$A$3:$A$1802,0)),"")</f>
        <v>• Chưa tới</v>
      </c>
    </row>
    <row r="1543" customFormat="false" ht="15" hidden="false" customHeight="false" outlineLevel="0" collapsed="false">
      <c r="A1543" s="31" t="n">
        <v>1541</v>
      </c>
      <c r="B1543" s="43" t="s">
        <v>11833</v>
      </c>
      <c r="C1543" s="34" t="s">
        <v>11834</v>
      </c>
      <c r="D1543" s="44" t="s">
        <v>10686</v>
      </c>
      <c r="E1543" s="31"/>
      <c r="F1543" s="31" t="s">
        <v>7281</v>
      </c>
      <c r="G1543" s="31" t="n">
        <v>61</v>
      </c>
      <c r="H1543" s="31" t="s">
        <v>7168</v>
      </c>
      <c r="I1543" s="44" t="s">
        <v>7169</v>
      </c>
      <c r="J1543" s="45" t="s">
        <v>7283</v>
      </c>
      <c r="K1543" s="45" t="s">
        <v>7285</v>
      </c>
      <c r="L1543" s="31" t="n">
        <f aca="false">COUNTIF($B$3:$B$2205,$B1543)</f>
        <v>2</v>
      </c>
      <c r="M1543" s="44" t="str">
        <f aca="false">IFERROR(INDEX(SENTENCES!$T$3:$T$1802,MATCH($F1543,SENTENCES!$A$3:$A$1802,0)),"")</f>
        <v>• Chưa tới</v>
      </c>
    </row>
    <row r="1544" customFormat="false" ht="15" hidden="false" customHeight="false" outlineLevel="0" collapsed="false">
      <c r="A1544" s="31" t="n">
        <v>1542</v>
      </c>
      <c r="B1544" s="43" t="s">
        <v>12726</v>
      </c>
      <c r="C1544" s="34" t="s">
        <v>12727</v>
      </c>
      <c r="D1544" s="44" t="s">
        <v>10686</v>
      </c>
      <c r="E1544" s="31"/>
      <c r="F1544" s="31" t="s">
        <v>7286</v>
      </c>
      <c r="G1544" s="31" t="n">
        <v>62</v>
      </c>
      <c r="H1544" s="31" t="s">
        <v>7168</v>
      </c>
      <c r="I1544" s="44" t="s">
        <v>7287</v>
      </c>
      <c r="J1544" s="45" t="s">
        <v>7289</v>
      </c>
      <c r="K1544" s="45" t="s">
        <v>7291</v>
      </c>
      <c r="L1544" s="31" t="n">
        <f aca="false">COUNTIF($B$3:$B$2205,$B1544)</f>
        <v>3</v>
      </c>
      <c r="M1544" s="44" t="str">
        <f aca="false">IFERROR(INDEX(SENTENCES!$T$3:$T$1802,MATCH($F1544,SENTENCES!$A$3:$A$1802,0)),"")</f>
        <v>• Chưa tới</v>
      </c>
    </row>
    <row r="1545" customFormat="false" ht="15" hidden="false" customHeight="false" outlineLevel="0" collapsed="false">
      <c r="A1545" s="31" t="n">
        <v>1543</v>
      </c>
      <c r="B1545" s="43" t="s">
        <v>13155</v>
      </c>
      <c r="C1545" s="34" t="s">
        <v>13156</v>
      </c>
      <c r="D1545" s="44" t="s">
        <v>10681</v>
      </c>
      <c r="E1545" s="31"/>
      <c r="F1545" s="31" t="s">
        <v>7292</v>
      </c>
      <c r="G1545" s="31" t="n">
        <v>62</v>
      </c>
      <c r="H1545" s="31" t="s">
        <v>7168</v>
      </c>
      <c r="I1545" s="44" t="s">
        <v>7287</v>
      </c>
      <c r="J1545" s="45" t="s">
        <v>7294</v>
      </c>
      <c r="K1545" s="45" t="s">
        <v>7296</v>
      </c>
      <c r="L1545" s="31" t="n">
        <f aca="false">COUNTIF($B$3:$B$2205,$B1545)</f>
        <v>1</v>
      </c>
      <c r="M1545" s="44" t="str">
        <f aca="false">IFERROR(INDEX(SENTENCES!$T$3:$T$1802,MATCH($F1545,SENTENCES!$A$3:$A$1802,0)),"")</f>
        <v>• Chưa tới</v>
      </c>
    </row>
    <row r="1546" customFormat="false" ht="15" hidden="false" customHeight="false" outlineLevel="0" collapsed="false">
      <c r="A1546" s="31" t="n">
        <v>1544</v>
      </c>
      <c r="B1546" s="43" t="s">
        <v>13157</v>
      </c>
      <c r="C1546" s="34" t="s">
        <v>13158</v>
      </c>
      <c r="D1546" s="44" t="s">
        <v>10686</v>
      </c>
      <c r="E1546" s="31"/>
      <c r="F1546" s="31" t="s">
        <v>7298</v>
      </c>
      <c r="G1546" s="31" t="n">
        <v>62</v>
      </c>
      <c r="H1546" s="31" t="s">
        <v>7168</v>
      </c>
      <c r="I1546" s="44" t="s">
        <v>7287</v>
      </c>
      <c r="J1546" s="45" t="s">
        <v>7300</v>
      </c>
      <c r="K1546" s="45" t="s">
        <v>7302</v>
      </c>
      <c r="L1546" s="31" t="n">
        <f aca="false">COUNTIF($B$3:$B$2205,$B1546)</f>
        <v>1</v>
      </c>
      <c r="M1546" s="44" t="str">
        <f aca="false">IFERROR(INDEX(SENTENCES!$T$3:$T$1802,MATCH($F1546,SENTENCES!$A$3:$A$1802,0)),"")</f>
        <v>• Chưa tới</v>
      </c>
    </row>
    <row r="1547" customFormat="false" ht="15" hidden="false" customHeight="false" outlineLevel="0" collapsed="false">
      <c r="A1547" s="31" t="n">
        <v>1545</v>
      </c>
      <c r="B1547" s="43" t="s">
        <v>12662</v>
      </c>
      <c r="C1547" s="34" t="s">
        <v>12663</v>
      </c>
      <c r="D1547" s="44" t="s">
        <v>10677</v>
      </c>
      <c r="E1547" s="31" t="s">
        <v>10747</v>
      </c>
      <c r="F1547" s="31" t="s">
        <v>7304</v>
      </c>
      <c r="G1547" s="31" t="n">
        <v>62</v>
      </c>
      <c r="H1547" s="31" t="s">
        <v>7168</v>
      </c>
      <c r="I1547" s="44" t="s">
        <v>7287</v>
      </c>
      <c r="J1547" s="45" t="s">
        <v>7306</v>
      </c>
      <c r="K1547" s="45" t="s">
        <v>7308</v>
      </c>
      <c r="L1547" s="31" t="n">
        <f aca="false">COUNTIF($B$3:$B$2205,$B1547)</f>
        <v>3</v>
      </c>
      <c r="M1547" s="44" t="str">
        <f aca="false">IFERROR(INDEX(SENTENCES!$T$3:$T$1802,MATCH($F1547,SENTENCES!$A$3:$A$1802,0)),"")</f>
        <v>• Chưa tới</v>
      </c>
    </row>
    <row r="1548" customFormat="false" ht="15" hidden="false" customHeight="false" outlineLevel="0" collapsed="false">
      <c r="A1548" s="31" t="n">
        <v>1546</v>
      </c>
      <c r="B1548" s="43" t="s">
        <v>13159</v>
      </c>
      <c r="C1548" s="34" t="s">
        <v>13160</v>
      </c>
      <c r="D1548" s="44" t="s">
        <v>10677</v>
      </c>
      <c r="E1548" s="31" t="s">
        <v>10707</v>
      </c>
      <c r="F1548" s="31" t="s">
        <v>7309</v>
      </c>
      <c r="G1548" s="31" t="n">
        <v>62</v>
      </c>
      <c r="H1548" s="31" t="s">
        <v>7168</v>
      </c>
      <c r="I1548" s="44" t="s">
        <v>7287</v>
      </c>
      <c r="J1548" s="45" t="s">
        <v>7311</v>
      </c>
      <c r="K1548" s="45" t="s">
        <v>7313</v>
      </c>
      <c r="L1548" s="31" t="n">
        <f aca="false">COUNTIF($B$3:$B$2205,$B1548)</f>
        <v>1</v>
      </c>
      <c r="M1548" s="44" t="str">
        <f aca="false">IFERROR(INDEX(SENTENCES!$T$3:$T$1802,MATCH($F1548,SENTENCES!$A$3:$A$1802,0)),"")</f>
        <v>• Chưa tới</v>
      </c>
    </row>
    <row r="1549" customFormat="false" ht="15" hidden="false" customHeight="false" outlineLevel="0" collapsed="false">
      <c r="A1549" s="31" t="n">
        <v>1547</v>
      </c>
      <c r="B1549" s="43" t="s">
        <v>13161</v>
      </c>
      <c r="C1549" s="34" t="s">
        <v>13162</v>
      </c>
      <c r="D1549" s="44" t="s">
        <v>10686</v>
      </c>
      <c r="E1549" s="31"/>
      <c r="F1549" s="31" t="s">
        <v>7315</v>
      </c>
      <c r="G1549" s="31" t="n">
        <v>62</v>
      </c>
      <c r="H1549" s="31" t="s">
        <v>7168</v>
      </c>
      <c r="I1549" s="44" t="s">
        <v>7287</v>
      </c>
      <c r="J1549" s="45" t="s">
        <v>7317</v>
      </c>
      <c r="K1549" s="45" t="s">
        <v>7319</v>
      </c>
      <c r="L1549" s="31" t="n">
        <f aca="false">COUNTIF($B$3:$B$2205,$B1549)</f>
        <v>1</v>
      </c>
      <c r="M1549" s="44" t="str">
        <f aca="false">IFERROR(INDEX(SENTENCES!$T$3:$T$1802,MATCH($F1549,SENTENCES!$A$3:$A$1802,0)),"")</f>
        <v>• Chưa tới</v>
      </c>
    </row>
    <row r="1550" customFormat="false" ht="15" hidden="false" customHeight="false" outlineLevel="0" collapsed="false">
      <c r="A1550" s="31" t="n">
        <v>1548</v>
      </c>
      <c r="B1550" s="43" t="s">
        <v>13163</v>
      </c>
      <c r="C1550" s="34" t="s">
        <v>13113</v>
      </c>
      <c r="D1550" s="44" t="s">
        <v>10677</v>
      </c>
      <c r="E1550" s="31" t="s">
        <v>10678</v>
      </c>
      <c r="F1550" s="31" t="s">
        <v>7321</v>
      </c>
      <c r="G1550" s="31" t="n">
        <v>62</v>
      </c>
      <c r="H1550" s="31" t="s">
        <v>7168</v>
      </c>
      <c r="I1550" s="44" t="s">
        <v>7287</v>
      </c>
      <c r="J1550" s="45" t="s">
        <v>7323</v>
      </c>
      <c r="K1550" s="45" t="s">
        <v>7325</v>
      </c>
      <c r="L1550" s="31" t="n">
        <f aca="false">COUNTIF($B$3:$B$2205,$B1550)</f>
        <v>1</v>
      </c>
      <c r="M1550" s="44" t="str">
        <f aca="false">IFERROR(INDEX(SENTENCES!$T$3:$T$1802,MATCH($F1550,SENTENCES!$A$3:$A$1802,0)),"")</f>
        <v>• Chưa tới</v>
      </c>
    </row>
    <row r="1551" customFormat="false" ht="15" hidden="false" customHeight="false" outlineLevel="0" collapsed="false">
      <c r="A1551" s="31" t="n">
        <v>1549</v>
      </c>
      <c r="B1551" s="43" t="s">
        <v>13164</v>
      </c>
      <c r="C1551" s="34" t="s">
        <v>13165</v>
      </c>
      <c r="D1551" s="44" t="s">
        <v>10686</v>
      </c>
      <c r="E1551" s="31"/>
      <c r="F1551" s="31" t="s">
        <v>7327</v>
      </c>
      <c r="G1551" s="31" t="n">
        <v>62</v>
      </c>
      <c r="H1551" s="31" t="s">
        <v>7168</v>
      </c>
      <c r="I1551" s="44" t="s">
        <v>7287</v>
      </c>
      <c r="J1551" s="45" t="s">
        <v>7329</v>
      </c>
      <c r="K1551" s="45" t="s">
        <v>7331</v>
      </c>
      <c r="L1551" s="31" t="n">
        <f aca="false">COUNTIF($B$3:$B$2205,$B1551)</f>
        <v>1</v>
      </c>
      <c r="M1551" s="44" t="str">
        <f aca="false">IFERROR(INDEX(SENTENCES!$T$3:$T$1802,MATCH($F1551,SENTENCES!$A$3:$A$1802,0)),"")</f>
        <v>• Chưa tới</v>
      </c>
    </row>
    <row r="1552" customFormat="false" ht="15" hidden="false" customHeight="false" outlineLevel="0" collapsed="false">
      <c r="A1552" s="31" t="n">
        <v>1550</v>
      </c>
      <c r="B1552" s="43" t="s">
        <v>13166</v>
      </c>
      <c r="C1552" s="34" t="s">
        <v>13167</v>
      </c>
      <c r="D1552" s="44" t="s">
        <v>10681</v>
      </c>
      <c r="E1552" s="31"/>
      <c r="F1552" s="31" t="s">
        <v>7333</v>
      </c>
      <c r="G1552" s="31" t="n">
        <v>62</v>
      </c>
      <c r="H1552" s="31" t="s">
        <v>7168</v>
      </c>
      <c r="I1552" s="44" t="s">
        <v>7287</v>
      </c>
      <c r="J1552" s="45" t="s">
        <v>7335</v>
      </c>
      <c r="K1552" s="45" t="s">
        <v>7337</v>
      </c>
      <c r="L1552" s="31" t="n">
        <f aca="false">COUNTIF($B$3:$B$2205,$B1552)</f>
        <v>2</v>
      </c>
      <c r="M1552" s="44" t="str">
        <f aca="false">IFERROR(INDEX(SENTENCES!$T$3:$T$1802,MATCH($F1552,SENTENCES!$A$3:$A$1802,0)),"")</f>
        <v>• Chưa tới</v>
      </c>
    </row>
    <row r="1553" customFormat="false" ht="15" hidden="false" customHeight="false" outlineLevel="0" collapsed="false">
      <c r="A1553" s="31" t="n">
        <v>1551</v>
      </c>
      <c r="B1553" s="43" t="s">
        <v>13168</v>
      </c>
      <c r="C1553" s="34" t="s">
        <v>13169</v>
      </c>
      <c r="D1553" s="44" t="s">
        <v>10681</v>
      </c>
      <c r="E1553" s="31"/>
      <c r="F1553" s="31" t="s">
        <v>7339</v>
      </c>
      <c r="G1553" s="31" t="n">
        <v>62</v>
      </c>
      <c r="H1553" s="31" t="s">
        <v>7168</v>
      </c>
      <c r="I1553" s="44" t="s">
        <v>7287</v>
      </c>
      <c r="J1553" s="45" t="s">
        <v>7340</v>
      </c>
      <c r="K1553" s="45" t="s">
        <v>7342</v>
      </c>
      <c r="L1553" s="31" t="n">
        <f aca="false">COUNTIF($B$3:$B$2205,$B1553)</f>
        <v>1</v>
      </c>
      <c r="M1553" s="44" t="str">
        <f aca="false">IFERROR(INDEX(SENTENCES!$T$3:$T$1802,MATCH($F1553,SENTENCES!$A$3:$A$1802,0)),"")</f>
        <v>• Chưa tới</v>
      </c>
    </row>
    <row r="1554" customFormat="false" ht="15" hidden="false" customHeight="false" outlineLevel="0" collapsed="false">
      <c r="A1554" s="31" t="n">
        <v>1552</v>
      </c>
      <c r="B1554" s="43" t="s">
        <v>13170</v>
      </c>
      <c r="C1554" s="34" t="s">
        <v>13171</v>
      </c>
      <c r="D1554" s="44" t="s">
        <v>10677</v>
      </c>
      <c r="E1554" s="31" t="s">
        <v>10707</v>
      </c>
      <c r="F1554" s="31" t="s">
        <v>7344</v>
      </c>
      <c r="G1554" s="31" t="n">
        <v>62</v>
      </c>
      <c r="H1554" s="31" t="s">
        <v>7168</v>
      </c>
      <c r="I1554" s="44" t="s">
        <v>7287</v>
      </c>
      <c r="J1554" s="45" t="s">
        <v>7345</v>
      </c>
      <c r="K1554" s="45" t="s">
        <v>7347</v>
      </c>
      <c r="L1554" s="31" t="n">
        <f aca="false">COUNTIF($B$3:$B$2205,$B1554)</f>
        <v>1</v>
      </c>
      <c r="M1554" s="44" t="str">
        <f aca="false">IFERROR(INDEX(SENTENCES!$T$3:$T$1802,MATCH($F1554,SENTENCES!$A$3:$A$1802,0)),"")</f>
        <v>• Chưa tới</v>
      </c>
    </row>
    <row r="1555" customFormat="false" ht="15" hidden="false" customHeight="false" outlineLevel="0" collapsed="false">
      <c r="A1555" s="31" t="n">
        <v>1553</v>
      </c>
      <c r="B1555" s="43" t="s">
        <v>13172</v>
      </c>
      <c r="C1555" s="34" t="s">
        <v>13173</v>
      </c>
      <c r="D1555" s="44" t="s">
        <v>10686</v>
      </c>
      <c r="E1555" s="31"/>
      <c r="F1555" s="31" t="s">
        <v>7349</v>
      </c>
      <c r="G1555" s="31" t="n">
        <v>62</v>
      </c>
      <c r="H1555" s="31" t="s">
        <v>7168</v>
      </c>
      <c r="I1555" s="44" t="s">
        <v>7287</v>
      </c>
      <c r="J1555" s="45" t="s">
        <v>7351</v>
      </c>
      <c r="K1555" s="45" t="s">
        <v>7353</v>
      </c>
      <c r="L1555" s="31" t="n">
        <f aca="false">COUNTIF($B$3:$B$2205,$B1555)</f>
        <v>1</v>
      </c>
      <c r="M1555" s="44" t="str">
        <f aca="false">IFERROR(INDEX(SENTENCES!$T$3:$T$1802,MATCH($F1555,SENTENCES!$A$3:$A$1802,0)),"")</f>
        <v>• Chưa tới</v>
      </c>
    </row>
    <row r="1556" customFormat="false" ht="15" hidden="false" customHeight="false" outlineLevel="0" collapsed="false">
      <c r="A1556" s="31" t="n">
        <v>1554</v>
      </c>
      <c r="B1556" s="43" t="s">
        <v>10802</v>
      </c>
      <c r="C1556" s="34" t="s">
        <v>10803</v>
      </c>
      <c r="D1556" s="44" t="s">
        <v>10681</v>
      </c>
      <c r="E1556" s="31"/>
      <c r="F1556" s="31" t="s">
        <v>7355</v>
      </c>
      <c r="G1556" s="31" t="n">
        <v>62</v>
      </c>
      <c r="H1556" s="31" t="s">
        <v>7168</v>
      </c>
      <c r="I1556" s="44" t="s">
        <v>7287</v>
      </c>
      <c r="J1556" s="45" t="s">
        <v>7357</v>
      </c>
      <c r="K1556" s="45" t="s">
        <v>7359</v>
      </c>
      <c r="L1556" s="31" t="n">
        <f aca="false">COUNTIF($B$3:$B$2205,$B1556)</f>
        <v>2</v>
      </c>
      <c r="M1556" s="44" t="str">
        <f aca="false">IFERROR(INDEX(SENTENCES!$T$3:$T$1802,MATCH($F1556,SENTENCES!$A$3:$A$1802,0)),"")</f>
        <v>• Chưa tới</v>
      </c>
    </row>
    <row r="1557" customFormat="false" ht="15" hidden="false" customHeight="false" outlineLevel="0" collapsed="false">
      <c r="A1557" s="31" t="n">
        <v>1555</v>
      </c>
      <c r="B1557" s="43" t="s">
        <v>13174</v>
      </c>
      <c r="C1557" s="34" t="s">
        <v>13175</v>
      </c>
      <c r="D1557" s="44" t="s">
        <v>10677</v>
      </c>
      <c r="E1557" s="31" t="s">
        <v>10707</v>
      </c>
      <c r="F1557" s="31" t="s">
        <v>7361</v>
      </c>
      <c r="G1557" s="31" t="n">
        <v>62</v>
      </c>
      <c r="H1557" s="31" t="s">
        <v>7168</v>
      </c>
      <c r="I1557" s="44" t="s">
        <v>7287</v>
      </c>
      <c r="J1557" s="45" t="s">
        <v>7363</v>
      </c>
      <c r="K1557" s="45" t="s">
        <v>7365</v>
      </c>
      <c r="L1557" s="31" t="n">
        <f aca="false">COUNTIF($B$3:$B$2205,$B1557)</f>
        <v>2</v>
      </c>
      <c r="M1557" s="44" t="str">
        <f aca="false">IFERROR(INDEX(SENTENCES!$T$3:$T$1802,MATCH($F1557,SENTENCES!$A$3:$A$1802,0)),"")</f>
        <v>• Chưa tới</v>
      </c>
    </row>
    <row r="1558" customFormat="false" ht="15" hidden="false" customHeight="false" outlineLevel="0" collapsed="false">
      <c r="A1558" s="31" t="n">
        <v>1556</v>
      </c>
      <c r="B1558" s="43" t="s">
        <v>13176</v>
      </c>
      <c r="C1558" s="34" t="s">
        <v>13177</v>
      </c>
      <c r="D1558" s="44" t="s">
        <v>10681</v>
      </c>
      <c r="E1558" s="31"/>
      <c r="F1558" s="31" t="s">
        <v>7367</v>
      </c>
      <c r="G1558" s="31" t="n">
        <v>62</v>
      </c>
      <c r="H1558" s="31" t="s">
        <v>7168</v>
      </c>
      <c r="I1558" s="44" t="s">
        <v>7287</v>
      </c>
      <c r="J1558" s="45" t="s">
        <v>7369</v>
      </c>
      <c r="K1558" s="45" t="s">
        <v>7371</v>
      </c>
      <c r="L1558" s="31" t="n">
        <f aca="false">COUNTIF($B$3:$B$2205,$B1558)</f>
        <v>1</v>
      </c>
      <c r="M1558" s="44" t="str">
        <f aca="false">IFERROR(INDEX(SENTENCES!$T$3:$T$1802,MATCH($F1558,SENTENCES!$A$3:$A$1802,0)),"")</f>
        <v>• Chưa tới</v>
      </c>
    </row>
    <row r="1559" customFormat="false" ht="15" hidden="false" customHeight="false" outlineLevel="0" collapsed="false">
      <c r="A1559" s="31" t="n">
        <v>1557</v>
      </c>
      <c r="B1559" s="43" t="s">
        <v>13178</v>
      </c>
      <c r="C1559" s="34" t="s">
        <v>13179</v>
      </c>
      <c r="D1559" s="44" t="s">
        <v>10686</v>
      </c>
      <c r="E1559" s="31"/>
      <c r="F1559" s="31" t="s">
        <v>7367</v>
      </c>
      <c r="G1559" s="31" t="n">
        <v>62</v>
      </c>
      <c r="H1559" s="31" t="s">
        <v>7168</v>
      </c>
      <c r="I1559" s="44" t="s">
        <v>7287</v>
      </c>
      <c r="J1559" s="45" t="s">
        <v>7369</v>
      </c>
      <c r="K1559" s="45" t="s">
        <v>7371</v>
      </c>
      <c r="L1559" s="31" t="n">
        <f aca="false">COUNTIF($B$3:$B$2205,$B1559)</f>
        <v>1</v>
      </c>
      <c r="M1559" s="44" t="str">
        <f aca="false">IFERROR(INDEX(SENTENCES!$T$3:$T$1802,MATCH($F1559,SENTENCES!$A$3:$A$1802,0)),"")</f>
        <v>• Chưa tới</v>
      </c>
    </row>
    <row r="1560" customFormat="false" ht="15" hidden="false" customHeight="false" outlineLevel="0" collapsed="false">
      <c r="A1560" s="31" t="n">
        <v>1558</v>
      </c>
      <c r="B1560" s="43" t="s">
        <v>13180</v>
      </c>
      <c r="C1560" s="34" t="s">
        <v>13181</v>
      </c>
      <c r="D1560" s="44" t="s">
        <v>10686</v>
      </c>
      <c r="E1560" s="31"/>
      <c r="F1560" s="31" t="s">
        <v>7373</v>
      </c>
      <c r="G1560" s="31" t="n">
        <v>62</v>
      </c>
      <c r="H1560" s="31" t="s">
        <v>7168</v>
      </c>
      <c r="I1560" s="44" t="s">
        <v>7287</v>
      </c>
      <c r="J1560" s="45" t="s">
        <v>7375</v>
      </c>
      <c r="K1560" s="45" t="s">
        <v>7377</v>
      </c>
      <c r="L1560" s="31" t="n">
        <f aca="false">COUNTIF($B$3:$B$2205,$B1560)</f>
        <v>1</v>
      </c>
      <c r="M1560" s="44" t="str">
        <f aca="false">IFERROR(INDEX(SENTENCES!$T$3:$T$1802,MATCH($F1560,SENTENCES!$A$3:$A$1802,0)),"")</f>
        <v>• Chưa tới</v>
      </c>
    </row>
    <row r="1561" customFormat="false" ht="15" hidden="false" customHeight="false" outlineLevel="0" collapsed="false">
      <c r="A1561" s="31" t="n">
        <v>1559</v>
      </c>
      <c r="B1561" s="43" t="s">
        <v>13182</v>
      </c>
      <c r="C1561" s="34" t="s">
        <v>13183</v>
      </c>
      <c r="D1561" s="44" t="s">
        <v>10677</v>
      </c>
      <c r="E1561" s="31" t="s">
        <v>10678</v>
      </c>
      <c r="F1561" s="31" t="s">
        <v>7379</v>
      </c>
      <c r="G1561" s="31" t="n">
        <v>62</v>
      </c>
      <c r="H1561" s="31" t="s">
        <v>7168</v>
      </c>
      <c r="I1561" s="44" t="s">
        <v>7287</v>
      </c>
      <c r="J1561" s="45" t="s">
        <v>7381</v>
      </c>
      <c r="K1561" s="45" t="s">
        <v>7383</v>
      </c>
      <c r="L1561" s="31" t="n">
        <f aca="false">COUNTIF($B$3:$B$2205,$B1561)</f>
        <v>1</v>
      </c>
      <c r="M1561" s="44" t="str">
        <f aca="false">IFERROR(INDEX(SENTENCES!$T$3:$T$1802,MATCH($F1561,SENTENCES!$A$3:$A$1802,0)),"")</f>
        <v>• Chưa tới</v>
      </c>
    </row>
    <row r="1562" customFormat="false" ht="15" hidden="false" customHeight="false" outlineLevel="0" collapsed="false">
      <c r="A1562" s="31" t="n">
        <v>1560</v>
      </c>
      <c r="B1562" s="43" t="s">
        <v>13184</v>
      </c>
      <c r="C1562" s="34" t="s">
        <v>13185</v>
      </c>
      <c r="D1562" s="44" t="s">
        <v>10686</v>
      </c>
      <c r="E1562" s="31"/>
      <c r="F1562" s="31" t="s">
        <v>7385</v>
      </c>
      <c r="G1562" s="31" t="n">
        <v>62</v>
      </c>
      <c r="H1562" s="31" t="s">
        <v>7168</v>
      </c>
      <c r="I1562" s="44" t="s">
        <v>7287</v>
      </c>
      <c r="J1562" s="45" t="s">
        <v>7387</v>
      </c>
      <c r="K1562" s="45" t="s">
        <v>7389</v>
      </c>
      <c r="L1562" s="31" t="n">
        <f aca="false">COUNTIF($B$3:$B$2205,$B1562)</f>
        <v>1</v>
      </c>
      <c r="M1562" s="44" t="str">
        <f aca="false">IFERROR(INDEX(SENTENCES!$T$3:$T$1802,MATCH($F1562,SENTENCES!$A$3:$A$1802,0)),"")</f>
        <v>• Chưa tới</v>
      </c>
    </row>
    <row r="1563" customFormat="false" ht="15" hidden="false" customHeight="false" outlineLevel="0" collapsed="false">
      <c r="A1563" s="31" t="n">
        <v>1561</v>
      </c>
      <c r="B1563" s="43" t="s">
        <v>12845</v>
      </c>
      <c r="C1563" s="34" t="s">
        <v>13186</v>
      </c>
      <c r="D1563" s="44" t="s">
        <v>10677</v>
      </c>
      <c r="E1563" s="31" t="s">
        <v>10678</v>
      </c>
      <c r="F1563" s="31" t="s">
        <v>7391</v>
      </c>
      <c r="G1563" s="31" t="n">
        <v>62</v>
      </c>
      <c r="H1563" s="31" t="s">
        <v>7168</v>
      </c>
      <c r="I1563" s="44" t="s">
        <v>7287</v>
      </c>
      <c r="J1563" s="45" t="s">
        <v>7393</v>
      </c>
      <c r="K1563" s="45" t="s">
        <v>7395</v>
      </c>
      <c r="L1563" s="31" t="n">
        <f aca="false">COUNTIF($B$3:$B$2205,$B1563)</f>
        <v>2</v>
      </c>
      <c r="M1563" s="44" t="str">
        <f aca="false">IFERROR(INDEX(SENTENCES!$T$3:$T$1802,MATCH($F1563,SENTENCES!$A$3:$A$1802,0)),"")</f>
        <v>• Chưa tới</v>
      </c>
    </row>
    <row r="1564" customFormat="false" ht="15" hidden="false" customHeight="false" outlineLevel="0" collapsed="false">
      <c r="A1564" s="31" t="n">
        <v>1562</v>
      </c>
      <c r="B1564" s="43" t="s">
        <v>13187</v>
      </c>
      <c r="C1564" s="34" t="s">
        <v>13188</v>
      </c>
      <c r="D1564" s="44" t="s">
        <v>10686</v>
      </c>
      <c r="E1564" s="31"/>
      <c r="F1564" s="31" t="s">
        <v>7396</v>
      </c>
      <c r="G1564" s="31" t="n">
        <v>62</v>
      </c>
      <c r="H1564" s="31" t="s">
        <v>7168</v>
      </c>
      <c r="I1564" s="44" t="s">
        <v>7287</v>
      </c>
      <c r="J1564" s="45" t="s">
        <v>7398</v>
      </c>
      <c r="K1564" s="45" t="s">
        <v>7400</v>
      </c>
      <c r="L1564" s="31" t="n">
        <f aca="false">COUNTIF($B$3:$B$2205,$B1564)</f>
        <v>1</v>
      </c>
      <c r="M1564" s="44" t="str">
        <f aca="false">IFERROR(INDEX(SENTENCES!$T$3:$T$1802,MATCH($F1564,SENTENCES!$A$3:$A$1802,0)),"")</f>
        <v>• Chưa tới</v>
      </c>
    </row>
    <row r="1565" customFormat="false" ht="15" hidden="false" customHeight="false" outlineLevel="0" collapsed="false">
      <c r="A1565" s="31" t="n">
        <v>1563</v>
      </c>
      <c r="B1565" s="43" t="s">
        <v>13189</v>
      </c>
      <c r="C1565" s="34" t="s">
        <v>12657</v>
      </c>
      <c r="D1565" s="44" t="s">
        <v>10681</v>
      </c>
      <c r="E1565" s="31"/>
      <c r="F1565" s="31" t="s">
        <v>7402</v>
      </c>
      <c r="G1565" s="31" t="n">
        <v>63</v>
      </c>
      <c r="H1565" s="31" t="s">
        <v>7168</v>
      </c>
      <c r="I1565" s="44" t="s">
        <v>7403</v>
      </c>
      <c r="J1565" s="45" t="s">
        <v>7405</v>
      </c>
      <c r="K1565" s="45" t="s">
        <v>7407</v>
      </c>
      <c r="L1565" s="31" t="n">
        <f aca="false">COUNTIF($B$3:$B$2205,$B1565)</f>
        <v>1</v>
      </c>
      <c r="M1565" s="44" t="str">
        <f aca="false">IFERROR(INDEX(SENTENCES!$T$3:$T$1802,MATCH($F1565,SENTENCES!$A$3:$A$1802,0)),"")</f>
        <v>• Chưa tới</v>
      </c>
    </row>
    <row r="1566" customFormat="false" ht="15" hidden="false" customHeight="false" outlineLevel="0" collapsed="false">
      <c r="A1566" s="31" t="n">
        <v>1564</v>
      </c>
      <c r="B1566" s="43" t="s">
        <v>13190</v>
      </c>
      <c r="C1566" s="34" t="s">
        <v>13191</v>
      </c>
      <c r="D1566" s="44" t="s">
        <v>10686</v>
      </c>
      <c r="E1566" s="31"/>
      <c r="F1566" s="31" t="s">
        <v>7409</v>
      </c>
      <c r="G1566" s="31" t="n">
        <v>63</v>
      </c>
      <c r="H1566" s="31" t="s">
        <v>7168</v>
      </c>
      <c r="I1566" s="44" t="s">
        <v>7403</v>
      </c>
      <c r="J1566" s="45" t="s">
        <v>7411</v>
      </c>
      <c r="K1566" s="45" t="s">
        <v>7413</v>
      </c>
      <c r="L1566" s="31" t="n">
        <f aca="false">COUNTIF($B$3:$B$2205,$B1566)</f>
        <v>1</v>
      </c>
      <c r="M1566" s="44" t="str">
        <f aca="false">IFERROR(INDEX(SENTENCES!$T$3:$T$1802,MATCH($F1566,SENTENCES!$A$3:$A$1802,0)),"")</f>
        <v>• Chưa tới</v>
      </c>
    </row>
    <row r="1567" customFormat="false" ht="15" hidden="false" customHeight="false" outlineLevel="0" collapsed="false">
      <c r="A1567" s="31" t="n">
        <v>1565</v>
      </c>
      <c r="B1567" s="43" t="s">
        <v>13192</v>
      </c>
      <c r="C1567" s="34" t="s">
        <v>12329</v>
      </c>
      <c r="D1567" s="44" t="s">
        <v>10681</v>
      </c>
      <c r="E1567" s="31"/>
      <c r="F1567" s="31" t="s">
        <v>7415</v>
      </c>
      <c r="G1567" s="31" t="n">
        <v>63</v>
      </c>
      <c r="H1567" s="31" t="s">
        <v>7168</v>
      </c>
      <c r="I1567" s="44" t="s">
        <v>7403</v>
      </c>
      <c r="J1567" s="45" t="s">
        <v>7417</v>
      </c>
      <c r="K1567" s="45" t="s">
        <v>7419</v>
      </c>
      <c r="L1567" s="31" t="n">
        <f aca="false">COUNTIF($B$3:$B$2205,$B1567)</f>
        <v>1</v>
      </c>
      <c r="M1567" s="44" t="str">
        <f aca="false">IFERROR(INDEX(SENTENCES!$T$3:$T$1802,MATCH($F1567,SENTENCES!$A$3:$A$1802,0)),"")</f>
        <v>• Chưa tới</v>
      </c>
    </row>
    <row r="1568" customFormat="false" ht="15" hidden="false" customHeight="false" outlineLevel="0" collapsed="false">
      <c r="A1568" s="31" t="n">
        <v>1566</v>
      </c>
      <c r="B1568" s="43" t="s">
        <v>13193</v>
      </c>
      <c r="C1568" s="34" t="s">
        <v>13194</v>
      </c>
      <c r="D1568" s="44" t="s">
        <v>10677</v>
      </c>
      <c r="E1568" s="31" t="s">
        <v>10747</v>
      </c>
      <c r="F1568" s="31" t="s">
        <v>7421</v>
      </c>
      <c r="G1568" s="31" t="n">
        <v>63</v>
      </c>
      <c r="H1568" s="31" t="s">
        <v>7168</v>
      </c>
      <c r="I1568" s="44" t="s">
        <v>7403</v>
      </c>
      <c r="J1568" s="45" t="s">
        <v>7423</v>
      </c>
      <c r="K1568" s="45" t="s">
        <v>7425</v>
      </c>
      <c r="L1568" s="31" t="n">
        <f aca="false">COUNTIF($B$3:$B$2205,$B1568)</f>
        <v>1</v>
      </c>
      <c r="M1568" s="44" t="str">
        <f aca="false">IFERROR(INDEX(SENTENCES!$T$3:$T$1802,MATCH($F1568,SENTENCES!$A$3:$A$1802,0)),"")</f>
        <v>• Chưa tới</v>
      </c>
    </row>
    <row r="1569" customFormat="false" ht="15" hidden="false" customHeight="false" outlineLevel="0" collapsed="false">
      <c r="A1569" s="31" t="n">
        <v>1567</v>
      </c>
      <c r="B1569" s="43" t="s">
        <v>13195</v>
      </c>
      <c r="C1569" s="34" t="s">
        <v>13196</v>
      </c>
      <c r="D1569" s="44" t="s">
        <v>10677</v>
      </c>
      <c r="E1569" s="31" t="s">
        <v>10678</v>
      </c>
      <c r="F1569" s="31" t="s">
        <v>7427</v>
      </c>
      <c r="G1569" s="31" t="n">
        <v>63</v>
      </c>
      <c r="H1569" s="31" t="s">
        <v>7168</v>
      </c>
      <c r="I1569" s="44" t="s">
        <v>7403</v>
      </c>
      <c r="J1569" s="45" t="s">
        <v>7429</v>
      </c>
      <c r="K1569" s="45" t="s">
        <v>7431</v>
      </c>
      <c r="L1569" s="31" t="n">
        <f aca="false">COUNTIF($B$3:$B$2205,$B1569)</f>
        <v>1</v>
      </c>
      <c r="M1569" s="44" t="str">
        <f aca="false">IFERROR(INDEX(SENTENCES!$T$3:$T$1802,MATCH($F1569,SENTENCES!$A$3:$A$1802,0)),"")</f>
        <v>• Chưa tới</v>
      </c>
    </row>
    <row r="1570" customFormat="false" ht="15" hidden="false" customHeight="false" outlineLevel="0" collapsed="false">
      <c r="A1570" s="31" t="n">
        <v>1568</v>
      </c>
      <c r="B1570" s="43" t="s">
        <v>13197</v>
      </c>
      <c r="C1570" s="34" t="s">
        <v>13198</v>
      </c>
      <c r="D1570" s="44" t="s">
        <v>10686</v>
      </c>
      <c r="E1570" s="31"/>
      <c r="F1570" s="31" t="s">
        <v>7433</v>
      </c>
      <c r="G1570" s="31" t="n">
        <v>63</v>
      </c>
      <c r="H1570" s="31" t="s">
        <v>7168</v>
      </c>
      <c r="I1570" s="44" t="s">
        <v>7403</v>
      </c>
      <c r="J1570" s="45" t="s">
        <v>7435</v>
      </c>
      <c r="K1570" s="45" t="s">
        <v>7437</v>
      </c>
      <c r="L1570" s="31" t="n">
        <f aca="false">COUNTIF($B$3:$B$2205,$B1570)</f>
        <v>1</v>
      </c>
      <c r="M1570" s="44" t="str">
        <f aca="false">IFERROR(INDEX(SENTENCES!$T$3:$T$1802,MATCH($F1570,SENTENCES!$A$3:$A$1802,0)),"")</f>
        <v>• Chưa tới</v>
      </c>
    </row>
    <row r="1571" customFormat="false" ht="15" hidden="false" customHeight="false" outlineLevel="0" collapsed="false">
      <c r="A1571" s="31" t="n">
        <v>1569</v>
      </c>
      <c r="B1571" s="43" t="s">
        <v>13199</v>
      </c>
      <c r="C1571" s="34" t="s">
        <v>13200</v>
      </c>
      <c r="D1571" s="44" t="s">
        <v>10677</v>
      </c>
      <c r="E1571" s="31" t="s">
        <v>10678</v>
      </c>
      <c r="F1571" s="31" t="s">
        <v>7439</v>
      </c>
      <c r="G1571" s="31" t="n">
        <v>63</v>
      </c>
      <c r="H1571" s="31" t="s">
        <v>7168</v>
      </c>
      <c r="I1571" s="44" t="s">
        <v>7403</v>
      </c>
      <c r="J1571" s="45" t="s">
        <v>7441</v>
      </c>
      <c r="K1571" s="45" t="s">
        <v>7443</v>
      </c>
      <c r="L1571" s="31" t="n">
        <f aca="false">COUNTIF($B$3:$B$2205,$B1571)</f>
        <v>2</v>
      </c>
      <c r="M1571" s="44" t="str">
        <f aca="false">IFERROR(INDEX(SENTENCES!$T$3:$T$1802,MATCH($F1571,SENTENCES!$A$3:$A$1802,0)),"")</f>
        <v>• Chưa tới</v>
      </c>
    </row>
    <row r="1572" customFormat="false" ht="15" hidden="false" customHeight="false" outlineLevel="0" collapsed="false">
      <c r="A1572" s="31" t="n">
        <v>1570</v>
      </c>
      <c r="B1572" s="43" t="s">
        <v>13201</v>
      </c>
      <c r="C1572" s="34" t="s">
        <v>13202</v>
      </c>
      <c r="D1572" s="44" t="s">
        <v>10686</v>
      </c>
      <c r="E1572" s="31"/>
      <c r="F1572" s="31" t="s">
        <v>7439</v>
      </c>
      <c r="G1572" s="31" t="n">
        <v>63</v>
      </c>
      <c r="H1572" s="31" t="s">
        <v>7168</v>
      </c>
      <c r="I1572" s="44" t="s">
        <v>7403</v>
      </c>
      <c r="J1572" s="45" t="s">
        <v>7441</v>
      </c>
      <c r="K1572" s="45" t="s">
        <v>7443</v>
      </c>
      <c r="L1572" s="31" t="n">
        <f aca="false">COUNTIF($B$3:$B$2205,$B1572)</f>
        <v>2</v>
      </c>
      <c r="M1572" s="44" t="str">
        <f aca="false">IFERROR(INDEX(SENTENCES!$T$3:$T$1802,MATCH($F1572,SENTENCES!$A$3:$A$1802,0)),"")</f>
        <v>• Chưa tới</v>
      </c>
    </row>
    <row r="1573" customFormat="false" ht="15" hidden="false" customHeight="false" outlineLevel="0" collapsed="false">
      <c r="A1573" s="31" t="n">
        <v>1571</v>
      </c>
      <c r="B1573" s="43" t="s">
        <v>13203</v>
      </c>
      <c r="C1573" s="34" t="s">
        <v>13204</v>
      </c>
      <c r="D1573" s="44" t="s">
        <v>10686</v>
      </c>
      <c r="E1573" s="31"/>
      <c r="F1573" s="31" t="s">
        <v>7445</v>
      </c>
      <c r="G1573" s="31" t="n">
        <v>63</v>
      </c>
      <c r="H1573" s="31" t="s">
        <v>7168</v>
      </c>
      <c r="I1573" s="44" t="s">
        <v>7403</v>
      </c>
      <c r="J1573" s="45" t="s">
        <v>7447</v>
      </c>
      <c r="K1573" s="45" t="s">
        <v>7449</v>
      </c>
      <c r="L1573" s="31" t="n">
        <f aca="false">COUNTIF($B$3:$B$2205,$B1573)</f>
        <v>1</v>
      </c>
      <c r="M1573" s="44" t="str">
        <f aca="false">IFERROR(INDEX(SENTENCES!$T$3:$T$1802,MATCH($F1573,SENTENCES!$A$3:$A$1802,0)),"")</f>
        <v>• Chưa tới</v>
      </c>
    </row>
    <row r="1574" customFormat="false" ht="15" hidden="false" customHeight="false" outlineLevel="0" collapsed="false">
      <c r="A1574" s="31" t="n">
        <v>1572</v>
      </c>
      <c r="B1574" s="43" t="s">
        <v>12158</v>
      </c>
      <c r="C1574" s="34" t="s">
        <v>13205</v>
      </c>
      <c r="D1574" s="44" t="s">
        <v>10677</v>
      </c>
      <c r="E1574" s="31" t="s">
        <v>10678</v>
      </c>
      <c r="F1574" s="31" t="s">
        <v>7451</v>
      </c>
      <c r="G1574" s="31" t="n">
        <v>63</v>
      </c>
      <c r="H1574" s="31" t="s">
        <v>7168</v>
      </c>
      <c r="I1574" s="44" t="s">
        <v>7403</v>
      </c>
      <c r="J1574" s="45" t="s">
        <v>7453</v>
      </c>
      <c r="K1574" s="45" t="s">
        <v>7455</v>
      </c>
      <c r="L1574" s="31" t="n">
        <f aca="false">COUNTIF($B$3:$B$2205,$B1574)</f>
        <v>2</v>
      </c>
      <c r="M1574" s="44" t="str">
        <f aca="false">IFERROR(INDEX(SENTENCES!$T$3:$T$1802,MATCH($F1574,SENTENCES!$A$3:$A$1802,0)),"")</f>
        <v>• Chưa tới</v>
      </c>
    </row>
    <row r="1575" customFormat="false" ht="15" hidden="false" customHeight="false" outlineLevel="0" collapsed="false">
      <c r="A1575" s="31" t="n">
        <v>1573</v>
      </c>
      <c r="B1575" s="43" t="s">
        <v>13206</v>
      </c>
      <c r="C1575" s="34" t="s">
        <v>13207</v>
      </c>
      <c r="D1575" s="44" t="s">
        <v>10681</v>
      </c>
      <c r="E1575" s="31"/>
      <c r="F1575" s="31" t="s">
        <v>7451</v>
      </c>
      <c r="G1575" s="31" t="n">
        <v>63</v>
      </c>
      <c r="H1575" s="31" t="s">
        <v>7168</v>
      </c>
      <c r="I1575" s="44" t="s">
        <v>7403</v>
      </c>
      <c r="J1575" s="45" t="s">
        <v>7453</v>
      </c>
      <c r="K1575" s="45" t="s">
        <v>7455</v>
      </c>
      <c r="L1575" s="31" t="n">
        <f aca="false">COUNTIF($B$3:$B$2205,$B1575)</f>
        <v>1</v>
      </c>
      <c r="M1575" s="44" t="str">
        <f aca="false">IFERROR(INDEX(SENTENCES!$T$3:$T$1802,MATCH($F1575,SENTENCES!$A$3:$A$1802,0)),"")</f>
        <v>• Chưa tới</v>
      </c>
    </row>
    <row r="1576" customFormat="false" ht="15" hidden="false" customHeight="false" outlineLevel="0" collapsed="false">
      <c r="A1576" s="31" t="n">
        <v>1574</v>
      </c>
      <c r="B1576" s="43" t="s">
        <v>13208</v>
      </c>
      <c r="C1576" s="34" t="s">
        <v>13209</v>
      </c>
      <c r="D1576" s="44" t="s">
        <v>10686</v>
      </c>
      <c r="E1576" s="31"/>
      <c r="F1576" s="31" t="s">
        <v>7457</v>
      </c>
      <c r="G1576" s="31" t="n">
        <v>63</v>
      </c>
      <c r="H1576" s="31" t="s">
        <v>7168</v>
      </c>
      <c r="I1576" s="44" t="s">
        <v>7403</v>
      </c>
      <c r="J1576" s="45" t="s">
        <v>7459</v>
      </c>
      <c r="K1576" s="45" t="s">
        <v>7461</v>
      </c>
      <c r="L1576" s="31" t="n">
        <f aca="false">COUNTIF($B$3:$B$2205,$B1576)</f>
        <v>1</v>
      </c>
      <c r="M1576" s="44" t="str">
        <f aca="false">IFERROR(INDEX(SENTENCES!$T$3:$T$1802,MATCH($F1576,SENTENCES!$A$3:$A$1802,0)),"")</f>
        <v>• Chưa tới</v>
      </c>
    </row>
    <row r="1577" customFormat="false" ht="15" hidden="false" customHeight="false" outlineLevel="0" collapsed="false">
      <c r="A1577" s="31" t="n">
        <v>1575</v>
      </c>
      <c r="B1577" s="43" t="s">
        <v>13210</v>
      </c>
      <c r="C1577" s="34" t="s">
        <v>13211</v>
      </c>
      <c r="D1577" s="44" t="s">
        <v>10681</v>
      </c>
      <c r="E1577" s="31"/>
      <c r="F1577" s="31" t="s">
        <v>7457</v>
      </c>
      <c r="G1577" s="31" t="n">
        <v>63</v>
      </c>
      <c r="H1577" s="31" t="s">
        <v>7168</v>
      </c>
      <c r="I1577" s="44" t="s">
        <v>7403</v>
      </c>
      <c r="J1577" s="45" t="s">
        <v>7459</v>
      </c>
      <c r="K1577" s="45" t="s">
        <v>7461</v>
      </c>
      <c r="L1577" s="31" t="n">
        <f aca="false">COUNTIF($B$3:$B$2205,$B1577)</f>
        <v>1</v>
      </c>
      <c r="M1577" s="44" t="str">
        <f aca="false">IFERROR(INDEX(SENTENCES!$T$3:$T$1802,MATCH($F1577,SENTENCES!$A$3:$A$1802,0)),"")</f>
        <v>• Chưa tới</v>
      </c>
    </row>
    <row r="1578" customFormat="false" ht="15" hidden="false" customHeight="false" outlineLevel="0" collapsed="false">
      <c r="A1578" s="31" t="n">
        <v>1576</v>
      </c>
      <c r="B1578" s="43" t="s">
        <v>13212</v>
      </c>
      <c r="C1578" s="34" t="s">
        <v>13213</v>
      </c>
      <c r="D1578" s="44" t="s">
        <v>10686</v>
      </c>
      <c r="E1578" s="31"/>
      <c r="F1578" s="31" t="s">
        <v>7463</v>
      </c>
      <c r="G1578" s="31" t="n">
        <v>63</v>
      </c>
      <c r="H1578" s="31" t="s">
        <v>7168</v>
      </c>
      <c r="I1578" s="44" t="s">
        <v>7403</v>
      </c>
      <c r="J1578" s="45" t="s">
        <v>7465</v>
      </c>
      <c r="K1578" s="45" t="s">
        <v>7467</v>
      </c>
      <c r="L1578" s="31" t="n">
        <f aca="false">COUNTIF($B$3:$B$2205,$B1578)</f>
        <v>2</v>
      </c>
      <c r="M1578" s="44" t="str">
        <f aca="false">IFERROR(INDEX(SENTENCES!$T$3:$T$1802,MATCH($F1578,SENTENCES!$A$3:$A$1802,0)),"")</f>
        <v>• Chưa tới</v>
      </c>
    </row>
    <row r="1579" customFormat="false" ht="15" hidden="false" customHeight="false" outlineLevel="0" collapsed="false">
      <c r="A1579" s="31" t="n">
        <v>1577</v>
      </c>
      <c r="B1579" s="43" t="s">
        <v>12342</v>
      </c>
      <c r="C1579" s="34" t="s">
        <v>12343</v>
      </c>
      <c r="D1579" s="44" t="s">
        <v>10681</v>
      </c>
      <c r="E1579" s="31"/>
      <c r="F1579" s="31" t="s">
        <v>7469</v>
      </c>
      <c r="G1579" s="31" t="n">
        <v>63</v>
      </c>
      <c r="H1579" s="31" t="s">
        <v>7168</v>
      </c>
      <c r="I1579" s="44" t="s">
        <v>7403</v>
      </c>
      <c r="J1579" s="45" t="s">
        <v>7471</v>
      </c>
      <c r="K1579" s="45" t="s">
        <v>7473</v>
      </c>
      <c r="L1579" s="31" t="n">
        <f aca="false">COUNTIF($B$3:$B$2205,$B1579)</f>
        <v>2</v>
      </c>
      <c r="M1579" s="44" t="str">
        <f aca="false">IFERROR(INDEX(SENTENCES!$T$3:$T$1802,MATCH($F1579,SENTENCES!$A$3:$A$1802,0)),"")</f>
        <v>• Chưa tới</v>
      </c>
    </row>
    <row r="1580" customFormat="false" ht="15" hidden="false" customHeight="false" outlineLevel="0" collapsed="false">
      <c r="A1580" s="31" t="n">
        <v>1578</v>
      </c>
      <c r="B1580" s="43" t="s">
        <v>13214</v>
      </c>
      <c r="C1580" s="34" t="s">
        <v>13215</v>
      </c>
      <c r="D1580" s="44" t="s">
        <v>10686</v>
      </c>
      <c r="E1580" s="31"/>
      <c r="F1580" s="31" t="s">
        <v>7475</v>
      </c>
      <c r="G1580" s="31" t="n">
        <v>63</v>
      </c>
      <c r="H1580" s="31" t="s">
        <v>7168</v>
      </c>
      <c r="I1580" s="44" t="s">
        <v>7403</v>
      </c>
      <c r="J1580" s="45" t="s">
        <v>7477</v>
      </c>
      <c r="K1580" s="45" t="s">
        <v>7479</v>
      </c>
      <c r="L1580" s="31" t="n">
        <f aca="false">COUNTIF($B$3:$B$2205,$B1580)</f>
        <v>2</v>
      </c>
      <c r="M1580" s="44" t="str">
        <f aca="false">IFERROR(INDEX(SENTENCES!$T$3:$T$1802,MATCH($F1580,SENTENCES!$A$3:$A$1802,0)),"")</f>
        <v>• Chưa tới</v>
      </c>
    </row>
    <row r="1581" customFormat="false" ht="15" hidden="false" customHeight="false" outlineLevel="0" collapsed="false">
      <c r="A1581" s="31" t="n">
        <v>1579</v>
      </c>
      <c r="B1581" s="43" t="s">
        <v>7482</v>
      </c>
      <c r="C1581" s="34" t="s">
        <v>13216</v>
      </c>
      <c r="D1581" s="44" t="s">
        <v>10794</v>
      </c>
      <c r="E1581" s="31"/>
      <c r="F1581" s="31" t="s">
        <v>7481</v>
      </c>
      <c r="G1581" s="31" t="n">
        <v>63</v>
      </c>
      <c r="H1581" s="31" t="s">
        <v>7168</v>
      </c>
      <c r="I1581" s="44" t="s">
        <v>7403</v>
      </c>
      <c r="J1581" s="45" t="s">
        <v>7483</v>
      </c>
      <c r="K1581" s="45" t="s">
        <v>7485</v>
      </c>
      <c r="L1581" s="31" t="n">
        <f aca="false">COUNTIF($B$3:$B$2205,$B1581)</f>
        <v>1</v>
      </c>
      <c r="M1581" s="44" t="str">
        <f aca="false">IFERROR(INDEX(SENTENCES!$T$3:$T$1802,MATCH($F1581,SENTENCES!$A$3:$A$1802,0)),"")</f>
        <v>• Chưa tới</v>
      </c>
    </row>
    <row r="1582" customFormat="false" ht="15" hidden="false" customHeight="false" outlineLevel="0" collapsed="false">
      <c r="A1582" s="31" t="n">
        <v>1580</v>
      </c>
      <c r="B1582" s="43" t="s">
        <v>13217</v>
      </c>
      <c r="C1582" s="34" t="s">
        <v>13218</v>
      </c>
      <c r="D1582" s="44" t="s">
        <v>10677</v>
      </c>
      <c r="E1582" s="31" t="s">
        <v>10707</v>
      </c>
      <c r="F1582" s="31" t="s">
        <v>7487</v>
      </c>
      <c r="G1582" s="31" t="n">
        <v>63</v>
      </c>
      <c r="H1582" s="31" t="s">
        <v>7168</v>
      </c>
      <c r="I1582" s="44" t="s">
        <v>7403</v>
      </c>
      <c r="J1582" s="45" t="s">
        <v>7489</v>
      </c>
      <c r="K1582" s="45" t="s">
        <v>7491</v>
      </c>
      <c r="L1582" s="31" t="n">
        <f aca="false">COUNTIF($B$3:$B$2205,$B1582)</f>
        <v>1</v>
      </c>
      <c r="M1582" s="44" t="str">
        <f aca="false">IFERROR(INDEX(SENTENCES!$T$3:$T$1802,MATCH($F1582,SENTENCES!$A$3:$A$1802,0)),"")</f>
        <v>• Chưa tới</v>
      </c>
    </row>
    <row r="1583" customFormat="false" ht="15" hidden="false" customHeight="false" outlineLevel="0" collapsed="false">
      <c r="A1583" s="31" t="n">
        <v>1581</v>
      </c>
      <c r="B1583" s="43" t="s">
        <v>13219</v>
      </c>
      <c r="C1583" s="34" t="s">
        <v>13220</v>
      </c>
      <c r="D1583" s="44" t="s">
        <v>10677</v>
      </c>
      <c r="E1583" s="31" t="s">
        <v>10707</v>
      </c>
      <c r="F1583" s="31" t="s">
        <v>7487</v>
      </c>
      <c r="G1583" s="31" t="n">
        <v>63</v>
      </c>
      <c r="H1583" s="31" t="s">
        <v>7168</v>
      </c>
      <c r="I1583" s="44" t="s">
        <v>7403</v>
      </c>
      <c r="J1583" s="45" t="s">
        <v>7489</v>
      </c>
      <c r="K1583" s="45" t="s">
        <v>7491</v>
      </c>
      <c r="L1583" s="31" t="n">
        <f aca="false">COUNTIF($B$3:$B$2205,$B1583)</f>
        <v>1</v>
      </c>
      <c r="M1583" s="44" t="str">
        <f aca="false">IFERROR(INDEX(SENTENCES!$T$3:$T$1802,MATCH($F1583,SENTENCES!$A$3:$A$1802,0)),"")</f>
        <v>• Chưa tới</v>
      </c>
    </row>
    <row r="1584" customFormat="false" ht="15" hidden="false" customHeight="false" outlineLevel="0" collapsed="false">
      <c r="A1584" s="31" t="n">
        <v>1582</v>
      </c>
      <c r="B1584" s="43" t="s">
        <v>13221</v>
      </c>
      <c r="C1584" s="34" t="s">
        <v>13222</v>
      </c>
      <c r="D1584" s="44" t="s">
        <v>10677</v>
      </c>
      <c r="E1584" s="31" t="s">
        <v>10707</v>
      </c>
      <c r="F1584" s="31" t="s">
        <v>7493</v>
      </c>
      <c r="G1584" s="31" t="n">
        <v>63</v>
      </c>
      <c r="H1584" s="31" t="s">
        <v>7168</v>
      </c>
      <c r="I1584" s="44" t="s">
        <v>7403</v>
      </c>
      <c r="J1584" s="45" t="s">
        <v>7495</v>
      </c>
      <c r="K1584" s="45" t="s">
        <v>7497</v>
      </c>
      <c r="L1584" s="31" t="n">
        <f aca="false">COUNTIF($B$3:$B$2205,$B1584)</f>
        <v>1</v>
      </c>
      <c r="M1584" s="44" t="str">
        <f aca="false">IFERROR(INDEX(SENTENCES!$T$3:$T$1802,MATCH($F1584,SENTENCES!$A$3:$A$1802,0)),"")</f>
        <v>• Chưa tới</v>
      </c>
    </row>
    <row r="1585" customFormat="false" ht="15" hidden="false" customHeight="false" outlineLevel="0" collapsed="false">
      <c r="A1585" s="31" t="n">
        <v>1583</v>
      </c>
      <c r="B1585" s="43" t="s">
        <v>13223</v>
      </c>
      <c r="C1585" s="34" t="s">
        <v>13224</v>
      </c>
      <c r="D1585" s="44" t="s">
        <v>10681</v>
      </c>
      <c r="E1585" s="31"/>
      <c r="F1585" s="31" t="s">
        <v>7499</v>
      </c>
      <c r="G1585" s="31" t="n">
        <v>63</v>
      </c>
      <c r="H1585" s="31" t="s">
        <v>7168</v>
      </c>
      <c r="I1585" s="44" t="s">
        <v>7403</v>
      </c>
      <c r="J1585" s="45" t="s">
        <v>7501</v>
      </c>
      <c r="K1585" s="45" t="s">
        <v>7503</v>
      </c>
      <c r="L1585" s="31" t="n">
        <f aca="false">COUNTIF($B$3:$B$2205,$B1585)</f>
        <v>1</v>
      </c>
      <c r="M1585" s="44" t="str">
        <f aca="false">IFERROR(INDEX(SENTENCES!$T$3:$T$1802,MATCH($F1585,SENTENCES!$A$3:$A$1802,0)),"")</f>
        <v>• Chưa tới</v>
      </c>
    </row>
    <row r="1586" customFormat="false" ht="15" hidden="false" customHeight="false" outlineLevel="0" collapsed="false">
      <c r="A1586" s="31" t="n">
        <v>1584</v>
      </c>
      <c r="B1586" s="43" t="s">
        <v>13225</v>
      </c>
      <c r="C1586" s="34" t="s">
        <v>13226</v>
      </c>
      <c r="D1586" s="44" t="s">
        <v>10681</v>
      </c>
      <c r="E1586" s="31"/>
      <c r="F1586" s="31" t="s">
        <v>7505</v>
      </c>
      <c r="G1586" s="31" t="n">
        <v>63</v>
      </c>
      <c r="H1586" s="31" t="s">
        <v>7168</v>
      </c>
      <c r="I1586" s="44" t="s">
        <v>7403</v>
      </c>
      <c r="J1586" s="45" t="s">
        <v>7507</v>
      </c>
      <c r="K1586" s="45" t="s">
        <v>7509</v>
      </c>
      <c r="L1586" s="31" t="n">
        <f aca="false">COUNTIF($B$3:$B$2205,$B1586)</f>
        <v>1</v>
      </c>
      <c r="M1586" s="44" t="str">
        <f aca="false">IFERROR(INDEX(SENTENCES!$T$3:$T$1802,MATCH($F1586,SENTENCES!$A$3:$A$1802,0)),"")</f>
        <v>• Chưa tới</v>
      </c>
    </row>
    <row r="1587" customFormat="false" ht="15" hidden="false" customHeight="false" outlineLevel="0" collapsed="false">
      <c r="A1587" s="31" t="n">
        <v>1585</v>
      </c>
      <c r="B1587" s="43" t="s">
        <v>7511</v>
      </c>
      <c r="C1587" s="34" t="s">
        <v>13227</v>
      </c>
      <c r="D1587" s="44" t="s">
        <v>10794</v>
      </c>
      <c r="E1587" s="31"/>
      <c r="F1587" s="31" t="s">
        <v>7510</v>
      </c>
      <c r="G1587" s="31" t="n">
        <v>63</v>
      </c>
      <c r="H1587" s="31" t="s">
        <v>7168</v>
      </c>
      <c r="I1587" s="44" t="s">
        <v>7403</v>
      </c>
      <c r="J1587" s="45" t="s">
        <v>7512</v>
      </c>
      <c r="K1587" s="45" t="s">
        <v>7514</v>
      </c>
      <c r="L1587" s="31" t="n">
        <f aca="false">COUNTIF($B$3:$B$2205,$B1587)</f>
        <v>1</v>
      </c>
      <c r="M1587" s="44" t="str">
        <f aca="false">IFERROR(INDEX(SENTENCES!$T$3:$T$1802,MATCH($F1587,SENTENCES!$A$3:$A$1802,0)),"")</f>
        <v>• Chưa tới</v>
      </c>
    </row>
    <row r="1588" customFormat="false" ht="15" hidden="false" customHeight="false" outlineLevel="0" collapsed="false">
      <c r="A1588" s="31" t="n">
        <v>1586</v>
      </c>
      <c r="B1588" s="43" t="s">
        <v>12413</v>
      </c>
      <c r="C1588" s="34" t="s">
        <v>12414</v>
      </c>
      <c r="D1588" s="44" t="s">
        <v>10677</v>
      </c>
      <c r="E1588" s="31" t="s">
        <v>10747</v>
      </c>
      <c r="F1588" s="31" t="s">
        <v>7516</v>
      </c>
      <c r="G1588" s="31" t="n">
        <v>63</v>
      </c>
      <c r="H1588" s="31" t="s">
        <v>7168</v>
      </c>
      <c r="I1588" s="44" t="s">
        <v>7403</v>
      </c>
      <c r="J1588" s="45" t="s">
        <v>7518</v>
      </c>
      <c r="K1588" s="45" t="s">
        <v>7520</v>
      </c>
      <c r="L1588" s="31" t="n">
        <f aca="false">COUNTIF($B$3:$B$2205,$B1588)</f>
        <v>2</v>
      </c>
      <c r="M1588" s="44" t="str">
        <f aca="false">IFERROR(INDEX(SENTENCES!$T$3:$T$1802,MATCH($F1588,SENTENCES!$A$3:$A$1802,0)),"")</f>
        <v>• Chưa tới</v>
      </c>
    </row>
    <row r="1589" customFormat="false" ht="15" hidden="false" customHeight="false" outlineLevel="0" collapsed="false">
      <c r="A1589" s="31" t="n">
        <v>1587</v>
      </c>
      <c r="B1589" s="43" t="s">
        <v>11084</v>
      </c>
      <c r="C1589" s="34" t="s">
        <v>11085</v>
      </c>
      <c r="D1589" s="44" t="s">
        <v>10686</v>
      </c>
      <c r="E1589" s="31"/>
      <c r="F1589" s="31" t="s">
        <v>7522</v>
      </c>
      <c r="G1589" s="31" t="n">
        <v>64</v>
      </c>
      <c r="H1589" s="31" t="s">
        <v>7168</v>
      </c>
      <c r="I1589" s="44" t="s">
        <v>7523</v>
      </c>
      <c r="J1589" s="45" t="s">
        <v>7525</v>
      </c>
      <c r="K1589" s="45" t="s">
        <v>7527</v>
      </c>
      <c r="L1589" s="31" t="n">
        <f aca="false">COUNTIF($B$3:$B$2205,$B1589)</f>
        <v>4</v>
      </c>
      <c r="M1589" s="44" t="str">
        <f aca="false">IFERROR(INDEX(SENTENCES!$T$3:$T$1802,MATCH($F1589,SENTENCES!$A$3:$A$1802,0)),"")</f>
        <v>• Chưa tới</v>
      </c>
    </row>
    <row r="1590" customFormat="false" ht="15" hidden="false" customHeight="false" outlineLevel="0" collapsed="false">
      <c r="A1590" s="31" t="n">
        <v>1588</v>
      </c>
      <c r="B1590" s="43" t="s">
        <v>11532</v>
      </c>
      <c r="C1590" s="34" t="s">
        <v>11533</v>
      </c>
      <c r="D1590" s="44" t="s">
        <v>10686</v>
      </c>
      <c r="E1590" s="31"/>
      <c r="F1590" s="31" t="s">
        <v>7528</v>
      </c>
      <c r="G1590" s="31" t="n">
        <v>64</v>
      </c>
      <c r="H1590" s="31" t="s">
        <v>7168</v>
      </c>
      <c r="I1590" s="44" t="s">
        <v>7523</v>
      </c>
      <c r="J1590" s="45" t="s">
        <v>7530</v>
      </c>
      <c r="K1590" s="45" t="s">
        <v>7532</v>
      </c>
      <c r="L1590" s="31" t="n">
        <f aca="false">COUNTIF($B$3:$B$2205,$B1590)</f>
        <v>3</v>
      </c>
      <c r="M1590" s="44" t="str">
        <f aca="false">IFERROR(INDEX(SENTENCES!$T$3:$T$1802,MATCH($F1590,SENTENCES!$A$3:$A$1802,0)),"")</f>
        <v>• Chưa tới</v>
      </c>
    </row>
    <row r="1591" customFormat="false" ht="15" hidden="false" customHeight="false" outlineLevel="0" collapsed="false">
      <c r="A1591" s="31" t="n">
        <v>1589</v>
      </c>
      <c r="B1591" s="43" t="s">
        <v>12483</v>
      </c>
      <c r="C1591" s="34" t="s">
        <v>12349</v>
      </c>
      <c r="D1591" s="44" t="s">
        <v>10681</v>
      </c>
      <c r="E1591" s="31"/>
      <c r="F1591" s="31" t="s">
        <v>7534</v>
      </c>
      <c r="G1591" s="31" t="n">
        <v>64</v>
      </c>
      <c r="H1591" s="31" t="s">
        <v>7168</v>
      </c>
      <c r="I1591" s="44" t="s">
        <v>7523</v>
      </c>
      <c r="J1591" s="45" t="s">
        <v>7536</v>
      </c>
      <c r="K1591" s="45" t="s">
        <v>7538</v>
      </c>
      <c r="L1591" s="31" t="n">
        <f aca="false">COUNTIF($B$3:$B$2205,$B1591)</f>
        <v>2</v>
      </c>
      <c r="M1591" s="44" t="str">
        <f aca="false">IFERROR(INDEX(SENTENCES!$T$3:$T$1802,MATCH($F1591,SENTENCES!$A$3:$A$1802,0)),"")</f>
        <v>• Chưa tới</v>
      </c>
    </row>
    <row r="1592" customFormat="false" ht="15" hidden="false" customHeight="false" outlineLevel="0" collapsed="false">
      <c r="A1592" s="31" t="n">
        <v>1590</v>
      </c>
      <c r="B1592" s="43" t="s">
        <v>13228</v>
      </c>
      <c r="C1592" s="34" t="s">
        <v>13229</v>
      </c>
      <c r="D1592" s="44" t="s">
        <v>10681</v>
      </c>
      <c r="E1592" s="31"/>
      <c r="F1592" s="31" t="s">
        <v>7540</v>
      </c>
      <c r="G1592" s="31" t="n">
        <v>64</v>
      </c>
      <c r="H1592" s="31" t="s">
        <v>7168</v>
      </c>
      <c r="I1592" s="44" t="s">
        <v>7523</v>
      </c>
      <c r="J1592" s="45" t="s">
        <v>7542</v>
      </c>
      <c r="K1592" s="45" t="s">
        <v>7544</v>
      </c>
      <c r="L1592" s="31" t="n">
        <f aca="false">COUNTIF($B$3:$B$2205,$B1592)</f>
        <v>1</v>
      </c>
      <c r="M1592" s="44" t="str">
        <f aca="false">IFERROR(INDEX(SENTENCES!$T$3:$T$1802,MATCH($F1592,SENTENCES!$A$3:$A$1802,0)),"")</f>
        <v>• Chưa tới</v>
      </c>
    </row>
    <row r="1593" customFormat="false" ht="15" hidden="false" customHeight="false" outlineLevel="0" collapsed="false">
      <c r="A1593" s="31" t="n">
        <v>1591</v>
      </c>
      <c r="B1593" s="43" t="s">
        <v>11565</v>
      </c>
      <c r="C1593" s="34" t="s">
        <v>13230</v>
      </c>
      <c r="D1593" s="44" t="s">
        <v>10686</v>
      </c>
      <c r="E1593" s="31"/>
      <c r="F1593" s="31" t="s">
        <v>7546</v>
      </c>
      <c r="G1593" s="31" t="n">
        <v>64</v>
      </c>
      <c r="H1593" s="31" t="s">
        <v>7168</v>
      </c>
      <c r="I1593" s="44" t="s">
        <v>7523</v>
      </c>
      <c r="J1593" s="45" t="s">
        <v>7548</v>
      </c>
      <c r="K1593" s="45" t="s">
        <v>7550</v>
      </c>
      <c r="L1593" s="31" t="n">
        <f aca="false">COUNTIF($B$3:$B$2205,$B1593)</f>
        <v>3</v>
      </c>
      <c r="M1593" s="44" t="str">
        <f aca="false">IFERROR(INDEX(SENTENCES!$T$3:$T$1802,MATCH($F1593,SENTENCES!$A$3:$A$1802,0)),"")</f>
        <v>• Chưa tới</v>
      </c>
    </row>
    <row r="1594" customFormat="false" ht="15" hidden="false" customHeight="false" outlineLevel="0" collapsed="false">
      <c r="A1594" s="31" t="n">
        <v>1592</v>
      </c>
      <c r="B1594" s="43" t="s">
        <v>11572</v>
      </c>
      <c r="C1594" s="34" t="s">
        <v>13231</v>
      </c>
      <c r="D1594" s="44" t="s">
        <v>10686</v>
      </c>
      <c r="E1594" s="31"/>
      <c r="F1594" s="31" t="s">
        <v>7552</v>
      </c>
      <c r="G1594" s="31" t="n">
        <v>64</v>
      </c>
      <c r="H1594" s="31" t="s">
        <v>7168</v>
      </c>
      <c r="I1594" s="44" t="s">
        <v>7523</v>
      </c>
      <c r="J1594" s="45" t="s">
        <v>7554</v>
      </c>
      <c r="K1594" s="45" t="s">
        <v>7556</v>
      </c>
      <c r="L1594" s="31" t="n">
        <f aca="false">COUNTIF($B$3:$B$2205,$B1594)</f>
        <v>2</v>
      </c>
      <c r="M1594" s="44" t="str">
        <f aca="false">IFERROR(INDEX(SENTENCES!$T$3:$T$1802,MATCH($F1594,SENTENCES!$A$3:$A$1802,0)),"")</f>
        <v>• Chưa tới</v>
      </c>
    </row>
    <row r="1595" customFormat="false" ht="15" hidden="false" customHeight="false" outlineLevel="0" collapsed="false">
      <c r="A1595" s="31" t="n">
        <v>1593</v>
      </c>
      <c r="B1595" s="43" t="s">
        <v>12368</v>
      </c>
      <c r="C1595" s="34" t="s">
        <v>12369</v>
      </c>
      <c r="D1595" s="44" t="s">
        <v>10681</v>
      </c>
      <c r="E1595" s="31"/>
      <c r="F1595" s="31" t="s">
        <v>7558</v>
      </c>
      <c r="G1595" s="31" t="n">
        <v>64</v>
      </c>
      <c r="H1595" s="31" t="s">
        <v>7168</v>
      </c>
      <c r="I1595" s="44" t="s">
        <v>7523</v>
      </c>
      <c r="J1595" s="45" t="s">
        <v>7560</v>
      </c>
      <c r="K1595" s="45" t="s">
        <v>7562</v>
      </c>
      <c r="L1595" s="31" t="n">
        <f aca="false">COUNTIF($B$3:$B$2205,$B1595)</f>
        <v>2</v>
      </c>
      <c r="M1595" s="44" t="str">
        <f aca="false">IFERROR(INDEX(SENTENCES!$T$3:$T$1802,MATCH($F1595,SENTENCES!$A$3:$A$1802,0)),"")</f>
        <v>• Chưa tới</v>
      </c>
    </row>
    <row r="1596" customFormat="false" ht="15" hidden="false" customHeight="false" outlineLevel="0" collapsed="false">
      <c r="A1596" s="31" t="n">
        <v>1594</v>
      </c>
      <c r="B1596" s="43" t="s">
        <v>12485</v>
      </c>
      <c r="C1596" s="34" t="s">
        <v>11533</v>
      </c>
      <c r="D1596" s="44" t="s">
        <v>10681</v>
      </c>
      <c r="E1596" s="31"/>
      <c r="F1596" s="31" t="s">
        <v>7563</v>
      </c>
      <c r="G1596" s="31" t="n">
        <v>64</v>
      </c>
      <c r="H1596" s="31" t="s">
        <v>7168</v>
      </c>
      <c r="I1596" s="44" t="s">
        <v>7523</v>
      </c>
      <c r="J1596" s="45" t="s">
        <v>7565</v>
      </c>
      <c r="K1596" s="45" t="s">
        <v>7567</v>
      </c>
      <c r="L1596" s="31" t="n">
        <f aca="false">COUNTIF($B$3:$B$2205,$B1596)</f>
        <v>2</v>
      </c>
      <c r="M1596" s="44" t="str">
        <f aca="false">IFERROR(INDEX(SENTENCES!$T$3:$T$1802,MATCH($F1596,SENTENCES!$A$3:$A$1802,0)),"")</f>
        <v>• Chưa tới</v>
      </c>
    </row>
    <row r="1597" customFormat="false" ht="15" hidden="false" customHeight="false" outlineLevel="0" collapsed="false">
      <c r="A1597" s="31" t="n">
        <v>1595</v>
      </c>
      <c r="B1597" s="43" t="s">
        <v>7570</v>
      </c>
      <c r="C1597" s="34" t="s">
        <v>13232</v>
      </c>
      <c r="D1597" s="44" t="s">
        <v>10681</v>
      </c>
      <c r="E1597" s="31"/>
      <c r="F1597" s="31" t="s">
        <v>7569</v>
      </c>
      <c r="G1597" s="31" t="n">
        <v>64</v>
      </c>
      <c r="H1597" s="31" t="s">
        <v>7168</v>
      </c>
      <c r="I1597" s="44" t="s">
        <v>7523</v>
      </c>
      <c r="J1597" s="45" t="s">
        <v>7571</v>
      </c>
      <c r="K1597" s="45" t="s">
        <v>7573</v>
      </c>
      <c r="L1597" s="31" t="n">
        <f aca="false">COUNTIF($B$3:$B$2205,$B1597)</f>
        <v>1</v>
      </c>
      <c r="M1597" s="44" t="str">
        <f aca="false">IFERROR(INDEX(SENTENCES!$T$3:$T$1802,MATCH($F1597,SENTENCES!$A$3:$A$1802,0)),"")</f>
        <v>• Chưa tới</v>
      </c>
    </row>
    <row r="1598" customFormat="false" ht="15" hidden="false" customHeight="false" outlineLevel="0" collapsed="false">
      <c r="A1598" s="31" t="n">
        <v>1596</v>
      </c>
      <c r="B1598" s="43" t="s">
        <v>13233</v>
      </c>
      <c r="C1598" s="34" t="s">
        <v>11144</v>
      </c>
      <c r="D1598" s="44" t="s">
        <v>10686</v>
      </c>
      <c r="E1598" s="31"/>
      <c r="F1598" s="31" t="s">
        <v>7575</v>
      </c>
      <c r="G1598" s="31" t="n">
        <v>64</v>
      </c>
      <c r="H1598" s="31" t="s">
        <v>7168</v>
      </c>
      <c r="I1598" s="44" t="s">
        <v>7523</v>
      </c>
      <c r="J1598" s="45" t="s">
        <v>7577</v>
      </c>
      <c r="K1598" s="45" t="s">
        <v>7579</v>
      </c>
      <c r="L1598" s="31" t="n">
        <f aca="false">COUNTIF($B$3:$B$2205,$B1598)</f>
        <v>1</v>
      </c>
      <c r="M1598" s="44" t="str">
        <f aca="false">IFERROR(INDEX(SENTENCES!$T$3:$T$1802,MATCH($F1598,SENTENCES!$A$3:$A$1802,0)),"")</f>
        <v>• Chưa tới</v>
      </c>
    </row>
    <row r="1599" customFormat="false" ht="15" hidden="false" customHeight="false" outlineLevel="0" collapsed="false">
      <c r="A1599" s="31" t="n">
        <v>1597</v>
      </c>
      <c r="B1599" s="43" t="s">
        <v>13234</v>
      </c>
      <c r="C1599" s="34" t="s">
        <v>13235</v>
      </c>
      <c r="D1599" s="44" t="s">
        <v>10681</v>
      </c>
      <c r="E1599" s="31"/>
      <c r="F1599" s="31" t="s">
        <v>7580</v>
      </c>
      <c r="G1599" s="31" t="n">
        <v>64</v>
      </c>
      <c r="H1599" s="31" t="s">
        <v>7168</v>
      </c>
      <c r="I1599" s="44" t="s">
        <v>7523</v>
      </c>
      <c r="J1599" s="45" t="s">
        <v>7582</v>
      </c>
      <c r="K1599" s="45" t="s">
        <v>7584</v>
      </c>
      <c r="L1599" s="31" t="n">
        <f aca="false">COUNTIF($B$3:$B$2205,$B1599)</f>
        <v>1</v>
      </c>
      <c r="M1599" s="44" t="str">
        <f aca="false">IFERROR(INDEX(SENTENCES!$T$3:$T$1802,MATCH($F1599,SENTENCES!$A$3:$A$1802,0)),"")</f>
        <v>• Chưa tới</v>
      </c>
    </row>
    <row r="1600" customFormat="false" ht="15" hidden="false" customHeight="false" outlineLevel="0" collapsed="false">
      <c r="A1600" s="31" t="n">
        <v>1598</v>
      </c>
      <c r="B1600" s="43" t="s">
        <v>13236</v>
      </c>
      <c r="C1600" s="34" t="s">
        <v>13237</v>
      </c>
      <c r="D1600" s="44" t="s">
        <v>10681</v>
      </c>
      <c r="E1600" s="31"/>
      <c r="F1600" s="31" t="s">
        <v>7586</v>
      </c>
      <c r="G1600" s="31" t="n">
        <v>64</v>
      </c>
      <c r="H1600" s="31" t="s">
        <v>7168</v>
      </c>
      <c r="I1600" s="44" t="s">
        <v>7523</v>
      </c>
      <c r="J1600" s="45" t="s">
        <v>7588</v>
      </c>
      <c r="K1600" s="45" t="s">
        <v>7590</v>
      </c>
      <c r="L1600" s="31" t="n">
        <f aca="false">COUNTIF($B$3:$B$2205,$B1600)</f>
        <v>1</v>
      </c>
      <c r="M1600" s="44" t="str">
        <f aca="false">IFERROR(INDEX(SENTENCES!$T$3:$T$1802,MATCH($F1600,SENTENCES!$A$3:$A$1802,0)),"")</f>
        <v>• Chưa tới</v>
      </c>
    </row>
    <row r="1601" customFormat="false" ht="15" hidden="false" customHeight="false" outlineLevel="0" collapsed="false">
      <c r="A1601" s="31" t="n">
        <v>1599</v>
      </c>
      <c r="B1601" s="43" t="s">
        <v>11617</v>
      </c>
      <c r="C1601" s="34" t="s">
        <v>11618</v>
      </c>
      <c r="D1601" s="44" t="s">
        <v>10686</v>
      </c>
      <c r="E1601" s="31"/>
      <c r="F1601" s="31" t="s">
        <v>7592</v>
      </c>
      <c r="G1601" s="31" t="n">
        <v>64</v>
      </c>
      <c r="H1601" s="31" t="s">
        <v>7168</v>
      </c>
      <c r="I1601" s="44" t="s">
        <v>7523</v>
      </c>
      <c r="J1601" s="45" t="s">
        <v>7594</v>
      </c>
      <c r="K1601" s="45" t="s">
        <v>7596</v>
      </c>
      <c r="L1601" s="31" t="n">
        <f aca="false">COUNTIF($B$3:$B$2205,$B1601)</f>
        <v>3</v>
      </c>
      <c r="M1601" s="44" t="str">
        <f aca="false">IFERROR(INDEX(SENTENCES!$T$3:$T$1802,MATCH($F1601,SENTENCES!$A$3:$A$1802,0)),"")</f>
        <v>• Chưa tới</v>
      </c>
    </row>
    <row r="1602" customFormat="false" ht="15" hidden="false" customHeight="false" outlineLevel="0" collapsed="false">
      <c r="A1602" s="31" t="n">
        <v>1600</v>
      </c>
      <c r="B1602" s="43" t="s">
        <v>13238</v>
      </c>
      <c r="C1602" s="34" t="s">
        <v>13239</v>
      </c>
      <c r="D1602" s="44" t="s">
        <v>10686</v>
      </c>
      <c r="E1602" s="31"/>
      <c r="F1602" s="31" t="s">
        <v>7597</v>
      </c>
      <c r="G1602" s="31" t="n">
        <v>64</v>
      </c>
      <c r="H1602" s="31" t="s">
        <v>7168</v>
      </c>
      <c r="I1602" s="44" t="s">
        <v>7523</v>
      </c>
      <c r="J1602" s="45" t="s">
        <v>7599</v>
      </c>
      <c r="K1602" s="45" t="s">
        <v>7601</v>
      </c>
      <c r="L1602" s="31" t="n">
        <f aca="false">COUNTIF($B$3:$B$2205,$B1602)</f>
        <v>1</v>
      </c>
      <c r="M1602" s="44" t="str">
        <f aca="false">IFERROR(INDEX(SENTENCES!$T$3:$T$1802,MATCH($F1602,SENTENCES!$A$3:$A$1802,0)),"")</f>
        <v>• Chưa tới</v>
      </c>
    </row>
    <row r="1603" customFormat="false" ht="15" hidden="false" customHeight="false" outlineLevel="0" collapsed="false">
      <c r="A1603" s="31" t="n">
        <v>1601</v>
      </c>
      <c r="B1603" s="43" t="s">
        <v>13240</v>
      </c>
      <c r="C1603" s="34" t="s">
        <v>11533</v>
      </c>
      <c r="D1603" s="44" t="s">
        <v>10681</v>
      </c>
      <c r="E1603" s="31"/>
      <c r="F1603" s="31" t="s">
        <v>7597</v>
      </c>
      <c r="G1603" s="31" t="n">
        <v>64</v>
      </c>
      <c r="H1603" s="31" t="s">
        <v>7168</v>
      </c>
      <c r="I1603" s="44" t="s">
        <v>7523</v>
      </c>
      <c r="J1603" s="45" t="s">
        <v>7599</v>
      </c>
      <c r="K1603" s="45" t="s">
        <v>7601</v>
      </c>
      <c r="L1603" s="31" t="n">
        <f aca="false">COUNTIF($B$3:$B$2205,$B1603)</f>
        <v>1</v>
      </c>
      <c r="M1603" s="44" t="str">
        <f aca="false">IFERROR(INDEX(SENTENCES!$T$3:$T$1802,MATCH($F1603,SENTENCES!$A$3:$A$1802,0)),"")</f>
        <v>• Chưa tới</v>
      </c>
    </row>
    <row r="1604" customFormat="false" ht="15" hidden="false" customHeight="false" outlineLevel="0" collapsed="false">
      <c r="A1604" s="31" t="n">
        <v>1602</v>
      </c>
      <c r="B1604" s="43" t="s">
        <v>13241</v>
      </c>
      <c r="C1604" s="34" t="s">
        <v>13242</v>
      </c>
      <c r="D1604" s="44" t="s">
        <v>10686</v>
      </c>
      <c r="E1604" s="31"/>
      <c r="F1604" s="31" t="s">
        <v>7603</v>
      </c>
      <c r="G1604" s="31" t="n">
        <v>64</v>
      </c>
      <c r="H1604" s="31" t="s">
        <v>7168</v>
      </c>
      <c r="I1604" s="44" t="s">
        <v>7523</v>
      </c>
      <c r="J1604" s="45" t="s">
        <v>7605</v>
      </c>
      <c r="K1604" s="45" t="s">
        <v>7607</v>
      </c>
      <c r="L1604" s="31" t="n">
        <f aca="false">COUNTIF($B$3:$B$2205,$B1604)</f>
        <v>1</v>
      </c>
      <c r="M1604" s="44" t="str">
        <f aca="false">IFERROR(INDEX(SENTENCES!$T$3:$T$1802,MATCH($F1604,SENTENCES!$A$3:$A$1802,0)),"")</f>
        <v>• Chưa tới</v>
      </c>
    </row>
    <row r="1605" customFormat="false" ht="15" hidden="false" customHeight="false" outlineLevel="0" collapsed="false">
      <c r="A1605" s="31" t="n">
        <v>1603</v>
      </c>
      <c r="B1605" s="43" t="s">
        <v>13166</v>
      </c>
      <c r="C1605" s="34" t="s">
        <v>13243</v>
      </c>
      <c r="D1605" s="44" t="s">
        <v>10681</v>
      </c>
      <c r="E1605" s="31"/>
      <c r="F1605" s="31" t="s">
        <v>7609</v>
      </c>
      <c r="G1605" s="31" t="n">
        <v>64</v>
      </c>
      <c r="H1605" s="31" t="s">
        <v>7168</v>
      </c>
      <c r="I1605" s="44" t="s">
        <v>7523</v>
      </c>
      <c r="J1605" s="45" t="s">
        <v>7610</v>
      </c>
      <c r="K1605" s="45" t="s">
        <v>7612</v>
      </c>
      <c r="L1605" s="31" t="n">
        <f aca="false">COUNTIF($B$3:$B$2205,$B1605)</f>
        <v>2</v>
      </c>
      <c r="M1605" s="44" t="str">
        <f aca="false">IFERROR(INDEX(SENTENCES!$T$3:$T$1802,MATCH($F1605,SENTENCES!$A$3:$A$1802,0)),"")</f>
        <v>• Chưa tới</v>
      </c>
    </row>
    <row r="1606" customFormat="false" ht="15" hidden="false" customHeight="false" outlineLevel="0" collapsed="false">
      <c r="A1606" s="31" t="n">
        <v>1604</v>
      </c>
      <c r="B1606" s="43" t="s">
        <v>13244</v>
      </c>
      <c r="C1606" s="34" t="s">
        <v>13245</v>
      </c>
      <c r="D1606" s="44" t="s">
        <v>10686</v>
      </c>
      <c r="E1606" s="31"/>
      <c r="F1606" s="31" t="s">
        <v>7614</v>
      </c>
      <c r="G1606" s="31" t="n">
        <v>64</v>
      </c>
      <c r="H1606" s="31" t="s">
        <v>7168</v>
      </c>
      <c r="I1606" s="44" t="s">
        <v>7523</v>
      </c>
      <c r="J1606" s="45" t="s">
        <v>7616</v>
      </c>
      <c r="K1606" s="45" t="s">
        <v>7618</v>
      </c>
      <c r="L1606" s="31" t="n">
        <f aca="false">COUNTIF($B$3:$B$2205,$B1606)</f>
        <v>1</v>
      </c>
      <c r="M1606" s="44" t="str">
        <f aca="false">IFERROR(INDEX(SENTENCES!$T$3:$T$1802,MATCH($F1606,SENTENCES!$A$3:$A$1802,0)),"")</f>
        <v>• Chưa tới</v>
      </c>
    </row>
    <row r="1607" customFormat="false" ht="15" hidden="false" customHeight="false" outlineLevel="0" collapsed="false">
      <c r="A1607" s="31" t="n">
        <v>1605</v>
      </c>
      <c r="B1607" s="43" t="s">
        <v>13246</v>
      </c>
      <c r="C1607" s="34" t="s">
        <v>13247</v>
      </c>
      <c r="D1607" s="44" t="s">
        <v>10677</v>
      </c>
      <c r="E1607" s="31" t="s">
        <v>10707</v>
      </c>
      <c r="F1607" s="31" t="s">
        <v>7620</v>
      </c>
      <c r="G1607" s="31" t="n">
        <v>64</v>
      </c>
      <c r="H1607" s="31" t="s">
        <v>7168</v>
      </c>
      <c r="I1607" s="44" t="s">
        <v>7523</v>
      </c>
      <c r="J1607" s="45" t="s">
        <v>7622</v>
      </c>
      <c r="K1607" s="45" t="s">
        <v>7624</v>
      </c>
      <c r="L1607" s="31" t="n">
        <f aca="false">COUNTIF($B$3:$B$2205,$B1607)</f>
        <v>1</v>
      </c>
      <c r="M1607" s="44" t="str">
        <f aca="false">IFERROR(INDEX(SENTENCES!$T$3:$T$1802,MATCH($F1607,SENTENCES!$A$3:$A$1802,0)),"")</f>
        <v>• Chưa tới</v>
      </c>
    </row>
    <row r="1608" customFormat="false" ht="15" hidden="false" customHeight="false" outlineLevel="0" collapsed="false">
      <c r="A1608" s="31" t="n">
        <v>1606</v>
      </c>
      <c r="B1608" s="43" t="s">
        <v>12009</v>
      </c>
      <c r="C1608" s="34" t="s">
        <v>13248</v>
      </c>
      <c r="D1608" s="44" t="s">
        <v>10686</v>
      </c>
      <c r="E1608" s="31"/>
      <c r="F1608" s="31" t="s">
        <v>7626</v>
      </c>
      <c r="G1608" s="31" t="n">
        <v>64</v>
      </c>
      <c r="H1608" s="31" t="s">
        <v>7168</v>
      </c>
      <c r="I1608" s="44" t="s">
        <v>7523</v>
      </c>
      <c r="J1608" s="45" t="s">
        <v>7628</v>
      </c>
      <c r="K1608" s="45" t="s">
        <v>7630</v>
      </c>
      <c r="L1608" s="31" t="n">
        <f aca="false">COUNTIF($B$3:$B$2205,$B1608)</f>
        <v>2</v>
      </c>
      <c r="M1608" s="44" t="str">
        <f aca="false">IFERROR(INDEX(SENTENCES!$T$3:$T$1802,MATCH($F1608,SENTENCES!$A$3:$A$1802,0)),"")</f>
        <v>• Chưa tới</v>
      </c>
    </row>
    <row r="1609" customFormat="false" ht="15" hidden="false" customHeight="false" outlineLevel="0" collapsed="false">
      <c r="A1609" s="31" t="n">
        <v>1607</v>
      </c>
      <c r="B1609" s="43" t="s">
        <v>13249</v>
      </c>
      <c r="C1609" s="34" t="s">
        <v>13250</v>
      </c>
      <c r="D1609" s="44" t="s">
        <v>10677</v>
      </c>
      <c r="E1609" s="31" t="s">
        <v>10707</v>
      </c>
      <c r="F1609" s="31" t="s">
        <v>7632</v>
      </c>
      <c r="G1609" s="31" t="n">
        <v>64</v>
      </c>
      <c r="H1609" s="31" t="s">
        <v>7168</v>
      </c>
      <c r="I1609" s="44" t="s">
        <v>7523</v>
      </c>
      <c r="J1609" s="45" t="s">
        <v>7634</v>
      </c>
      <c r="K1609" s="45" t="s">
        <v>7636</v>
      </c>
      <c r="L1609" s="31" t="n">
        <f aca="false">COUNTIF($B$3:$B$2205,$B1609)</f>
        <v>1</v>
      </c>
      <c r="M1609" s="44" t="str">
        <f aca="false">IFERROR(INDEX(SENTENCES!$T$3:$T$1802,MATCH($F1609,SENTENCES!$A$3:$A$1802,0)),"")</f>
        <v>• Chưa tới</v>
      </c>
    </row>
    <row r="1610" customFormat="false" ht="15" hidden="false" customHeight="false" outlineLevel="0" collapsed="false">
      <c r="A1610" s="31" t="n">
        <v>1608</v>
      </c>
      <c r="B1610" s="43" t="s">
        <v>13251</v>
      </c>
      <c r="C1610" s="34" t="s">
        <v>13252</v>
      </c>
      <c r="D1610" s="44" t="s">
        <v>10681</v>
      </c>
      <c r="E1610" s="31"/>
      <c r="F1610" s="31" t="s">
        <v>7638</v>
      </c>
      <c r="G1610" s="31" t="n">
        <v>65</v>
      </c>
      <c r="H1610" s="31" t="s">
        <v>7168</v>
      </c>
      <c r="I1610" s="44" t="s">
        <v>7639</v>
      </c>
      <c r="J1610" s="45" t="s">
        <v>7641</v>
      </c>
      <c r="K1610" s="45" t="s">
        <v>7643</v>
      </c>
      <c r="L1610" s="31" t="n">
        <f aca="false">COUNTIF($B$3:$B$2205,$B1610)</f>
        <v>1</v>
      </c>
      <c r="M1610" s="44" t="str">
        <f aca="false">IFERROR(INDEX(SENTENCES!$T$3:$T$1802,MATCH($F1610,SENTENCES!$A$3:$A$1802,0)),"")</f>
        <v>• Chưa tới</v>
      </c>
    </row>
    <row r="1611" customFormat="false" ht="15" hidden="false" customHeight="false" outlineLevel="0" collapsed="false">
      <c r="A1611" s="31" t="n">
        <v>1609</v>
      </c>
      <c r="B1611" s="43" t="s">
        <v>13253</v>
      </c>
      <c r="C1611" s="34" t="s">
        <v>13254</v>
      </c>
      <c r="D1611" s="44" t="s">
        <v>10681</v>
      </c>
      <c r="E1611" s="31"/>
      <c r="F1611" s="31" t="s">
        <v>7645</v>
      </c>
      <c r="G1611" s="31" t="n">
        <v>65</v>
      </c>
      <c r="H1611" s="31" t="s">
        <v>7168</v>
      </c>
      <c r="I1611" s="44" t="s">
        <v>7639</v>
      </c>
      <c r="J1611" s="45" t="s">
        <v>7647</v>
      </c>
      <c r="K1611" s="45" t="s">
        <v>7649</v>
      </c>
      <c r="L1611" s="31" t="n">
        <f aca="false">COUNTIF($B$3:$B$2205,$B1611)</f>
        <v>1</v>
      </c>
      <c r="M1611" s="44" t="str">
        <f aca="false">IFERROR(INDEX(SENTENCES!$T$3:$T$1802,MATCH($F1611,SENTENCES!$A$3:$A$1802,0)),"")</f>
        <v>• Chưa tới</v>
      </c>
    </row>
    <row r="1612" customFormat="false" ht="15" hidden="false" customHeight="false" outlineLevel="0" collapsed="false">
      <c r="A1612" s="31" t="n">
        <v>1610</v>
      </c>
      <c r="B1612" s="43" t="s">
        <v>13255</v>
      </c>
      <c r="C1612" s="34" t="s">
        <v>13256</v>
      </c>
      <c r="D1612" s="44" t="s">
        <v>10686</v>
      </c>
      <c r="E1612" s="31"/>
      <c r="F1612" s="31" t="s">
        <v>7651</v>
      </c>
      <c r="G1612" s="31" t="n">
        <v>65</v>
      </c>
      <c r="H1612" s="31" t="s">
        <v>7168</v>
      </c>
      <c r="I1612" s="44" t="s">
        <v>7639</v>
      </c>
      <c r="J1612" s="45" t="s">
        <v>7653</v>
      </c>
      <c r="K1612" s="45" t="s">
        <v>7655</v>
      </c>
      <c r="L1612" s="31" t="n">
        <f aca="false">COUNTIF($B$3:$B$2205,$B1612)</f>
        <v>2</v>
      </c>
      <c r="M1612" s="44" t="str">
        <f aca="false">IFERROR(INDEX(SENTENCES!$T$3:$T$1802,MATCH($F1612,SENTENCES!$A$3:$A$1802,0)),"")</f>
        <v>• Chưa tới</v>
      </c>
    </row>
    <row r="1613" customFormat="false" ht="15" hidden="false" customHeight="false" outlineLevel="0" collapsed="false">
      <c r="A1613" s="31" t="n">
        <v>1611</v>
      </c>
      <c r="B1613" s="43" t="s">
        <v>11194</v>
      </c>
      <c r="C1613" s="34" t="s">
        <v>13257</v>
      </c>
      <c r="D1613" s="44" t="s">
        <v>10681</v>
      </c>
      <c r="E1613" s="31"/>
      <c r="F1613" s="31" t="s">
        <v>7657</v>
      </c>
      <c r="G1613" s="31" t="n">
        <v>65</v>
      </c>
      <c r="H1613" s="31" t="s">
        <v>7168</v>
      </c>
      <c r="I1613" s="44" t="s">
        <v>7639</v>
      </c>
      <c r="J1613" s="45" t="s">
        <v>7659</v>
      </c>
      <c r="K1613" s="45" t="s">
        <v>7661</v>
      </c>
      <c r="L1613" s="31" t="n">
        <f aca="false">COUNTIF($B$3:$B$2205,$B1613)</f>
        <v>2</v>
      </c>
      <c r="M1613" s="44" t="str">
        <f aca="false">IFERROR(INDEX(SENTENCES!$T$3:$T$1802,MATCH($F1613,SENTENCES!$A$3:$A$1802,0)),"")</f>
        <v>• Chưa tới</v>
      </c>
    </row>
    <row r="1614" customFormat="false" ht="15" hidden="false" customHeight="false" outlineLevel="0" collapsed="false">
      <c r="A1614" s="31" t="n">
        <v>1612</v>
      </c>
      <c r="B1614" s="43" t="s">
        <v>13258</v>
      </c>
      <c r="C1614" s="34" t="s">
        <v>13259</v>
      </c>
      <c r="D1614" s="44" t="s">
        <v>10677</v>
      </c>
      <c r="E1614" s="31" t="s">
        <v>10678</v>
      </c>
      <c r="F1614" s="31" t="s">
        <v>7657</v>
      </c>
      <c r="G1614" s="31" t="n">
        <v>65</v>
      </c>
      <c r="H1614" s="31" t="s">
        <v>7168</v>
      </c>
      <c r="I1614" s="44" t="s">
        <v>7639</v>
      </c>
      <c r="J1614" s="45" t="s">
        <v>7659</v>
      </c>
      <c r="K1614" s="45" t="s">
        <v>7661</v>
      </c>
      <c r="L1614" s="31" t="n">
        <f aca="false">COUNTIF($B$3:$B$2205,$B1614)</f>
        <v>1</v>
      </c>
      <c r="M1614" s="44" t="str">
        <f aca="false">IFERROR(INDEX(SENTENCES!$T$3:$T$1802,MATCH($F1614,SENTENCES!$A$3:$A$1802,0)),"")</f>
        <v>• Chưa tới</v>
      </c>
    </row>
    <row r="1615" customFormat="false" ht="15" hidden="false" customHeight="false" outlineLevel="0" collapsed="false">
      <c r="A1615" s="31" t="n">
        <v>1613</v>
      </c>
      <c r="B1615" s="43" t="s">
        <v>12376</v>
      </c>
      <c r="C1615" s="34" t="s">
        <v>12377</v>
      </c>
      <c r="D1615" s="44" t="s">
        <v>10681</v>
      </c>
      <c r="E1615" s="31"/>
      <c r="F1615" s="31" t="s">
        <v>7663</v>
      </c>
      <c r="G1615" s="31" t="n">
        <v>65</v>
      </c>
      <c r="H1615" s="31" t="s">
        <v>7168</v>
      </c>
      <c r="I1615" s="44" t="s">
        <v>7639</v>
      </c>
      <c r="J1615" s="45" t="s">
        <v>7665</v>
      </c>
      <c r="K1615" s="45" t="s">
        <v>7667</v>
      </c>
      <c r="L1615" s="31" t="n">
        <f aca="false">COUNTIF($B$3:$B$2205,$B1615)</f>
        <v>2</v>
      </c>
      <c r="M1615" s="44" t="str">
        <f aca="false">IFERROR(INDEX(SENTENCES!$T$3:$T$1802,MATCH($F1615,SENTENCES!$A$3:$A$1802,0)),"")</f>
        <v>• Chưa tới</v>
      </c>
    </row>
    <row r="1616" customFormat="false" ht="15" hidden="false" customHeight="false" outlineLevel="0" collapsed="false">
      <c r="A1616" s="31" t="n">
        <v>1614</v>
      </c>
      <c r="B1616" s="43" t="s">
        <v>10769</v>
      </c>
      <c r="C1616" s="34" t="s">
        <v>10770</v>
      </c>
      <c r="D1616" s="44" t="s">
        <v>10686</v>
      </c>
      <c r="E1616" s="31"/>
      <c r="F1616" s="31" t="s">
        <v>7669</v>
      </c>
      <c r="G1616" s="31" t="n">
        <v>65</v>
      </c>
      <c r="H1616" s="31" t="s">
        <v>7168</v>
      </c>
      <c r="I1616" s="44" t="s">
        <v>7639</v>
      </c>
      <c r="J1616" s="45" t="s">
        <v>7671</v>
      </c>
      <c r="K1616" s="45" t="s">
        <v>7673</v>
      </c>
      <c r="L1616" s="31" t="n">
        <f aca="false">COUNTIF($B$3:$B$2205,$B1616)</f>
        <v>3</v>
      </c>
      <c r="M1616" s="44" t="str">
        <f aca="false">IFERROR(INDEX(SENTENCES!$T$3:$T$1802,MATCH($F1616,SENTENCES!$A$3:$A$1802,0)),"")</f>
        <v>• Chưa tới</v>
      </c>
    </row>
    <row r="1617" customFormat="false" ht="15" hidden="false" customHeight="false" outlineLevel="0" collapsed="false">
      <c r="A1617" s="31" t="n">
        <v>1615</v>
      </c>
      <c r="B1617" s="43" t="s">
        <v>13260</v>
      </c>
      <c r="C1617" s="34" t="s">
        <v>13261</v>
      </c>
      <c r="D1617" s="44" t="s">
        <v>10677</v>
      </c>
      <c r="E1617" s="31" t="s">
        <v>10678</v>
      </c>
      <c r="F1617" s="31" t="s">
        <v>7674</v>
      </c>
      <c r="G1617" s="31" t="n">
        <v>65</v>
      </c>
      <c r="H1617" s="31" t="s">
        <v>7168</v>
      </c>
      <c r="I1617" s="44" t="s">
        <v>7639</v>
      </c>
      <c r="J1617" s="45" t="s">
        <v>7676</v>
      </c>
      <c r="K1617" s="45" t="s">
        <v>7678</v>
      </c>
      <c r="L1617" s="31" t="n">
        <f aca="false">COUNTIF($B$3:$B$2205,$B1617)</f>
        <v>1</v>
      </c>
      <c r="M1617" s="44" t="str">
        <f aca="false">IFERROR(INDEX(SENTENCES!$T$3:$T$1802,MATCH($F1617,SENTENCES!$A$3:$A$1802,0)),"")</f>
        <v>• Chưa tới</v>
      </c>
    </row>
    <row r="1618" customFormat="false" ht="15" hidden="false" customHeight="false" outlineLevel="0" collapsed="false">
      <c r="A1618" s="31" t="n">
        <v>1616</v>
      </c>
      <c r="B1618" s="43" t="s">
        <v>13262</v>
      </c>
      <c r="C1618" s="34" t="s">
        <v>13263</v>
      </c>
      <c r="D1618" s="44" t="s">
        <v>10677</v>
      </c>
      <c r="E1618" s="31" t="s">
        <v>10707</v>
      </c>
      <c r="F1618" s="31" t="s">
        <v>7680</v>
      </c>
      <c r="G1618" s="31" t="n">
        <v>65</v>
      </c>
      <c r="H1618" s="31" t="s">
        <v>7168</v>
      </c>
      <c r="I1618" s="44" t="s">
        <v>7639</v>
      </c>
      <c r="J1618" s="45" t="s">
        <v>7682</v>
      </c>
      <c r="K1618" s="45" t="s">
        <v>7684</v>
      </c>
      <c r="L1618" s="31" t="n">
        <f aca="false">COUNTIF($B$3:$B$2205,$B1618)</f>
        <v>1</v>
      </c>
      <c r="M1618" s="44" t="str">
        <f aca="false">IFERROR(INDEX(SENTENCES!$T$3:$T$1802,MATCH($F1618,SENTENCES!$A$3:$A$1802,0)),"")</f>
        <v>• Chưa tới</v>
      </c>
    </row>
    <row r="1619" customFormat="false" ht="15" hidden="false" customHeight="false" outlineLevel="0" collapsed="false">
      <c r="A1619" s="31" t="n">
        <v>1617</v>
      </c>
      <c r="B1619" s="43" t="s">
        <v>13264</v>
      </c>
      <c r="C1619" s="34" t="s">
        <v>13265</v>
      </c>
      <c r="D1619" s="44" t="s">
        <v>10686</v>
      </c>
      <c r="E1619" s="31"/>
      <c r="F1619" s="31" t="s">
        <v>7686</v>
      </c>
      <c r="G1619" s="31" t="n">
        <v>65</v>
      </c>
      <c r="H1619" s="31" t="s">
        <v>7168</v>
      </c>
      <c r="I1619" s="44" t="s">
        <v>7639</v>
      </c>
      <c r="J1619" s="45" t="s">
        <v>7688</v>
      </c>
      <c r="K1619" s="45" t="s">
        <v>7690</v>
      </c>
      <c r="L1619" s="31" t="n">
        <f aca="false">COUNTIF($B$3:$B$2205,$B1619)</f>
        <v>2</v>
      </c>
      <c r="M1619" s="44" t="str">
        <f aca="false">IFERROR(INDEX(SENTENCES!$T$3:$T$1802,MATCH($F1619,SENTENCES!$A$3:$A$1802,0)),"")</f>
        <v>• Chưa tới</v>
      </c>
    </row>
    <row r="1620" customFormat="false" ht="15" hidden="false" customHeight="false" outlineLevel="0" collapsed="false">
      <c r="A1620" s="31" t="n">
        <v>1618</v>
      </c>
      <c r="B1620" s="43" t="s">
        <v>13266</v>
      </c>
      <c r="C1620" s="34" t="s">
        <v>12386</v>
      </c>
      <c r="D1620" s="44" t="s">
        <v>10686</v>
      </c>
      <c r="E1620" s="31"/>
      <c r="F1620" s="31" t="s">
        <v>7692</v>
      </c>
      <c r="G1620" s="31" t="n">
        <v>65</v>
      </c>
      <c r="H1620" s="31" t="s">
        <v>7168</v>
      </c>
      <c r="I1620" s="44" t="s">
        <v>7639</v>
      </c>
      <c r="J1620" s="45" t="s">
        <v>7694</v>
      </c>
      <c r="K1620" s="45" t="s">
        <v>7696</v>
      </c>
      <c r="L1620" s="31" t="n">
        <f aca="false">COUNTIF($B$3:$B$2205,$B1620)</f>
        <v>1</v>
      </c>
      <c r="M1620" s="44" t="str">
        <f aca="false">IFERROR(INDEX(SENTENCES!$T$3:$T$1802,MATCH($F1620,SENTENCES!$A$3:$A$1802,0)),"")</f>
        <v>• Chưa tới</v>
      </c>
    </row>
    <row r="1621" customFormat="false" ht="15" hidden="false" customHeight="false" outlineLevel="0" collapsed="false">
      <c r="A1621" s="31" t="n">
        <v>1619</v>
      </c>
      <c r="B1621" s="43" t="s">
        <v>13267</v>
      </c>
      <c r="C1621" s="34" t="s">
        <v>12487</v>
      </c>
      <c r="D1621" s="44" t="s">
        <v>10686</v>
      </c>
      <c r="E1621" s="31"/>
      <c r="F1621" s="31" t="s">
        <v>7698</v>
      </c>
      <c r="G1621" s="31" t="n">
        <v>65</v>
      </c>
      <c r="H1621" s="31" t="s">
        <v>7168</v>
      </c>
      <c r="I1621" s="44" t="s">
        <v>7639</v>
      </c>
      <c r="J1621" s="45" t="s">
        <v>7700</v>
      </c>
      <c r="K1621" s="45" t="s">
        <v>7702</v>
      </c>
      <c r="L1621" s="31" t="n">
        <f aca="false">COUNTIF($B$3:$B$2205,$B1621)</f>
        <v>1</v>
      </c>
      <c r="M1621" s="44" t="str">
        <f aca="false">IFERROR(INDEX(SENTENCES!$T$3:$T$1802,MATCH($F1621,SENTENCES!$A$3:$A$1802,0)),"")</f>
        <v>• Chưa tới</v>
      </c>
    </row>
    <row r="1622" customFormat="false" ht="15" hidden="false" customHeight="false" outlineLevel="0" collapsed="false">
      <c r="A1622" s="31" t="n">
        <v>1620</v>
      </c>
      <c r="B1622" s="43" t="s">
        <v>13268</v>
      </c>
      <c r="C1622" s="34" t="s">
        <v>13016</v>
      </c>
      <c r="D1622" s="44" t="s">
        <v>10677</v>
      </c>
      <c r="E1622" s="31" t="s">
        <v>10678</v>
      </c>
      <c r="F1622" s="31" t="s">
        <v>7704</v>
      </c>
      <c r="G1622" s="31" t="n">
        <v>65</v>
      </c>
      <c r="H1622" s="31" t="s">
        <v>7168</v>
      </c>
      <c r="I1622" s="44" t="s">
        <v>7639</v>
      </c>
      <c r="J1622" s="45" t="s">
        <v>7706</v>
      </c>
      <c r="K1622" s="45" t="s">
        <v>7708</v>
      </c>
      <c r="L1622" s="31" t="n">
        <f aca="false">COUNTIF($B$3:$B$2205,$B1622)</f>
        <v>1</v>
      </c>
      <c r="M1622" s="44" t="str">
        <f aca="false">IFERROR(INDEX(SENTENCES!$T$3:$T$1802,MATCH($F1622,SENTENCES!$A$3:$A$1802,0)),"")</f>
        <v>• Chưa tới</v>
      </c>
    </row>
    <row r="1623" customFormat="false" ht="15" hidden="false" customHeight="false" outlineLevel="0" collapsed="false">
      <c r="A1623" s="31" t="n">
        <v>1621</v>
      </c>
      <c r="B1623" s="43" t="s">
        <v>13269</v>
      </c>
      <c r="C1623" s="34" t="s">
        <v>13270</v>
      </c>
      <c r="D1623" s="44" t="s">
        <v>10686</v>
      </c>
      <c r="E1623" s="31"/>
      <c r="F1623" s="31" t="s">
        <v>7710</v>
      </c>
      <c r="G1623" s="31" t="n">
        <v>65</v>
      </c>
      <c r="H1623" s="31" t="s">
        <v>7168</v>
      </c>
      <c r="I1623" s="44" t="s">
        <v>7639</v>
      </c>
      <c r="J1623" s="45" t="s">
        <v>7712</v>
      </c>
      <c r="K1623" s="45" t="s">
        <v>7714</v>
      </c>
      <c r="L1623" s="31" t="n">
        <f aca="false">COUNTIF($B$3:$B$2205,$B1623)</f>
        <v>1</v>
      </c>
      <c r="M1623" s="44" t="str">
        <f aca="false">IFERROR(INDEX(SENTENCES!$T$3:$T$1802,MATCH($F1623,SENTENCES!$A$3:$A$1802,0)),"")</f>
        <v>• Chưa tới</v>
      </c>
    </row>
    <row r="1624" customFormat="false" ht="15" hidden="false" customHeight="false" outlineLevel="0" collapsed="false">
      <c r="A1624" s="31" t="n">
        <v>1622</v>
      </c>
      <c r="B1624" s="43" t="s">
        <v>13271</v>
      </c>
      <c r="C1624" s="34" t="s">
        <v>13272</v>
      </c>
      <c r="D1624" s="44" t="s">
        <v>10686</v>
      </c>
      <c r="E1624" s="31"/>
      <c r="F1624" s="31" t="s">
        <v>7715</v>
      </c>
      <c r="G1624" s="31" t="n">
        <v>65</v>
      </c>
      <c r="H1624" s="31" t="s">
        <v>7168</v>
      </c>
      <c r="I1624" s="44" t="s">
        <v>7639</v>
      </c>
      <c r="J1624" s="45" t="s">
        <v>7717</v>
      </c>
      <c r="K1624" s="45" t="s">
        <v>7719</v>
      </c>
      <c r="L1624" s="31" t="n">
        <f aca="false">COUNTIF($B$3:$B$2205,$B1624)</f>
        <v>1</v>
      </c>
      <c r="M1624" s="44" t="str">
        <f aca="false">IFERROR(INDEX(SENTENCES!$T$3:$T$1802,MATCH($F1624,SENTENCES!$A$3:$A$1802,0)),"")</f>
        <v>• Chưa tới</v>
      </c>
    </row>
    <row r="1625" customFormat="false" ht="15" hidden="false" customHeight="false" outlineLevel="0" collapsed="false">
      <c r="A1625" s="31" t="n">
        <v>1623</v>
      </c>
      <c r="B1625" s="43" t="s">
        <v>13273</v>
      </c>
      <c r="C1625" s="34" t="s">
        <v>13274</v>
      </c>
      <c r="D1625" s="44" t="s">
        <v>10677</v>
      </c>
      <c r="E1625" s="31" t="s">
        <v>10707</v>
      </c>
      <c r="F1625" s="31" t="s">
        <v>7721</v>
      </c>
      <c r="G1625" s="31" t="n">
        <v>65</v>
      </c>
      <c r="H1625" s="31" t="s">
        <v>7168</v>
      </c>
      <c r="I1625" s="44" t="s">
        <v>7639</v>
      </c>
      <c r="J1625" s="45" t="s">
        <v>7723</v>
      </c>
      <c r="K1625" s="45" t="s">
        <v>7725</v>
      </c>
      <c r="L1625" s="31" t="n">
        <f aca="false">COUNTIF($B$3:$B$2205,$B1625)</f>
        <v>1</v>
      </c>
      <c r="M1625" s="44" t="str">
        <f aca="false">IFERROR(INDEX(SENTENCES!$T$3:$T$1802,MATCH($F1625,SENTENCES!$A$3:$A$1802,0)),"")</f>
        <v>• Chưa tới</v>
      </c>
    </row>
    <row r="1626" customFormat="false" ht="15" hidden="false" customHeight="false" outlineLevel="0" collapsed="false">
      <c r="A1626" s="31" t="n">
        <v>1624</v>
      </c>
      <c r="B1626" s="43" t="s">
        <v>13275</v>
      </c>
      <c r="C1626" s="34" t="s">
        <v>13276</v>
      </c>
      <c r="D1626" s="44" t="s">
        <v>10686</v>
      </c>
      <c r="E1626" s="31"/>
      <c r="F1626" s="31" t="s">
        <v>7727</v>
      </c>
      <c r="G1626" s="31" t="n">
        <v>65</v>
      </c>
      <c r="H1626" s="31" t="s">
        <v>7168</v>
      </c>
      <c r="I1626" s="44" t="s">
        <v>7639</v>
      </c>
      <c r="J1626" s="45" t="s">
        <v>7729</v>
      </c>
      <c r="K1626" s="45" t="s">
        <v>7731</v>
      </c>
      <c r="L1626" s="31" t="n">
        <f aca="false">COUNTIF($B$3:$B$2205,$B1626)</f>
        <v>1</v>
      </c>
      <c r="M1626" s="44" t="str">
        <f aca="false">IFERROR(INDEX(SENTENCES!$T$3:$T$1802,MATCH($F1626,SENTENCES!$A$3:$A$1802,0)),"")</f>
        <v>• Chưa tới</v>
      </c>
    </row>
    <row r="1627" customFormat="false" ht="15" hidden="false" customHeight="false" outlineLevel="0" collapsed="false">
      <c r="A1627" s="31" t="n">
        <v>1625</v>
      </c>
      <c r="B1627" s="43" t="s">
        <v>12109</v>
      </c>
      <c r="C1627" s="34" t="s">
        <v>12110</v>
      </c>
      <c r="D1627" s="44" t="s">
        <v>10686</v>
      </c>
      <c r="E1627" s="31"/>
      <c r="F1627" s="31" t="s">
        <v>7733</v>
      </c>
      <c r="G1627" s="31" t="n">
        <v>65</v>
      </c>
      <c r="H1627" s="31" t="s">
        <v>7168</v>
      </c>
      <c r="I1627" s="44" t="s">
        <v>7639</v>
      </c>
      <c r="J1627" s="45" t="s">
        <v>7735</v>
      </c>
      <c r="K1627" s="45" t="s">
        <v>7737</v>
      </c>
      <c r="L1627" s="31" t="n">
        <f aca="false">COUNTIF($B$3:$B$2205,$B1627)</f>
        <v>3</v>
      </c>
      <c r="M1627" s="44" t="str">
        <f aca="false">IFERROR(INDEX(SENTENCES!$T$3:$T$1802,MATCH($F1627,SENTENCES!$A$3:$A$1802,0)),"")</f>
        <v>• Chưa tới</v>
      </c>
    </row>
    <row r="1628" customFormat="false" ht="15" hidden="false" customHeight="false" outlineLevel="0" collapsed="false">
      <c r="A1628" s="31" t="n">
        <v>1626</v>
      </c>
      <c r="B1628" s="43" t="s">
        <v>13277</v>
      </c>
      <c r="C1628" s="34" t="s">
        <v>13278</v>
      </c>
      <c r="D1628" s="44" t="s">
        <v>10677</v>
      </c>
      <c r="E1628" s="31" t="s">
        <v>10678</v>
      </c>
      <c r="F1628" s="31" t="s">
        <v>7739</v>
      </c>
      <c r="G1628" s="31" t="n">
        <v>65</v>
      </c>
      <c r="H1628" s="31" t="s">
        <v>7168</v>
      </c>
      <c r="I1628" s="44" t="s">
        <v>7639</v>
      </c>
      <c r="J1628" s="45" t="s">
        <v>7741</v>
      </c>
      <c r="K1628" s="45" t="s">
        <v>7743</v>
      </c>
      <c r="L1628" s="31" t="n">
        <f aca="false">COUNTIF($B$3:$B$2205,$B1628)</f>
        <v>1</v>
      </c>
      <c r="M1628" s="44" t="str">
        <f aca="false">IFERROR(INDEX(SENTENCES!$T$3:$T$1802,MATCH($F1628,SENTENCES!$A$3:$A$1802,0)),"")</f>
        <v>• Chưa tới</v>
      </c>
    </row>
    <row r="1629" customFormat="false" ht="15" hidden="false" customHeight="false" outlineLevel="0" collapsed="false">
      <c r="A1629" s="31" t="n">
        <v>1627</v>
      </c>
      <c r="B1629" s="43" t="s">
        <v>13279</v>
      </c>
      <c r="C1629" s="34" t="s">
        <v>13280</v>
      </c>
      <c r="D1629" s="44" t="s">
        <v>10686</v>
      </c>
      <c r="E1629" s="31"/>
      <c r="F1629" s="31" t="s">
        <v>7739</v>
      </c>
      <c r="G1629" s="31" t="n">
        <v>65</v>
      </c>
      <c r="H1629" s="31" t="s">
        <v>7168</v>
      </c>
      <c r="I1629" s="44" t="s">
        <v>7639</v>
      </c>
      <c r="J1629" s="45" t="s">
        <v>7741</v>
      </c>
      <c r="K1629" s="45" t="s">
        <v>7743</v>
      </c>
      <c r="L1629" s="31" t="n">
        <f aca="false">COUNTIF($B$3:$B$2205,$B1629)</f>
        <v>1</v>
      </c>
      <c r="M1629" s="44" t="str">
        <f aca="false">IFERROR(INDEX(SENTENCES!$T$3:$T$1802,MATCH($F1629,SENTENCES!$A$3:$A$1802,0)),"")</f>
        <v>• Chưa tới</v>
      </c>
    </row>
    <row r="1630" customFormat="false" ht="15" hidden="false" customHeight="false" outlineLevel="0" collapsed="false">
      <c r="A1630" s="31" t="n">
        <v>1628</v>
      </c>
      <c r="B1630" s="43" t="s">
        <v>10804</v>
      </c>
      <c r="C1630" s="34" t="s">
        <v>10805</v>
      </c>
      <c r="D1630" s="44" t="s">
        <v>10686</v>
      </c>
      <c r="E1630" s="31"/>
      <c r="F1630" s="31" t="s">
        <v>7745</v>
      </c>
      <c r="G1630" s="31" t="n">
        <v>65</v>
      </c>
      <c r="H1630" s="31" t="s">
        <v>7168</v>
      </c>
      <c r="I1630" s="44" t="s">
        <v>7639</v>
      </c>
      <c r="J1630" s="45" t="s">
        <v>7747</v>
      </c>
      <c r="K1630" s="45" t="s">
        <v>7749</v>
      </c>
      <c r="L1630" s="31" t="n">
        <f aca="false">COUNTIF($B$3:$B$2205,$B1630)</f>
        <v>2</v>
      </c>
      <c r="M1630" s="44" t="str">
        <f aca="false">IFERROR(INDEX(SENTENCES!$T$3:$T$1802,MATCH($F1630,SENTENCES!$A$3:$A$1802,0)),"")</f>
        <v>• Chưa tới</v>
      </c>
    </row>
    <row r="1631" customFormat="false" ht="15" hidden="false" customHeight="false" outlineLevel="0" collapsed="false">
      <c r="A1631" s="31" t="n">
        <v>1629</v>
      </c>
      <c r="B1631" s="43" t="s">
        <v>13281</v>
      </c>
      <c r="C1631" s="34" t="s">
        <v>13282</v>
      </c>
      <c r="D1631" s="44" t="s">
        <v>10681</v>
      </c>
      <c r="E1631" s="31"/>
      <c r="F1631" s="31" t="s">
        <v>7751</v>
      </c>
      <c r="G1631" s="31" t="n">
        <v>65</v>
      </c>
      <c r="H1631" s="31" t="s">
        <v>7168</v>
      </c>
      <c r="I1631" s="44" t="s">
        <v>7639</v>
      </c>
      <c r="J1631" s="45" t="s">
        <v>7753</v>
      </c>
      <c r="K1631" s="45" t="s">
        <v>7755</v>
      </c>
      <c r="L1631" s="31" t="n">
        <f aca="false">COUNTIF($B$3:$B$2205,$B1631)</f>
        <v>1</v>
      </c>
      <c r="M1631" s="44" t="str">
        <f aca="false">IFERROR(INDEX(SENTENCES!$T$3:$T$1802,MATCH($F1631,SENTENCES!$A$3:$A$1802,0)),"")</f>
        <v>• Chưa tới</v>
      </c>
    </row>
    <row r="1632" customFormat="false" ht="15" hidden="false" customHeight="false" outlineLevel="0" collapsed="false">
      <c r="A1632" s="31" t="n">
        <v>1630</v>
      </c>
      <c r="B1632" s="43" t="s">
        <v>13283</v>
      </c>
      <c r="C1632" s="34" t="s">
        <v>13284</v>
      </c>
      <c r="D1632" s="44" t="s">
        <v>10681</v>
      </c>
      <c r="E1632" s="31"/>
      <c r="F1632" s="31" t="s">
        <v>7757</v>
      </c>
      <c r="G1632" s="31" t="n">
        <v>66</v>
      </c>
      <c r="H1632" s="31" t="s">
        <v>7168</v>
      </c>
      <c r="I1632" s="44" t="s">
        <v>7758</v>
      </c>
      <c r="J1632" s="45" t="s">
        <v>7760</v>
      </c>
      <c r="K1632" s="45" t="s">
        <v>7762</v>
      </c>
      <c r="L1632" s="31" t="n">
        <f aca="false">COUNTIF($B$3:$B$2205,$B1632)</f>
        <v>1</v>
      </c>
      <c r="M1632" s="44" t="str">
        <f aca="false">IFERROR(INDEX(SENTENCES!$T$3:$T$1802,MATCH($F1632,SENTENCES!$A$3:$A$1802,0)),"")</f>
        <v>• Chưa tới</v>
      </c>
    </row>
    <row r="1633" customFormat="false" ht="15" hidden="false" customHeight="false" outlineLevel="0" collapsed="false">
      <c r="A1633" s="31" t="n">
        <v>1631</v>
      </c>
      <c r="B1633" s="43" t="s">
        <v>13285</v>
      </c>
      <c r="C1633" s="34" t="s">
        <v>13286</v>
      </c>
      <c r="D1633" s="44" t="s">
        <v>10686</v>
      </c>
      <c r="E1633" s="31"/>
      <c r="F1633" s="31" t="s">
        <v>7757</v>
      </c>
      <c r="G1633" s="31" t="n">
        <v>66</v>
      </c>
      <c r="H1633" s="31" t="s">
        <v>7168</v>
      </c>
      <c r="I1633" s="44" t="s">
        <v>7758</v>
      </c>
      <c r="J1633" s="45" t="s">
        <v>7760</v>
      </c>
      <c r="K1633" s="45" t="s">
        <v>7762</v>
      </c>
      <c r="L1633" s="31" t="n">
        <f aca="false">COUNTIF($B$3:$B$2205,$B1633)</f>
        <v>1</v>
      </c>
      <c r="M1633" s="44" t="str">
        <f aca="false">IFERROR(INDEX(SENTENCES!$T$3:$T$1802,MATCH($F1633,SENTENCES!$A$3:$A$1802,0)),"")</f>
        <v>• Chưa tới</v>
      </c>
    </row>
    <row r="1634" customFormat="false" ht="15" hidden="false" customHeight="false" outlineLevel="0" collapsed="false">
      <c r="A1634" s="31" t="n">
        <v>1632</v>
      </c>
      <c r="B1634" s="43" t="s">
        <v>13287</v>
      </c>
      <c r="C1634" s="34" t="s">
        <v>12382</v>
      </c>
      <c r="D1634" s="44" t="s">
        <v>10686</v>
      </c>
      <c r="E1634" s="31"/>
      <c r="F1634" s="31" t="s">
        <v>7764</v>
      </c>
      <c r="G1634" s="31" t="n">
        <v>66</v>
      </c>
      <c r="H1634" s="31" t="s">
        <v>7168</v>
      </c>
      <c r="I1634" s="44" t="s">
        <v>7758</v>
      </c>
      <c r="J1634" s="45" t="s">
        <v>7766</v>
      </c>
      <c r="K1634" s="45" t="s">
        <v>7768</v>
      </c>
      <c r="L1634" s="31" t="n">
        <f aca="false">COUNTIF($B$3:$B$2205,$B1634)</f>
        <v>2</v>
      </c>
      <c r="M1634" s="44" t="str">
        <f aca="false">IFERROR(INDEX(SENTENCES!$T$3:$T$1802,MATCH($F1634,SENTENCES!$A$3:$A$1802,0)),"")</f>
        <v>• Chưa tới</v>
      </c>
    </row>
    <row r="1635" customFormat="false" ht="15" hidden="false" customHeight="false" outlineLevel="0" collapsed="false">
      <c r="A1635" s="31" t="n">
        <v>1633</v>
      </c>
      <c r="B1635" s="43" t="s">
        <v>13288</v>
      </c>
      <c r="C1635" s="34" t="s">
        <v>13289</v>
      </c>
      <c r="D1635" s="44" t="s">
        <v>10677</v>
      </c>
      <c r="E1635" s="31" t="s">
        <v>10678</v>
      </c>
      <c r="F1635" s="31" t="s">
        <v>7770</v>
      </c>
      <c r="G1635" s="31" t="n">
        <v>66</v>
      </c>
      <c r="H1635" s="31" t="s">
        <v>7168</v>
      </c>
      <c r="I1635" s="44" t="s">
        <v>7758</v>
      </c>
      <c r="J1635" s="45" t="s">
        <v>7772</v>
      </c>
      <c r="K1635" s="45" t="s">
        <v>7774</v>
      </c>
      <c r="L1635" s="31" t="n">
        <f aca="false">COUNTIF($B$3:$B$2205,$B1635)</f>
        <v>1</v>
      </c>
      <c r="M1635" s="44" t="str">
        <f aca="false">IFERROR(INDEX(SENTENCES!$T$3:$T$1802,MATCH($F1635,SENTENCES!$A$3:$A$1802,0)),"")</f>
        <v>• Chưa tới</v>
      </c>
    </row>
    <row r="1636" customFormat="false" ht="15" hidden="false" customHeight="false" outlineLevel="0" collapsed="false">
      <c r="A1636" s="31" t="n">
        <v>1634</v>
      </c>
      <c r="B1636" s="43" t="s">
        <v>11958</v>
      </c>
      <c r="C1636" s="34" t="s">
        <v>11959</v>
      </c>
      <c r="D1636" s="44" t="s">
        <v>10686</v>
      </c>
      <c r="E1636" s="31"/>
      <c r="F1636" s="31" t="s">
        <v>7776</v>
      </c>
      <c r="G1636" s="31" t="n">
        <v>66</v>
      </c>
      <c r="H1636" s="31" t="s">
        <v>7168</v>
      </c>
      <c r="I1636" s="44" t="s">
        <v>7758</v>
      </c>
      <c r="J1636" s="45" t="s">
        <v>7778</v>
      </c>
      <c r="K1636" s="45" t="s">
        <v>7780</v>
      </c>
      <c r="L1636" s="31" t="n">
        <f aca="false">COUNTIF($B$3:$B$2205,$B1636)</f>
        <v>2</v>
      </c>
      <c r="M1636" s="44" t="str">
        <f aca="false">IFERROR(INDEX(SENTENCES!$T$3:$T$1802,MATCH($F1636,SENTENCES!$A$3:$A$1802,0)),"")</f>
        <v>• Chưa tới</v>
      </c>
    </row>
    <row r="1637" customFormat="false" ht="15" hidden="false" customHeight="false" outlineLevel="0" collapsed="false">
      <c r="A1637" s="31" t="n">
        <v>1635</v>
      </c>
      <c r="B1637" s="43" t="s">
        <v>13290</v>
      </c>
      <c r="C1637" s="34" t="s">
        <v>13291</v>
      </c>
      <c r="D1637" s="44" t="s">
        <v>10794</v>
      </c>
      <c r="E1637" s="31"/>
      <c r="F1637" s="31" t="s">
        <v>7782</v>
      </c>
      <c r="G1637" s="31" t="n">
        <v>66</v>
      </c>
      <c r="H1637" s="31" t="s">
        <v>7168</v>
      </c>
      <c r="I1637" s="44" t="s">
        <v>7758</v>
      </c>
      <c r="J1637" s="45" t="s">
        <v>7784</v>
      </c>
      <c r="K1637" s="45" t="s">
        <v>7786</v>
      </c>
      <c r="L1637" s="31" t="n">
        <f aca="false">COUNTIF($B$3:$B$2205,$B1637)</f>
        <v>1</v>
      </c>
      <c r="M1637" s="44" t="str">
        <f aca="false">IFERROR(INDEX(SENTENCES!$T$3:$T$1802,MATCH($F1637,SENTENCES!$A$3:$A$1802,0)),"")</f>
        <v>• Chưa tới</v>
      </c>
    </row>
    <row r="1638" customFormat="false" ht="15" hidden="false" customHeight="false" outlineLevel="0" collapsed="false">
      <c r="A1638" s="31" t="n">
        <v>1636</v>
      </c>
      <c r="B1638" s="43" t="s">
        <v>13292</v>
      </c>
      <c r="C1638" s="34" t="s">
        <v>13293</v>
      </c>
      <c r="D1638" s="44" t="s">
        <v>10686</v>
      </c>
      <c r="E1638" s="31"/>
      <c r="F1638" s="31" t="s">
        <v>7788</v>
      </c>
      <c r="G1638" s="31" t="n">
        <v>66</v>
      </c>
      <c r="H1638" s="31" t="s">
        <v>7168</v>
      </c>
      <c r="I1638" s="44" t="s">
        <v>7758</v>
      </c>
      <c r="J1638" s="45" t="s">
        <v>7790</v>
      </c>
      <c r="K1638" s="45" t="s">
        <v>7792</v>
      </c>
      <c r="L1638" s="31" t="n">
        <f aca="false">COUNTIF($B$3:$B$2205,$B1638)</f>
        <v>1</v>
      </c>
      <c r="M1638" s="44" t="str">
        <f aca="false">IFERROR(INDEX(SENTENCES!$T$3:$T$1802,MATCH($F1638,SENTENCES!$A$3:$A$1802,0)),"")</f>
        <v>• Chưa tới</v>
      </c>
    </row>
    <row r="1639" customFormat="false" ht="15" hidden="false" customHeight="false" outlineLevel="0" collapsed="false">
      <c r="A1639" s="31" t="n">
        <v>1637</v>
      </c>
      <c r="B1639" s="43" t="s">
        <v>13294</v>
      </c>
      <c r="C1639" s="34" t="s">
        <v>13295</v>
      </c>
      <c r="D1639" s="44" t="s">
        <v>10686</v>
      </c>
      <c r="E1639" s="31"/>
      <c r="F1639" s="31" t="s">
        <v>7794</v>
      </c>
      <c r="G1639" s="31" t="n">
        <v>66</v>
      </c>
      <c r="H1639" s="31" t="s">
        <v>7168</v>
      </c>
      <c r="I1639" s="44" t="s">
        <v>7758</v>
      </c>
      <c r="J1639" s="45" t="s">
        <v>7796</v>
      </c>
      <c r="K1639" s="45" t="s">
        <v>7798</v>
      </c>
      <c r="L1639" s="31" t="n">
        <f aca="false">COUNTIF($B$3:$B$2205,$B1639)</f>
        <v>1</v>
      </c>
      <c r="M1639" s="44" t="str">
        <f aca="false">IFERROR(INDEX(SENTENCES!$T$3:$T$1802,MATCH($F1639,SENTENCES!$A$3:$A$1802,0)),"")</f>
        <v>• Chưa tới</v>
      </c>
    </row>
    <row r="1640" customFormat="false" ht="15" hidden="false" customHeight="false" outlineLevel="0" collapsed="false">
      <c r="A1640" s="31" t="n">
        <v>1638</v>
      </c>
      <c r="B1640" s="43" t="s">
        <v>13296</v>
      </c>
      <c r="C1640" s="34" t="s">
        <v>13297</v>
      </c>
      <c r="D1640" s="44" t="s">
        <v>10686</v>
      </c>
      <c r="E1640" s="31"/>
      <c r="F1640" s="31" t="s">
        <v>7800</v>
      </c>
      <c r="G1640" s="31" t="n">
        <v>66</v>
      </c>
      <c r="H1640" s="31" t="s">
        <v>7168</v>
      </c>
      <c r="I1640" s="44" t="s">
        <v>7758</v>
      </c>
      <c r="J1640" s="45" t="s">
        <v>7802</v>
      </c>
      <c r="K1640" s="45" t="s">
        <v>7804</v>
      </c>
      <c r="L1640" s="31" t="n">
        <f aca="false">COUNTIF($B$3:$B$2205,$B1640)</f>
        <v>1</v>
      </c>
      <c r="M1640" s="44" t="str">
        <f aca="false">IFERROR(INDEX(SENTENCES!$T$3:$T$1802,MATCH($F1640,SENTENCES!$A$3:$A$1802,0)),"")</f>
        <v>• Chưa tới</v>
      </c>
    </row>
    <row r="1641" customFormat="false" ht="15" hidden="false" customHeight="false" outlineLevel="0" collapsed="false">
      <c r="A1641" s="31" t="n">
        <v>1639</v>
      </c>
      <c r="B1641" s="43" t="s">
        <v>13298</v>
      </c>
      <c r="C1641" s="34" t="s">
        <v>13131</v>
      </c>
      <c r="D1641" s="44" t="s">
        <v>10681</v>
      </c>
      <c r="E1641" s="31"/>
      <c r="F1641" s="31" t="s">
        <v>7800</v>
      </c>
      <c r="G1641" s="31" t="n">
        <v>66</v>
      </c>
      <c r="H1641" s="31" t="s">
        <v>7168</v>
      </c>
      <c r="I1641" s="44" t="s">
        <v>7758</v>
      </c>
      <c r="J1641" s="45" t="s">
        <v>7802</v>
      </c>
      <c r="K1641" s="45" t="s">
        <v>7804</v>
      </c>
      <c r="L1641" s="31" t="n">
        <f aca="false">COUNTIF($B$3:$B$2205,$B1641)</f>
        <v>1</v>
      </c>
      <c r="M1641" s="44" t="str">
        <f aca="false">IFERROR(INDEX(SENTENCES!$T$3:$T$1802,MATCH($F1641,SENTENCES!$A$3:$A$1802,0)),"")</f>
        <v>• Chưa tới</v>
      </c>
    </row>
    <row r="1642" customFormat="false" ht="15" hidden="false" customHeight="false" outlineLevel="0" collapsed="false">
      <c r="A1642" s="31" t="n">
        <v>1640</v>
      </c>
      <c r="B1642" s="43" t="s">
        <v>13299</v>
      </c>
      <c r="C1642" s="34" t="s">
        <v>13300</v>
      </c>
      <c r="D1642" s="44" t="s">
        <v>10686</v>
      </c>
      <c r="E1642" s="31"/>
      <c r="F1642" s="31" t="s">
        <v>7806</v>
      </c>
      <c r="G1642" s="31" t="n">
        <v>66</v>
      </c>
      <c r="H1642" s="31" t="s">
        <v>7168</v>
      </c>
      <c r="I1642" s="44" t="s">
        <v>7758</v>
      </c>
      <c r="J1642" s="45" t="s">
        <v>7808</v>
      </c>
      <c r="K1642" s="45" t="s">
        <v>7810</v>
      </c>
      <c r="L1642" s="31" t="n">
        <f aca="false">COUNTIF($B$3:$B$2205,$B1642)</f>
        <v>2</v>
      </c>
      <c r="M1642" s="44" t="str">
        <f aca="false">IFERROR(INDEX(SENTENCES!$T$3:$T$1802,MATCH($F1642,SENTENCES!$A$3:$A$1802,0)),"")</f>
        <v>• Chưa tới</v>
      </c>
    </row>
    <row r="1643" customFormat="false" ht="15" hidden="false" customHeight="false" outlineLevel="0" collapsed="false">
      <c r="A1643" s="31" t="n">
        <v>1641</v>
      </c>
      <c r="B1643" s="43" t="s">
        <v>13301</v>
      </c>
      <c r="C1643" s="34" t="s">
        <v>13302</v>
      </c>
      <c r="D1643" s="44" t="s">
        <v>10686</v>
      </c>
      <c r="E1643" s="31"/>
      <c r="F1643" s="31" t="s">
        <v>7812</v>
      </c>
      <c r="G1643" s="31" t="n">
        <v>66</v>
      </c>
      <c r="H1643" s="31" t="s">
        <v>7168</v>
      </c>
      <c r="I1643" s="44" t="s">
        <v>7758</v>
      </c>
      <c r="J1643" s="45" t="s">
        <v>7814</v>
      </c>
      <c r="K1643" s="45" t="s">
        <v>7816</v>
      </c>
      <c r="L1643" s="31" t="n">
        <f aca="false">COUNTIF($B$3:$B$2205,$B1643)</f>
        <v>1</v>
      </c>
      <c r="M1643" s="44" t="str">
        <f aca="false">IFERROR(INDEX(SENTENCES!$T$3:$T$1802,MATCH($F1643,SENTENCES!$A$3:$A$1802,0)),"")</f>
        <v>• Chưa tới</v>
      </c>
    </row>
    <row r="1644" customFormat="false" ht="15" hidden="false" customHeight="false" outlineLevel="0" collapsed="false">
      <c r="A1644" s="31" t="n">
        <v>1642</v>
      </c>
      <c r="B1644" s="43" t="s">
        <v>13303</v>
      </c>
      <c r="C1644" s="34" t="s">
        <v>13304</v>
      </c>
      <c r="D1644" s="44" t="s">
        <v>10677</v>
      </c>
      <c r="E1644" s="31" t="s">
        <v>10747</v>
      </c>
      <c r="F1644" s="31" t="s">
        <v>7818</v>
      </c>
      <c r="G1644" s="31" t="n">
        <v>66</v>
      </c>
      <c r="H1644" s="31" t="s">
        <v>7168</v>
      </c>
      <c r="I1644" s="44" t="s">
        <v>7758</v>
      </c>
      <c r="J1644" s="45" t="s">
        <v>7820</v>
      </c>
      <c r="K1644" s="45" t="s">
        <v>7822</v>
      </c>
      <c r="L1644" s="31" t="n">
        <f aca="false">COUNTIF($B$3:$B$2205,$B1644)</f>
        <v>1</v>
      </c>
      <c r="M1644" s="44" t="str">
        <f aca="false">IFERROR(INDEX(SENTENCES!$T$3:$T$1802,MATCH($F1644,SENTENCES!$A$3:$A$1802,0)),"")</f>
        <v>• Chưa tới</v>
      </c>
    </row>
    <row r="1645" customFormat="false" ht="15" hidden="false" customHeight="false" outlineLevel="0" collapsed="false">
      <c r="A1645" s="31" t="n">
        <v>1643</v>
      </c>
      <c r="B1645" s="43" t="s">
        <v>13305</v>
      </c>
      <c r="C1645" s="34" t="s">
        <v>13306</v>
      </c>
      <c r="D1645" s="44" t="s">
        <v>10681</v>
      </c>
      <c r="E1645" s="31"/>
      <c r="F1645" s="31" t="s">
        <v>7824</v>
      </c>
      <c r="G1645" s="31" t="n">
        <v>66</v>
      </c>
      <c r="H1645" s="31" t="s">
        <v>7168</v>
      </c>
      <c r="I1645" s="44" t="s">
        <v>7758</v>
      </c>
      <c r="J1645" s="45" t="s">
        <v>7826</v>
      </c>
      <c r="K1645" s="45" t="s">
        <v>7828</v>
      </c>
      <c r="L1645" s="31" t="n">
        <f aca="false">COUNTIF($B$3:$B$2205,$B1645)</f>
        <v>1</v>
      </c>
      <c r="M1645" s="44" t="str">
        <f aca="false">IFERROR(INDEX(SENTENCES!$T$3:$T$1802,MATCH($F1645,SENTENCES!$A$3:$A$1802,0)),"")</f>
        <v>• Chưa tới</v>
      </c>
    </row>
    <row r="1646" customFormat="false" ht="15" hidden="false" customHeight="false" outlineLevel="0" collapsed="false">
      <c r="A1646" s="31" t="n">
        <v>1644</v>
      </c>
      <c r="B1646" s="43" t="s">
        <v>13307</v>
      </c>
      <c r="C1646" s="34" t="s">
        <v>13149</v>
      </c>
      <c r="D1646" s="44" t="s">
        <v>10681</v>
      </c>
      <c r="E1646" s="31"/>
      <c r="F1646" s="31" t="s">
        <v>7830</v>
      </c>
      <c r="G1646" s="31" t="n">
        <v>66</v>
      </c>
      <c r="H1646" s="31" t="s">
        <v>7168</v>
      </c>
      <c r="I1646" s="44" t="s">
        <v>7758</v>
      </c>
      <c r="J1646" s="45" t="s">
        <v>7832</v>
      </c>
      <c r="K1646" s="45" t="s">
        <v>7834</v>
      </c>
      <c r="L1646" s="31" t="n">
        <f aca="false">COUNTIF($B$3:$B$2205,$B1646)</f>
        <v>1</v>
      </c>
      <c r="M1646" s="44" t="str">
        <f aca="false">IFERROR(INDEX(SENTENCES!$T$3:$T$1802,MATCH($F1646,SENTENCES!$A$3:$A$1802,0)),"")</f>
        <v>• Chưa tới</v>
      </c>
    </row>
    <row r="1647" customFormat="false" ht="15" hidden="false" customHeight="false" outlineLevel="0" collapsed="false">
      <c r="A1647" s="31" t="n">
        <v>1645</v>
      </c>
      <c r="B1647" s="43" t="s">
        <v>13308</v>
      </c>
      <c r="C1647" s="34" t="s">
        <v>13309</v>
      </c>
      <c r="D1647" s="44" t="s">
        <v>10686</v>
      </c>
      <c r="E1647" s="31"/>
      <c r="F1647" s="31" t="s">
        <v>7836</v>
      </c>
      <c r="G1647" s="31" t="n">
        <v>66</v>
      </c>
      <c r="H1647" s="31" t="s">
        <v>7168</v>
      </c>
      <c r="I1647" s="44" t="s">
        <v>7758</v>
      </c>
      <c r="J1647" s="45" t="s">
        <v>7838</v>
      </c>
      <c r="K1647" s="45" t="s">
        <v>7840</v>
      </c>
      <c r="L1647" s="31" t="n">
        <f aca="false">COUNTIF($B$3:$B$2205,$B1647)</f>
        <v>1</v>
      </c>
      <c r="M1647" s="44" t="str">
        <f aca="false">IFERROR(INDEX(SENTENCES!$T$3:$T$1802,MATCH($F1647,SENTENCES!$A$3:$A$1802,0)),"")</f>
        <v>• Chưa tới</v>
      </c>
    </row>
    <row r="1648" customFormat="false" ht="15" hidden="false" customHeight="false" outlineLevel="0" collapsed="false">
      <c r="A1648" s="31" t="n">
        <v>1646</v>
      </c>
      <c r="B1648" s="43" t="s">
        <v>13310</v>
      </c>
      <c r="C1648" s="34" t="s">
        <v>13311</v>
      </c>
      <c r="D1648" s="44" t="s">
        <v>10686</v>
      </c>
      <c r="E1648" s="31"/>
      <c r="F1648" s="31" t="s">
        <v>7836</v>
      </c>
      <c r="G1648" s="31" t="n">
        <v>66</v>
      </c>
      <c r="H1648" s="31" t="s">
        <v>7168</v>
      </c>
      <c r="I1648" s="44" t="s">
        <v>7758</v>
      </c>
      <c r="J1648" s="45" t="s">
        <v>7838</v>
      </c>
      <c r="K1648" s="45" t="s">
        <v>7840</v>
      </c>
      <c r="L1648" s="31" t="n">
        <f aca="false">COUNTIF($B$3:$B$2205,$B1648)</f>
        <v>1</v>
      </c>
      <c r="M1648" s="44" t="str">
        <f aca="false">IFERROR(INDEX(SENTENCES!$T$3:$T$1802,MATCH($F1648,SENTENCES!$A$3:$A$1802,0)),"")</f>
        <v>• Chưa tới</v>
      </c>
    </row>
    <row r="1649" customFormat="false" ht="15" hidden="false" customHeight="false" outlineLevel="0" collapsed="false">
      <c r="A1649" s="31" t="n">
        <v>1647</v>
      </c>
      <c r="B1649" s="43" t="s">
        <v>12152</v>
      </c>
      <c r="C1649" s="34" t="s">
        <v>12153</v>
      </c>
      <c r="D1649" s="44" t="s">
        <v>10677</v>
      </c>
      <c r="E1649" s="31" t="s">
        <v>10707</v>
      </c>
      <c r="F1649" s="31" t="s">
        <v>7842</v>
      </c>
      <c r="G1649" s="31" t="n">
        <v>66</v>
      </c>
      <c r="H1649" s="31" t="s">
        <v>7168</v>
      </c>
      <c r="I1649" s="44" t="s">
        <v>7758</v>
      </c>
      <c r="J1649" s="45" t="s">
        <v>7844</v>
      </c>
      <c r="K1649" s="45" t="s">
        <v>7846</v>
      </c>
      <c r="L1649" s="31" t="n">
        <f aca="false">COUNTIF($B$3:$B$2205,$B1649)</f>
        <v>2</v>
      </c>
      <c r="M1649" s="44" t="str">
        <f aca="false">IFERROR(INDEX(SENTENCES!$T$3:$T$1802,MATCH($F1649,SENTENCES!$A$3:$A$1802,0)),"")</f>
        <v>• Chưa tới</v>
      </c>
    </row>
    <row r="1650" customFormat="false" ht="15" hidden="false" customHeight="false" outlineLevel="0" collapsed="false">
      <c r="A1650" s="31" t="n">
        <v>1648</v>
      </c>
      <c r="B1650" s="43" t="s">
        <v>13312</v>
      </c>
      <c r="C1650" s="34" t="s">
        <v>13313</v>
      </c>
      <c r="D1650" s="44" t="s">
        <v>10686</v>
      </c>
      <c r="E1650" s="31"/>
      <c r="F1650" s="31" t="s">
        <v>7842</v>
      </c>
      <c r="G1650" s="31" t="n">
        <v>66</v>
      </c>
      <c r="H1650" s="31" t="s">
        <v>7168</v>
      </c>
      <c r="I1650" s="44" t="s">
        <v>7758</v>
      </c>
      <c r="J1650" s="45" t="s">
        <v>7844</v>
      </c>
      <c r="K1650" s="45" t="s">
        <v>7846</v>
      </c>
      <c r="L1650" s="31" t="n">
        <f aca="false">COUNTIF($B$3:$B$2205,$B1650)</f>
        <v>1</v>
      </c>
      <c r="M1650" s="44" t="str">
        <f aca="false">IFERROR(INDEX(SENTENCES!$T$3:$T$1802,MATCH($F1650,SENTENCES!$A$3:$A$1802,0)),"")</f>
        <v>• Chưa tới</v>
      </c>
    </row>
    <row r="1651" customFormat="false" ht="15" hidden="false" customHeight="false" outlineLevel="0" collapsed="false">
      <c r="A1651" s="31" t="n">
        <v>1649</v>
      </c>
      <c r="B1651" s="43" t="s">
        <v>13314</v>
      </c>
      <c r="C1651" s="34" t="s">
        <v>13315</v>
      </c>
      <c r="D1651" s="44" t="s">
        <v>10677</v>
      </c>
      <c r="E1651" s="31" t="s">
        <v>10747</v>
      </c>
      <c r="F1651" s="31" t="s">
        <v>7848</v>
      </c>
      <c r="G1651" s="31" t="n">
        <v>66</v>
      </c>
      <c r="H1651" s="31" t="s">
        <v>7168</v>
      </c>
      <c r="I1651" s="44" t="s">
        <v>7758</v>
      </c>
      <c r="J1651" s="45" t="s">
        <v>7850</v>
      </c>
      <c r="K1651" s="45" t="s">
        <v>7852</v>
      </c>
      <c r="L1651" s="31" t="n">
        <f aca="false">COUNTIF($B$3:$B$2205,$B1651)</f>
        <v>2</v>
      </c>
      <c r="M1651" s="44" t="str">
        <f aca="false">IFERROR(INDEX(SENTENCES!$T$3:$T$1802,MATCH($F1651,SENTENCES!$A$3:$A$1802,0)),"")</f>
        <v>• Chưa tới</v>
      </c>
    </row>
    <row r="1652" customFormat="false" ht="15" hidden="false" customHeight="false" outlineLevel="0" collapsed="false">
      <c r="A1652" s="31" t="n">
        <v>1650</v>
      </c>
      <c r="B1652" s="43" t="s">
        <v>13316</v>
      </c>
      <c r="C1652" s="34" t="s">
        <v>13317</v>
      </c>
      <c r="D1652" s="44" t="s">
        <v>10686</v>
      </c>
      <c r="E1652" s="31"/>
      <c r="F1652" s="31" t="s">
        <v>7848</v>
      </c>
      <c r="G1652" s="31" t="n">
        <v>66</v>
      </c>
      <c r="H1652" s="31" t="s">
        <v>7168</v>
      </c>
      <c r="I1652" s="44" t="s">
        <v>7758</v>
      </c>
      <c r="J1652" s="45" t="s">
        <v>7850</v>
      </c>
      <c r="K1652" s="45" t="s">
        <v>7852</v>
      </c>
      <c r="L1652" s="31" t="n">
        <f aca="false">COUNTIF($B$3:$B$2205,$B1652)</f>
        <v>1</v>
      </c>
      <c r="M1652" s="44" t="str">
        <f aca="false">IFERROR(INDEX(SENTENCES!$T$3:$T$1802,MATCH($F1652,SENTENCES!$A$3:$A$1802,0)),"")</f>
        <v>• Chưa tới</v>
      </c>
    </row>
    <row r="1653" customFormat="false" ht="15" hidden="false" customHeight="false" outlineLevel="0" collapsed="false">
      <c r="A1653" s="31" t="n">
        <v>1651</v>
      </c>
      <c r="B1653" s="43" t="s">
        <v>13318</v>
      </c>
      <c r="C1653" s="34" t="s">
        <v>13319</v>
      </c>
      <c r="D1653" s="44" t="s">
        <v>10681</v>
      </c>
      <c r="E1653" s="31"/>
      <c r="F1653" s="31" t="s">
        <v>7854</v>
      </c>
      <c r="G1653" s="31" t="n">
        <v>66</v>
      </c>
      <c r="H1653" s="31" t="s">
        <v>7168</v>
      </c>
      <c r="I1653" s="44" t="s">
        <v>7758</v>
      </c>
      <c r="J1653" s="45" t="s">
        <v>7856</v>
      </c>
      <c r="K1653" s="45" t="s">
        <v>7858</v>
      </c>
      <c r="L1653" s="31" t="n">
        <f aca="false">COUNTIF($B$3:$B$2205,$B1653)</f>
        <v>1</v>
      </c>
      <c r="M1653" s="44" t="str">
        <f aca="false">IFERROR(INDEX(SENTENCES!$T$3:$T$1802,MATCH($F1653,SENTENCES!$A$3:$A$1802,0)),"")</f>
        <v>• Chưa tới</v>
      </c>
    </row>
    <row r="1654" customFormat="false" ht="15" hidden="false" customHeight="false" outlineLevel="0" collapsed="false">
      <c r="A1654" s="31" t="n">
        <v>1652</v>
      </c>
      <c r="B1654" s="43" t="s">
        <v>13320</v>
      </c>
      <c r="C1654" s="34" t="s">
        <v>13321</v>
      </c>
      <c r="D1654" s="44" t="s">
        <v>10686</v>
      </c>
      <c r="E1654" s="31"/>
      <c r="F1654" s="31" t="s">
        <v>7854</v>
      </c>
      <c r="G1654" s="31" t="n">
        <v>66</v>
      </c>
      <c r="H1654" s="31" t="s">
        <v>7168</v>
      </c>
      <c r="I1654" s="44" t="s">
        <v>7758</v>
      </c>
      <c r="J1654" s="45" t="s">
        <v>7856</v>
      </c>
      <c r="K1654" s="45" t="s">
        <v>7858</v>
      </c>
      <c r="L1654" s="31" t="n">
        <f aca="false">COUNTIF($B$3:$B$2205,$B1654)</f>
        <v>1</v>
      </c>
      <c r="M1654" s="44" t="str">
        <f aca="false">IFERROR(INDEX(SENTENCES!$T$3:$T$1802,MATCH($F1654,SENTENCES!$A$3:$A$1802,0)),"")</f>
        <v>• Chưa tới</v>
      </c>
    </row>
    <row r="1655" customFormat="false" ht="15" hidden="false" customHeight="false" outlineLevel="0" collapsed="false">
      <c r="A1655" s="31" t="n">
        <v>1653</v>
      </c>
      <c r="B1655" s="43" t="s">
        <v>10861</v>
      </c>
      <c r="C1655" s="34" t="s">
        <v>10862</v>
      </c>
      <c r="D1655" s="44" t="s">
        <v>10686</v>
      </c>
      <c r="E1655" s="31"/>
      <c r="F1655" s="31" t="s">
        <v>7860</v>
      </c>
      <c r="G1655" s="31" t="n">
        <v>66</v>
      </c>
      <c r="H1655" s="31" t="s">
        <v>7168</v>
      </c>
      <c r="I1655" s="44" t="s">
        <v>7758</v>
      </c>
      <c r="J1655" s="45" t="s">
        <v>7862</v>
      </c>
      <c r="K1655" s="45" t="s">
        <v>7864</v>
      </c>
      <c r="L1655" s="31" t="n">
        <f aca="false">COUNTIF($B$3:$B$2205,$B1655)</f>
        <v>3</v>
      </c>
      <c r="M1655" s="44" t="str">
        <f aca="false">IFERROR(INDEX(SENTENCES!$T$3:$T$1802,MATCH($F1655,SENTENCES!$A$3:$A$1802,0)),"")</f>
        <v>• Chưa tới</v>
      </c>
    </row>
    <row r="1656" customFormat="false" ht="15" hidden="false" customHeight="false" outlineLevel="0" collapsed="false">
      <c r="A1656" s="31" t="n">
        <v>1654</v>
      </c>
      <c r="B1656" s="43" t="s">
        <v>13322</v>
      </c>
      <c r="C1656" s="34" t="s">
        <v>13323</v>
      </c>
      <c r="D1656" s="44" t="s">
        <v>10686</v>
      </c>
      <c r="E1656" s="31"/>
      <c r="F1656" s="31" t="s">
        <v>7865</v>
      </c>
      <c r="G1656" s="31" t="n">
        <v>66</v>
      </c>
      <c r="H1656" s="31" t="s">
        <v>7168</v>
      </c>
      <c r="I1656" s="44" t="s">
        <v>7758</v>
      </c>
      <c r="J1656" s="45" t="s">
        <v>7867</v>
      </c>
      <c r="K1656" s="45" t="s">
        <v>7869</v>
      </c>
      <c r="L1656" s="31" t="n">
        <f aca="false">COUNTIF($B$3:$B$2205,$B1656)</f>
        <v>1</v>
      </c>
      <c r="M1656" s="44" t="str">
        <f aca="false">IFERROR(INDEX(SENTENCES!$T$3:$T$1802,MATCH($F1656,SENTENCES!$A$3:$A$1802,0)),"")</f>
        <v>• Chưa tới</v>
      </c>
    </row>
    <row r="1657" customFormat="false" ht="15" hidden="false" customHeight="false" outlineLevel="0" collapsed="false">
      <c r="A1657" s="31" t="n">
        <v>1655</v>
      </c>
      <c r="B1657" s="43" t="s">
        <v>11117</v>
      </c>
      <c r="C1657" s="34" t="s">
        <v>13324</v>
      </c>
      <c r="D1657" s="44" t="s">
        <v>10681</v>
      </c>
      <c r="E1657" s="31"/>
      <c r="F1657" s="31" t="s">
        <v>7871</v>
      </c>
      <c r="G1657" s="31" t="n">
        <v>66</v>
      </c>
      <c r="H1657" s="31" t="s">
        <v>7168</v>
      </c>
      <c r="I1657" s="44" t="s">
        <v>7758</v>
      </c>
      <c r="J1657" s="45" t="s">
        <v>7873</v>
      </c>
      <c r="K1657" s="45" t="s">
        <v>7875</v>
      </c>
      <c r="L1657" s="31" t="n">
        <f aca="false">COUNTIF($B$3:$B$2205,$B1657)</f>
        <v>3</v>
      </c>
      <c r="M1657" s="44" t="str">
        <f aca="false">IFERROR(INDEX(SENTENCES!$T$3:$T$1802,MATCH($F1657,SENTENCES!$A$3:$A$1802,0)),"")</f>
        <v>• Chưa tới</v>
      </c>
    </row>
    <row r="1658" customFormat="false" ht="15" hidden="false" customHeight="false" outlineLevel="0" collapsed="false">
      <c r="A1658" s="31" t="n">
        <v>1656</v>
      </c>
      <c r="B1658" s="43" t="s">
        <v>13325</v>
      </c>
      <c r="C1658" s="34" t="s">
        <v>13326</v>
      </c>
      <c r="D1658" s="44" t="s">
        <v>10677</v>
      </c>
      <c r="E1658" s="31" t="s">
        <v>10747</v>
      </c>
      <c r="F1658" s="31" t="s">
        <v>7877</v>
      </c>
      <c r="G1658" s="31" t="n">
        <v>67</v>
      </c>
      <c r="H1658" s="31" t="s">
        <v>7168</v>
      </c>
      <c r="I1658" s="44" t="s">
        <v>7878</v>
      </c>
      <c r="J1658" s="45" t="s">
        <v>7880</v>
      </c>
      <c r="K1658" s="45" t="s">
        <v>7882</v>
      </c>
      <c r="L1658" s="31" t="n">
        <f aca="false">COUNTIF($B$3:$B$2205,$B1658)</f>
        <v>1</v>
      </c>
      <c r="M1658" s="44" t="str">
        <f aca="false">IFERROR(INDEX(SENTENCES!$T$3:$T$1802,MATCH($F1658,SENTENCES!$A$3:$A$1802,0)),"")</f>
        <v>• Chưa tới</v>
      </c>
    </row>
    <row r="1659" customFormat="false" ht="15" hidden="false" customHeight="false" outlineLevel="0" collapsed="false">
      <c r="A1659" s="31" t="n">
        <v>1657</v>
      </c>
      <c r="B1659" s="43" t="s">
        <v>13134</v>
      </c>
      <c r="C1659" s="34" t="s">
        <v>13135</v>
      </c>
      <c r="D1659" s="44" t="s">
        <v>10677</v>
      </c>
      <c r="E1659" s="31" t="s">
        <v>10707</v>
      </c>
      <c r="F1659" s="31" t="s">
        <v>7884</v>
      </c>
      <c r="G1659" s="31" t="n">
        <v>67</v>
      </c>
      <c r="H1659" s="31" t="s">
        <v>7168</v>
      </c>
      <c r="I1659" s="44" t="s">
        <v>7878</v>
      </c>
      <c r="J1659" s="45" t="s">
        <v>7886</v>
      </c>
      <c r="K1659" s="45" t="s">
        <v>7888</v>
      </c>
      <c r="L1659" s="31" t="n">
        <f aca="false">COUNTIF($B$3:$B$2205,$B1659)</f>
        <v>2</v>
      </c>
      <c r="M1659" s="44" t="str">
        <f aca="false">IFERROR(INDEX(SENTENCES!$T$3:$T$1802,MATCH($F1659,SENTENCES!$A$3:$A$1802,0)),"")</f>
        <v>• Chưa tới</v>
      </c>
    </row>
    <row r="1660" customFormat="false" ht="15" hidden="false" customHeight="false" outlineLevel="0" collapsed="false">
      <c r="A1660" s="31" t="n">
        <v>1658</v>
      </c>
      <c r="B1660" s="43" t="s">
        <v>11793</v>
      </c>
      <c r="C1660" s="34" t="s">
        <v>13327</v>
      </c>
      <c r="D1660" s="44" t="s">
        <v>10677</v>
      </c>
      <c r="E1660" s="31" t="s">
        <v>10707</v>
      </c>
      <c r="F1660" s="31" t="s">
        <v>7890</v>
      </c>
      <c r="G1660" s="31" t="n">
        <v>67</v>
      </c>
      <c r="H1660" s="31" t="s">
        <v>7168</v>
      </c>
      <c r="I1660" s="44" t="s">
        <v>7878</v>
      </c>
      <c r="J1660" s="45" t="s">
        <v>7892</v>
      </c>
      <c r="K1660" s="45" t="s">
        <v>7894</v>
      </c>
      <c r="L1660" s="31" t="n">
        <f aca="false">COUNTIF($B$3:$B$2205,$B1660)</f>
        <v>2</v>
      </c>
      <c r="M1660" s="44" t="str">
        <f aca="false">IFERROR(INDEX(SENTENCES!$T$3:$T$1802,MATCH($F1660,SENTENCES!$A$3:$A$1802,0)),"")</f>
        <v>• Chưa tới</v>
      </c>
    </row>
    <row r="1661" customFormat="false" ht="15" hidden="false" customHeight="false" outlineLevel="0" collapsed="false">
      <c r="A1661" s="31" t="n">
        <v>1659</v>
      </c>
      <c r="B1661" s="43" t="s">
        <v>13328</v>
      </c>
      <c r="C1661" s="34" t="s">
        <v>13329</v>
      </c>
      <c r="D1661" s="44" t="s">
        <v>10686</v>
      </c>
      <c r="E1661" s="31"/>
      <c r="F1661" s="31" t="s">
        <v>7896</v>
      </c>
      <c r="G1661" s="31" t="n">
        <v>67</v>
      </c>
      <c r="H1661" s="31" t="s">
        <v>7168</v>
      </c>
      <c r="I1661" s="44" t="s">
        <v>7878</v>
      </c>
      <c r="J1661" s="45" t="s">
        <v>7897</v>
      </c>
      <c r="K1661" s="45" t="s">
        <v>7899</v>
      </c>
      <c r="L1661" s="31" t="n">
        <f aca="false">COUNTIF($B$3:$B$2205,$B1661)</f>
        <v>1</v>
      </c>
      <c r="M1661" s="44" t="str">
        <f aca="false">IFERROR(INDEX(SENTENCES!$T$3:$T$1802,MATCH($F1661,SENTENCES!$A$3:$A$1802,0)),"")</f>
        <v>• Chưa tới</v>
      </c>
    </row>
    <row r="1662" customFormat="false" ht="15" hidden="false" customHeight="false" outlineLevel="0" collapsed="false">
      <c r="A1662" s="31" t="n">
        <v>1660</v>
      </c>
      <c r="B1662" s="43" t="s">
        <v>13330</v>
      </c>
      <c r="C1662" s="34" t="s">
        <v>13331</v>
      </c>
      <c r="D1662" s="44" t="s">
        <v>10677</v>
      </c>
      <c r="E1662" s="31" t="s">
        <v>10707</v>
      </c>
      <c r="F1662" s="31" t="s">
        <v>7901</v>
      </c>
      <c r="G1662" s="31" t="n">
        <v>67</v>
      </c>
      <c r="H1662" s="31" t="s">
        <v>7168</v>
      </c>
      <c r="I1662" s="44" t="s">
        <v>7878</v>
      </c>
      <c r="J1662" s="45" t="s">
        <v>7902</v>
      </c>
      <c r="K1662" s="45" t="s">
        <v>7904</v>
      </c>
      <c r="L1662" s="31" t="n">
        <f aca="false">COUNTIF($B$3:$B$2205,$B1662)</f>
        <v>1</v>
      </c>
      <c r="M1662" s="44" t="str">
        <f aca="false">IFERROR(INDEX(SENTENCES!$T$3:$T$1802,MATCH($F1662,SENTENCES!$A$3:$A$1802,0)),"")</f>
        <v>• Chưa tới</v>
      </c>
    </row>
    <row r="1663" customFormat="false" ht="15" hidden="false" customHeight="false" outlineLevel="0" collapsed="false">
      <c r="A1663" s="31" t="n">
        <v>1661</v>
      </c>
      <c r="B1663" s="43" t="s">
        <v>13332</v>
      </c>
      <c r="C1663" s="34" t="s">
        <v>13333</v>
      </c>
      <c r="D1663" s="44" t="s">
        <v>10686</v>
      </c>
      <c r="E1663" s="31"/>
      <c r="F1663" s="31" t="s">
        <v>7901</v>
      </c>
      <c r="G1663" s="31" t="n">
        <v>67</v>
      </c>
      <c r="H1663" s="31" t="s">
        <v>7168</v>
      </c>
      <c r="I1663" s="44" t="s">
        <v>7878</v>
      </c>
      <c r="J1663" s="45" t="s">
        <v>7902</v>
      </c>
      <c r="K1663" s="45" t="s">
        <v>7904</v>
      </c>
      <c r="L1663" s="31" t="n">
        <f aca="false">COUNTIF($B$3:$B$2205,$B1663)</f>
        <v>1</v>
      </c>
      <c r="M1663" s="44" t="str">
        <f aca="false">IFERROR(INDEX(SENTENCES!$T$3:$T$1802,MATCH($F1663,SENTENCES!$A$3:$A$1802,0)),"")</f>
        <v>• Chưa tới</v>
      </c>
    </row>
    <row r="1664" customFormat="false" ht="15" hidden="false" customHeight="false" outlineLevel="0" collapsed="false">
      <c r="A1664" s="31" t="n">
        <v>1662</v>
      </c>
      <c r="B1664" s="43" t="s">
        <v>13334</v>
      </c>
      <c r="C1664" s="34" t="s">
        <v>13335</v>
      </c>
      <c r="D1664" s="44" t="s">
        <v>10677</v>
      </c>
      <c r="E1664" s="31" t="s">
        <v>10707</v>
      </c>
      <c r="F1664" s="31" t="s">
        <v>7906</v>
      </c>
      <c r="G1664" s="31" t="n">
        <v>67</v>
      </c>
      <c r="H1664" s="31" t="s">
        <v>7168</v>
      </c>
      <c r="I1664" s="44" t="s">
        <v>7878</v>
      </c>
      <c r="J1664" s="45" t="s">
        <v>7908</v>
      </c>
      <c r="K1664" s="45" t="s">
        <v>7910</v>
      </c>
      <c r="L1664" s="31" t="n">
        <f aca="false">COUNTIF($B$3:$B$2205,$B1664)</f>
        <v>1</v>
      </c>
      <c r="M1664" s="44" t="str">
        <f aca="false">IFERROR(INDEX(SENTENCES!$T$3:$T$1802,MATCH($F1664,SENTENCES!$A$3:$A$1802,0)),"")</f>
        <v>• Chưa tới</v>
      </c>
    </row>
    <row r="1665" customFormat="false" ht="15" hidden="false" customHeight="false" outlineLevel="0" collapsed="false">
      <c r="A1665" s="31" t="n">
        <v>1663</v>
      </c>
      <c r="B1665" s="43" t="s">
        <v>13336</v>
      </c>
      <c r="C1665" s="34" t="s">
        <v>13337</v>
      </c>
      <c r="D1665" s="44" t="s">
        <v>10677</v>
      </c>
      <c r="E1665" s="31" t="s">
        <v>10707</v>
      </c>
      <c r="F1665" s="31" t="s">
        <v>7912</v>
      </c>
      <c r="G1665" s="31" t="n">
        <v>67</v>
      </c>
      <c r="H1665" s="31" t="s">
        <v>7168</v>
      </c>
      <c r="I1665" s="44" t="s">
        <v>7878</v>
      </c>
      <c r="J1665" s="45" t="s">
        <v>7914</v>
      </c>
      <c r="K1665" s="45" t="s">
        <v>7916</v>
      </c>
      <c r="L1665" s="31" t="n">
        <f aca="false">COUNTIF($B$3:$B$2205,$B1665)</f>
        <v>1</v>
      </c>
      <c r="M1665" s="44" t="str">
        <f aca="false">IFERROR(INDEX(SENTENCES!$T$3:$T$1802,MATCH($F1665,SENTENCES!$A$3:$A$1802,0)),"")</f>
        <v>• Chưa tới</v>
      </c>
    </row>
    <row r="1666" customFormat="false" ht="15" hidden="false" customHeight="false" outlineLevel="0" collapsed="false">
      <c r="A1666" s="31" t="n">
        <v>1664</v>
      </c>
      <c r="B1666" s="43" t="s">
        <v>13338</v>
      </c>
      <c r="C1666" s="34" t="s">
        <v>13339</v>
      </c>
      <c r="D1666" s="44" t="s">
        <v>10677</v>
      </c>
      <c r="E1666" s="31" t="s">
        <v>10678</v>
      </c>
      <c r="F1666" s="31" t="s">
        <v>7912</v>
      </c>
      <c r="G1666" s="31" t="n">
        <v>67</v>
      </c>
      <c r="H1666" s="31" t="s">
        <v>7168</v>
      </c>
      <c r="I1666" s="44" t="s">
        <v>7878</v>
      </c>
      <c r="J1666" s="45" t="s">
        <v>7914</v>
      </c>
      <c r="K1666" s="45" t="s">
        <v>7916</v>
      </c>
      <c r="L1666" s="31" t="n">
        <f aca="false">COUNTIF($B$3:$B$2205,$B1666)</f>
        <v>1</v>
      </c>
      <c r="M1666" s="44" t="str">
        <f aca="false">IFERROR(INDEX(SENTENCES!$T$3:$T$1802,MATCH($F1666,SENTENCES!$A$3:$A$1802,0)),"")</f>
        <v>• Chưa tới</v>
      </c>
    </row>
    <row r="1667" customFormat="false" ht="15" hidden="false" customHeight="false" outlineLevel="0" collapsed="false">
      <c r="A1667" s="31" t="n">
        <v>1665</v>
      </c>
      <c r="B1667" s="43" t="s">
        <v>13340</v>
      </c>
      <c r="C1667" s="34" t="s">
        <v>13341</v>
      </c>
      <c r="D1667" s="44" t="s">
        <v>10677</v>
      </c>
      <c r="E1667" s="31" t="s">
        <v>10707</v>
      </c>
      <c r="F1667" s="31" t="s">
        <v>7918</v>
      </c>
      <c r="G1667" s="31" t="n">
        <v>67</v>
      </c>
      <c r="H1667" s="31" t="s">
        <v>7168</v>
      </c>
      <c r="I1667" s="44" t="s">
        <v>7878</v>
      </c>
      <c r="J1667" s="45" t="s">
        <v>7920</v>
      </c>
      <c r="K1667" s="45" t="s">
        <v>7922</v>
      </c>
      <c r="L1667" s="31" t="n">
        <f aca="false">COUNTIF($B$3:$B$2205,$B1667)</f>
        <v>2</v>
      </c>
      <c r="M1667" s="44" t="str">
        <f aca="false">IFERROR(INDEX(SENTENCES!$T$3:$T$1802,MATCH($F1667,SENTENCES!$A$3:$A$1802,0)),"")</f>
        <v>• Chưa tới</v>
      </c>
    </row>
    <row r="1668" customFormat="false" ht="15" hidden="false" customHeight="false" outlineLevel="0" collapsed="false">
      <c r="A1668" s="31" t="n">
        <v>1666</v>
      </c>
      <c r="B1668" s="43" t="s">
        <v>13342</v>
      </c>
      <c r="C1668" s="34" t="s">
        <v>13343</v>
      </c>
      <c r="D1668" s="44" t="s">
        <v>10677</v>
      </c>
      <c r="E1668" s="31" t="s">
        <v>10707</v>
      </c>
      <c r="F1668" s="31" t="s">
        <v>7924</v>
      </c>
      <c r="G1668" s="31" t="n">
        <v>67</v>
      </c>
      <c r="H1668" s="31" t="s">
        <v>7168</v>
      </c>
      <c r="I1668" s="44" t="s">
        <v>7878</v>
      </c>
      <c r="J1668" s="45" t="s">
        <v>7926</v>
      </c>
      <c r="K1668" s="45" t="s">
        <v>7928</v>
      </c>
      <c r="L1668" s="31" t="n">
        <f aca="false">COUNTIF($B$3:$B$2205,$B1668)</f>
        <v>1</v>
      </c>
      <c r="M1668" s="44" t="str">
        <f aca="false">IFERROR(INDEX(SENTENCES!$T$3:$T$1802,MATCH($F1668,SENTENCES!$A$3:$A$1802,0)),"")</f>
        <v>• Chưa tới</v>
      </c>
    </row>
    <row r="1669" customFormat="false" ht="15" hidden="false" customHeight="false" outlineLevel="0" collapsed="false">
      <c r="A1669" s="31" t="n">
        <v>1667</v>
      </c>
      <c r="B1669" s="43" t="s">
        <v>13344</v>
      </c>
      <c r="C1669" s="34" t="s">
        <v>13345</v>
      </c>
      <c r="D1669" s="44" t="s">
        <v>10677</v>
      </c>
      <c r="E1669" s="31" t="s">
        <v>10707</v>
      </c>
      <c r="F1669" s="31" t="s">
        <v>7924</v>
      </c>
      <c r="G1669" s="31" t="n">
        <v>67</v>
      </c>
      <c r="H1669" s="31" t="s">
        <v>7168</v>
      </c>
      <c r="I1669" s="44" t="s">
        <v>7878</v>
      </c>
      <c r="J1669" s="45" t="s">
        <v>7926</v>
      </c>
      <c r="K1669" s="45" t="s">
        <v>7928</v>
      </c>
      <c r="L1669" s="31" t="n">
        <f aca="false">COUNTIF($B$3:$B$2205,$B1669)</f>
        <v>1</v>
      </c>
      <c r="M1669" s="44" t="str">
        <f aca="false">IFERROR(INDEX(SENTENCES!$T$3:$T$1802,MATCH($F1669,SENTENCES!$A$3:$A$1802,0)),"")</f>
        <v>• Chưa tới</v>
      </c>
    </row>
    <row r="1670" customFormat="false" ht="15" hidden="false" customHeight="false" outlineLevel="0" collapsed="false">
      <c r="A1670" s="31" t="n">
        <v>1668</v>
      </c>
      <c r="B1670" s="43" t="s">
        <v>13346</v>
      </c>
      <c r="C1670" s="34" t="s">
        <v>13347</v>
      </c>
      <c r="D1670" s="44" t="s">
        <v>10677</v>
      </c>
      <c r="E1670" s="31" t="s">
        <v>10707</v>
      </c>
      <c r="F1670" s="31" t="s">
        <v>7930</v>
      </c>
      <c r="G1670" s="31" t="n">
        <v>67</v>
      </c>
      <c r="H1670" s="31" t="s">
        <v>7168</v>
      </c>
      <c r="I1670" s="44" t="s">
        <v>7878</v>
      </c>
      <c r="J1670" s="45" t="s">
        <v>7932</v>
      </c>
      <c r="K1670" s="45" t="s">
        <v>7934</v>
      </c>
      <c r="L1670" s="31" t="n">
        <f aca="false">COUNTIF($B$3:$B$2205,$B1670)</f>
        <v>1</v>
      </c>
      <c r="M1670" s="44" t="str">
        <f aca="false">IFERROR(INDEX(SENTENCES!$T$3:$T$1802,MATCH($F1670,SENTENCES!$A$3:$A$1802,0)),"")</f>
        <v>• Chưa tới</v>
      </c>
    </row>
    <row r="1671" customFormat="false" ht="15" hidden="false" customHeight="false" outlineLevel="0" collapsed="false">
      <c r="A1671" s="31" t="n">
        <v>1669</v>
      </c>
      <c r="B1671" s="43" t="s">
        <v>13348</v>
      </c>
      <c r="C1671" s="34" t="s">
        <v>13349</v>
      </c>
      <c r="D1671" s="44" t="s">
        <v>10677</v>
      </c>
      <c r="E1671" s="31" t="s">
        <v>10747</v>
      </c>
      <c r="F1671" s="31" t="s">
        <v>7936</v>
      </c>
      <c r="G1671" s="31" t="n">
        <v>67</v>
      </c>
      <c r="H1671" s="31" t="s">
        <v>7168</v>
      </c>
      <c r="I1671" s="44" t="s">
        <v>7878</v>
      </c>
      <c r="J1671" s="45" t="s">
        <v>7938</v>
      </c>
      <c r="K1671" s="45" t="s">
        <v>7940</v>
      </c>
      <c r="L1671" s="31" t="n">
        <f aca="false">COUNTIF($B$3:$B$2205,$B1671)</f>
        <v>1</v>
      </c>
      <c r="M1671" s="44" t="str">
        <f aca="false">IFERROR(INDEX(SENTENCES!$T$3:$T$1802,MATCH($F1671,SENTENCES!$A$3:$A$1802,0)),"")</f>
        <v>• Chưa tới</v>
      </c>
    </row>
    <row r="1672" customFormat="false" ht="15" hidden="false" customHeight="false" outlineLevel="0" collapsed="false">
      <c r="A1672" s="31" t="n">
        <v>1670</v>
      </c>
      <c r="B1672" s="43" t="s">
        <v>12200</v>
      </c>
      <c r="C1672" s="34" t="s">
        <v>12201</v>
      </c>
      <c r="D1672" s="44" t="s">
        <v>10677</v>
      </c>
      <c r="E1672" s="31" t="s">
        <v>10678</v>
      </c>
      <c r="F1672" s="31" t="s">
        <v>7942</v>
      </c>
      <c r="G1672" s="31" t="n">
        <v>67</v>
      </c>
      <c r="H1672" s="31" t="s">
        <v>7168</v>
      </c>
      <c r="I1672" s="44" t="s">
        <v>7878</v>
      </c>
      <c r="J1672" s="45" t="s">
        <v>7944</v>
      </c>
      <c r="K1672" s="45" t="s">
        <v>7946</v>
      </c>
      <c r="L1672" s="31" t="n">
        <f aca="false">COUNTIF($B$3:$B$2205,$B1672)</f>
        <v>2</v>
      </c>
      <c r="M1672" s="44" t="str">
        <f aca="false">IFERROR(INDEX(SENTENCES!$T$3:$T$1802,MATCH($F1672,SENTENCES!$A$3:$A$1802,0)),"")</f>
        <v>• Chưa tới</v>
      </c>
    </row>
    <row r="1673" customFormat="false" ht="15" hidden="false" customHeight="false" outlineLevel="0" collapsed="false">
      <c r="A1673" s="31" t="n">
        <v>1671</v>
      </c>
      <c r="B1673" s="43" t="s">
        <v>13350</v>
      </c>
      <c r="C1673" s="34" t="s">
        <v>13351</v>
      </c>
      <c r="D1673" s="44" t="s">
        <v>10677</v>
      </c>
      <c r="E1673" s="31" t="s">
        <v>10707</v>
      </c>
      <c r="F1673" s="31" t="s">
        <v>7947</v>
      </c>
      <c r="G1673" s="31" t="n">
        <v>67</v>
      </c>
      <c r="H1673" s="31" t="s">
        <v>7168</v>
      </c>
      <c r="I1673" s="44" t="s">
        <v>7878</v>
      </c>
      <c r="J1673" s="45" t="s">
        <v>7949</v>
      </c>
      <c r="K1673" s="45" t="s">
        <v>7951</v>
      </c>
      <c r="L1673" s="31" t="n">
        <f aca="false">COUNTIF($B$3:$B$2205,$B1673)</f>
        <v>1</v>
      </c>
      <c r="M1673" s="44" t="str">
        <f aca="false">IFERROR(INDEX(SENTENCES!$T$3:$T$1802,MATCH($F1673,SENTENCES!$A$3:$A$1802,0)),"")</f>
        <v>• Chưa tới</v>
      </c>
    </row>
    <row r="1674" customFormat="false" ht="15" hidden="false" customHeight="false" outlineLevel="0" collapsed="false">
      <c r="A1674" s="31" t="n">
        <v>1672</v>
      </c>
      <c r="B1674" s="43" t="s">
        <v>13352</v>
      </c>
      <c r="C1674" s="34" t="s">
        <v>13353</v>
      </c>
      <c r="D1674" s="44" t="s">
        <v>10677</v>
      </c>
      <c r="E1674" s="31" t="s">
        <v>10747</v>
      </c>
      <c r="F1674" s="31" t="s">
        <v>7953</v>
      </c>
      <c r="G1674" s="31" t="n">
        <v>67</v>
      </c>
      <c r="H1674" s="31" t="s">
        <v>7168</v>
      </c>
      <c r="I1674" s="44" t="s">
        <v>7878</v>
      </c>
      <c r="J1674" s="45" t="s">
        <v>7955</v>
      </c>
      <c r="K1674" s="45" t="s">
        <v>7957</v>
      </c>
      <c r="L1674" s="31" t="n">
        <f aca="false">COUNTIF($B$3:$B$2205,$B1674)</f>
        <v>1</v>
      </c>
      <c r="M1674" s="44" t="str">
        <f aca="false">IFERROR(INDEX(SENTENCES!$T$3:$T$1802,MATCH($F1674,SENTENCES!$A$3:$A$1802,0)),"")</f>
        <v>• Chưa tới</v>
      </c>
    </row>
    <row r="1675" customFormat="false" ht="15" hidden="false" customHeight="false" outlineLevel="0" collapsed="false">
      <c r="A1675" s="31" t="n">
        <v>1673</v>
      </c>
      <c r="B1675" s="43" t="s">
        <v>12704</v>
      </c>
      <c r="C1675" s="34" t="s">
        <v>12705</v>
      </c>
      <c r="D1675" s="44" t="s">
        <v>10677</v>
      </c>
      <c r="E1675" s="31" t="s">
        <v>10747</v>
      </c>
      <c r="F1675" s="31" t="s">
        <v>7959</v>
      </c>
      <c r="G1675" s="31" t="n">
        <v>67</v>
      </c>
      <c r="H1675" s="31" t="s">
        <v>7168</v>
      </c>
      <c r="I1675" s="44" t="s">
        <v>7878</v>
      </c>
      <c r="J1675" s="45" t="s">
        <v>7961</v>
      </c>
      <c r="K1675" s="45" t="s">
        <v>7963</v>
      </c>
      <c r="L1675" s="31" t="n">
        <f aca="false">COUNTIF($B$3:$B$2205,$B1675)</f>
        <v>2</v>
      </c>
      <c r="M1675" s="44" t="str">
        <f aca="false">IFERROR(INDEX(SENTENCES!$T$3:$T$1802,MATCH($F1675,SENTENCES!$A$3:$A$1802,0)),"")</f>
        <v>• Chưa tới</v>
      </c>
    </row>
    <row r="1676" customFormat="false" ht="15" hidden="false" customHeight="false" outlineLevel="0" collapsed="false">
      <c r="A1676" s="31" t="n">
        <v>1674</v>
      </c>
      <c r="B1676" s="43" t="s">
        <v>13354</v>
      </c>
      <c r="C1676" s="34" t="s">
        <v>13355</v>
      </c>
      <c r="D1676" s="44" t="s">
        <v>10677</v>
      </c>
      <c r="E1676" s="31" t="s">
        <v>10678</v>
      </c>
      <c r="F1676" s="31" t="s">
        <v>7959</v>
      </c>
      <c r="G1676" s="31" t="n">
        <v>67</v>
      </c>
      <c r="H1676" s="31" t="s">
        <v>7168</v>
      </c>
      <c r="I1676" s="44" t="s">
        <v>7878</v>
      </c>
      <c r="J1676" s="45" t="s">
        <v>7961</v>
      </c>
      <c r="K1676" s="45" t="s">
        <v>7963</v>
      </c>
      <c r="L1676" s="31" t="n">
        <f aca="false">COUNTIF($B$3:$B$2205,$B1676)</f>
        <v>2</v>
      </c>
      <c r="M1676" s="44" t="str">
        <f aca="false">IFERROR(INDEX(SENTENCES!$T$3:$T$1802,MATCH($F1676,SENTENCES!$A$3:$A$1802,0)),"")</f>
        <v>• Chưa tới</v>
      </c>
    </row>
    <row r="1677" customFormat="false" ht="15" hidden="false" customHeight="false" outlineLevel="0" collapsed="false">
      <c r="A1677" s="31" t="n">
        <v>1675</v>
      </c>
      <c r="B1677" s="43" t="s">
        <v>13356</v>
      </c>
      <c r="C1677" s="34" t="s">
        <v>13357</v>
      </c>
      <c r="D1677" s="44" t="s">
        <v>10677</v>
      </c>
      <c r="E1677" s="31" t="s">
        <v>10707</v>
      </c>
      <c r="F1677" s="31" t="s">
        <v>7965</v>
      </c>
      <c r="G1677" s="31" t="n">
        <v>67</v>
      </c>
      <c r="H1677" s="31" t="s">
        <v>7168</v>
      </c>
      <c r="I1677" s="44" t="s">
        <v>7878</v>
      </c>
      <c r="J1677" s="45" t="s">
        <v>7967</v>
      </c>
      <c r="K1677" s="45" t="s">
        <v>7969</v>
      </c>
      <c r="L1677" s="31" t="n">
        <f aca="false">COUNTIF($B$3:$B$2205,$B1677)</f>
        <v>1</v>
      </c>
      <c r="M1677" s="44" t="str">
        <f aca="false">IFERROR(INDEX(SENTENCES!$T$3:$T$1802,MATCH($F1677,SENTENCES!$A$3:$A$1802,0)),"")</f>
        <v>• Chưa tới</v>
      </c>
    </row>
    <row r="1678" customFormat="false" ht="15" hidden="false" customHeight="false" outlineLevel="0" collapsed="false">
      <c r="A1678" s="31" t="n">
        <v>1676</v>
      </c>
      <c r="B1678" s="43" t="s">
        <v>13358</v>
      </c>
      <c r="C1678" s="34" t="s">
        <v>13359</v>
      </c>
      <c r="D1678" s="44" t="s">
        <v>10677</v>
      </c>
      <c r="E1678" s="31" t="s">
        <v>10747</v>
      </c>
      <c r="F1678" s="31" t="s">
        <v>7965</v>
      </c>
      <c r="G1678" s="31" t="n">
        <v>67</v>
      </c>
      <c r="H1678" s="31" t="s">
        <v>7168</v>
      </c>
      <c r="I1678" s="44" t="s">
        <v>7878</v>
      </c>
      <c r="J1678" s="45" t="s">
        <v>7967</v>
      </c>
      <c r="K1678" s="45" t="s">
        <v>7969</v>
      </c>
      <c r="L1678" s="31" t="n">
        <f aca="false">COUNTIF($B$3:$B$2205,$B1678)</f>
        <v>1</v>
      </c>
      <c r="M1678" s="44" t="str">
        <f aca="false">IFERROR(INDEX(SENTENCES!$T$3:$T$1802,MATCH($F1678,SENTENCES!$A$3:$A$1802,0)),"")</f>
        <v>• Chưa tới</v>
      </c>
    </row>
    <row r="1679" customFormat="false" ht="15" hidden="false" customHeight="false" outlineLevel="0" collapsed="false">
      <c r="A1679" s="31" t="n">
        <v>1677</v>
      </c>
      <c r="B1679" s="43" t="s">
        <v>13360</v>
      </c>
      <c r="C1679" s="34" t="s">
        <v>13361</v>
      </c>
      <c r="D1679" s="44" t="s">
        <v>10677</v>
      </c>
      <c r="E1679" s="31" t="s">
        <v>10707</v>
      </c>
      <c r="F1679" s="31" t="s">
        <v>7971</v>
      </c>
      <c r="G1679" s="31" t="n">
        <v>67</v>
      </c>
      <c r="H1679" s="31" t="s">
        <v>7168</v>
      </c>
      <c r="I1679" s="44" t="s">
        <v>7878</v>
      </c>
      <c r="J1679" s="45" t="s">
        <v>7973</v>
      </c>
      <c r="K1679" s="45" t="s">
        <v>7975</v>
      </c>
      <c r="L1679" s="31" t="n">
        <f aca="false">COUNTIF($B$3:$B$2205,$B1679)</f>
        <v>1</v>
      </c>
      <c r="M1679" s="44" t="str">
        <f aca="false">IFERROR(INDEX(SENTENCES!$T$3:$T$1802,MATCH($F1679,SENTENCES!$A$3:$A$1802,0)),"")</f>
        <v>• Chưa tới</v>
      </c>
    </row>
    <row r="1680" customFormat="false" ht="15" hidden="false" customHeight="false" outlineLevel="0" collapsed="false">
      <c r="A1680" s="31" t="n">
        <v>1678</v>
      </c>
      <c r="B1680" s="43" t="s">
        <v>13362</v>
      </c>
      <c r="C1680" s="34" t="s">
        <v>13363</v>
      </c>
      <c r="D1680" s="44" t="s">
        <v>10686</v>
      </c>
      <c r="E1680" s="31"/>
      <c r="F1680" s="31" t="s">
        <v>7977</v>
      </c>
      <c r="G1680" s="31" t="n">
        <v>67</v>
      </c>
      <c r="H1680" s="31" t="s">
        <v>7168</v>
      </c>
      <c r="I1680" s="44" t="s">
        <v>7878</v>
      </c>
      <c r="J1680" s="45" t="s">
        <v>7979</v>
      </c>
      <c r="K1680" s="45" t="s">
        <v>7981</v>
      </c>
      <c r="L1680" s="31" t="n">
        <f aca="false">COUNTIF($B$3:$B$2205,$B1680)</f>
        <v>1</v>
      </c>
      <c r="M1680" s="44" t="str">
        <f aca="false">IFERROR(INDEX(SENTENCES!$T$3:$T$1802,MATCH($F1680,SENTENCES!$A$3:$A$1802,0)),"")</f>
        <v>• Chưa tới</v>
      </c>
    </row>
    <row r="1681" customFormat="false" ht="15" hidden="false" customHeight="false" outlineLevel="0" collapsed="false">
      <c r="A1681" s="31" t="n">
        <v>1679</v>
      </c>
      <c r="B1681" s="43" t="s">
        <v>13364</v>
      </c>
      <c r="C1681" s="34" t="s">
        <v>13365</v>
      </c>
      <c r="D1681" s="44" t="s">
        <v>10681</v>
      </c>
      <c r="E1681" s="31"/>
      <c r="F1681" s="31" t="s">
        <v>7977</v>
      </c>
      <c r="G1681" s="31" t="n">
        <v>67</v>
      </c>
      <c r="H1681" s="31" t="s">
        <v>7168</v>
      </c>
      <c r="I1681" s="44" t="s">
        <v>7878</v>
      </c>
      <c r="J1681" s="45" t="s">
        <v>7979</v>
      </c>
      <c r="K1681" s="45" t="s">
        <v>7981</v>
      </c>
      <c r="L1681" s="31" t="n">
        <f aca="false">COUNTIF($B$3:$B$2205,$B1681)</f>
        <v>1</v>
      </c>
      <c r="M1681" s="44" t="str">
        <f aca="false">IFERROR(INDEX(SENTENCES!$T$3:$T$1802,MATCH($F1681,SENTENCES!$A$3:$A$1802,0)),"")</f>
        <v>• Chưa tới</v>
      </c>
    </row>
    <row r="1682" customFormat="false" ht="15" hidden="false" customHeight="false" outlineLevel="0" collapsed="false">
      <c r="A1682" s="31" t="n">
        <v>1680</v>
      </c>
      <c r="B1682" s="43" t="s">
        <v>13366</v>
      </c>
      <c r="C1682" s="34" t="s">
        <v>13367</v>
      </c>
      <c r="D1682" s="44" t="s">
        <v>10681</v>
      </c>
      <c r="E1682" s="31"/>
      <c r="F1682" s="31" t="s">
        <v>7983</v>
      </c>
      <c r="G1682" s="31" t="n">
        <v>67</v>
      </c>
      <c r="H1682" s="31" t="s">
        <v>7168</v>
      </c>
      <c r="I1682" s="44" t="s">
        <v>7878</v>
      </c>
      <c r="J1682" s="45" t="s">
        <v>7985</v>
      </c>
      <c r="K1682" s="45" t="s">
        <v>7987</v>
      </c>
      <c r="L1682" s="31" t="n">
        <f aca="false">COUNTIF($B$3:$B$2205,$B1682)</f>
        <v>2</v>
      </c>
      <c r="M1682" s="44" t="str">
        <f aca="false">IFERROR(INDEX(SENTENCES!$T$3:$T$1802,MATCH($F1682,SENTENCES!$A$3:$A$1802,0)),"")</f>
        <v>• Chưa tới</v>
      </c>
    </row>
    <row r="1683" customFormat="false" ht="15" hidden="false" customHeight="false" outlineLevel="0" collapsed="false">
      <c r="A1683" s="31" t="n">
        <v>1681</v>
      </c>
      <c r="B1683" s="43" t="s">
        <v>13368</v>
      </c>
      <c r="C1683" s="34" t="s">
        <v>13369</v>
      </c>
      <c r="D1683" s="44" t="s">
        <v>10677</v>
      </c>
      <c r="E1683" s="31" t="s">
        <v>10707</v>
      </c>
      <c r="F1683" s="31" t="s">
        <v>7989</v>
      </c>
      <c r="G1683" s="31" t="n">
        <v>67</v>
      </c>
      <c r="H1683" s="31" t="s">
        <v>7168</v>
      </c>
      <c r="I1683" s="44" t="s">
        <v>7878</v>
      </c>
      <c r="J1683" s="45" t="s">
        <v>7991</v>
      </c>
      <c r="K1683" s="45" t="s">
        <v>7993</v>
      </c>
      <c r="L1683" s="31" t="n">
        <f aca="false">COUNTIF($B$3:$B$2205,$B1683)</f>
        <v>1</v>
      </c>
      <c r="M1683" s="44" t="str">
        <f aca="false">IFERROR(INDEX(SENTENCES!$T$3:$T$1802,MATCH($F1683,SENTENCES!$A$3:$A$1802,0)),"")</f>
        <v>• Chưa tới</v>
      </c>
    </row>
    <row r="1684" customFormat="false" ht="15" hidden="false" customHeight="false" outlineLevel="0" collapsed="false">
      <c r="A1684" s="31" t="n">
        <v>1682</v>
      </c>
      <c r="B1684" s="43" t="s">
        <v>13370</v>
      </c>
      <c r="C1684" s="34" t="s">
        <v>13371</v>
      </c>
      <c r="D1684" s="44" t="s">
        <v>10681</v>
      </c>
      <c r="E1684" s="31"/>
      <c r="F1684" s="31" t="s">
        <v>7989</v>
      </c>
      <c r="G1684" s="31" t="n">
        <v>67</v>
      </c>
      <c r="H1684" s="31" t="s">
        <v>7168</v>
      </c>
      <c r="I1684" s="44" t="s">
        <v>7878</v>
      </c>
      <c r="J1684" s="45" t="s">
        <v>7991</v>
      </c>
      <c r="K1684" s="45" t="s">
        <v>7993</v>
      </c>
      <c r="L1684" s="31" t="n">
        <f aca="false">COUNTIF($B$3:$B$2205,$B1684)</f>
        <v>1</v>
      </c>
      <c r="M1684" s="44" t="str">
        <f aca="false">IFERROR(INDEX(SENTENCES!$T$3:$T$1802,MATCH($F1684,SENTENCES!$A$3:$A$1802,0)),"")</f>
        <v>• Chưa tới</v>
      </c>
    </row>
    <row r="1685" customFormat="false" ht="15" hidden="false" customHeight="false" outlineLevel="0" collapsed="false">
      <c r="A1685" s="31" t="n">
        <v>1683</v>
      </c>
      <c r="B1685" s="43" t="s">
        <v>13372</v>
      </c>
      <c r="C1685" s="34" t="s">
        <v>13373</v>
      </c>
      <c r="D1685" s="44" t="s">
        <v>10754</v>
      </c>
      <c r="E1685" s="31"/>
      <c r="F1685" s="31" t="s">
        <v>7995</v>
      </c>
      <c r="G1685" s="31" t="n">
        <v>68</v>
      </c>
      <c r="H1685" s="31" t="s">
        <v>7168</v>
      </c>
      <c r="I1685" s="44" t="s">
        <v>7996</v>
      </c>
      <c r="J1685" s="45" t="s">
        <v>7998</v>
      </c>
      <c r="K1685" s="45" t="s">
        <v>8000</v>
      </c>
      <c r="L1685" s="31" t="n">
        <f aca="false">COUNTIF($B$3:$B$2205,$B1685)</f>
        <v>1</v>
      </c>
      <c r="M1685" s="44" t="str">
        <f aca="false">IFERROR(INDEX(SENTENCES!$T$3:$T$1802,MATCH($F1685,SENTENCES!$A$3:$A$1802,0)),"")</f>
        <v>• Chưa tới</v>
      </c>
    </row>
    <row r="1686" customFormat="false" ht="15" hidden="false" customHeight="false" outlineLevel="0" collapsed="false">
      <c r="A1686" s="31" t="n">
        <v>1684</v>
      </c>
      <c r="B1686" s="43" t="s">
        <v>13299</v>
      </c>
      <c r="C1686" s="34" t="s">
        <v>13300</v>
      </c>
      <c r="D1686" s="44" t="s">
        <v>10686</v>
      </c>
      <c r="E1686" s="31"/>
      <c r="F1686" s="31" t="s">
        <v>8002</v>
      </c>
      <c r="G1686" s="31" t="n">
        <v>68</v>
      </c>
      <c r="H1686" s="31" t="s">
        <v>7168</v>
      </c>
      <c r="I1686" s="44" t="s">
        <v>7996</v>
      </c>
      <c r="J1686" s="45" t="s">
        <v>8004</v>
      </c>
      <c r="K1686" s="45" t="s">
        <v>8006</v>
      </c>
      <c r="L1686" s="31" t="n">
        <f aca="false">COUNTIF($B$3:$B$2205,$B1686)</f>
        <v>2</v>
      </c>
      <c r="M1686" s="44" t="str">
        <f aca="false">IFERROR(INDEX(SENTENCES!$T$3:$T$1802,MATCH($F1686,SENTENCES!$A$3:$A$1802,0)),"")</f>
        <v>• Chưa tới</v>
      </c>
    </row>
    <row r="1687" customFormat="false" ht="15" hidden="false" customHeight="false" outlineLevel="0" collapsed="false">
      <c r="A1687" s="31" t="n">
        <v>1685</v>
      </c>
      <c r="B1687" s="43" t="s">
        <v>13374</v>
      </c>
      <c r="C1687" s="34" t="s">
        <v>13375</v>
      </c>
      <c r="D1687" s="44" t="s">
        <v>10681</v>
      </c>
      <c r="E1687" s="31"/>
      <c r="F1687" s="31" t="s">
        <v>8007</v>
      </c>
      <c r="G1687" s="31" t="n">
        <v>68</v>
      </c>
      <c r="H1687" s="31" t="s">
        <v>7168</v>
      </c>
      <c r="I1687" s="44" t="s">
        <v>7996</v>
      </c>
      <c r="J1687" s="45" t="s">
        <v>8009</v>
      </c>
      <c r="K1687" s="45" t="s">
        <v>8011</v>
      </c>
      <c r="L1687" s="31" t="n">
        <f aca="false">COUNTIF($B$3:$B$2205,$B1687)</f>
        <v>1</v>
      </c>
      <c r="M1687" s="44" t="str">
        <f aca="false">IFERROR(INDEX(SENTENCES!$T$3:$T$1802,MATCH($F1687,SENTENCES!$A$3:$A$1802,0)),"")</f>
        <v>• Chưa tới</v>
      </c>
    </row>
    <row r="1688" customFormat="false" ht="15" hidden="false" customHeight="false" outlineLevel="0" collapsed="false">
      <c r="A1688" s="31" t="n">
        <v>1686</v>
      </c>
      <c r="B1688" s="43" t="s">
        <v>13376</v>
      </c>
      <c r="C1688" s="34" t="s">
        <v>13377</v>
      </c>
      <c r="D1688" s="44" t="s">
        <v>10681</v>
      </c>
      <c r="E1688" s="31"/>
      <c r="F1688" s="31" t="s">
        <v>8013</v>
      </c>
      <c r="G1688" s="31" t="n">
        <v>68</v>
      </c>
      <c r="H1688" s="31" t="s">
        <v>7168</v>
      </c>
      <c r="I1688" s="44" t="s">
        <v>7996</v>
      </c>
      <c r="J1688" s="45" t="s">
        <v>8015</v>
      </c>
      <c r="K1688" s="45" t="s">
        <v>8017</v>
      </c>
      <c r="L1688" s="31" t="n">
        <f aca="false">COUNTIF($B$3:$B$2205,$B1688)</f>
        <v>1</v>
      </c>
      <c r="M1688" s="44" t="str">
        <f aca="false">IFERROR(INDEX(SENTENCES!$T$3:$T$1802,MATCH($F1688,SENTENCES!$A$3:$A$1802,0)),"")</f>
        <v>• Chưa tới</v>
      </c>
    </row>
    <row r="1689" customFormat="false" ht="15" hidden="false" customHeight="false" outlineLevel="0" collapsed="false">
      <c r="A1689" s="31" t="n">
        <v>1687</v>
      </c>
      <c r="B1689" s="43" t="s">
        <v>11186</v>
      </c>
      <c r="C1689" s="34" t="s">
        <v>11187</v>
      </c>
      <c r="D1689" s="44" t="s">
        <v>10686</v>
      </c>
      <c r="E1689" s="31"/>
      <c r="F1689" s="31" t="s">
        <v>8019</v>
      </c>
      <c r="G1689" s="31" t="n">
        <v>68</v>
      </c>
      <c r="H1689" s="31" t="s">
        <v>7168</v>
      </c>
      <c r="I1689" s="44" t="s">
        <v>7996</v>
      </c>
      <c r="J1689" s="45" t="s">
        <v>8021</v>
      </c>
      <c r="K1689" s="45" t="s">
        <v>8023</v>
      </c>
      <c r="L1689" s="31" t="n">
        <f aca="false">COUNTIF($B$3:$B$2205,$B1689)</f>
        <v>4</v>
      </c>
      <c r="M1689" s="44" t="str">
        <f aca="false">IFERROR(INDEX(SENTENCES!$T$3:$T$1802,MATCH($F1689,SENTENCES!$A$3:$A$1802,0)),"")</f>
        <v>• Chưa tới</v>
      </c>
    </row>
    <row r="1690" customFormat="false" ht="15" hidden="false" customHeight="false" outlineLevel="0" collapsed="false">
      <c r="A1690" s="31" t="n">
        <v>1688</v>
      </c>
      <c r="B1690" s="43" t="s">
        <v>12425</v>
      </c>
      <c r="C1690" s="34" t="s">
        <v>11214</v>
      </c>
      <c r="D1690" s="44" t="s">
        <v>10686</v>
      </c>
      <c r="E1690" s="31"/>
      <c r="F1690" s="31" t="s">
        <v>8024</v>
      </c>
      <c r="G1690" s="31" t="n">
        <v>68</v>
      </c>
      <c r="H1690" s="31" t="s">
        <v>7168</v>
      </c>
      <c r="I1690" s="44" t="s">
        <v>7996</v>
      </c>
      <c r="J1690" s="45" t="s">
        <v>8026</v>
      </c>
      <c r="K1690" s="45" t="s">
        <v>8028</v>
      </c>
      <c r="L1690" s="31" t="n">
        <f aca="false">COUNTIF($B$3:$B$2205,$B1690)</f>
        <v>2</v>
      </c>
      <c r="M1690" s="44" t="str">
        <f aca="false">IFERROR(INDEX(SENTENCES!$T$3:$T$1802,MATCH($F1690,SENTENCES!$A$3:$A$1802,0)),"")</f>
        <v>• Chưa tới</v>
      </c>
    </row>
    <row r="1691" customFormat="false" ht="15" hidden="false" customHeight="false" outlineLevel="0" collapsed="false">
      <c r="A1691" s="31" t="n">
        <v>1689</v>
      </c>
      <c r="B1691" s="43" t="s">
        <v>12502</v>
      </c>
      <c r="C1691" s="34" t="s">
        <v>11444</v>
      </c>
      <c r="D1691" s="44" t="s">
        <v>10681</v>
      </c>
      <c r="E1691" s="31"/>
      <c r="F1691" s="31" t="s">
        <v>8029</v>
      </c>
      <c r="G1691" s="31" t="n">
        <v>68</v>
      </c>
      <c r="H1691" s="31" t="s">
        <v>7168</v>
      </c>
      <c r="I1691" s="44" t="s">
        <v>7996</v>
      </c>
      <c r="J1691" s="45" t="s">
        <v>8031</v>
      </c>
      <c r="K1691" s="45" t="s">
        <v>8033</v>
      </c>
      <c r="L1691" s="31" t="n">
        <f aca="false">COUNTIF($B$3:$B$2205,$B1691)</f>
        <v>3</v>
      </c>
      <c r="M1691" s="44" t="str">
        <f aca="false">IFERROR(INDEX(SENTENCES!$T$3:$T$1802,MATCH($F1691,SENTENCES!$A$3:$A$1802,0)),"")</f>
        <v>• Chưa tới</v>
      </c>
    </row>
    <row r="1692" customFormat="false" ht="15" hidden="false" customHeight="false" outlineLevel="0" collapsed="false">
      <c r="A1692" s="31" t="n">
        <v>1690</v>
      </c>
      <c r="B1692" s="43" t="s">
        <v>13378</v>
      </c>
      <c r="C1692" s="34" t="s">
        <v>13379</v>
      </c>
      <c r="D1692" s="44" t="s">
        <v>10681</v>
      </c>
      <c r="E1692" s="31"/>
      <c r="F1692" s="31" t="s">
        <v>8034</v>
      </c>
      <c r="G1692" s="31" t="n">
        <v>68</v>
      </c>
      <c r="H1692" s="31" t="s">
        <v>7168</v>
      </c>
      <c r="I1692" s="44" t="s">
        <v>7996</v>
      </c>
      <c r="J1692" s="45" t="s">
        <v>8036</v>
      </c>
      <c r="K1692" s="45" t="s">
        <v>8038</v>
      </c>
      <c r="L1692" s="31" t="n">
        <f aca="false">COUNTIF($B$3:$B$2205,$B1692)</f>
        <v>1</v>
      </c>
      <c r="M1692" s="44" t="str">
        <f aca="false">IFERROR(INDEX(SENTENCES!$T$3:$T$1802,MATCH($F1692,SENTENCES!$A$3:$A$1802,0)),"")</f>
        <v>• Chưa tới</v>
      </c>
    </row>
    <row r="1693" customFormat="false" ht="15" hidden="false" customHeight="false" outlineLevel="0" collapsed="false">
      <c r="A1693" s="31" t="n">
        <v>1691</v>
      </c>
      <c r="B1693" s="43" t="s">
        <v>13380</v>
      </c>
      <c r="C1693" s="34" t="s">
        <v>12361</v>
      </c>
      <c r="D1693" s="44" t="s">
        <v>10686</v>
      </c>
      <c r="E1693" s="31"/>
      <c r="F1693" s="31" t="s">
        <v>8040</v>
      </c>
      <c r="G1693" s="31" t="n">
        <v>68</v>
      </c>
      <c r="H1693" s="31" t="s">
        <v>7168</v>
      </c>
      <c r="I1693" s="44" t="s">
        <v>7996</v>
      </c>
      <c r="J1693" s="45" t="s">
        <v>8042</v>
      </c>
      <c r="K1693" s="45" t="s">
        <v>8044</v>
      </c>
      <c r="L1693" s="31" t="n">
        <f aca="false">COUNTIF($B$3:$B$2205,$B1693)</f>
        <v>1</v>
      </c>
      <c r="M1693" s="44" t="str">
        <f aca="false">IFERROR(INDEX(SENTENCES!$T$3:$T$1802,MATCH($F1693,SENTENCES!$A$3:$A$1802,0)),"")</f>
        <v>• Chưa tới</v>
      </c>
    </row>
    <row r="1694" customFormat="false" ht="15" hidden="false" customHeight="false" outlineLevel="0" collapsed="false">
      <c r="A1694" s="31" t="n">
        <v>1692</v>
      </c>
      <c r="B1694" s="43" t="s">
        <v>12387</v>
      </c>
      <c r="C1694" s="34" t="s">
        <v>12388</v>
      </c>
      <c r="D1694" s="44" t="s">
        <v>10686</v>
      </c>
      <c r="E1694" s="31"/>
      <c r="F1694" s="31" t="s">
        <v>8046</v>
      </c>
      <c r="G1694" s="31" t="n">
        <v>68</v>
      </c>
      <c r="H1694" s="31" t="s">
        <v>7168</v>
      </c>
      <c r="I1694" s="44" t="s">
        <v>7996</v>
      </c>
      <c r="J1694" s="45" t="s">
        <v>8048</v>
      </c>
      <c r="K1694" s="45" t="s">
        <v>8050</v>
      </c>
      <c r="L1694" s="31" t="n">
        <f aca="false">COUNTIF($B$3:$B$2205,$B1694)</f>
        <v>3</v>
      </c>
      <c r="M1694" s="44" t="str">
        <f aca="false">IFERROR(INDEX(SENTENCES!$T$3:$T$1802,MATCH($F1694,SENTENCES!$A$3:$A$1802,0)),"")</f>
        <v>• Chưa tới</v>
      </c>
    </row>
    <row r="1695" customFormat="false" ht="15" hidden="false" customHeight="false" outlineLevel="0" collapsed="false">
      <c r="A1695" s="31" t="n">
        <v>1693</v>
      </c>
      <c r="B1695" s="43" t="s">
        <v>13381</v>
      </c>
      <c r="C1695" s="34" t="s">
        <v>13382</v>
      </c>
      <c r="D1695" s="44" t="s">
        <v>10686</v>
      </c>
      <c r="E1695" s="31"/>
      <c r="F1695" s="31" t="s">
        <v>8051</v>
      </c>
      <c r="G1695" s="31" t="n">
        <v>68</v>
      </c>
      <c r="H1695" s="31" t="s">
        <v>7168</v>
      </c>
      <c r="I1695" s="44" t="s">
        <v>7996</v>
      </c>
      <c r="J1695" s="45" t="s">
        <v>8053</v>
      </c>
      <c r="K1695" s="45" t="s">
        <v>8055</v>
      </c>
      <c r="L1695" s="31" t="n">
        <f aca="false">COUNTIF($B$3:$B$2205,$B1695)</f>
        <v>1</v>
      </c>
      <c r="M1695" s="44" t="str">
        <f aca="false">IFERROR(INDEX(SENTENCES!$T$3:$T$1802,MATCH($F1695,SENTENCES!$A$3:$A$1802,0)),"")</f>
        <v>• Chưa tới</v>
      </c>
    </row>
    <row r="1696" customFormat="false" ht="15" hidden="false" customHeight="false" outlineLevel="0" collapsed="false">
      <c r="A1696" s="31" t="n">
        <v>1694</v>
      </c>
      <c r="B1696" s="43" t="s">
        <v>13383</v>
      </c>
      <c r="C1696" s="34" t="s">
        <v>13384</v>
      </c>
      <c r="D1696" s="44" t="s">
        <v>10686</v>
      </c>
      <c r="E1696" s="31"/>
      <c r="F1696" s="31" t="s">
        <v>8057</v>
      </c>
      <c r="G1696" s="31" t="n">
        <v>68</v>
      </c>
      <c r="H1696" s="31" t="s">
        <v>7168</v>
      </c>
      <c r="I1696" s="44" t="s">
        <v>7996</v>
      </c>
      <c r="J1696" s="45" t="s">
        <v>8058</v>
      </c>
      <c r="K1696" s="45" t="s">
        <v>8060</v>
      </c>
      <c r="L1696" s="31" t="n">
        <f aca="false">COUNTIF($B$3:$B$2205,$B1696)</f>
        <v>1</v>
      </c>
      <c r="M1696" s="44" t="str">
        <f aca="false">IFERROR(INDEX(SENTENCES!$T$3:$T$1802,MATCH($F1696,SENTENCES!$A$3:$A$1802,0)),"")</f>
        <v>• Chưa tới</v>
      </c>
    </row>
    <row r="1697" customFormat="false" ht="15" hidden="false" customHeight="false" outlineLevel="0" collapsed="false">
      <c r="A1697" s="31" t="n">
        <v>1695</v>
      </c>
      <c r="B1697" s="43" t="s">
        <v>12076</v>
      </c>
      <c r="C1697" s="34" t="s">
        <v>12088</v>
      </c>
      <c r="D1697" s="44" t="s">
        <v>10686</v>
      </c>
      <c r="E1697" s="31"/>
      <c r="F1697" s="31" t="s">
        <v>8062</v>
      </c>
      <c r="G1697" s="31" t="n">
        <v>68</v>
      </c>
      <c r="H1697" s="31" t="s">
        <v>7168</v>
      </c>
      <c r="I1697" s="44" t="s">
        <v>7996</v>
      </c>
      <c r="J1697" s="45" t="s">
        <v>8064</v>
      </c>
      <c r="K1697" s="45" t="s">
        <v>8066</v>
      </c>
      <c r="L1697" s="31" t="n">
        <f aca="false">COUNTIF($B$3:$B$2205,$B1697)</f>
        <v>4</v>
      </c>
      <c r="M1697" s="44" t="str">
        <f aca="false">IFERROR(INDEX(SENTENCES!$T$3:$T$1802,MATCH($F1697,SENTENCES!$A$3:$A$1802,0)),"")</f>
        <v>• Chưa tới</v>
      </c>
    </row>
    <row r="1698" customFormat="false" ht="15" hidden="false" customHeight="false" outlineLevel="0" collapsed="false">
      <c r="A1698" s="31" t="n">
        <v>1696</v>
      </c>
      <c r="B1698" s="43" t="s">
        <v>10727</v>
      </c>
      <c r="C1698" s="34" t="s">
        <v>10728</v>
      </c>
      <c r="D1698" s="44" t="s">
        <v>10681</v>
      </c>
      <c r="E1698" s="31"/>
      <c r="F1698" s="31" t="s">
        <v>8067</v>
      </c>
      <c r="G1698" s="31" t="n">
        <v>68</v>
      </c>
      <c r="H1698" s="31" t="s">
        <v>7168</v>
      </c>
      <c r="I1698" s="44" t="s">
        <v>7996</v>
      </c>
      <c r="J1698" s="45" t="s">
        <v>8069</v>
      </c>
      <c r="K1698" s="45" t="s">
        <v>8071</v>
      </c>
      <c r="L1698" s="31" t="n">
        <f aca="false">COUNTIF($B$3:$B$2205,$B1698)</f>
        <v>3</v>
      </c>
      <c r="M1698" s="44" t="str">
        <f aca="false">IFERROR(INDEX(SENTENCES!$T$3:$T$1802,MATCH($F1698,SENTENCES!$A$3:$A$1802,0)),"")</f>
        <v>• Chưa tới</v>
      </c>
    </row>
    <row r="1699" customFormat="false" ht="15" hidden="false" customHeight="false" outlineLevel="0" collapsed="false">
      <c r="A1699" s="31" t="n">
        <v>1697</v>
      </c>
      <c r="B1699" s="43" t="s">
        <v>13385</v>
      </c>
      <c r="C1699" s="34" t="s">
        <v>13386</v>
      </c>
      <c r="D1699" s="44" t="s">
        <v>10686</v>
      </c>
      <c r="E1699" s="31"/>
      <c r="F1699" s="31" t="s">
        <v>8072</v>
      </c>
      <c r="G1699" s="31" t="n">
        <v>68</v>
      </c>
      <c r="H1699" s="31" t="s">
        <v>7168</v>
      </c>
      <c r="I1699" s="44" t="s">
        <v>7996</v>
      </c>
      <c r="J1699" s="45" t="s">
        <v>8074</v>
      </c>
      <c r="K1699" s="45" t="s">
        <v>8076</v>
      </c>
      <c r="L1699" s="31" t="n">
        <f aca="false">COUNTIF($B$3:$B$2205,$B1699)</f>
        <v>2</v>
      </c>
      <c r="M1699" s="44" t="str">
        <f aca="false">IFERROR(INDEX(SENTENCES!$T$3:$T$1802,MATCH($F1699,SENTENCES!$A$3:$A$1802,0)),"")</f>
        <v>• Chưa tới</v>
      </c>
    </row>
    <row r="1700" customFormat="false" ht="15" hidden="false" customHeight="false" outlineLevel="0" collapsed="false">
      <c r="A1700" s="31" t="n">
        <v>1698</v>
      </c>
      <c r="B1700" s="43" t="s">
        <v>13387</v>
      </c>
      <c r="C1700" s="34" t="s">
        <v>13388</v>
      </c>
      <c r="D1700" s="44" t="s">
        <v>10686</v>
      </c>
      <c r="E1700" s="31"/>
      <c r="F1700" s="31" t="s">
        <v>8078</v>
      </c>
      <c r="G1700" s="31" t="n">
        <v>68</v>
      </c>
      <c r="H1700" s="31" t="s">
        <v>7168</v>
      </c>
      <c r="I1700" s="44" t="s">
        <v>7996</v>
      </c>
      <c r="J1700" s="45" t="s">
        <v>8080</v>
      </c>
      <c r="K1700" s="45" t="s">
        <v>8082</v>
      </c>
      <c r="L1700" s="31" t="n">
        <f aca="false">COUNTIF($B$3:$B$2205,$B1700)</f>
        <v>1</v>
      </c>
      <c r="M1700" s="44" t="str">
        <f aca="false">IFERROR(INDEX(SENTENCES!$T$3:$T$1802,MATCH($F1700,SENTENCES!$A$3:$A$1802,0)),"")</f>
        <v>• Chưa tới</v>
      </c>
    </row>
    <row r="1701" customFormat="false" ht="15" hidden="false" customHeight="false" outlineLevel="0" collapsed="false">
      <c r="A1701" s="31" t="n">
        <v>1699</v>
      </c>
      <c r="B1701" s="43" t="s">
        <v>13389</v>
      </c>
      <c r="C1701" s="34" t="s">
        <v>13390</v>
      </c>
      <c r="D1701" s="44" t="s">
        <v>10677</v>
      </c>
      <c r="E1701" s="31" t="s">
        <v>10678</v>
      </c>
      <c r="F1701" s="31" t="s">
        <v>8084</v>
      </c>
      <c r="G1701" s="31" t="n">
        <v>68</v>
      </c>
      <c r="H1701" s="31" t="s">
        <v>7168</v>
      </c>
      <c r="I1701" s="44" t="s">
        <v>7996</v>
      </c>
      <c r="J1701" s="45" t="s">
        <v>8085</v>
      </c>
      <c r="K1701" s="45" t="s">
        <v>8087</v>
      </c>
      <c r="L1701" s="31" t="n">
        <f aca="false">COUNTIF($B$3:$B$2205,$B1701)</f>
        <v>1</v>
      </c>
      <c r="M1701" s="44" t="str">
        <f aca="false">IFERROR(INDEX(SENTENCES!$T$3:$T$1802,MATCH($F1701,SENTENCES!$A$3:$A$1802,0)),"")</f>
        <v>• Chưa tới</v>
      </c>
    </row>
    <row r="1702" customFormat="false" ht="15" hidden="false" customHeight="false" outlineLevel="0" collapsed="false">
      <c r="A1702" s="31" t="n">
        <v>1700</v>
      </c>
      <c r="B1702" s="43" t="s">
        <v>13391</v>
      </c>
      <c r="C1702" s="34" t="s">
        <v>13392</v>
      </c>
      <c r="D1702" s="44" t="s">
        <v>10686</v>
      </c>
      <c r="E1702" s="31"/>
      <c r="F1702" s="31" t="s">
        <v>8089</v>
      </c>
      <c r="G1702" s="31" t="n">
        <v>68</v>
      </c>
      <c r="H1702" s="31" t="s">
        <v>7168</v>
      </c>
      <c r="I1702" s="44" t="s">
        <v>7996</v>
      </c>
      <c r="J1702" s="45" t="s">
        <v>8091</v>
      </c>
      <c r="K1702" s="45" t="s">
        <v>8093</v>
      </c>
      <c r="L1702" s="31" t="n">
        <f aca="false">COUNTIF($B$3:$B$2205,$B1702)</f>
        <v>2</v>
      </c>
      <c r="M1702" s="44" t="str">
        <f aca="false">IFERROR(INDEX(SENTENCES!$T$3:$T$1802,MATCH($F1702,SENTENCES!$A$3:$A$1802,0)),"")</f>
        <v>• Chưa tới</v>
      </c>
    </row>
    <row r="1703" customFormat="false" ht="15" hidden="false" customHeight="false" outlineLevel="0" collapsed="false">
      <c r="A1703" s="31" t="n">
        <v>1701</v>
      </c>
      <c r="B1703" s="43" t="s">
        <v>13393</v>
      </c>
      <c r="C1703" s="34" t="s">
        <v>13394</v>
      </c>
      <c r="D1703" s="44" t="s">
        <v>10686</v>
      </c>
      <c r="E1703" s="31"/>
      <c r="F1703" s="31" t="s">
        <v>8095</v>
      </c>
      <c r="G1703" s="31" t="n">
        <v>68</v>
      </c>
      <c r="H1703" s="31" t="s">
        <v>7168</v>
      </c>
      <c r="I1703" s="44" t="s">
        <v>7996</v>
      </c>
      <c r="J1703" s="45" t="s">
        <v>8097</v>
      </c>
      <c r="K1703" s="45" t="s">
        <v>8099</v>
      </c>
      <c r="L1703" s="31" t="n">
        <f aca="false">COUNTIF($B$3:$B$2205,$B1703)</f>
        <v>1</v>
      </c>
      <c r="M1703" s="44" t="str">
        <f aca="false">IFERROR(INDEX(SENTENCES!$T$3:$T$1802,MATCH($F1703,SENTENCES!$A$3:$A$1802,0)),"")</f>
        <v>• Chưa tới</v>
      </c>
    </row>
    <row r="1704" customFormat="false" ht="15" hidden="false" customHeight="false" outlineLevel="0" collapsed="false">
      <c r="A1704" s="31" t="n">
        <v>1702</v>
      </c>
      <c r="B1704" s="43" t="s">
        <v>11302</v>
      </c>
      <c r="C1704" s="34" t="s">
        <v>11303</v>
      </c>
      <c r="D1704" s="44" t="s">
        <v>10686</v>
      </c>
      <c r="E1704" s="31"/>
      <c r="F1704" s="31" t="s">
        <v>8101</v>
      </c>
      <c r="G1704" s="31" t="n">
        <v>68</v>
      </c>
      <c r="H1704" s="31" t="s">
        <v>7168</v>
      </c>
      <c r="I1704" s="44" t="s">
        <v>7996</v>
      </c>
      <c r="J1704" s="45" t="s">
        <v>8103</v>
      </c>
      <c r="K1704" s="45" t="s">
        <v>8105</v>
      </c>
      <c r="L1704" s="31" t="n">
        <f aca="false">COUNTIF($B$3:$B$2205,$B1704)</f>
        <v>3</v>
      </c>
      <c r="M1704" s="44" t="str">
        <f aca="false">IFERROR(INDEX(SENTENCES!$T$3:$T$1802,MATCH($F1704,SENTENCES!$A$3:$A$1802,0)),"")</f>
        <v>• Chưa tới</v>
      </c>
    </row>
    <row r="1705" customFormat="false" ht="15" hidden="false" customHeight="false" outlineLevel="0" collapsed="false">
      <c r="A1705" s="31" t="n">
        <v>1703</v>
      </c>
      <c r="B1705" s="43" t="s">
        <v>13395</v>
      </c>
      <c r="C1705" s="34" t="s">
        <v>13396</v>
      </c>
      <c r="D1705" s="44" t="s">
        <v>10686</v>
      </c>
      <c r="E1705" s="31"/>
      <c r="F1705" s="31" t="s">
        <v>8106</v>
      </c>
      <c r="G1705" s="31" t="n">
        <v>69</v>
      </c>
      <c r="H1705" s="31" t="s">
        <v>7168</v>
      </c>
      <c r="I1705" s="44" t="s">
        <v>8107</v>
      </c>
      <c r="J1705" s="45" t="s">
        <v>8109</v>
      </c>
      <c r="K1705" s="45" t="s">
        <v>8111</v>
      </c>
      <c r="L1705" s="31" t="n">
        <f aca="false">COUNTIF($B$3:$B$2205,$B1705)</f>
        <v>1</v>
      </c>
      <c r="M1705" s="44" t="str">
        <f aca="false">IFERROR(INDEX(SENTENCES!$T$3:$T$1802,MATCH($F1705,SENTENCES!$A$3:$A$1802,0)),"")</f>
        <v>• Chưa tới</v>
      </c>
    </row>
    <row r="1706" customFormat="false" ht="15" hidden="false" customHeight="false" outlineLevel="0" collapsed="false">
      <c r="A1706" s="31" t="n">
        <v>1704</v>
      </c>
      <c r="B1706" s="43" t="s">
        <v>13397</v>
      </c>
      <c r="C1706" s="34" t="s">
        <v>13398</v>
      </c>
      <c r="D1706" s="44" t="s">
        <v>10681</v>
      </c>
      <c r="E1706" s="31"/>
      <c r="F1706" s="31" t="s">
        <v>8113</v>
      </c>
      <c r="G1706" s="31" t="n">
        <v>69</v>
      </c>
      <c r="H1706" s="31" t="s">
        <v>7168</v>
      </c>
      <c r="I1706" s="44" t="s">
        <v>8107</v>
      </c>
      <c r="J1706" s="45" t="s">
        <v>8115</v>
      </c>
      <c r="K1706" s="45" t="s">
        <v>8117</v>
      </c>
      <c r="L1706" s="31" t="n">
        <f aca="false">COUNTIF($B$3:$B$2205,$B1706)</f>
        <v>1</v>
      </c>
      <c r="M1706" s="44" t="str">
        <f aca="false">IFERROR(INDEX(SENTENCES!$T$3:$T$1802,MATCH($F1706,SENTENCES!$A$3:$A$1802,0)),"")</f>
        <v>• Chưa tới</v>
      </c>
    </row>
    <row r="1707" customFormat="false" ht="15" hidden="false" customHeight="false" outlineLevel="0" collapsed="false">
      <c r="A1707" s="31" t="n">
        <v>1705</v>
      </c>
      <c r="B1707" s="43" t="s">
        <v>13399</v>
      </c>
      <c r="C1707" s="34" t="s">
        <v>13400</v>
      </c>
      <c r="D1707" s="44" t="s">
        <v>10681</v>
      </c>
      <c r="E1707" s="31"/>
      <c r="F1707" s="31" t="s">
        <v>8119</v>
      </c>
      <c r="G1707" s="31" t="n">
        <v>69</v>
      </c>
      <c r="H1707" s="31" t="s">
        <v>7168</v>
      </c>
      <c r="I1707" s="44" t="s">
        <v>8107</v>
      </c>
      <c r="J1707" s="45" t="s">
        <v>8121</v>
      </c>
      <c r="K1707" s="45" t="s">
        <v>8123</v>
      </c>
      <c r="L1707" s="31" t="n">
        <f aca="false">COUNTIF($B$3:$B$2205,$B1707)</f>
        <v>1</v>
      </c>
      <c r="M1707" s="44" t="str">
        <f aca="false">IFERROR(INDEX(SENTENCES!$T$3:$T$1802,MATCH($F1707,SENTENCES!$A$3:$A$1802,0)),"")</f>
        <v>• Chưa tới</v>
      </c>
    </row>
    <row r="1708" customFormat="false" ht="15" hidden="false" customHeight="false" outlineLevel="0" collapsed="false">
      <c r="A1708" s="31" t="n">
        <v>1706</v>
      </c>
      <c r="B1708" s="43" t="s">
        <v>13401</v>
      </c>
      <c r="C1708" s="34" t="s">
        <v>10742</v>
      </c>
      <c r="D1708" s="44" t="s">
        <v>10681</v>
      </c>
      <c r="E1708" s="31"/>
      <c r="F1708" s="31" t="s">
        <v>8125</v>
      </c>
      <c r="G1708" s="31" t="n">
        <v>69</v>
      </c>
      <c r="H1708" s="31" t="s">
        <v>7168</v>
      </c>
      <c r="I1708" s="44" t="s">
        <v>8107</v>
      </c>
      <c r="J1708" s="45" t="s">
        <v>8127</v>
      </c>
      <c r="K1708" s="45" t="s">
        <v>8129</v>
      </c>
      <c r="L1708" s="31" t="n">
        <f aca="false">COUNTIF($B$3:$B$2205,$B1708)</f>
        <v>1</v>
      </c>
      <c r="M1708" s="44" t="str">
        <f aca="false">IFERROR(INDEX(SENTENCES!$T$3:$T$1802,MATCH($F1708,SENTENCES!$A$3:$A$1802,0)),"")</f>
        <v>• Chưa tới</v>
      </c>
    </row>
    <row r="1709" customFormat="false" ht="15" hidden="false" customHeight="false" outlineLevel="0" collapsed="false">
      <c r="A1709" s="31" t="n">
        <v>1707</v>
      </c>
      <c r="B1709" s="43" t="s">
        <v>13402</v>
      </c>
      <c r="C1709" s="34" t="s">
        <v>13403</v>
      </c>
      <c r="D1709" s="44" t="s">
        <v>10686</v>
      </c>
      <c r="E1709" s="31"/>
      <c r="F1709" s="31" t="s">
        <v>8131</v>
      </c>
      <c r="G1709" s="31" t="n">
        <v>69</v>
      </c>
      <c r="H1709" s="31" t="s">
        <v>7168</v>
      </c>
      <c r="I1709" s="44" t="s">
        <v>8107</v>
      </c>
      <c r="J1709" s="45" t="s">
        <v>8133</v>
      </c>
      <c r="K1709" s="45" t="s">
        <v>8135</v>
      </c>
      <c r="L1709" s="31" t="n">
        <f aca="false">COUNTIF($B$3:$B$2205,$B1709)</f>
        <v>1</v>
      </c>
      <c r="M1709" s="44" t="str">
        <f aca="false">IFERROR(INDEX(SENTENCES!$T$3:$T$1802,MATCH($F1709,SENTENCES!$A$3:$A$1802,0)),"")</f>
        <v>• Chưa tới</v>
      </c>
    </row>
    <row r="1710" customFormat="false" ht="15" hidden="false" customHeight="false" outlineLevel="0" collapsed="false">
      <c r="A1710" s="31" t="n">
        <v>1708</v>
      </c>
      <c r="B1710" s="43" t="s">
        <v>13404</v>
      </c>
      <c r="C1710" s="34" t="s">
        <v>13405</v>
      </c>
      <c r="D1710" s="44" t="s">
        <v>10681</v>
      </c>
      <c r="E1710" s="31"/>
      <c r="F1710" s="31" t="s">
        <v>8137</v>
      </c>
      <c r="G1710" s="31" t="n">
        <v>69</v>
      </c>
      <c r="H1710" s="31" t="s">
        <v>7168</v>
      </c>
      <c r="I1710" s="44" t="s">
        <v>8107</v>
      </c>
      <c r="J1710" s="45" t="s">
        <v>8139</v>
      </c>
      <c r="K1710" s="45" t="s">
        <v>8141</v>
      </c>
      <c r="L1710" s="31" t="n">
        <f aca="false">COUNTIF($B$3:$B$2205,$B1710)</f>
        <v>1</v>
      </c>
      <c r="M1710" s="44" t="str">
        <f aca="false">IFERROR(INDEX(SENTENCES!$T$3:$T$1802,MATCH($F1710,SENTENCES!$A$3:$A$1802,0)),"")</f>
        <v>• Chưa tới</v>
      </c>
    </row>
    <row r="1711" customFormat="false" ht="15" hidden="false" customHeight="false" outlineLevel="0" collapsed="false">
      <c r="A1711" s="31" t="n">
        <v>1709</v>
      </c>
      <c r="B1711" s="43" t="s">
        <v>12145</v>
      </c>
      <c r="C1711" s="34" t="s">
        <v>13406</v>
      </c>
      <c r="D1711" s="44" t="s">
        <v>10681</v>
      </c>
      <c r="E1711" s="31"/>
      <c r="F1711" s="31" t="s">
        <v>8143</v>
      </c>
      <c r="G1711" s="31" t="n">
        <v>69</v>
      </c>
      <c r="H1711" s="31" t="s">
        <v>7168</v>
      </c>
      <c r="I1711" s="44" t="s">
        <v>8107</v>
      </c>
      <c r="J1711" s="45" t="s">
        <v>8145</v>
      </c>
      <c r="K1711" s="45" t="s">
        <v>8147</v>
      </c>
      <c r="L1711" s="31" t="n">
        <f aca="false">COUNTIF($B$3:$B$2205,$B1711)</f>
        <v>2</v>
      </c>
      <c r="M1711" s="44" t="str">
        <f aca="false">IFERROR(INDEX(SENTENCES!$T$3:$T$1802,MATCH($F1711,SENTENCES!$A$3:$A$1802,0)),"")</f>
        <v>• Chưa tới</v>
      </c>
    </row>
    <row r="1712" customFormat="false" ht="15" hidden="false" customHeight="false" outlineLevel="0" collapsed="false">
      <c r="A1712" s="31" t="n">
        <v>1710</v>
      </c>
      <c r="B1712" s="43" t="s">
        <v>13407</v>
      </c>
      <c r="C1712" s="34" t="s">
        <v>13408</v>
      </c>
      <c r="D1712" s="44" t="s">
        <v>10681</v>
      </c>
      <c r="E1712" s="31"/>
      <c r="F1712" s="31" t="s">
        <v>8149</v>
      </c>
      <c r="G1712" s="31" t="n">
        <v>69</v>
      </c>
      <c r="H1712" s="31" t="s">
        <v>7168</v>
      </c>
      <c r="I1712" s="44" t="s">
        <v>8107</v>
      </c>
      <c r="J1712" s="45" t="s">
        <v>8151</v>
      </c>
      <c r="K1712" s="45" t="s">
        <v>8153</v>
      </c>
      <c r="L1712" s="31" t="n">
        <f aca="false">COUNTIF($B$3:$B$2205,$B1712)</f>
        <v>1</v>
      </c>
      <c r="M1712" s="44" t="str">
        <f aca="false">IFERROR(INDEX(SENTENCES!$T$3:$T$1802,MATCH($F1712,SENTENCES!$A$3:$A$1802,0)),"")</f>
        <v>• Chưa tới</v>
      </c>
    </row>
    <row r="1713" customFormat="false" ht="15" hidden="false" customHeight="false" outlineLevel="0" collapsed="false">
      <c r="A1713" s="31" t="n">
        <v>1711</v>
      </c>
      <c r="B1713" s="43" t="s">
        <v>12503</v>
      </c>
      <c r="C1713" s="34" t="s">
        <v>13409</v>
      </c>
      <c r="D1713" s="44" t="s">
        <v>10681</v>
      </c>
      <c r="E1713" s="31"/>
      <c r="F1713" s="31" t="s">
        <v>8155</v>
      </c>
      <c r="G1713" s="31" t="n">
        <v>69</v>
      </c>
      <c r="H1713" s="31" t="s">
        <v>7168</v>
      </c>
      <c r="I1713" s="44" t="s">
        <v>8107</v>
      </c>
      <c r="J1713" s="45" t="s">
        <v>8157</v>
      </c>
      <c r="K1713" s="45" t="s">
        <v>8159</v>
      </c>
      <c r="L1713" s="31" t="n">
        <f aca="false">COUNTIF($B$3:$B$2205,$B1713)</f>
        <v>3</v>
      </c>
      <c r="M1713" s="44" t="str">
        <f aca="false">IFERROR(INDEX(SENTENCES!$T$3:$T$1802,MATCH($F1713,SENTENCES!$A$3:$A$1802,0)),"")</f>
        <v>• Chưa tới</v>
      </c>
    </row>
    <row r="1714" customFormat="false" ht="15" hidden="false" customHeight="false" outlineLevel="0" collapsed="false">
      <c r="A1714" s="31" t="n">
        <v>1712</v>
      </c>
      <c r="B1714" s="43" t="s">
        <v>10855</v>
      </c>
      <c r="C1714" s="34" t="s">
        <v>13410</v>
      </c>
      <c r="D1714" s="44" t="s">
        <v>10681</v>
      </c>
      <c r="E1714" s="31"/>
      <c r="F1714" s="31" t="s">
        <v>8161</v>
      </c>
      <c r="G1714" s="31" t="n">
        <v>69</v>
      </c>
      <c r="H1714" s="31" t="s">
        <v>7168</v>
      </c>
      <c r="I1714" s="44" t="s">
        <v>8107</v>
      </c>
      <c r="J1714" s="45" t="s">
        <v>8163</v>
      </c>
      <c r="K1714" s="45" t="s">
        <v>8165</v>
      </c>
      <c r="L1714" s="31" t="n">
        <f aca="false">COUNTIF($B$3:$B$2205,$B1714)</f>
        <v>2</v>
      </c>
      <c r="M1714" s="44" t="str">
        <f aca="false">IFERROR(INDEX(SENTENCES!$T$3:$T$1802,MATCH($F1714,SENTENCES!$A$3:$A$1802,0)),"")</f>
        <v>• Chưa tới</v>
      </c>
    </row>
    <row r="1715" customFormat="false" ht="15" hidden="false" customHeight="false" outlineLevel="0" collapsed="false">
      <c r="A1715" s="31" t="n">
        <v>1713</v>
      </c>
      <c r="B1715" s="43" t="s">
        <v>10847</v>
      </c>
      <c r="C1715" s="34" t="s">
        <v>10792</v>
      </c>
      <c r="D1715" s="44" t="s">
        <v>10686</v>
      </c>
      <c r="E1715" s="31"/>
      <c r="F1715" s="31" t="s">
        <v>8167</v>
      </c>
      <c r="G1715" s="31" t="n">
        <v>69</v>
      </c>
      <c r="H1715" s="31" t="s">
        <v>7168</v>
      </c>
      <c r="I1715" s="44" t="s">
        <v>8107</v>
      </c>
      <c r="J1715" s="45" t="s">
        <v>8169</v>
      </c>
      <c r="K1715" s="45" t="s">
        <v>8171</v>
      </c>
      <c r="L1715" s="31" t="n">
        <f aca="false">COUNTIF($B$3:$B$2205,$B1715)</f>
        <v>3</v>
      </c>
      <c r="M1715" s="44" t="str">
        <f aca="false">IFERROR(INDEX(SENTENCES!$T$3:$T$1802,MATCH($F1715,SENTENCES!$A$3:$A$1802,0)),"")</f>
        <v>• Chưa tới</v>
      </c>
    </row>
    <row r="1716" customFormat="false" ht="15" hidden="false" customHeight="false" outlineLevel="0" collapsed="false">
      <c r="A1716" s="31" t="n">
        <v>1714</v>
      </c>
      <c r="B1716" s="43" t="s">
        <v>12490</v>
      </c>
      <c r="C1716" s="34" t="s">
        <v>12369</v>
      </c>
      <c r="D1716" s="44" t="s">
        <v>10681</v>
      </c>
      <c r="E1716" s="31"/>
      <c r="F1716" s="31" t="s">
        <v>8172</v>
      </c>
      <c r="G1716" s="31" t="n">
        <v>69</v>
      </c>
      <c r="H1716" s="31" t="s">
        <v>7168</v>
      </c>
      <c r="I1716" s="44" t="s">
        <v>8107</v>
      </c>
      <c r="J1716" s="45" t="s">
        <v>8174</v>
      </c>
      <c r="K1716" s="45" t="s">
        <v>8176</v>
      </c>
      <c r="L1716" s="31" t="n">
        <f aca="false">COUNTIF($B$3:$B$2205,$B1716)</f>
        <v>2</v>
      </c>
      <c r="M1716" s="44" t="str">
        <f aca="false">IFERROR(INDEX(SENTENCES!$T$3:$T$1802,MATCH($F1716,SENTENCES!$A$3:$A$1802,0)),"")</f>
        <v>• Chưa tới</v>
      </c>
    </row>
    <row r="1717" customFormat="false" ht="15" hidden="false" customHeight="false" outlineLevel="0" collapsed="false">
      <c r="A1717" s="31" t="n">
        <v>1715</v>
      </c>
      <c r="B1717" s="43" t="s">
        <v>12107</v>
      </c>
      <c r="C1717" s="34" t="s">
        <v>12108</v>
      </c>
      <c r="D1717" s="44" t="s">
        <v>10686</v>
      </c>
      <c r="E1717" s="31"/>
      <c r="F1717" s="31" t="s">
        <v>8177</v>
      </c>
      <c r="G1717" s="31" t="n">
        <v>69</v>
      </c>
      <c r="H1717" s="31" t="s">
        <v>7168</v>
      </c>
      <c r="I1717" s="44" t="s">
        <v>8107</v>
      </c>
      <c r="J1717" s="45" t="s">
        <v>8179</v>
      </c>
      <c r="K1717" s="45" t="s">
        <v>8181</v>
      </c>
      <c r="L1717" s="31" t="n">
        <f aca="false">COUNTIF($B$3:$B$2205,$B1717)</f>
        <v>3</v>
      </c>
      <c r="M1717" s="44" t="str">
        <f aca="false">IFERROR(INDEX(SENTENCES!$T$3:$T$1802,MATCH($F1717,SENTENCES!$A$3:$A$1802,0)),"")</f>
        <v>• Chưa tới</v>
      </c>
    </row>
    <row r="1718" customFormat="false" ht="15" hidden="false" customHeight="false" outlineLevel="0" collapsed="false">
      <c r="A1718" s="31" t="n">
        <v>1716</v>
      </c>
      <c r="B1718" s="43" t="s">
        <v>13411</v>
      </c>
      <c r="C1718" s="34" t="s">
        <v>13412</v>
      </c>
      <c r="D1718" s="44" t="s">
        <v>10681</v>
      </c>
      <c r="E1718" s="31"/>
      <c r="F1718" s="31" t="s">
        <v>8182</v>
      </c>
      <c r="G1718" s="31" t="n">
        <v>69</v>
      </c>
      <c r="H1718" s="31" t="s">
        <v>7168</v>
      </c>
      <c r="I1718" s="44" t="s">
        <v>8107</v>
      </c>
      <c r="J1718" s="45" t="s">
        <v>8184</v>
      </c>
      <c r="K1718" s="45" t="s">
        <v>8186</v>
      </c>
      <c r="L1718" s="31" t="n">
        <f aca="false">COUNTIF($B$3:$B$2205,$B1718)</f>
        <v>1</v>
      </c>
      <c r="M1718" s="44" t="str">
        <f aca="false">IFERROR(INDEX(SENTENCES!$T$3:$T$1802,MATCH($F1718,SENTENCES!$A$3:$A$1802,0)),"")</f>
        <v>• Chưa tới</v>
      </c>
    </row>
    <row r="1719" customFormat="false" ht="15" hidden="false" customHeight="false" outlineLevel="0" collapsed="false">
      <c r="A1719" s="31" t="n">
        <v>1717</v>
      </c>
      <c r="B1719" s="43" t="s">
        <v>13413</v>
      </c>
      <c r="C1719" s="34" t="s">
        <v>12494</v>
      </c>
      <c r="D1719" s="44" t="s">
        <v>10794</v>
      </c>
      <c r="E1719" s="31"/>
      <c r="F1719" s="31" t="s">
        <v>8188</v>
      </c>
      <c r="G1719" s="31" t="n">
        <v>69</v>
      </c>
      <c r="H1719" s="31" t="s">
        <v>7168</v>
      </c>
      <c r="I1719" s="44" t="s">
        <v>8107</v>
      </c>
      <c r="J1719" s="45" t="s">
        <v>8190</v>
      </c>
      <c r="K1719" s="45" t="s">
        <v>8192</v>
      </c>
      <c r="L1719" s="31" t="n">
        <f aca="false">COUNTIF($B$3:$B$2205,$B1719)</f>
        <v>1</v>
      </c>
      <c r="M1719" s="44" t="str">
        <f aca="false">IFERROR(INDEX(SENTENCES!$T$3:$T$1802,MATCH($F1719,SENTENCES!$A$3:$A$1802,0)),"")</f>
        <v>• Chưa tới</v>
      </c>
    </row>
    <row r="1720" customFormat="false" ht="15" hidden="false" customHeight="false" outlineLevel="0" collapsed="false">
      <c r="A1720" s="31" t="n">
        <v>1718</v>
      </c>
      <c r="B1720" s="43" t="s">
        <v>12025</v>
      </c>
      <c r="C1720" s="34" t="s">
        <v>12026</v>
      </c>
      <c r="D1720" s="44" t="s">
        <v>10681</v>
      </c>
      <c r="E1720" s="31"/>
      <c r="F1720" s="31" t="s">
        <v>8194</v>
      </c>
      <c r="G1720" s="31" t="n">
        <v>69</v>
      </c>
      <c r="H1720" s="31" t="s">
        <v>7168</v>
      </c>
      <c r="I1720" s="44" t="s">
        <v>8107</v>
      </c>
      <c r="J1720" s="45" t="s">
        <v>8195</v>
      </c>
      <c r="K1720" s="45" t="s">
        <v>8197</v>
      </c>
      <c r="L1720" s="31" t="n">
        <f aca="false">COUNTIF($B$3:$B$2205,$B1720)</f>
        <v>2</v>
      </c>
      <c r="M1720" s="44" t="str">
        <f aca="false">IFERROR(INDEX(SENTENCES!$T$3:$T$1802,MATCH($F1720,SENTENCES!$A$3:$A$1802,0)),"")</f>
        <v>• Chưa tới</v>
      </c>
    </row>
    <row r="1721" customFormat="false" ht="15" hidden="false" customHeight="false" outlineLevel="0" collapsed="false">
      <c r="A1721" s="31" t="n">
        <v>1719</v>
      </c>
      <c r="B1721" s="43" t="s">
        <v>12081</v>
      </c>
      <c r="C1721" s="34" t="s">
        <v>12082</v>
      </c>
      <c r="D1721" s="44" t="s">
        <v>10754</v>
      </c>
      <c r="E1721" s="31"/>
      <c r="F1721" s="31" t="s">
        <v>8198</v>
      </c>
      <c r="G1721" s="31" t="n">
        <v>69</v>
      </c>
      <c r="H1721" s="31" t="s">
        <v>7168</v>
      </c>
      <c r="I1721" s="44" t="s">
        <v>8107</v>
      </c>
      <c r="J1721" s="45" t="s">
        <v>8200</v>
      </c>
      <c r="K1721" s="45" t="s">
        <v>8202</v>
      </c>
      <c r="L1721" s="31" t="n">
        <f aca="false">COUNTIF($B$3:$B$2205,$B1721)</f>
        <v>2</v>
      </c>
      <c r="M1721" s="44" t="str">
        <f aca="false">IFERROR(INDEX(SENTENCES!$T$3:$T$1802,MATCH($F1721,SENTENCES!$A$3:$A$1802,0)),"")</f>
        <v>• Chưa tới</v>
      </c>
    </row>
    <row r="1722" customFormat="false" ht="15" hidden="false" customHeight="false" outlineLevel="0" collapsed="false">
      <c r="A1722" s="31" t="n">
        <v>1720</v>
      </c>
      <c r="B1722" s="43" t="s">
        <v>11117</v>
      </c>
      <c r="C1722" s="34" t="s">
        <v>13414</v>
      </c>
      <c r="D1722" s="44" t="s">
        <v>10681</v>
      </c>
      <c r="E1722" s="31"/>
      <c r="F1722" s="31" t="s">
        <v>8204</v>
      </c>
      <c r="G1722" s="31" t="n">
        <v>69</v>
      </c>
      <c r="H1722" s="31" t="s">
        <v>7168</v>
      </c>
      <c r="I1722" s="44" t="s">
        <v>8107</v>
      </c>
      <c r="J1722" s="45" t="s">
        <v>8206</v>
      </c>
      <c r="K1722" s="45" t="s">
        <v>8208</v>
      </c>
      <c r="L1722" s="31" t="n">
        <f aca="false">COUNTIF($B$3:$B$2205,$B1722)</f>
        <v>3</v>
      </c>
      <c r="M1722" s="44" t="str">
        <f aca="false">IFERROR(INDEX(SENTENCES!$T$3:$T$1802,MATCH($F1722,SENTENCES!$A$3:$A$1802,0)),"")</f>
        <v>• Chưa tới</v>
      </c>
    </row>
    <row r="1723" customFormat="false" ht="15" hidden="false" customHeight="false" outlineLevel="0" collapsed="false">
      <c r="A1723" s="31" t="n">
        <v>1721</v>
      </c>
      <c r="B1723" s="43" t="s">
        <v>13415</v>
      </c>
      <c r="C1723" s="34" t="s">
        <v>13416</v>
      </c>
      <c r="D1723" s="44" t="s">
        <v>10681</v>
      </c>
      <c r="E1723" s="31"/>
      <c r="F1723" s="31" t="s">
        <v>8210</v>
      </c>
      <c r="G1723" s="31" t="n">
        <v>69</v>
      </c>
      <c r="H1723" s="31" t="s">
        <v>7168</v>
      </c>
      <c r="I1723" s="44" t="s">
        <v>8107</v>
      </c>
      <c r="J1723" s="45" t="s">
        <v>8212</v>
      </c>
      <c r="K1723" s="45" t="s">
        <v>8214</v>
      </c>
      <c r="L1723" s="31" t="n">
        <f aca="false">COUNTIF($B$3:$B$2205,$B1723)</f>
        <v>1</v>
      </c>
      <c r="M1723" s="44" t="str">
        <f aca="false">IFERROR(INDEX(SENTENCES!$T$3:$T$1802,MATCH($F1723,SENTENCES!$A$3:$A$1802,0)),"")</f>
        <v>• Chưa tới</v>
      </c>
    </row>
    <row r="1724" customFormat="false" ht="15" hidden="false" customHeight="false" outlineLevel="0" collapsed="false">
      <c r="A1724" s="31" t="n">
        <v>1722</v>
      </c>
      <c r="B1724" s="43" t="s">
        <v>11673</v>
      </c>
      <c r="C1724" s="34" t="s">
        <v>11674</v>
      </c>
      <c r="D1724" s="44" t="s">
        <v>10794</v>
      </c>
      <c r="E1724" s="31"/>
      <c r="F1724" s="31" t="s">
        <v>8216</v>
      </c>
      <c r="G1724" s="31" t="n">
        <v>69</v>
      </c>
      <c r="H1724" s="31" t="s">
        <v>7168</v>
      </c>
      <c r="I1724" s="44" t="s">
        <v>8107</v>
      </c>
      <c r="J1724" s="45" t="s">
        <v>8218</v>
      </c>
      <c r="K1724" s="45" t="s">
        <v>8220</v>
      </c>
      <c r="L1724" s="31" t="n">
        <f aca="false">COUNTIF($B$3:$B$2205,$B1724)</f>
        <v>2</v>
      </c>
      <c r="M1724" s="44" t="str">
        <f aca="false">IFERROR(INDEX(SENTENCES!$T$3:$T$1802,MATCH($F1724,SENTENCES!$A$3:$A$1802,0)),"")</f>
        <v>• Chưa tới</v>
      </c>
    </row>
    <row r="1725" customFormat="false" ht="15" hidden="false" customHeight="false" outlineLevel="0" collapsed="false">
      <c r="A1725" s="31" t="n">
        <v>1723</v>
      </c>
      <c r="B1725" s="43" t="s">
        <v>12907</v>
      </c>
      <c r="C1725" s="34" t="s">
        <v>13417</v>
      </c>
      <c r="D1725" s="44" t="s">
        <v>10681</v>
      </c>
      <c r="E1725" s="31"/>
      <c r="F1725" s="31" t="s">
        <v>8221</v>
      </c>
      <c r="G1725" s="31" t="n">
        <v>70</v>
      </c>
      <c r="H1725" s="31" t="s">
        <v>7168</v>
      </c>
      <c r="I1725" s="44" t="s">
        <v>8222</v>
      </c>
      <c r="J1725" s="45" t="s">
        <v>8224</v>
      </c>
      <c r="K1725" s="45" t="s">
        <v>8226</v>
      </c>
      <c r="L1725" s="31" t="n">
        <f aca="false">COUNTIF($B$3:$B$2205,$B1725)</f>
        <v>2</v>
      </c>
      <c r="M1725" s="44" t="str">
        <f aca="false">IFERROR(INDEX(SENTENCES!$T$3:$T$1802,MATCH($F1725,SENTENCES!$A$3:$A$1802,0)),"")</f>
        <v>• Chưa tới</v>
      </c>
    </row>
    <row r="1726" customFormat="false" ht="15" hidden="false" customHeight="false" outlineLevel="0" collapsed="false">
      <c r="A1726" s="31" t="n">
        <v>1724</v>
      </c>
      <c r="B1726" s="43" t="s">
        <v>13418</v>
      </c>
      <c r="C1726" s="34" t="s">
        <v>12216</v>
      </c>
      <c r="D1726" s="44" t="s">
        <v>10686</v>
      </c>
      <c r="E1726" s="31"/>
      <c r="F1726" s="31" t="s">
        <v>8221</v>
      </c>
      <c r="G1726" s="31" t="n">
        <v>70</v>
      </c>
      <c r="H1726" s="31" t="s">
        <v>7168</v>
      </c>
      <c r="I1726" s="44" t="s">
        <v>8222</v>
      </c>
      <c r="J1726" s="45" t="s">
        <v>8224</v>
      </c>
      <c r="K1726" s="45" t="s">
        <v>8226</v>
      </c>
      <c r="L1726" s="31" t="n">
        <f aca="false">COUNTIF($B$3:$B$2205,$B1726)</f>
        <v>1</v>
      </c>
      <c r="M1726" s="44" t="str">
        <f aca="false">IFERROR(INDEX(SENTENCES!$T$3:$T$1802,MATCH($F1726,SENTENCES!$A$3:$A$1802,0)),"")</f>
        <v>• Chưa tới</v>
      </c>
    </row>
    <row r="1727" customFormat="false" ht="15" hidden="false" customHeight="false" outlineLevel="0" collapsed="false">
      <c r="A1727" s="31" t="n">
        <v>1725</v>
      </c>
      <c r="B1727" s="43" t="s">
        <v>13419</v>
      </c>
      <c r="C1727" s="34" t="s">
        <v>13420</v>
      </c>
      <c r="D1727" s="44" t="s">
        <v>10794</v>
      </c>
      <c r="E1727" s="31"/>
      <c r="F1727" s="31" t="s">
        <v>8228</v>
      </c>
      <c r="G1727" s="31" t="n">
        <v>70</v>
      </c>
      <c r="H1727" s="31" t="s">
        <v>7168</v>
      </c>
      <c r="I1727" s="44" t="s">
        <v>8222</v>
      </c>
      <c r="J1727" s="45" t="s">
        <v>8230</v>
      </c>
      <c r="K1727" s="45" t="s">
        <v>8232</v>
      </c>
      <c r="L1727" s="31" t="n">
        <f aca="false">COUNTIF($B$3:$B$2205,$B1727)</f>
        <v>1</v>
      </c>
      <c r="M1727" s="44" t="str">
        <f aca="false">IFERROR(INDEX(SENTENCES!$T$3:$T$1802,MATCH($F1727,SENTENCES!$A$3:$A$1802,0)),"")</f>
        <v>• Chưa tới</v>
      </c>
    </row>
    <row r="1728" customFormat="false" ht="15" hidden="false" customHeight="false" outlineLevel="0" collapsed="false">
      <c r="A1728" s="31" t="n">
        <v>1726</v>
      </c>
      <c r="B1728" s="43" t="s">
        <v>13421</v>
      </c>
      <c r="C1728" s="34" t="s">
        <v>13422</v>
      </c>
      <c r="D1728" s="44" t="s">
        <v>10677</v>
      </c>
      <c r="E1728" s="31" t="s">
        <v>10747</v>
      </c>
      <c r="F1728" s="31" t="s">
        <v>8233</v>
      </c>
      <c r="G1728" s="31" t="n">
        <v>70</v>
      </c>
      <c r="H1728" s="31" t="s">
        <v>7168</v>
      </c>
      <c r="I1728" s="44" t="s">
        <v>8222</v>
      </c>
      <c r="J1728" s="45" t="s">
        <v>8235</v>
      </c>
      <c r="K1728" s="45" t="s">
        <v>8237</v>
      </c>
      <c r="L1728" s="31" t="n">
        <f aca="false">COUNTIF($B$3:$B$2205,$B1728)</f>
        <v>1</v>
      </c>
      <c r="M1728" s="44" t="str">
        <f aca="false">IFERROR(INDEX(SENTENCES!$T$3:$T$1802,MATCH($F1728,SENTENCES!$A$3:$A$1802,0)),"")</f>
        <v>• Chưa tới</v>
      </c>
    </row>
    <row r="1729" customFormat="false" ht="15" hidden="false" customHeight="false" outlineLevel="0" collapsed="false">
      <c r="A1729" s="31" t="n">
        <v>1727</v>
      </c>
      <c r="B1729" s="43" t="s">
        <v>13423</v>
      </c>
      <c r="C1729" s="34" t="s">
        <v>13424</v>
      </c>
      <c r="D1729" s="44" t="s">
        <v>10681</v>
      </c>
      <c r="E1729" s="31"/>
      <c r="F1729" s="31" t="s">
        <v>8239</v>
      </c>
      <c r="G1729" s="31" t="n">
        <v>70</v>
      </c>
      <c r="H1729" s="31" t="s">
        <v>7168</v>
      </c>
      <c r="I1729" s="44" t="s">
        <v>8222</v>
      </c>
      <c r="J1729" s="45" t="s">
        <v>8241</v>
      </c>
      <c r="K1729" s="45" t="s">
        <v>8243</v>
      </c>
      <c r="L1729" s="31" t="n">
        <f aca="false">COUNTIF($B$3:$B$2205,$B1729)</f>
        <v>1</v>
      </c>
      <c r="M1729" s="44" t="str">
        <f aca="false">IFERROR(INDEX(SENTENCES!$T$3:$T$1802,MATCH($F1729,SENTENCES!$A$3:$A$1802,0)),"")</f>
        <v>• Chưa tới</v>
      </c>
    </row>
    <row r="1730" customFormat="false" ht="15" hidden="false" customHeight="false" outlineLevel="0" collapsed="false">
      <c r="A1730" s="31" t="n">
        <v>1728</v>
      </c>
      <c r="B1730" s="43" t="s">
        <v>13425</v>
      </c>
      <c r="C1730" s="34" t="s">
        <v>13426</v>
      </c>
      <c r="D1730" s="44" t="s">
        <v>10686</v>
      </c>
      <c r="E1730" s="31"/>
      <c r="F1730" s="31" t="s">
        <v>8239</v>
      </c>
      <c r="G1730" s="31" t="n">
        <v>70</v>
      </c>
      <c r="H1730" s="31" t="s">
        <v>7168</v>
      </c>
      <c r="I1730" s="44" t="s">
        <v>8222</v>
      </c>
      <c r="J1730" s="45" t="s">
        <v>8241</v>
      </c>
      <c r="K1730" s="45" t="s">
        <v>8243</v>
      </c>
      <c r="L1730" s="31" t="n">
        <f aca="false">COUNTIF($B$3:$B$2205,$B1730)</f>
        <v>1</v>
      </c>
      <c r="M1730" s="44" t="str">
        <f aca="false">IFERROR(INDEX(SENTENCES!$T$3:$T$1802,MATCH($F1730,SENTENCES!$A$3:$A$1802,0)),"")</f>
        <v>• Chưa tới</v>
      </c>
    </row>
    <row r="1731" customFormat="false" ht="15" hidden="false" customHeight="false" outlineLevel="0" collapsed="false">
      <c r="A1731" s="31" t="n">
        <v>1729</v>
      </c>
      <c r="B1731" s="43" t="s">
        <v>13427</v>
      </c>
      <c r="C1731" s="34" t="s">
        <v>13428</v>
      </c>
      <c r="D1731" s="44" t="s">
        <v>10681</v>
      </c>
      <c r="E1731" s="31"/>
      <c r="F1731" s="31" t="s">
        <v>8245</v>
      </c>
      <c r="G1731" s="31" t="n">
        <v>70</v>
      </c>
      <c r="H1731" s="31" t="s">
        <v>7168</v>
      </c>
      <c r="I1731" s="44" t="s">
        <v>8222</v>
      </c>
      <c r="J1731" s="45" t="s">
        <v>8247</v>
      </c>
      <c r="K1731" s="45" t="s">
        <v>8249</v>
      </c>
      <c r="L1731" s="31" t="n">
        <f aca="false">COUNTIF($B$3:$B$2205,$B1731)</f>
        <v>1</v>
      </c>
      <c r="M1731" s="44" t="str">
        <f aca="false">IFERROR(INDEX(SENTENCES!$T$3:$T$1802,MATCH($F1731,SENTENCES!$A$3:$A$1802,0)),"")</f>
        <v>• Chưa tới</v>
      </c>
    </row>
    <row r="1732" customFormat="false" ht="15" hidden="false" customHeight="false" outlineLevel="0" collapsed="false">
      <c r="A1732" s="31" t="n">
        <v>1730</v>
      </c>
      <c r="B1732" s="43" t="s">
        <v>13429</v>
      </c>
      <c r="C1732" s="34" t="s">
        <v>13430</v>
      </c>
      <c r="D1732" s="44" t="s">
        <v>10681</v>
      </c>
      <c r="E1732" s="31"/>
      <c r="F1732" s="31" t="s">
        <v>8245</v>
      </c>
      <c r="G1732" s="31" t="n">
        <v>70</v>
      </c>
      <c r="H1732" s="31" t="s">
        <v>7168</v>
      </c>
      <c r="I1732" s="44" t="s">
        <v>8222</v>
      </c>
      <c r="J1732" s="45" t="s">
        <v>8247</v>
      </c>
      <c r="K1732" s="45" t="s">
        <v>8249</v>
      </c>
      <c r="L1732" s="31" t="n">
        <f aca="false">COUNTIF($B$3:$B$2205,$B1732)</f>
        <v>1</v>
      </c>
      <c r="M1732" s="44" t="str">
        <f aca="false">IFERROR(INDEX(SENTENCES!$T$3:$T$1802,MATCH($F1732,SENTENCES!$A$3:$A$1802,0)),"")</f>
        <v>• Chưa tới</v>
      </c>
    </row>
    <row r="1733" customFormat="false" ht="15" hidden="false" customHeight="false" outlineLevel="0" collapsed="false">
      <c r="A1733" s="31" t="n">
        <v>1731</v>
      </c>
      <c r="B1733" s="43" t="s">
        <v>11671</v>
      </c>
      <c r="C1733" s="34" t="s">
        <v>13243</v>
      </c>
      <c r="D1733" s="44" t="s">
        <v>10681</v>
      </c>
      <c r="E1733" s="31"/>
      <c r="F1733" s="31" t="s">
        <v>8251</v>
      </c>
      <c r="G1733" s="31" t="n">
        <v>70</v>
      </c>
      <c r="H1733" s="31" t="s">
        <v>7168</v>
      </c>
      <c r="I1733" s="44" t="s">
        <v>8222</v>
      </c>
      <c r="J1733" s="45" t="s">
        <v>8252</v>
      </c>
      <c r="K1733" s="45" t="s">
        <v>8254</v>
      </c>
      <c r="L1733" s="31" t="n">
        <f aca="false">COUNTIF($B$3:$B$2205,$B1733)</f>
        <v>2</v>
      </c>
      <c r="M1733" s="44" t="str">
        <f aca="false">IFERROR(INDEX(SENTENCES!$T$3:$T$1802,MATCH($F1733,SENTENCES!$A$3:$A$1802,0)),"")</f>
        <v>• Chưa tới</v>
      </c>
    </row>
    <row r="1734" customFormat="false" ht="22.35" hidden="false" customHeight="false" outlineLevel="0" collapsed="false">
      <c r="A1734" s="31" t="n">
        <v>1732</v>
      </c>
      <c r="B1734" s="43" t="s">
        <v>13431</v>
      </c>
      <c r="C1734" s="34" t="s">
        <v>13432</v>
      </c>
      <c r="D1734" s="44" t="s">
        <v>10681</v>
      </c>
      <c r="E1734" s="31"/>
      <c r="F1734" s="31" t="s">
        <v>8255</v>
      </c>
      <c r="G1734" s="31" t="n">
        <v>70</v>
      </c>
      <c r="H1734" s="31" t="s">
        <v>7168</v>
      </c>
      <c r="I1734" s="44" t="s">
        <v>8222</v>
      </c>
      <c r="J1734" s="45" t="s">
        <v>8257</v>
      </c>
      <c r="K1734" s="45" t="s">
        <v>8259</v>
      </c>
      <c r="L1734" s="31" t="n">
        <f aca="false">COUNTIF($B$3:$B$2205,$B1734)</f>
        <v>1</v>
      </c>
      <c r="M1734" s="44" t="str">
        <f aca="false">IFERROR(INDEX(SENTENCES!$T$3:$T$1802,MATCH($F1734,SENTENCES!$A$3:$A$1802,0)),"")</f>
        <v>• Chưa tới</v>
      </c>
    </row>
    <row r="1735" customFormat="false" ht="15" hidden="false" customHeight="false" outlineLevel="0" collapsed="false">
      <c r="A1735" s="31" t="n">
        <v>1733</v>
      </c>
      <c r="B1735" s="43" t="s">
        <v>13433</v>
      </c>
      <c r="C1735" s="34" t="s">
        <v>13434</v>
      </c>
      <c r="D1735" s="44" t="s">
        <v>10681</v>
      </c>
      <c r="E1735" s="31"/>
      <c r="F1735" s="31" t="s">
        <v>8261</v>
      </c>
      <c r="G1735" s="31" t="n">
        <v>70</v>
      </c>
      <c r="H1735" s="31" t="s">
        <v>7168</v>
      </c>
      <c r="I1735" s="44" t="s">
        <v>8222</v>
      </c>
      <c r="J1735" s="45" t="s">
        <v>8263</v>
      </c>
      <c r="K1735" s="45" t="s">
        <v>8265</v>
      </c>
      <c r="L1735" s="31" t="n">
        <f aca="false">COUNTIF($B$3:$B$2205,$B1735)</f>
        <v>2</v>
      </c>
      <c r="M1735" s="44" t="str">
        <f aca="false">IFERROR(INDEX(SENTENCES!$T$3:$T$1802,MATCH($F1735,SENTENCES!$A$3:$A$1802,0)),"")</f>
        <v>• Chưa tới</v>
      </c>
    </row>
    <row r="1736" customFormat="false" ht="15" hidden="false" customHeight="false" outlineLevel="0" collapsed="false">
      <c r="A1736" s="31" t="n">
        <v>1734</v>
      </c>
      <c r="B1736" s="43" t="s">
        <v>13435</v>
      </c>
      <c r="C1736" s="34" t="s">
        <v>13436</v>
      </c>
      <c r="D1736" s="44" t="s">
        <v>10677</v>
      </c>
      <c r="E1736" s="31" t="s">
        <v>10678</v>
      </c>
      <c r="F1736" s="31" t="s">
        <v>8267</v>
      </c>
      <c r="G1736" s="31" t="n">
        <v>70</v>
      </c>
      <c r="H1736" s="31" t="s">
        <v>7168</v>
      </c>
      <c r="I1736" s="44" t="s">
        <v>8222</v>
      </c>
      <c r="J1736" s="45" t="s">
        <v>8269</v>
      </c>
      <c r="K1736" s="45" t="s">
        <v>8271</v>
      </c>
      <c r="L1736" s="31" t="n">
        <f aca="false">COUNTIF($B$3:$B$2205,$B1736)</f>
        <v>1</v>
      </c>
      <c r="M1736" s="44" t="str">
        <f aca="false">IFERROR(INDEX(SENTENCES!$T$3:$T$1802,MATCH($F1736,SENTENCES!$A$3:$A$1802,0)),"")</f>
        <v>• Chưa tới</v>
      </c>
    </row>
    <row r="1737" customFormat="false" ht="15" hidden="false" customHeight="false" outlineLevel="0" collapsed="false">
      <c r="A1737" s="31" t="n">
        <v>1735</v>
      </c>
      <c r="B1737" s="43" t="s">
        <v>13437</v>
      </c>
      <c r="C1737" s="34" t="s">
        <v>12707</v>
      </c>
      <c r="D1737" s="44" t="s">
        <v>10681</v>
      </c>
      <c r="E1737" s="31"/>
      <c r="F1737" s="31" t="s">
        <v>8273</v>
      </c>
      <c r="G1737" s="31" t="n">
        <v>70</v>
      </c>
      <c r="H1737" s="31" t="s">
        <v>7168</v>
      </c>
      <c r="I1737" s="44" t="s">
        <v>8222</v>
      </c>
      <c r="J1737" s="45" t="s">
        <v>8275</v>
      </c>
      <c r="K1737" s="45" t="s">
        <v>8277</v>
      </c>
      <c r="L1737" s="31" t="n">
        <f aca="false">COUNTIF($B$3:$B$2205,$B1737)</f>
        <v>1</v>
      </c>
      <c r="M1737" s="44" t="str">
        <f aca="false">IFERROR(INDEX(SENTENCES!$T$3:$T$1802,MATCH($F1737,SENTENCES!$A$3:$A$1802,0)),"")</f>
        <v>• Chưa tới</v>
      </c>
    </row>
    <row r="1738" customFormat="false" ht="15" hidden="false" customHeight="false" outlineLevel="0" collapsed="false">
      <c r="A1738" s="31" t="n">
        <v>1736</v>
      </c>
      <c r="B1738" s="43" t="s">
        <v>13438</v>
      </c>
      <c r="C1738" s="34" t="s">
        <v>11274</v>
      </c>
      <c r="D1738" s="44" t="s">
        <v>10686</v>
      </c>
      <c r="E1738" s="31"/>
      <c r="F1738" s="31" t="s">
        <v>8273</v>
      </c>
      <c r="G1738" s="31" t="n">
        <v>70</v>
      </c>
      <c r="H1738" s="31" t="s">
        <v>7168</v>
      </c>
      <c r="I1738" s="44" t="s">
        <v>8222</v>
      </c>
      <c r="J1738" s="45" t="s">
        <v>8275</v>
      </c>
      <c r="K1738" s="45" t="s">
        <v>8277</v>
      </c>
      <c r="L1738" s="31" t="n">
        <f aca="false">COUNTIF($B$3:$B$2205,$B1738)</f>
        <v>1</v>
      </c>
      <c r="M1738" s="44" t="str">
        <f aca="false">IFERROR(INDEX(SENTENCES!$T$3:$T$1802,MATCH($F1738,SENTENCES!$A$3:$A$1802,0)),"")</f>
        <v>• Chưa tới</v>
      </c>
    </row>
    <row r="1739" customFormat="false" ht="15" hidden="false" customHeight="false" outlineLevel="0" collapsed="false">
      <c r="A1739" s="31" t="n">
        <v>1737</v>
      </c>
      <c r="B1739" s="43" t="s">
        <v>13439</v>
      </c>
      <c r="C1739" s="34" t="s">
        <v>13440</v>
      </c>
      <c r="D1739" s="44" t="s">
        <v>10681</v>
      </c>
      <c r="E1739" s="31"/>
      <c r="F1739" s="31" t="s">
        <v>8279</v>
      </c>
      <c r="G1739" s="31" t="n">
        <v>70</v>
      </c>
      <c r="H1739" s="31" t="s">
        <v>7168</v>
      </c>
      <c r="I1739" s="44" t="s">
        <v>8222</v>
      </c>
      <c r="J1739" s="45" t="s">
        <v>8281</v>
      </c>
      <c r="K1739" s="45" t="s">
        <v>8283</v>
      </c>
      <c r="L1739" s="31" t="n">
        <f aca="false">COUNTIF($B$3:$B$2205,$B1739)</f>
        <v>1</v>
      </c>
      <c r="M1739" s="44" t="str">
        <f aca="false">IFERROR(INDEX(SENTENCES!$T$3:$T$1802,MATCH($F1739,SENTENCES!$A$3:$A$1802,0)),"")</f>
        <v>• Chưa tới</v>
      </c>
    </row>
    <row r="1740" customFormat="false" ht="15" hidden="false" customHeight="false" outlineLevel="0" collapsed="false">
      <c r="A1740" s="31" t="n">
        <v>1738</v>
      </c>
      <c r="B1740" s="43" t="s">
        <v>13441</v>
      </c>
      <c r="C1740" s="34" t="s">
        <v>13442</v>
      </c>
      <c r="D1740" s="44" t="s">
        <v>10677</v>
      </c>
      <c r="E1740" s="31" t="s">
        <v>10678</v>
      </c>
      <c r="F1740" s="31" t="s">
        <v>8285</v>
      </c>
      <c r="G1740" s="31" t="n">
        <v>70</v>
      </c>
      <c r="H1740" s="31" t="s">
        <v>7168</v>
      </c>
      <c r="I1740" s="44" t="s">
        <v>8222</v>
      </c>
      <c r="J1740" s="45" t="s">
        <v>8287</v>
      </c>
      <c r="K1740" s="45" t="s">
        <v>8289</v>
      </c>
      <c r="L1740" s="31" t="n">
        <f aca="false">COUNTIF($B$3:$B$2205,$B1740)</f>
        <v>1</v>
      </c>
      <c r="M1740" s="44" t="str">
        <f aca="false">IFERROR(INDEX(SENTENCES!$T$3:$T$1802,MATCH($F1740,SENTENCES!$A$3:$A$1802,0)),"")</f>
        <v>• Chưa tới</v>
      </c>
    </row>
    <row r="1741" customFormat="false" ht="15" hidden="false" customHeight="false" outlineLevel="0" collapsed="false">
      <c r="A1741" s="31" t="n">
        <v>1739</v>
      </c>
      <c r="B1741" s="43" t="s">
        <v>13443</v>
      </c>
      <c r="C1741" s="34" t="s">
        <v>13444</v>
      </c>
      <c r="D1741" s="44" t="s">
        <v>10677</v>
      </c>
      <c r="E1741" s="31" t="s">
        <v>10747</v>
      </c>
      <c r="F1741" s="31" t="s">
        <v>8291</v>
      </c>
      <c r="G1741" s="31" t="n">
        <v>70</v>
      </c>
      <c r="H1741" s="31" t="s">
        <v>7168</v>
      </c>
      <c r="I1741" s="44" t="s">
        <v>8222</v>
      </c>
      <c r="J1741" s="45" t="s">
        <v>8293</v>
      </c>
      <c r="K1741" s="45" t="s">
        <v>8295</v>
      </c>
      <c r="L1741" s="31" t="n">
        <f aca="false">COUNTIF($B$3:$B$2205,$B1741)</f>
        <v>1</v>
      </c>
      <c r="M1741" s="44" t="str">
        <f aca="false">IFERROR(INDEX(SENTENCES!$T$3:$T$1802,MATCH($F1741,SENTENCES!$A$3:$A$1802,0)),"")</f>
        <v>• Chưa tới</v>
      </c>
    </row>
    <row r="1742" customFormat="false" ht="15" hidden="false" customHeight="false" outlineLevel="0" collapsed="false">
      <c r="A1742" s="31" t="n">
        <v>1740</v>
      </c>
      <c r="B1742" s="43" t="s">
        <v>13445</v>
      </c>
      <c r="C1742" s="34" t="s">
        <v>13446</v>
      </c>
      <c r="D1742" s="44" t="s">
        <v>10686</v>
      </c>
      <c r="E1742" s="31"/>
      <c r="F1742" s="31" t="s">
        <v>8297</v>
      </c>
      <c r="G1742" s="31" t="n">
        <v>70</v>
      </c>
      <c r="H1742" s="31" t="s">
        <v>7168</v>
      </c>
      <c r="I1742" s="44" t="s">
        <v>8222</v>
      </c>
      <c r="J1742" s="45" t="s">
        <v>8299</v>
      </c>
      <c r="K1742" s="45" t="s">
        <v>8301</v>
      </c>
      <c r="L1742" s="31" t="n">
        <f aca="false">COUNTIF($B$3:$B$2205,$B1742)</f>
        <v>1</v>
      </c>
      <c r="M1742" s="44" t="str">
        <f aca="false">IFERROR(INDEX(SENTENCES!$T$3:$T$1802,MATCH($F1742,SENTENCES!$A$3:$A$1802,0)),"")</f>
        <v>• Chưa tới</v>
      </c>
    </row>
    <row r="1743" customFormat="false" ht="15" hidden="false" customHeight="false" outlineLevel="0" collapsed="false">
      <c r="A1743" s="31" t="n">
        <v>1741</v>
      </c>
      <c r="B1743" s="43" t="s">
        <v>13447</v>
      </c>
      <c r="C1743" s="34" t="s">
        <v>13448</v>
      </c>
      <c r="D1743" s="44" t="s">
        <v>10677</v>
      </c>
      <c r="E1743" s="31" t="s">
        <v>10707</v>
      </c>
      <c r="F1743" s="31" t="s">
        <v>8303</v>
      </c>
      <c r="G1743" s="31" t="n">
        <v>70</v>
      </c>
      <c r="H1743" s="31" t="s">
        <v>7168</v>
      </c>
      <c r="I1743" s="44" t="s">
        <v>8222</v>
      </c>
      <c r="J1743" s="45" t="s">
        <v>8305</v>
      </c>
      <c r="K1743" s="45" t="s">
        <v>8307</v>
      </c>
      <c r="L1743" s="31" t="n">
        <f aca="false">COUNTIF($B$3:$B$2205,$B1743)</f>
        <v>1</v>
      </c>
      <c r="M1743" s="44" t="str">
        <f aca="false">IFERROR(INDEX(SENTENCES!$T$3:$T$1802,MATCH($F1743,SENTENCES!$A$3:$A$1802,0)),"")</f>
        <v>• Chưa tới</v>
      </c>
    </row>
    <row r="1744" customFormat="false" ht="15" hidden="false" customHeight="false" outlineLevel="0" collapsed="false">
      <c r="A1744" s="31" t="n">
        <v>1742</v>
      </c>
      <c r="B1744" s="43" t="s">
        <v>13449</v>
      </c>
      <c r="C1744" s="34" t="s">
        <v>13450</v>
      </c>
      <c r="D1744" s="44" t="s">
        <v>10677</v>
      </c>
      <c r="E1744" s="31" t="s">
        <v>10707</v>
      </c>
      <c r="F1744" s="31" t="s">
        <v>8309</v>
      </c>
      <c r="G1744" s="31" t="n">
        <v>70</v>
      </c>
      <c r="H1744" s="31" t="s">
        <v>7168</v>
      </c>
      <c r="I1744" s="44" t="s">
        <v>8222</v>
      </c>
      <c r="J1744" s="45" t="s">
        <v>8311</v>
      </c>
      <c r="K1744" s="45" t="s">
        <v>8313</v>
      </c>
      <c r="L1744" s="31" t="n">
        <f aca="false">COUNTIF($B$3:$B$2205,$B1744)</f>
        <v>1</v>
      </c>
      <c r="M1744" s="44" t="str">
        <f aca="false">IFERROR(INDEX(SENTENCES!$T$3:$T$1802,MATCH($F1744,SENTENCES!$A$3:$A$1802,0)),"")</f>
        <v>• Chưa tới</v>
      </c>
    </row>
    <row r="1745" customFormat="false" ht="15" hidden="false" customHeight="false" outlineLevel="0" collapsed="false">
      <c r="A1745" s="31" t="n">
        <v>1743</v>
      </c>
      <c r="B1745" s="43" t="s">
        <v>13451</v>
      </c>
      <c r="C1745" s="34" t="s">
        <v>13452</v>
      </c>
      <c r="D1745" s="44" t="s">
        <v>10686</v>
      </c>
      <c r="E1745" s="31"/>
      <c r="F1745" s="31" t="s">
        <v>8309</v>
      </c>
      <c r="G1745" s="31" t="n">
        <v>70</v>
      </c>
      <c r="H1745" s="31" t="s">
        <v>7168</v>
      </c>
      <c r="I1745" s="44" t="s">
        <v>8222</v>
      </c>
      <c r="J1745" s="45" t="s">
        <v>8311</v>
      </c>
      <c r="K1745" s="45" t="s">
        <v>8313</v>
      </c>
      <c r="L1745" s="31" t="n">
        <f aca="false">COUNTIF($B$3:$B$2205,$B1745)</f>
        <v>1</v>
      </c>
      <c r="M1745" s="44" t="str">
        <f aca="false">IFERROR(INDEX(SENTENCES!$T$3:$T$1802,MATCH($F1745,SENTENCES!$A$3:$A$1802,0)),"")</f>
        <v>• Chưa tới</v>
      </c>
    </row>
    <row r="1746" customFormat="false" ht="15" hidden="false" customHeight="false" outlineLevel="0" collapsed="false">
      <c r="A1746" s="31" t="n">
        <v>1744</v>
      </c>
      <c r="B1746" s="43" t="s">
        <v>13453</v>
      </c>
      <c r="C1746" s="34" t="s">
        <v>13454</v>
      </c>
      <c r="D1746" s="44" t="s">
        <v>10686</v>
      </c>
      <c r="E1746" s="31"/>
      <c r="F1746" s="31" t="s">
        <v>8315</v>
      </c>
      <c r="G1746" s="31" t="n">
        <v>70</v>
      </c>
      <c r="H1746" s="31" t="s">
        <v>7168</v>
      </c>
      <c r="I1746" s="44" t="s">
        <v>8222</v>
      </c>
      <c r="J1746" s="45" t="s">
        <v>8317</v>
      </c>
      <c r="K1746" s="45" t="s">
        <v>8319</v>
      </c>
      <c r="L1746" s="31" t="n">
        <f aca="false">COUNTIF($B$3:$B$2205,$B1746)</f>
        <v>1</v>
      </c>
      <c r="M1746" s="44" t="str">
        <f aca="false">IFERROR(INDEX(SENTENCES!$T$3:$T$1802,MATCH($F1746,SENTENCES!$A$3:$A$1802,0)),"")</f>
        <v>• Chưa tới</v>
      </c>
    </row>
    <row r="1747" customFormat="false" ht="15" hidden="false" customHeight="false" outlineLevel="0" collapsed="false">
      <c r="A1747" s="31" t="n">
        <v>1745</v>
      </c>
      <c r="B1747" s="43" t="s">
        <v>13455</v>
      </c>
      <c r="C1747" s="34" t="s">
        <v>13456</v>
      </c>
      <c r="D1747" s="44" t="s">
        <v>10681</v>
      </c>
      <c r="E1747" s="31"/>
      <c r="F1747" s="31" t="s">
        <v>8320</v>
      </c>
      <c r="G1747" s="31" t="n">
        <v>70</v>
      </c>
      <c r="H1747" s="31" t="s">
        <v>7168</v>
      </c>
      <c r="I1747" s="44" t="s">
        <v>8222</v>
      </c>
      <c r="J1747" s="45" t="s">
        <v>8322</v>
      </c>
      <c r="K1747" s="45" t="s">
        <v>8324</v>
      </c>
      <c r="L1747" s="31" t="n">
        <f aca="false">COUNTIF($B$3:$B$2205,$B1747)</f>
        <v>1</v>
      </c>
      <c r="M1747" s="44" t="str">
        <f aca="false">IFERROR(INDEX(SENTENCES!$T$3:$T$1802,MATCH($F1747,SENTENCES!$A$3:$A$1802,0)),"")</f>
        <v>• Chưa tới</v>
      </c>
    </row>
    <row r="1748" customFormat="false" ht="15" hidden="false" customHeight="false" outlineLevel="0" collapsed="false">
      <c r="A1748" s="31" t="n">
        <v>1746</v>
      </c>
      <c r="B1748" s="43" t="s">
        <v>13457</v>
      </c>
      <c r="C1748" s="34" t="s">
        <v>13458</v>
      </c>
      <c r="D1748" s="44" t="s">
        <v>10677</v>
      </c>
      <c r="E1748" s="31" t="s">
        <v>10707</v>
      </c>
      <c r="F1748" s="31" t="s">
        <v>8325</v>
      </c>
      <c r="G1748" s="31" t="n">
        <v>70</v>
      </c>
      <c r="H1748" s="31" t="s">
        <v>7168</v>
      </c>
      <c r="I1748" s="44" t="s">
        <v>8222</v>
      </c>
      <c r="J1748" s="45" t="s">
        <v>8327</v>
      </c>
      <c r="K1748" s="45" t="s">
        <v>8329</v>
      </c>
      <c r="L1748" s="31" t="n">
        <f aca="false">COUNTIF($B$3:$B$2205,$B1748)</f>
        <v>1</v>
      </c>
      <c r="M1748" s="44" t="str">
        <f aca="false">IFERROR(INDEX(SENTENCES!$T$3:$T$1802,MATCH($F1748,SENTENCES!$A$3:$A$1802,0)),"")</f>
        <v>• Chưa tới</v>
      </c>
    </row>
    <row r="1749" customFormat="false" ht="15" hidden="false" customHeight="false" outlineLevel="0" collapsed="false">
      <c r="A1749" s="31" t="n">
        <v>1747</v>
      </c>
      <c r="B1749" s="43" t="s">
        <v>8332</v>
      </c>
      <c r="C1749" s="34" t="s">
        <v>13459</v>
      </c>
      <c r="D1749" s="44" t="s">
        <v>10794</v>
      </c>
      <c r="E1749" s="31"/>
      <c r="F1749" s="31" t="s">
        <v>8331</v>
      </c>
      <c r="G1749" s="31" t="n">
        <v>70</v>
      </c>
      <c r="H1749" s="31" t="s">
        <v>7168</v>
      </c>
      <c r="I1749" s="44" t="s">
        <v>8222</v>
      </c>
      <c r="J1749" s="45" t="s">
        <v>8333</v>
      </c>
      <c r="K1749" s="45" t="s">
        <v>8335</v>
      </c>
      <c r="L1749" s="31" t="n">
        <f aca="false">COUNTIF($B$3:$B$2205,$B1749)</f>
        <v>1</v>
      </c>
      <c r="M1749" s="44" t="str">
        <f aca="false">IFERROR(INDEX(SENTENCES!$T$3:$T$1802,MATCH($F1749,SENTENCES!$A$3:$A$1802,0)),"")</f>
        <v>• Chưa tới</v>
      </c>
    </row>
    <row r="1750" customFormat="false" ht="15" hidden="false" customHeight="false" outlineLevel="0" collapsed="false">
      <c r="A1750" s="31" t="n">
        <v>1748</v>
      </c>
      <c r="B1750" s="43" t="s">
        <v>13460</v>
      </c>
      <c r="C1750" s="34" t="s">
        <v>13461</v>
      </c>
      <c r="D1750" s="44" t="s">
        <v>10677</v>
      </c>
      <c r="E1750" s="31" t="s">
        <v>10678</v>
      </c>
      <c r="F1750" s="31" t="s">
        <v>8337</v>
      </c>
      <c r="G1750" s="31" t="n">
        <v>71</v>
      </c>
      <c r="H1750" s="31" t="s">
        <v>7168</v>
      </c>
      <c r="I1750" s="44" t="s">
        <v>8338</v>
      </c>
      <c r="J1750" s="45" t="s">
        <v>8340</v>
      </c>
      <c r="K1750" s="45" t="s">
        <v>8342</v>
      </c>
      <c r="L1750" s="31" t="n">
        <f aca="false">COUNTIF($B$3:$B$2205,$B1750)</f>
        <v>1</v>
      </c>
      <c r="M1750" s="44" t="str">
        <f aca="false">IFERROR(INDEX(SENTENCES!$T$3:$T$1802,MATCH($F1750,SENTENCES!$A$3:$A$1802,0)),"")</f>
        <v>• Chưa tới</v>
      </c>
    </row>
    <row r="1751" customFormat="false" ht="15" hidden="false" customHeight="false" outlineLevel="0" collapsed="false">
      <c r="A1751" s="31" t="n">
        <v>1749</v>
      </c>
      <c r="B1751" s="43" t="s">
        <v>13462</v>
      </c>
      <c r="C1751" s="34" t="s">
        <v>13463</v>
      </c>
      <c r="D1751" s="44" t="s">
        <v>10677</v>
      </c>
      <c r="E1751" s="31" t="s">
        <v>10678</v>
      </c>
      <c r="F1751" s="31" t="s">
        <v>8344</v>
      </c>
      <c r="G1751" s="31" t="n">
        <v>71</v>
      </c>
      <c r="H1751" s="31" t="s">
        <v>7168</v>
      </c>
      <c r="I1751" s="44" t="s">
        <v>8338</v>
      </c>
      <c r="J1751" s="45" t="s">
        <v>8346</v>
      </c>
      <c r="K1751" s="45" t="s">
        <v>8348</v>
      </c>
      <c r="L1751" s="31" t="n">
        <f aca="false">COUNTIF($B$3:$B$2205,$B1751)</f>
        <v>1</v>
      </c>
      <c r="M1751" s="44" t="str">
        <f aca="false">IFERROR(INDEX(SENTENCES!$T$3:$T$1802,MATCH($F1751,SENTENCES!$A$3:$A$1802,0)),"")</f>
        <v>• Chưa tới</v>
      </c>
    </row>
    <row r="1752" customFormat="false" ht="15" hidden="false" customHeight="false" outlineLevel="0" collapsed="false">
      <c r="A1752" s="31" t="n">
        <v>1750</v>
      </c>
      <c r="B1752" s="43" t="s">
        <v>13255</v>
      </c>
      <c r="C1752" s="34" t="s">
        <v>13464</v>
      </c>
      <c r="D1752" s="44" t="s">
        <v>10686</v>
      </c>
      <c r="E1752" s="31"/>
      <c r="F1752" s="31" t="s">
        <v>8344</v>
      </c>
      <c r="G1752" s="31" t="n">
        <v>71</v>
      </c>
      <c r="H1752" s="31" t="s">
        <v>7168</v>
      </c>
      <c r="I1752" s="44" t="s">
        <v>8338</v>
      </c>
      <c r="J1752" s="45" t="s">
        <v>8346</v>
      </c>
      <c r="K1752" s="45" t="s">
        <v>8348</v>
      </c>
      <c r="L1752" s="31" t="n">
        <f aca="false">COUNTIF($B$3:$B$2205,$B1752)</f>
        <v>2</v>
      </c>
      <c r="M1752" s="44" t="str">
        <f aca="false">IFERROR(INDEX(SENTENCES!$T$3:$T$1802,MATCH($F1752,SENTENCES!$A$3:$A$1802,0)),"")</f>
        <v>• Chưa tới</v>
      </c>
    </row>
    <row r="1753" customFormat="false" ht="15" hidden="false" customHeight="false" outlineLevel="0" collapsed="false">
      <c r="A1753" s="31" t="n">
        <v>1751</v>
      </c>
      <c r="B1753" s="43" t="s">
        <v>13465</v>
      </c>
      <c r="C1753" s="34" t="s">
        <v>13466</v>
      </c>
      <c r="D1753" s="44" t="s">
        <v>10681</v>
      </c>
      <c r="E1753" s="31"/>
      <c r="F1753" s="31" t="s">
        <v>8350</v>
      </c>
      <c r="G1753" s="31" t="n">
        <v>71</v>
      </c>
      <c r="H1753" s="31" t="s">
        <v>7168</v>
      </c>
      <c r="I1753" s="44" t="s">
        <v>8338</v>
      </c>
      <c r="J1753" s="45" t="s">
        <v>8352</v>
      </c>
      <c r="K1753" s="45" t="s">
        <v>8354</v>
      </c>
      <c r="L1753" s="31" t="n">
        <f aca="false">COUNTIF($B$3:$B$2205,$B1753)</f>
        <v>1</v>
      </c>
      <c r="M1753" s="44" t="str">
        <f aca="false">IFERROR(INDEX(SENTENCES!$T$3:$T$1802,MATCH($F1753,SENTENCES!$A$3:$A$1802,0)),"")</f>
        <v>• Chưa tới</v>
      </c>
    </row>
    <row r="1754" customFormat="false" ht="15" hidden="false" customHeight="false" outlineLevel="0" collapsed="false">
      <c r="A1754" s="31" t="n">
        <v>1752</v>
      </c>
      <c r="B1754" s="43" t="s">
        <v>13467</v>
      </c>
      <c r="C1754" s="34" t="s">
        <v>13468</v>
      </c>
      <c r="D1754" s="44" t="s">
        <v>10677</v>
      </c>
      <c r="E1754" s="31" t="s">
        <v>10707</v>
      </c>
      <c r="F1754" s="31" t="s">
        <v>8350</v>
      </c>
      <c r="G1754" s="31" t="n">
        <v>71</v>
      </c>
      <c r="H1754" s="31" t="s">
        <v>7168</v>
      </c>
      <c r="I1754" s="44" t="s">
        <v>8338</v>
      </c>
      <c r="J1754" s="45" t="s">
        <v>8352</v>
      </c>
      <c r="K1754" s="45" t="s">
        <v>8354</v>
      </c>
      <c r="L1754" s="31" t="n">
        <f aca="false">COUNTIF($B$3:$B$2205,$B1754)</f>
        <v>1</v>
      </c>
      <c r="M1754" s="44" t="str">
        <f aca="false">IFERROR(INDEX(SENTENCES!$T$3:$T$1802,MATCH($F1754,SENTENCES!$A$3:$A$1802,0)),"")</f>
        <v>• Chưa tới</v>
      </c>
    </row>
    <row r="1755" customFormat="false" ht="15" hidden="false" customHeight="false" outlineLevel="0" collapsed="false">
      <c r="A1755" s="31" t="n">
        <v>1753</v>
      </c>
      <c r="B1755" s="43" t="s">
        <v>13469</v>
      </c>
      <c r="C1755" s="34" t="s">
        <v>13470</v>
      </c>
      <c r="D1755" s="44" t="s">
        <v>10677</v>
      </c>
      <c r="E1755" s="31" t="s">
        <v>10678</v>
      </c>
      <c r="F1755" s="31" t="s">
        <v>8356</v>
      </c>
      <c r="G1755" s="31" t="n">
        <v>71</v>
      </c>
      <c r="H1755" s="31" t="s">
        <v>7168</v>
      </c>
      <c r="I1755" s="44" t="s">
        <v>8338</v>
      </c>
      <c r="J1755" s="45" t="s">
        <v>8358</v>
      </c>
      <c r="K1755" s="45" t="s">
        <v>8360</v>
      </c>
      <c r="L1755" s="31" t="n">
        <f aca="false">COUNTIF($B$3:$B$2205,$B1755)</f>
        <v>1</v>
      </c>
      <c r="M1755" s="44" t="str">
        <f aca="false">IFERROR(INDEX(SENTENCES!$T$3:$T$1802,MATCH($F1755,SENTENCES!$A$3:$A$1802,0)),"")</f>
        <v>• Chưa tới</v>
      </c>
    </row>
    <row r="1756" customFormat="false" ht="15" hidden="false" customHeight="false" outlineLevel="0" collapsed="false">
      <c r="A1756" s="31" t="n">
        <v>1754</v>
      </c>
      <c r="B1756" s="43" t="s">
        <v>13471</v>
      </c>
      <c r="C1756" s="34" t="s">
        <v>13472</v>
      </c>
      <c r="D1756" s="44" t="s">
        <v>10686</v>
      </c>
      <c r="E1756" s="31"/>
      <c r="F1756" s="31" t="s">
        <v>8356</v>
      </c>
      <c r="G1756" s="31" t="n">
        <v>71</v>
      </c>
      <c r="H1756" s="31" t="s">
        <v>7168</v>
      </c>
      <c r="I1756" s="44" t="s">
        <v>8338</v>
      </c>
      <c r="J1756" s="45" t="s">
        <v>8358</v>
      </c>
      <c r="K1756" s="45" t="s">
        <v>8360</v>
      </c>
      <c r="L1756" s="31" t="n">
        <f aca="false">COUNTIF($B$3:$B$2205,$B1756)</f>
        <v>1</v>
      </c>
      <c r="M1756" s="44" t="str">
        <f aca="false">IFERROR(INDEX(SENTENCES!$T$3:$T$1802,MATCH($F1756,SENTENCES!$A$3:$A$1802,0)),"")</f>
        <v>• Chưa tới</v>
      </c>
    </row>
    <row r="1757" customFormat="false" ht="15" hidden="false" customHeight="false" outlineLevel="0" collapsed="false">
      <c r="A1757" s="31" t="n">
        <v>1755</v>
      </c>
      <c r="B1757" s="43" t="s">
        <v>13473</v>
      </c>
      <c r="C1757" s="34" t="s">
        <v>13474</v>
      </c>
      <c r="D1757" s="44" t="s">
        <v>10686</v>
      </c>
      <c r="E1757" s="31"/>
      <c r="F1757" s="31" t="s">
        <v>8362</v>
      </c>
      <c r="G1757" s="31" t="n">
        <v>71</v>
      </c>
      <c r="H1757" s="31" t="s">
        <v>7168</v>
      </c>
      <c r="I1757" s="44" t="s">
        <v>8338</v>
      </c>
      <c r="J1757" s="45" t="s">
        <v>8364</v>
      </c>
      <c r="K1757" s="45" t="s">
        <v>8366</v>
      </c>
      <c r="L1757" s="31" t="n">
        <f aca="false">COUNTIF($B$3:$B$2205,$B1757)</f>
        <v>1</v>
      </c>
      <c r="M1757" s="44" t="str">
        <f aca="false">IFERROR(INDEX(SENTENCES!$T$3:$T$1802,MATCH($F1757,SENTENCES!$A$3:$A$1802,0)),"")</f>
        <v>• Chưa tới</v>
      </c>
    </row>
    <row r="1758" customFormat="false" ht="15" hidden="false" customHeight="false" outlineLevel="0" collapsed="false">
      <c r="A1758" s="31" t="n">
        <v>1756</v>
      </c>
      <c r="B1758" s="43" t="s">
        <v>13475</v>
      </c>
      <c r="C1758" s="34" t="s">
        <v>13476</v>
      </c>
      <c r="D1758" s="44" t="s">
        <v>10677</v>
      </c>
      <c r="E1758" s="31" t="s">
        <v>10707</v>
      </c>
      <c r="F1758" s="31" t="s">
        <v>8368</v>
      </c>
      <c r="G1758" s="31" t="n">
        <v>71</v>
      </c>
      <c r="H1758" s="31" t="s">
        <v>7168</v>
      </c>
      <c r="I1758" s="44" t="s">
        <v>8338</v>
      </c>
      <c r="J1758" s="45" t="s">
        <v>8370</v>
      </c>
      <c r="K1758" s="45" t="s">
        <v>8372</v>
      </c>
      <c r="L1758" s="31" t="n">
        <f aca="false">COUNTIF($B$3:$B$2205,$B1758)</f>
        <v>1</v>
      </c>
      <c r="M1758" s="44" t="str">
        <f aca="false">IFERROR(INDEX(SENTENCES!$T$3:$T$1802,MATCH($F1758,SENTENCES!$A$3:$A$1802,0)),"")</f>
        <v>• Chưa tới</v>
      </c>
    </row>
    <row r="1759" customFormat="false" ht="15" hidden="false" customHeight="false" outlineLevel="0" collapsed="false">
      <c r="A1759" s="31" t="n">
        <v>1757</v>
      </c>
      <c r="B1759" s="43" t="s">
        <v>13477</v>
      </c>
      <c r="C1759" s="34" t="s">
        <v>13478</v>
      </c>
      <c r="D1759" s="44" t="s">
        <v>10681</v>
      </c>
      <c r="E1759" s="31"/>
      <c r="F1759" s="31" t="s">
        <v>8368</v>
      </c>
      <c r="G1759" s="31" t="n">
        <v>71</v>
      </c>
      <c r="H1759" s="31" t="s">
        <v>7168</v>
      </c>
      <c r="I1759" s="44" t="s">
        <v>8338</v>
      </c>
      <c r="J1759" s="45" t="s">
        <v>8370</v>
      </c>
      <c r="K1759" s="45" t="s">
        <v>8372</v>
      </c>
      <c r="L1759" s="31" t="n">
        <f aca="false">COUNTIF($B$3:$B$2205,$B1759)</f>
        <v>1</v>
      </c>
      <c r="M1759" s="44" t="str">
        <f aca="false">IFERROR(INDEX(SENTENCES!$T$3:$T$1802,MATCH($F1759,SENTENCES!$A$3:$A$1802,0)),"")</f>
        <v>• Chưa tới</v>
      </c>
    </row>
    <row r="1760" customFormat="false" ht="15" hidden="false" customHeight="false" outlineLevel="0" collapsed="false">
      <c r="A1760" s="31" t="n">
        <v>1758</v>
      </c>
      <c r="B1760" s="43" t="s">
        <v>13479</v>
      </c>
      <c r="C1760" s="34" t="s">
        <v>13480</v>
      </c>
      <c r="D1760" s="44" t="s">
        <v>10686</v>
      </c>
      <c r="E1760" s="31"/>
      <c r="F1760" s="31" t="s">
        <v>8374</v>
      </c>
      <c r="G1760" s="31" t="n">
        <v>71</v>
      </c>
      <c r="H1760" s="31" t="s">
        <v>7168</v>
      </c>
      <c r="I1760" s="44" t="s">
        <v>8338</v>
      </c>
      <c r="J1760" s="45" t="s">
        <v>8376</v>
      </c>
      <c r="K1760" s="45" t="s">
        <v>8378</v>
      </c>
      <c r="L1760" s="31" t="n">
        <f aca="false">COUNTIF($B$3:$B$2205,$B1760)</f>
        <v>1</v>
      </c>
      <c r="M1760" s="44" t="str">
        <f aca="false">IFERROR(INDEX(SENTENCES!$T$3:$T$1802,MATCH($F1760,SENTENCES!$A$3:$A$1802,0)),"")</f>
        <v>• Chưa tới</v>
      </c>
    </row>
    <row r="1761" customFormat="false" ht="15" hidden="false" customHeight="false" outlineLevel="0" collapsed="false">
      <c r="A1761" s="31" t="n">
        <v>1759</v>
      </c>
      <c r="B1761" s="43" t="s">
        <v>13481</v>
      </c>
      <c r="C1761" s="34" t="s">
        <v>13482</v>
      </c>
      <c r="D1761" s="44" t="s">
        <v>10677</v>
      </c>
      <c r="E1761" s="31" t="s">
        <v>10678</v>
      </c>
      <c r="F1761" s="31" t="s">
        <v>8380</v>
      </c>
      <c r="G1761" s="31" t="n">
        <v>71</v>
      </c>
      <c r="H1761" s="31" t="s">
        <v>7168</v>
      </c>
      <c r="I1761" s="44" t="s">
        <v>8338</v>
      </c>
      <c r="J1761" s="45" t="s">
        <v>8382</v>
      </c>
      <c r="K1761" s="45" t="s">
        <v>8384</v>
      </c>
      <c r="L1761" s="31" t="n">
        <f aca="false">COUNTIF($B$3:$B$2205,$B1761)</f>
        <v>1</v>
      </c>
      <c r="M1761" s="44" t="str">
        <f aca="false">IFERROR(INDEX(SENTENCES!$T$3:$T$1802,MATCH($F1761,SENTENCES!$A$3:$A$1802,0)),"")</f>
        <v>• Chưa tới</v>
      </c>
    </row>
    <row r="1762" customFormat="false" ht="15" hidden="false" customHeight="false" outlineLevel="0" collapsed="false">
      <c r="A1762" s="31" t="n">
        <v>1760</v>
      </c>
      <c r="B1762" s="43" t="s">
        <v>13483</v>
      </c>
      <c r="C1762" s="34" t="s">
        <v>13484</v>
      </c>
      <c r="D1762" s="44" t="s">
        <v>10686</v>
      </c>
      <c r="E1762" s="31"/>
      <c r="F1762" s="31" t="s">
        <v>8380</v>
      </c>
      <c r="G1762" s="31" t="n">
        <v>71</v>
      </c>
      <c r="H1762" s="31" t="s">
        <v>7168</v>
      </c>
      <c r="I1762" s="44" t="s">
        <v>8338</v>
      </c>
      <c r="J1762" s="45" t="s">
        <v>8382</v>
      </c>
      <c r="K1762" s="45" t="s">
        <v>8384</v>
      </c>
      <c r="L1762" s="31" t="n">
        <f aca="false">COUNTIF($B$3:$B$2205,$B1762)</f>
        <v>1</v>
      </c>
      <c r="M1762" s="44" t="str">
        <f aca="false">IFERROR(INDEX(SENTENCES!$T$3:$T$1802,MATCH($F1762,SENTENCES!$A$3:$A$1802,0)),"")</f>
        <v>• Chưa tới</v>
      </c>
    </row>
    <row r="1763" customFormat="false" ht="22.35" hidden="false" customHeight="false" outlineLevel="0" collapsed="false">
      <c r="A1763" s="31" t="n">
        <v>1761</v>
      </c>
      <c r="B1763" s="43" t="s">
        <v>13485</v>
      </c>
      <c r="C1763" s="34" t="s">
        <v>13486</v>
      </c>
      <c r="D1763" s="44" t="s">
        <v>10677</v>
      </c>
      <c r="E1763" s="31" t="s">
        <v>10707</v>
      </c>
      <c r="F1763" s="31" t="s">
        <v>8386</v>
      </c>
      <c r="G1763" s="31" t="n">
        <v>71</v>
      </c>
      <c r="H1763" s="31" t="s">
        <v>7168</v>
      </c>
      <c r="I1763" s="44" t="s">
        <v>8338</v>
      </c>
      <c r="J1763" s="45" t="s">
        <v>8387</v>
      </c>
      <c r="K1763" s="45" t="s">
        <v>8389</v>
      </c>
      <c r="L1763" s="31" t="n">
        <f aca="false">COUNTIF($B$3:$B$2205,$B1763)</f>
        <v>1</v>
      </c>
      <c r="M1763" s="44" t="str">
        <f aca="false">IFERROR(INDEX(SENTENCES!$T$3:$T$1802,MATCH($F1763,SENTENCES!$A$3:$A$1802,0)),"")</f>
        <v>• Chưa tới</v>
      </c>
    </row>
    <row r="1764" customFormat="false" ht="22.35" hidden="false" customHeight="false" outlineLevel="0" collapsed="false">
      <c r="A1764" s="31" t="n">
        <v>1762</v>
      </c>
      <c r="B1764" s="43" t="s">
        <v>13487</v>
      </c>
      <c r="C1764" s="34" t="s">
        <v>13488</v>
      </c>
      <c r="D1764" s="44" t="s">
        <v>10677</v>
      </c>
      <c r="E1764" s="31" t="s">
        <v>10707</v>
      </c>
      <c r="F1764" s="31" t="s">
        <v>8391</v>
      </c>
      <c r="G1764" s="31" t="n">
        <v>71</v>
      </c>
      <c r="H1764" s="31" t="s">
        <v>7168</v>
      </c>
      <c r="I1764" s="44" t="s">
        <v>8338</v>
      </c>
      <c r="J1764" s="45" t="s">
        <v>8393</v>
      </c>
      <c r="K1764" s="45" t="s">
        <v>8395</v>
      </c>
      <c r="L1764" s="31" t="n">
        <f aca="false">COUNTIF($B$3:$B$2205,$B1764)</f>
        <v>1</v>
      </c>
      <c r="M1764" s="44" t="str">
        <f aca="false">IFERROR(INDEX(SENTENCES!$T$3:$T$1802,MATCH($F1764,SENTENCES!$A$3:$A$1802,0)),"")</f>
        <v>• Chưa tới</v>
      </c>
    </row>
    <row r="1765" customFormat="false" ht="15" hidden="false" customHeight="false" outlineLevel="0" collapsed="false">
      <c r="A1765" s="31" t="n">
        <v>1763</v>
      </c>
      <c r="B1765" s="43" t="s">
        <v>13489</v>
      </c>
      <c r="C1765" s="34" t="s">
        <v>13490</v>
      </c>
      <c r="D1765" s="44" t="s">
        <v>10677</v>
      </c>
      <c r="E1765" s="31" t="s">
        <v>10707</v>
      </c>
      <c r="F1765" s="31" t="s">
        <v>8397</v>
      </c>
      <c r="G1765" s="31" t="n">
        <v>71</v>
      </c>
      <c r="H1765" s="31" t="s">
        <v>7168</v>
      </c>
      <c r="I1765" s="44" t="s">
        <v>8338</v>
      </c>
      <c r="J1765" s="45" t="s">
        <v>8399</v>
      </c>
      <c r="K1765" s="45" t="s">
        <v>8401</v>
      </c>
      <c r="L1765" s="31" t="n">
        <f aca="false">COUNTIF($B$3:$B$2205,$B1765)</f>
        <v>1</v>
      </c>
      <c r="M1765" s="44" t="str">
        <f aca="false">IFERROR(INDEX(SENTENCES!$T$3:$T$1802,MATCH($F1765,SENTENCES!$A$3:$A$1802,0)),"")</f>
        <v>• Chưa tới</v>
      </c>
    </row>
    <row r="1766" customFormat="false" ht="15" hidden="false" customHeight="false" outlineLevel="0" collapsed="false">
      <c r="A1766" s="31" t="n">
        <v>1764</v>
      </c>
      <c r="B1766" s="43" t="s">
        <v>13491</v>
      </c>
      <c r="C1766" s="34" t="s">
        <v>13492</v>
      </c>
      <c r="D1766" s="44" t="s">
        <v>10677</v>
      </c>
      <c r="E1766" s="31" t="s">
        <v>10747</v>
      </c>
      <c r="F1766" s="31" t="s">
        <v>8403</v>
      </c>
      <c r="G1766" s="31" t="n">
        <v>71</v>
      </c>
      <c r="H1766" s="31" t="s">
        <v>7168</v>
      </c>
      <c r="I1766" s="44" t="s">
        <v>8338</v>
      </c>
      <c r="J1766" s="45" t="s">
        <v>8405</v>
      </c>
      <c r="K1766" s="45" t="s">
        <v>8407</v>
      </c>
      <c r="L1766" s="31" t="n">
        <f aca="false">COUNTIF($B$3:$B$2205,$B1766)</f>
        <v>1</v>
      </c>
      <c r="M1766" s="44" t="str">
        <f aca="false">IFERROR(INDEX(SENTENCES!$T$3:$T$1802,MATCH($F1766,SENTENCES!$A$3:$A$1802,0)),"")</f>
        <v>• Chưa tới</v>
      </c>
    </row>
    <row r="1767" customFormat="false" ht="15" hidden="false" customHeight="false" outlineLevel="0" collapsed="false">
      <c r="A1767" s="31" t="n">
        <v>1765</v>
      </c>
      <c r="B1767" s="43" t="s">
        <v>13493</v>
      </c>
      <c r="C1767" s="34" t="s">
        <v>13494</v>
      </c>
      <c r="D1767" s="44" t="s">
        <v>10677</v>
      </c>
      <c r="E1767" s="31" t="s">
        <v>10678</v>
      </c>
      <c r="F1767" s="31" t="s">
        <v>8409</v>
      </c>
      <c r="G1767" s="31" t="n">
        <v>71</v>
      </c>
      <c r="H1767" s="31" t="s">
        <v>7168</v>
      </c>
      <c r="I1767" s="44" t="s">
        <v>8338</v>
      </c>
      <c r="J1767" s="45" t="s">
        <v>8411</v>
      </c>
      <c r="K1767" s="45" t="s">
        <v>8413</v>
      </c>
      <c r="L1767" s="31" t="n">
        <f aca="false">COUNTIF($B$3:$B$2205,$B1767)</f>
        <v>1</v>
      </c>
      <c r="M1767" s="44" t="str">
        <f aca="false">IFERROR(INDEX(SENTENCES!$T$3:$T$1802,MATCH($F1767,SENTENCES!$A$3:$A$1802,0)),"")</f>
        <v>• Chưa tới</v>
      </c>
    </row>
    <row r="1768" customFormat="false" ht="15" hidden="false" customHeight="false" outlineLevel="0" collapsed="false">
      <c r="A1768" s="31" t="n">
        <v>1766</v>
      </c>
      <c r="B1768" s="43" t="s">
        <v>13495</v>
      </c>
      <c r="C1768" s="34" t="s">
        <v>13496</v>
      </c>
      <c r="D1768" s="44" t="s">
        <v>10677</v>
      </c>
      <c r="E1768" s="31" t="s">
        <v>10707</v>
      </c>
      <c r="F1768" s="31" t="s">
        <v>8415</v>
      </c>
      <c r="G1768" s="31" t="n">
        <v>71</v>
      </c>
      <c r="H1768" s="31" t="s">
        <v>7168</v>
      </c>
      <c r="I1768" s="44" t="s">
        <v>8338</v>
      </c>
      <c r="J1768" s="45" t="s">
        <v>8417</v>
      </c>
      <c r="K1768" s="45" t="s">
        <v>8419</v>
      </c>
      <c r="L1768" s="31" t="n">
        <f aca="false">COUNTIF($B$3:$B$2205,$B1768)</f>
        <v>1</v>
      </c>
      <c r="M1768" s="44" t="str">
        <f aca="false">IFERROR(INDEX(SENTENCES!$T$3:$T$1802,MATCH($F1768,SENTENCES!$A$3:$A$1802,0)),"")</f>
        <v>• Chưa tới</v>
      </c>
    </row>
    <row r="1769" customFormat="false" ht="15" hidden="false" customHeight="false" outlineLevel="0" collapsed="false">
      <c r="A1769" s="31" t="n">
        <v>1767</v>
      </c>
      <c r="B1769" s="43" t="s">
        <v>13497</v>
      </c>
      <c r="C1769" s="34" t="s">
        <v>13498</v>
      </c>
      <c r="D1769" s="44" t="s">
        <v>10677</v>
      </c>
      <c r="E1769" s="31" t="s">
        <v>10678</v>
      </c>
      <c r="F1769" s="31" t="s">
        <v>8421</v>
      </c>
      <c r="G1769" s="31" t="n">
        <v>71</v>
      </c>
      <c r="H1769" s="31" t="s">
        <v>7168</v>
      </c>
      <c r="I1769" s="44" t="s">
        <v>8338</v>
      </c>
      <c r="J1769" s="45" t="s">
        <v>8422</v>
      </c>
      <c r="K1769" s="45" t="s">
        <v>8424</v>
      </c>
      <c r="L1769" s="31" t="n">
        <f aca="false">COUNTIF($B$3:$B$2205,$B1769)</f>
        <v>1</v>
      </c>
      <c r="M1769" s="44" t="str">
        <f aca="false">IFERROR(INDEX(SENTENCES!$T$3:$T$1802,MATCH($F1769,SENTENCES!$A$3:$A$1802,0)),"")</f>
        <v>• Chưa tới</v>
      </c>
    </row>
    <row r="1770" customFormat="false" ht="15" hidden="false" customHeight="false" outlineLevel="0" collapsed="false">
      <c r="A1770" s="31" t="n">
        <v>1768</v>
      </c>
      <c r="B1770" s="43" t="s">
        <v>13499</v>
      </c>
      <c r="C1770" s="34" t="s">
        <v>13500</v>
      </c>
      <c r="D1770" s="44" t="s">
        <v>10677</v>
      </c>
      <c r="E1770" s="31" t="s">
        <v>10678</v>
      </c>
      <c r="F1770" s="31" t="s">
        <v>8426</v>
      </c>
      <c r="G1770" s="31" t="n">
        <v>71</v>
      </c>
      <c r="H1770" s="31" t="s">
        <v>7168</v>
      </c>
      <c r="I1770" s="44" t="s">
        <v>8338</v>
      </c>
      <c r="J1770" s="45" t="s">
        <v>8428</v>
      </c>
      <c r="K1770" s="45" t="s">
        <v>8430</v>
      </c>
      <c r="L1770" s="31" t="n">
        <f aca="false">COUNTIF($B$3:$B$2205,$B1770)</f>
        <v>1</v>
      </c>
      <c r="M1770" s="44" t="str">
        <f aca="false">IFERROR(INDEX(SENTENCES!$T$3:$T$1802,MATCH($F1770,SENTENCES!$A$3:$A$1802,0)),"")</f>
        <v>• Chưa tới</v>
      </c>
    </row>
    <row r="1771" customFormat="false" ht="15" hidden="false" customHeight="false" outlineLevel="0" collapsed="false">
      <c r="A1771" s="31" t="n">
        <v>1769</v>
      </c>
      <c r="B1771" s="43" t="s">
        <v>13501</v>
      </c>
      <c r="C1771" s="34" t="s">
        <v>13502</v>
      </c>
      <c r="D1771" s="44" t="s">
        <v>10677</v>
      </c>
      <c r="E1771" s="31" t="s">
        <v>10707</v>
      </c>
      <c r="F1771" s="31" t="s">
        <v>8432</v>
      </c>
      <c r="G1771" s="31" t="n">
        <v>71</v>
      </c>
      <c r="H1771" s="31" t="s">
        <v>7168</v>
      </c>
      <c r="I1771" s="44" t="s">
        <v>8338</v>
      </c>
      <c r="J1771" s="45" t="s">
        <v>8434</v>
      </c>
      <c r="K1771" s="45" t="s">
        <v>8436</v>
      </c>
      <c r="L1771" s="31" t="n">
        <f aca="false">COUNTIF($B$3:$B$2205,$B1771)</f>
        <v>1</v>
      </c>
      <c r="M1771" s="44" t="str">
        <f aca="false">IFERROR(INDEX(SENTENCES!$T$3:$T$1802,MATCH($F1771,SENTENCES!$A$3:$A$1802,0)),"")</f>
        <v>• Chưa tới</v>
      </c>
    </row>
    <row r="1772" customFormat="false" ht="15" hidden="false" customHeight="false" outlineLevel="0" collapsed="false">
      <c r="A1772" s="31" t="n">
        <v>1770</v>
      </c>
      <c r="B1772" s="43" t="s">
        <v>13503</v>
      </c>
      <c r="C1772" s="34" t="s">
        <v>13504</v>
      </c>
      <c r="D1772" s="44" t="s">
        <v>10686</v>
      </c>
      <c r="E1772" s="31"/>
      <c r="F1772" s="31" t="s">
        <v>8438</v>
      </c>
      <c r="G1772" s="31" t="n">
        <v>71</v>
      </c>
      <c r="H1772" s="31" t="s">
        <v>7168</v>
      </c>
      <c r="I1772" s="44" t="s">
        <v>8338</v>
      </c>
      <c r="J1772" s="45" t="s">
        <v>8440</v>
      </c>
      <c r="K1772" s="45" t="s">
        <v>8442</v>
      </c>
      <c r="L1772" s="31" t="n">
        <f aca="false">COUNTIF($B$3:$B$2205,$B1772)</f>
        <v>1</v>
      </c>
      <c r="M1772" s="44" t="str">
        <f aca="false">IFERROR(INDEX(SENTENCES!$T$3:$T$1802,MATCH($F1772,SENTENCES!$A$3:$A$1802,0)),"")</f>
        <v>• Chưa tới</v>
      </c>
    </row>
    <row r="1773" customFormat="false" ht="15" hidden="false" customHeight="false" outlineLevel="0" collapsed="false">
      <c r="A1773" s="31" t="n">
        <v>1771</v>
      </c>
      <c r="B1773" s="43" t="s">
        <v>13505</v>
      </c>
      <c r="C1773" s="34" t="s">
        <v>13506</v>
      </c>
      <c r="D1773" s="44" t="s">
        <v>10681</v>
      </c>
      <c r="E1773" s="31"/>
      <c r="F1773" s="31" t="s">
        <v>8438</v>
      </c>
      <c r="G1773" s="31" t="n">
        <v>71</v>
      </c>
      <c r="H1773" s="31" t="s">
        <v>7168</v>
      </c>
      <c r="I1773" s="44" t="s">
        <v>8338</v>
      </c>
      <c r="J1773" s="45" t="s">
        <v>8440</v>
      </c>
      <c r="K1773" s="45" t="s">
        <v>8442</v>
      </c>
      <c r="L1773" s="31" t="n">
        <f aca="false">COUNTIF($B$3:$B$2205,$B1773)</f>
        <v>1</v>
      </c>
      <c r="M1773" s="44" t="str">
        <f aca="false">IFERROR(INDEX(SENTENCES!$T$3:$T$1802,MATCH($F1773,SENTENCES!$A$3:$A$1802,0)),"")</f>
        <v>• Chưa tới</v>
      </c>
    </row>
    <row r="1774" customFormat="false" ht="22.35" hidden="false" customHeight="false" outlineLevel="0" collapsed="false">
      <c r="A1774" s="31" t="n">
        <v>1772</v>
      </c>
      <c r="B1774" s="43" t="s">
        <v>13287</v>
      </c>
      <c r="C1774" s="34" t="s">
        <v>12400</v>
      </c>
      <c r="D1774" s="44" t="s">
        <v>10686</v>
      </c>
      <c r="E1774" s="31"/>
      <c r="F1774" s="31" t="s">
        <v>8444</v>
      </c>
      <c r="G1774" s="31" t="n">
        <v>71</v>
      </c>
      <c r="H1774" s="31" t="s">
        <v>7168</v>
      </c>
      <c r="I1774" s="44" t="s">
        <v>8338</v>
      </c>
      <c r="J1774" s="45" t="s">
        <v>8446</v>
      </c>
      <c r="K1774" s="45" t="s">
        <v>8448</v>
      </c>
      <c r="L1774" s="31" t="n">
        <f aca="false">COUNTIF($B$3:$B$2205,$B1774)</f>
        <v>2</v>
      </c>
      <c r="M1774" s="44" t="str">
        <f aca="false">IFERROR(INDEX(SENTENCES!$T$3:$T$1802,MATCH($F1774,SENTENCES!$A$3:$A$1802,0)),"")</f>
        <v>• Chưa tới</v>
      </c>
    </row>
    <row r="1775" customFormat="false" ht="15" hidden="false" customHeight="false" outlineLevel="0" collapsed="false">
      <c r="A1775" s="31" t="n">
        <v>1773</v>
      </c>
      <c r="B1775" s="43" t="s">
        <v>13507</v>
      </c>
      <c r="C1775" s="34" t="s">
        <v>13508</v>
      </c>
      <c r="D1775" s="44" t="s">
        <v>10677</v>
      </c>
      <c r="E1775" s="31" t="s">
        <v>10707</v>
      </c>
      <c r="F1775" s="31" t="s">
        <v>8450</v>
      </c>
      <c r="G1775" s="31" t="n">
        <v>71</v>
      </c>
      <c r="H1775" s="31" t="s">
        <v>7168</v>
      </c>
      <c r="I1775" s="44" t="s">
        <v>8338</v>
      </c>
      <c r="J1775" s="45" t="s">
        <v>8452</v>
      </c>
      <c r="K1775" s="45" t="s">
        <v>8454</v>
      </c>
      <c r="L1775" s="31" t="n">
        <f aca="false">COUNTIF($B$3:$B$2205,$B1775)</f>
        <v>1</v>
      </c>
      <c r="M1775" s="44" t="str">
        <f aca="false">IFERROR(INDEX(SENTENCES!$T$3:$T$1802,MATCH($F1775,SENTENCES!$A$3:$A$1802,0)),"")</f>
        <v>• Chưa tới</v>
      </c>
    </row>
    <row r="1776" customFormat="false" ht="15" hidden="false" customHeight="false" outlineLevel="0" collapsed="false">
      <c r="A1776" s="31" t="n">
        <v>1774</v>
      </c>
      <c r="B1776" s="43" t="s">
        <v>13509</v>
      </c>
      <c r="C1776" s="34" t="s">
        <v>13510</v>
      </c>
      <c r="D1776" s="44" t="s">
        <v>10681</v>
      </c>
      <c r="E1776" s="31"/>
      <c r="F1776" s="31" t="s">
        <v>8450</v>
      </c>
      <c r="G1776" s="31" t="n">
        <v>71</v>
      </c>
      <c r="H1776" s="31" t="s">
        <v>7168</v>
      </c>
      <c r="I1776" s="44" t="s">
        <v>8338</v>
      </c>
      <c r="J1776" s="45" t="s">
        <v>8452</v>
      </c>
      <c r="K1776" s="45" t="s">
        <v>8454</v>
      </c>
      <c r="L1776" s="31" t="n">
        <f aca="false">COUNTIF($B$3:$B$2205,$B1776)</f>
        <v>1</v>
      </c>
      <c r="M1776" s="44" t="str">
        <f aca="false">IFERROR(INDEX(SENTENCES!$T$3:$T$1802,MATCH($F1776,SENTENCES!$A$3:$A$1802,0)),"")</f>
        <v>• Chưa tới</v>
      </c>
    </row>
    <row r="1777" customFormat="false" ht="15" hidden="false" customHeight="false" outlineLevel="0" collapsed="false">
      <c r="A1777" s="31" t="n">
        <v>1775</v>
      </c>
      <c r="B1777" s="43" t="s">
        <v>12658</v>
      </c>
      <c r="C1777" s="34" t="s">
        <v>12659</v>
      </c>
      <c r="D1777" s="44" t="s">
        <v>10677</v>
      </c>
      <c r="E1777" s="31" t="s">
        <v>10707</v>
      </c>
      <c r="F1777" s="31" t="s">
        <v>8456</v>
      </c>
      <c r="G1777" s="31" t="n">
        <v>72</v>
      </c>
      <c r="H1777" s="31" t="s">
        <v>7168</v>
      </c>
      <c r="I1777" s="44" t="s">
        <v>8457</v>
      </c>
      <c r="J1777" s="45" t="s">
        <v>8459</v>
      </c>
      <c r="K1777" s="45" t="s">
        <v>8461</v>
      </c>
      <c r="L1777" s="31" t="n">
        <f aca="false">COUNTIF($B$3:$B$2205,$B1777)</f>
        <v>2</v>
      </c>
      <c r="M1777" s="44" t="str">
        <f aca="false">IFERROR(INDEX(SENTENCES!$T$3:$T$1802,MATCH($F1777,SENTENCES!$A$3:$A$1802,0)),"")</f>
        <v>• Chưa tới</v>
      </c>
    </row>
    <row r="1778" customFormat="false" ht="15" hidden="false" customHeight="false" outlineLevel="0" collapsed="false">
      <c r="A1778" s="31" t="n">
        <v>1776</v>
      </c>
      <c r="B1778" s="43" t="s">
        <v>13511</v>
      </c>
      <c r="C1778" s="34" t="s">
        <v>12133</v>
      </c>
      <c r="D1778" s="44" t="s">
        <v>10677</v>
      </c>
      <c r="E1778" s="31" t="s">
        <v>10707</v>
      </c>
      <c r="F1778" s="31" t="s">
        <v>8462</v>
      </c>
      <c r="G1778" s="31" t="n">
        <v>72</v>
      </c>
      <c r="H1778" s="31" t="s">
        <v>7168</v>
      </c>
      <c r="I1778" s="44" t="s">
        <v>8457</v>
      </c>
      <c r="J1778" s="45" t="s">
        <v>8463</v>
      </c>
      <c r="K1778" s="45" t="s">
        <v>8465</v>
      </c>
      <c r="L1778" s="31" t="n">
        <f aca="false">COUNTIF($B$3:$B$2205,$B1778)</f>
        <v>1</v>
      </c>
      <c r="M1778" s="44" t="str">
        <f aca="false">IFERROR(INDEX(SENTENCES!$T$3:$T$1802,MATCH($F1778,SENTENCES!$A$3:$A$1802,0)),"")</f>
        <v>• Chưa tới</v>
      </c>
    </row>
    <row r="1779" customFormat="false" ht="15" hidden="false" customHeight="false" outlineLevel="0" collapsed="false">
      <c r="A1779" s="31" t="n">
        <v>1777</v>
      </c>
      <c r="B1779" s="43" t="s">
        <v>13512</v>
      </c>
      <c r="C1779" s="34" t="s">
        <v>13513</v>
      </c>
      <c r="D1779" s="44" t="s">
        <v>10686</v>
      </c>
      <c r="E1779" s="31"/>
      <c r="F1779" s="31" t="s">
        <v>8462</v>
      </c>
      <c r="G1779" s="31" t="n">
        <v>72</v>
      </c>
      <c r="H1779" s="31" t="s">
        <v>7168</v>
      </c>
      <c r="I1779" s="44" t="s">
        <v>8457</v>
      </c>
      <c r="J1779" s="45" t="s">
        <v>8463</v>
      </c>
      <c r="K1779" s="45" t="s">
        <v>8465</v>
      </c>
      <c r="L1779" s="31" t="n">
        <f aca="false">COUNTIF($B$3:$B$2205,$B1779)</f>
        <v>1</v>
      </c>
      <c r="M1779" s="44" t="str">
        <f aca="false">IFERROR(INDEX(SENTENCES!$T$3:$T$1802,MATCH($F1779,SENTENCES!$A$3:$A$1802,0)),"")</f>
        <v>• Chưa tới</v>
      </c>
    </row>
    <row r="1780" customFormat="false" ht="15" hidden="false" customHeight="false" outlineLevel="0" collapsed="false">
      <c r="A1780" s="31" t="n">
        <v>1778</v>
      </c>
      <c r="B1780" s="43" t="s">
        <v>13514</v>
      </c>
      <c r="C1780" s="34" t="s">
        <v>13515</v>
      </c>
      <c r="D1780" s="44" t="s">
        <v>10677</v>
      </c>
      <c r="E1780" s="31" t="s">
        <v>10678</v>
      </c>
      <c r="F1780" s="31" t="s">
        <v>8467</v>
      </c>
      <c r="G1780" s="31" t="n">
        <v>72</v>
      </c>
      <c r="H1780" s="31" t="s">
        <v>7168</v>
      </c>
      <c r="I1780" s="44" t="s">
        <v>8457</v>
      </c>
      <c r="J1780" s="45" t="s">
        <v>8469</v>
      </c>
      <c r="K1780" s="45" t="s">
        <v>8471</v>
      </c>
      <c r="L1780" s="31" t="n">
        <f aca="false">COUNTIF($B$3:$B$2205,$B1780)</f>
        <v>1</v>
      </c>
      <c r="M1780" s="44" t="str">
        <f aca="false">IFERROR(INDEX(SENTENCES!$T$3:$T$1802,MATCH($F1780,SENTENCES!$A$3:$A$1802,0)),"")</f>
        <v>• Chưa tới</v>
      </c>
    </row>
    <row r="1781" customFormat="false" ht="15" hidden="false" customHeight="false" outlineLevel="0" collapsed="false">
      <c r="A1781" s="31" t="n">
        <v>1779</v>
      </c>
      <c r="B1781" s="43" t="s">
        <v>13516</v>
      </c>
      <c r="C1781" s="34" t="s">
        <v>13517</v>
      </c>
      <c r="D1781" s="44" t="s">
        <v>10681</v>
      </c>
      <c r="E1781" s="31"/>
      <c r="F1781" s="31" t="s">
        <v>8473</v>
      </c>
      <c r="G1781" s="31" t="n">
        <v>72</v>
      </c>
      <c r="H1781" s="31" t="s">
        <v>7168</v>
      </c>
      <c r="I1781" s="44" t="s">
        <v>8457</v>
      </c>
      <c r="J1781" s="45" t="s">
        <v>8475</v>
      </c>
      <c r="K1781" s="45" t="s">
        <v>8477</v>
      </c>
      <c r="L1781" s="31" t="n">
        <f aca="false">COUNTIF($B$3:$B$2205,$B1781)</f>
        <v>1</v>
      </c>
      <c r="M1781" s="44" t="str">
        <f aca="false">IFERROR(INDEX(SENTENCES!$T$3:$T$1802,MATCH($F1781,SENTENCES!$A$3:$A$1802,0)),"")</f>
        <v>• Chưa tới</v>
      </c>
    </row>
    <row r="1782" customFormat="false" ht="15" hidden="false" customHeight="false" outlineLevel="0" collapsed="false">
      <c r="A1782" s="31" t="n">
        <v>1780</v>
      </c>
      <c r="B1782" s="43" t="s">
        <v>13518</v>
      </c>
      <c r="C1782" s="34" t="s">
        <v>13519</v>
      </c>
      <c r="D1782" s="44" t="s">
        <v>10677</v>
      </c>
      <c r="E1782" s="31" t="s">
        <v>10747</v>
      </c>
      <c r="F1782" s="31" t="s">
        <v>8479</v>
      </c>
      <c r="G1782" s="31" t="n">
        <v>72</v>
      </c>
      <c r="H1782" s="31" t="s">
        <v>7168</v>
      </c>
      <c r="I1782" s="44" t="s">
        <v>8457</v>
      </c>
      <c r="J1782" s="45" t="s">
        <v>8481</v>
      </c>
      <c r="K1782" s="45" t="s">
        <v>8483</v>
      </c>
      <c r="L1782" s="31" t="n">
        <f aca="false">COUNTIF($B$3:$B$2205,$B1782)</f>
        <v>1</v>
      </c>
      <c r="M1782" s="44" t="str">
        <f aca="false">IFERROR(INDEX(SENTENCES!$T$3:$T$1802,MATCH($F1782,SENTENCES!$A$3:$A$1802,0)),"")</f>
        <v>• Chưa tới</v>
      </c>
    </row>
    <row r="1783" customFormat="false" ht="15" hidden="false" customHeight="false" outlineLevel="0" collapsed="false">
      <c r="A1783" s="31" t="n">
        <v>1781</v>
      </c>
      <c r="B1783" s="43" t="s">
        <v>13520</v>
      </c>
      <c r="C1783" s="34" t="s">
        <v>13521</v>
      </c>
      <c r="D1783" s="44" t="s">
        <v>10681</v>
      </c>
      <c r="E1783" s="31"/>
      <c r="F1783" s="31" t="s">
        <v>8485</v>
      </c>
      <c r="G1783" s="31" t="n">
        <v>72</v>
      </c>
      <c r="H1783" s="31" t="s">
        <v>7168</v>
      </c>
      <c r="I1783" s="44" t="s">
        <v>8457</v>
      </c>
      <c r="J1783" s="45" t="s">
        <v>8487</v>
      </c>
      <c r="K1783" s="45" t="s">
        <v>8489</v>
      </c>
      <c r="L1783" s="31" t="n">
        <f aca="false">COUNTIF($B$3:$B$2205,$B1783)</f>
        <v>1</v>
      </c>
      <c r="M1783" s="44" t="str">
        <f aca="false">IFERROR(INDEX(SENTENCES!$T$3:$T$1802,MATCH($F1783,SENTENCES!$A$3:$A$1802,0)),"")</f>
        <v>• Chưa tới</v>
      </c>
    </row>
    <row r="1784" customFormat="false" ht="15" hidden="false" customHeight="false" outlineLevel="0" collapsed="false">
      <c r="A1784" s="31" t="n">
        <v>1782</v>
      </c>
      <c r="B1784" s="43" t="s">
        <v>13522</v>
      </c>
      <c r="C1784" s="34" t="s">
        <v>13523</v>
      </c>
      <c r="D1784" s="44" t="s">
        <v>10681</v>
      </c>
      <c r="E1784" s="31"/>
      <c r="F1784" s="31" t="s">
        <v>8491</v>
      </c>
      <c r="G1784" s="31" t="n">
        <v>72</v>
      </c>
      <c r="H1784" s="31" t="s">
        <v>7168</v>
      </c>
      <c r="I1784" s="44" t="s">
        <v>8457</v>
      </c>
      <c r="J1784" s="45" t="s">
        <v>8493</v>
      </c>
      <c r="K1784" s="45" t="s">
        <v>8495</v>
      </c>
      <c r="L1784" s="31" t="n">
        <f aca="false">COUNTIF($B$3:$B$2205,$B1784)</f>
        <v>1</v>
      </c>
      <c r="M1784" s="44" t="str">
        <f aca="false">IFERROR(INDEX(SENTENCES!$T$3:$T$1802,MATCH($F1784,SENTENCES!$A$3:$A$1802,0)),"")</f>
        <v>• Chưa tới</v>
      </c>
    </row>
    <row r="1785" customFormat="false" ht="15" hidden="false" customHeight="false" outlineLevel="0" collapsed="false">
      <c r="A1785" s="31" t="n">
        <v>1783</v>
      </c>
      <c r="B1785" s="43" t="s">
        <v>13524</v>
      </c>
      <c r="C1785" s="34" t="s">
        <v>13525</v>
      </c>
      <c r="D1785" s="44" t="s">
        <v>10677</v>
      </c>
      <c r="E1785" s="31" t="s">
        <v>10747</v>
      </c>
      <c r="F1785" s="31" t="s">
        <v>8497</v>
      </c>
      <c r="G1785" s="31" t="n">
        <v>72</v>
      </c>
      <c r="H1785" s="31" t="s">
        <v>7168</v>
      </c>
      <c r="I1785" s="44" t="s">
        <v>8457</v>
      </c>
      <c r="J1785" s="45" t="s">
        <v>8499</v>
      </c>
      <c r="K1785" s="45" t="s">
        <v>8501</v>
      </c>
      <c r="L1785" s="31" t="n">
        <f aca="false">COUNTIF($B$3:$B$2205,$B1785)</f>
        <v>1</v>
      </c>
      <c r="M1785" s="44" t="str">
        <f aca="false">IFERROR(INDEX(SENTENCES!$T$3:$T$1802,MATCH($F1785,SENTENCES!$A$3:$A$1802,0)),"")</f>
        <v>• Chưa tới</v>
      </c>
    </row>
    <row r="1786" customFormat="false" ht="15" hidden="false" customHeight="false" outlineLevel="0" collapsed="false">
      <c r="A1786" s="31" t="n">
        <v>1784</v>
      </c>
      <c r="B1786" s="43" t="s">
        <v>13526</v>
      </c>
      <c r="C1786" s="34" t="s">
        <v>12942</v>
      </c>
      <c r="D1786" s="44" t="s">
        <v>10686</v>
      </c>
      <c r="E1786" s="31"/>
      <c r="F1786" s="31" t="s">
        <v>8503</v>
      </c>
      <c r="G1786" s="31" t="n">
        <v>72</v>
      </c>
      <c r="H1786" s="31" t="s">
        <v>7168</v>
      </c>
      <c r="I1786" s="44" t="s">
        <v>8457</v>
      </c>
      <c r="J1786" s="45" t="s">
        <v>8504</v>
      </c>
      <c r="K1786" s="45" t="s">
        <v>8506</v>
      </c>
      <c r="L1786" s="31" t="n">
        <f aca="false">COUNTIF($B$3:$B$2205,$B1786)</f>
        <v>1</v>
      </c>
      <c r="M1786" s="44" t="str">
        <f aca="false">IFERROR(INDEX(SENTENCES!$T$3:$T$1802,MATCH($F1786,SENTENCES!$A$3:$A$1802,0)),"")</f>
        <v>• Chưa tới</v>
      </c>
    </row>
    <row r="1787" customFormat="false" ht="15" hidden="false" customHeight="false" outlineLevel="0" collapsed="false">
      <c r="A1787" s="31" t="n">
        <v>1785</v>
      </c>
      <c r="B1787" s="43" t="s">
        <v>13527</v>
      </c>
      <c r="C1787" s="34" t="s">
        <v>13528</v>
      </c>
      <c r="D1787" s="44" t="s">
        <v>10677</v>
      </c>
      <c r="E1787" s="31" t="s">
        <v>10747</v>
      </c>
      <c r="F1787" s="31" t="s">
        <v>8508</v>
      </c>
      <c r="G1787" s="31" t="n">
        <v>72</v>
      </c>
      <c r="H1787" s="31" t="s">
        <v>7168</v>
      </c>
      <c r="I1787" s="44" t="s">
        <v>8457</v>
      </c>
      <c r="J1787" s="45" t="s">
        <v>8509</v>
      </c>
      <c r="K1787" s="45" t="s">
        <v>8511</v>
      </c>
      <c r="L1787" s="31" t="n">
        <f aca="false">COUNTIF($B$3:$B$2205,$B1787)</f>
        <v>1</v>
      </c>
      <c r="M1787" s="44" t="str">
        <f aca="false">IFERROR(INDEX(SENTENCES!$T$3:$T$1802,MATCH($F1787,SENTENCES!$A$3:$A$1802,0)),"")</f>
        <v>• Chưa tới</v>
      </c>
    </row>
    <row r="1788" customFormat="false" ht="15" hidden="false" customHeight="false" outlineLevel="0" collapsed="false">
      <c r="A1788" s="31" t="n">
        <v>1786</v>
      </c>
      <c r="B1788" s="43" t="s">
        <v>13385</v>
      </c>
      <c r="C1788" s="34" t="s">
        <v>13386</v>
      </c>
      <c r="D1788" s="44" t="s">
        <v>10686</v>
      </c>
      <c r="E1788" s="31"/>
      <c r="F1788" s="31" t="s">
        <v>8513</v>
      </c>
      <c r="G1788" s="31" t="n">
        <v>72</v>
      </c>
      <c r="H1788" s="31" t="s">
        <v>7168</v>
      </c>
      <c r="I1788" s="44" t="s">
        <v>8457</v>
      </c>
      <c r="J1788" s="45" t="s">
        <v>8515</v>
      </c>
      <c r="K1788" s="45" t="s">
        <v>8517</v>
      </c>
      <c r="L1788" s="31" t="n">
        <f aca="false">COUNTIF($B$3:$B$2205,$B1788)</f>
        <v>2</v>
      </c>
      <c r="M1788" s="44" t="str">
        <f aca="false">IFERROR(INDEX(SENTENCES!$T$3:$T$1802,MATCH($F1788,SENTENCES!$A$3:$A$1802,0)),"")</f>
        <v>• Chưa tới</v>
      </c>
    </row>
    <row r="1789" customFormat="false" ht="15" hidden="false" customHeight="false" outlineLevel="0" collapsed="false">
      <c r="A1789" s="31" t="n">
        <v>1787</v>
      </c>
      <c r="B1789" s="43" t="s">
        <v>13529</v>
      </c>
      <c r="C1789" s="34" t="s">
        <v>13525</v>
      </c>
      <c r="D1789" s="44" t="s">
        <v>10677</v>
      </c>
      <c r="E1789" s="31" t="s">
        <v>10747</v>
      </c>
      <c r="F1789" s="31" t="s">
        <v>8518</v>
      </c>
      <c r="G1789" s="31" t="n">
        <v>72</v>
      </c>
      <c r="H1789" s="31" t="s">
        <v>7168</v>
      </c>
      <c r="I1789" s="44" t="s">
        <v>8457</v>
      </c>
      <c r="J1789" s="45" t="s">
        <v>8519</v>
      </c>
      <c r="K1789" s="45" t="s">
        <v>8521</v>
      </c>
      <c r="L1789" s="31" t="n">
        <f aca="false">COUNTIF($B$3:$B$2205,$B1789)</f>
        <v>1</v>
      </c>
      <c r="M1789" s="44" t="str">
        <f aca="false">IFERROR(INDEX(SENTENCES!$T$3:$T$1802,MATCH($F1789,SENTENCES!$A$3:$A$1802,0)),"")</f>
        <v>• Chưa tới</v>
      </c>
    </row>
    <row r="1790" customFormat="false" ht="15" hidden="false" customHeight="false" outlineLevel="0" collapsed="false">
      <c r="A1790" s="31" t="n">
        <v>1788</v>
      </c>
      <c r="B1790" s="43" t="s">
        <v>13530</v>
      </c>
      <c r="C1790" s="34" t="s">
        <v>13531</v>
      </c>
      <c r="D1790" s="44" t="s">
        <v>10681</v>
      </c>
      <c r="E1790" s="31"/>
      <c r="F1790" s="31" t="s">
        <v>8523</v>
      </c>
      <c r="G1790" s="31" t="n">
        <v>72</v>
      </c>
      <c r="H1790" s="31" t="s">
        <v>7168</v>
      </c>
      <c r="I1790" s="44" t="s">
        <v>8457</v>
      </c>
      <c r="J1790" s="45" t="s">
        <v>8525</v>
      </c>
      <c r="K1790" s="45" t="s">
        <v>8527</v>
      </c>
      <c r="L1790" s="31" t="n">
        <f aca="false">COUNTIF($B$3:$B$2205,$B1790)</f>
        <v>1</v>
      </c>
      <c r="M1790" s="44" t="str">
        <f aca="false">IFERROR(INDEX(SENTENCES!$T$3:$T$1802,MATCH($F1790,SENTENCES!$A$3:$A$1802,0)),"")</f>
        <v>• Chưa tới</v>
      </c>
    </row>
    <row r="1791" customFormat="false" ht="15" hidden="false" customHeight="false" outlineLevel="0" collapsed="false">
      <c r="A1791" s="31" t="n">
        <v>1789</v>
      </c>
      <c r="B1791" s="43" t="s">
        <v>13532</v>
      </c>
      <c r="C1791" s="34" t="s">
        <v>13533</v>
      </c>
      <c r="D1791" s="44" t="s">
        <v>10677</v>
      </c>
      <c r="E1791" s="31" t="s">
        <v>10707</v>
      </c>
      <c r="F1791" s="31" t="s">
        <v>8529</v>
      </c>
      <c r="G1791" s="31" t="n">
        <v>72</v>
      </c>
      <c r="H1791" s="31" t="s">
        <v>7168</v>
      </c>
      <c r="I1791" s="44" t="s">
        <v>8457</v>
      </c>
      <c r="J1791" s="45" t="s">
        <v>8531</v>
      </c>
      <c r="K1791" s="45" t="s">
        <v>8533</v>
      </c>
      <c r="L1791" s="31" t="n">
        <f aca="false">COUNTIF($B$3:$B$2205,$B1791)</f>
        <v>1</v>
      </c>
      <c r="M1791" s="44" t="str">
        <f aca="false">IFERROR(INDEX(SENTENCES!$T$3:$T$1802,MATCH($F1791,SENTENCES!$A$3:$A$1802,0)),"")</f>
        <v>• Chưa tới</v>
      </c>
    </row>
    <row r="1792" customFormat="false" ht="15" hidden="false" customHeight="false" outlineLevel="0" collapsed="false">
      <c r="A1792" s="31" t="n">
        <v>1790</v>
      </c>
      <c r="B1792" s="43" t="s">
        <v>13534</v>
      </c>
      <c r="C1792" s="34" t="s">
        <v>13535</v>
      </c>
      <c r="D1792" s="44" t="s">
        <v>10686</v>
      </c>
      <c r="E1792" s="31"/>
      <c r="F1792" s="31" t="s">
        <v>8529</v>
      </c>
      <c r="G1792" s="31" t="n">
        <v>72</v>
      </c>
      <c r="H1792" s="31" t="s">
        <v>7168</v>
      </c>
      <c r="I1792" s="44" t="s">
        <v>8457</v>
      </c>
      <c r="J1792" s="45" t="s">
        <v>8531</v>
      </c>
      <c r="K1792" s="45" t="s">
        <v>8533</v>
      </c>
      <c r="L1792" s="31" t="n">
        <f aca="false">COUNTIF($B$3:$B$2205,$B1792)</f>
        <v>1</v>
      </c>
      <c r="M1792" s="44" t="str">
        <f aca="false">IFERROR(INDEX(SENTENCES!$T$3:$T$1802,MATCH($F1792,SENTENCES!$A$3:$A$1802,0)),"")</f>
        <v>• Chưa tới</v>
      </c>
    </row>
    <row r="1793" customFormat="false" ht="15" hidden="false" customHeight="false" outlineLevel="0" collapsed="false">
      <c r="A1793" s="31" t="n">
        <v>1791</v>
      </c>
      <c r="B1793" s="43" t="s">
        <v>13536</v>
      </c>
      <c r="C1793" s="34" t="s">
        <v>13537</v>
      </c>
      <c r="D1793" s="44" t="s">
        <v>10677</v>
      </c>
      <c r="E1793" s="31" t="s">
        <v>10678</v>
      </c>
      <c r="F1793" s="31" t="s">
        <v>8535</v>
      </c>
      <c r="G1793" s="31" t="n">
        <v>72</v>
      </c>
      <c r="H1793" s="31" t="s">
        <v>7168</v>
      </c>
      <c r="I1793" s="44" t="s">
        <v>8457</v>
      </c>
      <c r="J1793" s="45" t="s">
        <v>8537</v>
      </c>
      <c r="K1793" s="45" t="s">
        <v>8539</v>
      </c>
      <c r="L1793" s="31" t="n">
        <f aca="false">COUNTIF($B$3:$B$2205,$B1793)</f>
        <v>1</v>
      </c>
      <c r="M1793" s="44" t="str">
        <f aca="false">IFERROR(INDEX(SENTENCES!$T$3:$T$1802,MATCH($F1793,SENTENCES!$A$3:$A$1802,0)),"")</f>
        <v>• Chưa tới</v>
      </c>
    </row>
    <row r="1794" customFormat="false" ht="15" hidden="false" customHeight="false" outlineLevel="0" collapsed="false">
      <c r="A1794" s="31" t="n">
        <v>1792</v>
      </c>
      <c r="B1794" s="43" t="s">
        <v>13538</v>
      </c>
      <c r="C1794" s="34" t="s">
        <v>13539</v>
      </c>
      <c r="D1794" s="44" t="s">
        <v>10677</v>
      </c>
      <c r="E1794" s="31" t="s">
        <v>10678</v>
      </c>
      <c r="F1794" s="31" t="s">
        <v>8541</v>
      </c>
      <c r="G1794" s="31" t="n">
        <v>72</v>
      </c>
      <c r="H1794" s="31" t="s">
        <v>7168</v>
      </c>
      <c r="I1794" s="44" t="s">
        <v>8457</v>
      </c>
      <c r="J1794" s="45" t="s">
        <v>8543</v>
      </c>
      <c r="K1794" s="45" t="s">
        <v>8545</v>
      </c>
      <c r="L1794" s="31" t="n">
        <f aca="false">COUNTIF($B$3:$B$2205,$B1794)</f>
        <v>1</v>
      </c>
      <c r="M1794" s="44" t="str">
        <f aca="false">IFERROR(INDEX(SENTENCES!$T$3:$T$1802,MATCH($F1794,SENTENCES!$A$3:$A$1802,0)),"")</f>
        <v>• Chưa tới</v>
      </c>
    </row>
    <row r="1795" customFormat="false" ht="15" hidden="false" customHeight="false" outlineLevel="0" collapsed="false">
      <c r="A1795" s="31" t="n">
        <v>1793</v>
      </c>
      <c r="B1795" s="43" t="s">
        <v>13540</v>
      </c>
      <c r="C1795" s="34" t="s">
        <v>11183</v>
      </c>
      <c r="D1795" s="44" t="s">
        <v>10686</v>
      </c>
      <c r="E1795" s="31"/>
      <c r="F1795" s="31" t="s">
        <v>8547</v>
      </c>
      <c r="G1795" s="31" t="n">
        <v>72</v>
      </c>
      <c r="H1795" s="31" t="s">
        <v>7168</v>
      </c>
      <c r="I1795" s="44" t="s">
        <v>8457</v>
      </c>
      <c r="J1795" s="45" t="s">
        <v>8549</v>
      </c>
      <c r="K1795" s="45" t="s">
        <v>8551</v>
      </c>
      <c r="L1795" s="31" t="n">
        <f aca="false">COUNTIF($B$3:$B$2205,$B1795)</f>
        <v>1</v>
      </c>
      <c r="M1795" s="44" t="str">
        <f aca="false">IFERROR(INDEX(SENTENCES!$T$3:$T$1802,MATCH($F1795,SENTENCES!$A$3:$A$1802,0)),"")</f>
        <v>• Chưa tới</v>
      </c>
    </row>
    <row r="1796" customFormat="false" ht="15" hidden="false" customHeight="false" outlineLevel="0" collapsed="false">
      <c r="A1796" s="31" t="n">
        <v>1794</v>
      </c>
      <c r="B1796" s="43" t="s">
        <v>13541</v>
      </c>
      <c r="C1796" s="34" t="s">
        <v>13542</v>
      </c>
      <c r="D1796" s="44" t="s">
        <v>10681</v>
      </c>
      <c r="E1796" s="31"/>
      <c r="F1796" s="31" t="s">
        <v>8547</v>
      </c>
      <c r="G1796" s="31" t="n">
        <v>72</v>
      </c>
      <c r="H1796" s="31" t="s">
        <v>7168</v>
      </c>
      <c r="I1796" s="44" t="s">
        <v>8457</v>
      </c>
      <c r="J1796" s="45" t="s">
        <v>8549</v>
      </c>
      <c r="K1796" s="45" t="s">
        <v>8551</v>
      </c>
      <c r="L1796" s="31" t="n">
        <f aca="false">COUNTIF($B$3:$B$2205,$B1796)</f>
        <v>1</v>
      </c>
      <c r="M1796" s="44" t="str">
        <f aca="false">IFERROR(INDEX(SENTENCES!$T$3:$T$1802,MATCH($F1796,SENTENCES!$A$3:$A$1802,0)),"")</f>
        <v>• Chưa tới</v>
      </c>
    </row>
    <row r="1797" customFormat="false" ht="15" hidden="false" customHeight="false" outlineLevel="0" collapsed="false">
      <c r="A1797" s="31" t="n">
        <v>1795</v>
      </c>
      <c r="B1797" s="43" t="s">
        <v>13543</v>
      </c>
      <c r="C1797" s="34" t="s">
        <v>13544</v>
      </c>
      <c r="D1797" s="44" t="s">
        <v>10686</v>
      </c>
      <c r="E1797" s="31"/>
      <c r="F1797" s="31" t="s">
        <v>8553</v>
      </c>
      <c r="G1797" s="31" t="n">
        <v>72</v>
      </c>
      <c r="H1797" s="31" t="s">
        <v>7168</v>
      </c>
      <c r="I1797" s="44" t="s">
        <v>8457</v>
      </c>
      <c r="J1797" s="45" t="s">
        <v>8555</v>
      </c>
      <c r="K1797" s="45" t="s">
        <v>8557</v>
      </c>
      <c r="L1797" s="31" t="n">
        <f aca="false">COUNTIF($B$3:$B$2205,$B1797)</f>
        <v>1</v>
      </c>
      <c r="M1797" s="44" t="str">
        <f aca="false">IFERROR(INDEX(SENTENCES!$T$3:$T$1802,MATCH($F1797,SENTENCES!$A$3:$A$1802,0)),"")</f>
        <v>• Chưa tới</v>
      </c>
    </row>
    <row r="1798" customFormat="false" ht="15" hidden="false" customHeight="false" outlineLevel="0" collapsed="false">
      <c r="A1798" s="31" t="n">
        <v>1796</v>
      </c>
      <c r="B1798" s="43" t="s">
        <v>13545</v>
      </c>
      <c r="C1798" s="34" t="s">
        <v>13546</v>
      </c>
      <c r="D1798" s="44" t="s">
        <v>10677</v>
      </c>
      <c r="E1798" s="31" t="s">
        <v>10707</v>
      </c>
      <c r="F1798" s="31" t="s">
        <v>8559</v>
      </c>
      <c r="G1798" s="31" t="n">
        <v>72</v>
      </c>
      <c r="H1798" s="31" t="s">
        <v>7168</v>
      </c>
      <c r="I1798" s="44" t="s">
        <v>8457</v>
      </c>
      <c r="J1798" s="45" t="s">
        <v>8561</v>
      </c>
      <c r="K1798" s="45" t="s">
        <v>8563</v>
      </c>
      <c r="L1798" s="31" t="n">
        <f aca="false">COUNTIF($B$3:$B$2205,$B1798)</f>
        <v>1</v>
      </c>
      <c r="M1798" s="44" t="str">
        <f aca="false">IFERROR(INDEX(SENTENCES!$T$3:$T$1802,MATCH($F1798,SENTENCES!$A$3:$A$1802,0)),"")</f>
        <v>• Chưa tới</v>
      </c>
    </row>
    <row r="1799" customFormat="false" ht="15" hidden="false" customHeight="false" outlineLevel="0" collapsed="false">
      <c r="A1799" s="31" t="n">
        <v>1797</v>
      </c>
      <c r="B1799" s="43" t="s">
        <v>13547</v>
      </c>
      <c r="C1799" s="34" t="s">
        <v>13548</v>
      </c>
      <c r="D1799" s="44" t="s">
        <v>10677</v>
      </c>
      <c r="E1799" s="31" t="s">
        <v>10678</v>
      </c>
      <c r="F1799" s="31" t="s">
        <v>8565</v>
      </c>
      <c r="G1799" s="31" t="n">
        <v>72</v>
      </c>
      <c r="H1799" s="31" t="s">
        <v>7168</v>
      </c>
      <c r="I1799" s="44" t="s">
        <v>8457</v>
      </c>
      <c r="J1799" s="45" t="s">
        <v>8567</v>
      </c>
      <c r="K1799" s="45" t="s">
        <v>8569</v>
      </c>
      <c r="L1799" s="31" t="n">
        <f aca="false">COUNTIF($B$3:$B$2205,$B1799)</f>
        <v>1</v>
      </c>
      <c r="M1799" s="44" t="str">
        <f aca="false">IFERROR(INDEX(SENTENCES!$T$3:$T$1802,MATCH($F1799,SENTENCES!$A$3:$A$1802,0)),"")</f>
        <v>• Chưa tới</v>
      </c>
    </row>
    <row r="1800" customFormat="false" ht="15" hidden="false" customHeight="false" outlineLevel="0" collapsed="false">
      <c r="A1800" s="31" t="n">
        <v>1798</v>
      </c>
      <c r="B1800" s="43" t="s">
        <v>13549</v>
      </c>
      <c r="C1800" s="34" t="s">
        <v>12573</v>
      </c>
      <c r="D1800" s="44" t="s">
        <v>10677</v>
      </c>
      <c r="E1800" s="31" t="s">
        <v>10678</v>
      </c>
      <c r="F1800" s="31" t="s">
        <v>8571</v>
      </c>
      <c r="G1800" s="31" t="n">
        <v>73</v>
      </c>
      <c r="H1800" s="31" t="s">
        <v>7168</v>
      </c>
      <c r="I1800" s="44" t="s">
        <v>8572</v>
      </c>
      <c r="J1800" s="45" t="s">
        <v>8574</v>
      </c>
      <c r="K1800" s="45" t="s">
        <v>8576</v>
      </c>
      <c r="L1800" s="31" t="n">
        <f aca="false">COUNTIF($B$3:$B$2205,$B1800)</f>
        <v>1</v>
      </c>
      <c r="M1800" s="44" t="str">
        <f aca="false">IFERROR(INDEX(SENTENCES!$T$3:$T$1802,MATCH($F1800,SENTENCES!$A$3:$A$1802,0)),"")</f>
        <v>• Chưa tới</v>
      </c>
    </row>
    <row r="1801" customFormat="false" ht="15" hidden="false" customHeight="false" outlineLevel="0" collapsed="false">
      <c r="A1801" s="31" t="n">
        <v>1799</v>
      </c>
      <c r="B1801" s="43" t="s">
        <v>13366</v>
      </c>
      <c r="C1801" s="34" t="s">
        <v>13550</v>
      </c>
      <c r="D1801" s="44" t="s">
        <v>10681</v>
      </c>
      <c r="E1801" s="31"/>
      <c r="F1801" s="31" t="s">
        <v>8578</v>
      </c>
      <c r="G1801" s="31" t="n">
        <v>73</v>
      </c>
      <c r="H1801" s="31" t="s">
        <v>7168</v>
      </c>
      <c r="I1801" s="44" t="s">
        <v>8572</v>
      </c>
      <c r="J1801" s="45" t="s">
        <v>8580</v>
      </c>
      <c r="K1801" s="45" t="s">
        <v>8582</v>
      </c>
      <c r="L1801" s="31" t="n">
        <f aca="false">COUNTIF($B$3:$B$2205,$B1801)</f>
        <v>2</v>
      </c>
      <c r="M1801" s="44" t="str">
        <f aca="false">IFERROR(INDEX(SENTENCES!$T$3:$T$1802,MATCH($F1801,SENTENCES!$A$3:$A$1802,0)),"")</f>
        <v>• Chưa tới</v>
      </c>
    </row>
    <row r="1802" customFormat="false" ht="15" hidden="false" customHeight="false" outlineLevel="0" collapsed="false">
      <c r="A1802" s="31" t="n">
        <v>1800</v>
      </c>
      <c r="B1802" s="43" t="s">
        <v>12599</v>
      </c>
      <c r="C1802" s="34" t="s">
        <v>13551</v>
      </c>
      <c r="D1802" s="44" t="s">
        <v>10677</v>
      </c>
      <c r="E1802" s="31" t="s">
        <v>10707</v>
      </c>
      <c r="F1802" s="31" t="s">
        <v>8583</v>
      </c>
      <c r="G1802" s="31" t="n">
        <v>73</v>
      </c>
      <c r="H1802" s="31" t="s">
        <v>7168</v>
      </c>
      <c r="I1802" s="44" t="s">
        <v>8572</v>
      </c>
      <c r="J1802" s="45" t="s">
        <v>8585</v>
      </c>
      <c r="K1802" s="45" t="s">
        <v>8587</v>
      </c>
      <c r="L1802" s="31" t="n">
        <f aca="false">COUNTIF($B$3:$B$2205,$B1802)</f>
        <v>2</v>
      </c>
      <c r="M1802" s="44" t="str">
        <f aca="false">IFERROR(INDEX(SENTENCES!$T$3:$T$1802,MATCH($F1802,SENTENCES!$A$3:$A$1802,0)),"")</f>
        <v>• Chưa tới</v>
      </c>
    </row>
    <row r="1803" customFormat="false" ht="15" hidden="false" customHeight="false" outlineLevel="0" collapsed="false">
      <c r="A1803" s="31" t="n">
        <v>1801</v>
      </c>
      <c r="B1803" s="43" t="s">
        <v>13552</v>
      </c>
      <c r="C1803" s="34" t="s">
        <v>13553</v>
      </c>
      <c r="D1803" s="44" t="s">
        <v>10677</v>
      </c>
      <c r="E1803" s="31" t="s">
        <v>10707</v>
      </c>
      <c r="F1803" s="31" t="s">
        <v>8589</v>
      </c>
      <c r="G1803" s="31" t="n">
        <v>73</v>
      </c>
      <c r="H1803" s="31" t="s">
        <v>7168</v>
      </c>
      <c r="I1803" s="44" t="s">
        <v>8572</v>
      </c>
      <c r="J1803" s="45" t="s">
        <v>8591</v>
      </c>
      <c r="K1803" s="45" t="s">
        <v>8593</v>
      </c>
      <c r="L1803" s="31" t="n">
        <f aca="false">COUNTIF($B$3:$B$2205,$B1803)</f>
        <v>1</v>
      </c>
      <c r="M1803" s="44" t="str">
        <f aca="false">IFERROR(INDEX(SENTENCES!$T$3:$T$1802,MATCH($F1803,SENTENCES!$A$3:$A$1802,0)),"")</f>
        <v>• Chưa tới</v>
      </c>
    </row>
    <row r="1804" customFormat="false" ht="15" hidden="false" customHeight="false" outlineLevel="0" collapsed="false">
      <c r="A1804" s="31" t="n">
        <v>1802</v>
      </c>
      <c r="B1804" s="43" t="s">
        <v>13554</v>
      </c>
      <c r="C1804" s="34" t="s">
        <v>13555</v>
      </c>
      <c r="D1804" s="44" t="s">
        <v>10677</v>
      </c>
      <c r="E1804" s="31" t="s">
        <v>10747</v>
      </c>
      <c r="F1804" s="31" t="s">
        <v>8595</v>
      </c>
      <c r="G1804" s="31" t="n">
        <v>73</v>
      </c>
      <c r="H1804" s="31" t="s">
        <v>7168</v>
      </c>
      <c r="I1804" s="44" t="s">
        <v>8572</v>
      </c>
      <c r="J1804" s="45" t="s">
        <v>8597</v>
      </c>
      <c r="K1804" s="45" t="s">
        <v>8599</v>
      </c>
      <c r="L1804" s="31" t="n">
        <f aca="false">COUNTIF($B$3:$B$2205,$B1804)</f>
        <v>1</v>
      </c>
      <c r="M1804" s="44" t="str">
        <f aca="false">IFERROR(INDEX(SENTENCES!$T$3:$T$1802,MATCH($F1804,SENTENCES!$A$3:$A$1802,0)),"")</f>
        <v>• Chưa tới</v>
      </c>
    </row>
    <row r="1805" customFormat="false" ht="15" hidden="false" customHeight="false" outlineLevel="0" collapsed="false">
      <c r="A1805" s="31" t="n">
        <v>1803</v>
      </c>
      <c r="B1805" s="43" t="s">
        <v>13556</v>
      </c>
      <c r="C1805" s="34" t="s">
        <v>12686</v>
      </c>
      <c r="D1805" s="44" t="s">
        <v>10677</v>
      </c>
      <c r="E1805" s="31" t="s">
        <v>10678</v>
      </c>
      <c r="F1805" s="31" t="s">
        <v>8601</v>
      </c>
      <c r="G1805" s="31" t="n">
        <v>73</v>
      </c>
      <c r="H1805" s="31" t="s">
        <v>7168</v>
      </c>
      <c r="I1805" s="44" t="s">
        <v>8572</v>
      </c>
      <c r="J1805" s="45" t="s">
        <v>8602</v>
      </c>
      <c r="K1805" s="45" t="s">
        <v>8604</v>
      </c>
      <c r="L1805" s="31" t="n">
        <f aca="false">COUNTIF($B$3:$B$2205,$B1805)</f>
        <v>1</v>
      </c>
      <c r="M1805" s="44" t="str">
        <f aca="false">IFERROR(INDEX(SENTENCES!$T$3:$T$1802,MATCH($F1805,SENTENCES!$A$3:$A$1802,0)),"")</f>
        <v>• Chưa tới</v>
      </c>
    </row>
    <row r="1806" customFormat="false" ht="15" hidden="false" customHeight="false" outlineLevel="0" collapsed="false">
      <c r="A1806" s="31" t="n">
        <v>1804</v>
      </c>
      <c r="B1806" s="43" t="s">
        <v>13557</v>
      </c>
      <c r="C1806" s="34" t="s">
        <v>13558</v>
      </c>
      <c r="D1806" s="44" t="s">
        <v>10677</v>
      </c>
      <c r="E1806" s="31" t="s">
        <v>10707</v>
      </c>
      <c r="F1806" s="31" t="s">
        <v>8606</v>
      </c>
      <c r="G1806" s="31" t="n">
        <v>73</v>
      </c>
      <c r="H1806" s="31" t="s">
        <v>7168</v>
      </c>
      <c r="I1806" s="44" t="s">
        <v>8572</v>
      </c>
      <c r="J1806" s="45" t="s">
        <v>8608</v>
      </c>
      <c r="K1806" s="45" t="s">
        <v>8610</v>
      </c>
      <c r="L1806" s="31" t="n">
        <f aca="false">COUNTIF($B$3:$B$2205,$B1806)</f>
        <v>1</v>
      </c>
      <c r="M1806" s="44" t="str">
        <f aca="false">IFERROR(INDEX(SENTENCES!$T$3:$T$1802,MATCH($F1806,SENTENCES!$A$3:$A$1802,0)),"")</f>
        <v>• Chưa tới</v>
      </c>
    </row>
    <row r="1807" customFormat="false" ht="15" hidden="false" customHeight="false" outlineLevel="0" collapsed="false">
      <c r="A1807" s="31" t="n">
        <v>1805</v>
      </c>
      <c r="B1807" s="43" t="s">
        <v>13559</v>
      </c>
      <c r="C1807" s="34" t="s">
        <v>13560</v>
      </c>
      <c r="D1807" s="44" t="s">
        <v>10677</v>
      </c>
      <c r="E1807" s="31" t="s">
        <v>10707</v>
      </c>
      <c r="F1807" s="31" t="s">
        <v>8612</v>
      </c>
      <c r="G1807" s="31" t="n">
        <v>73</v>
      </c>
      <c r="H1807" s="31" t="s">
        <v>7168</v>
      </c>
      <c r="I1807" s="44" t="s">
        <v>8572</v>
      </c>
      <c r="J1807" s="45" t="s">
        <v>8613</v>
      </c>
      <c r="K1807" s="45" t="s">
        <v>8615</v>
      </c>
      <c r="L1807" s="31" t="n">
        <f aca="false">COUNTIF($B$3:$B$2205,$B1807)</f>
        <v>1</v>
      </c>
      <c r="M1807" s="44" t="str">
        <f aca="false">IFERROR(INDEX(SENTENCES!$T$3:$T$1802,MATCH($F1807,SENTENCES!$A$3:$A$1802,0)),"")</f>
        <v>• Chưa tới</v>
      </c>
    </row>
    <row r="1808" customFormat="false" ht="15" hidden="false" customHeight="false" outlineLevel="0" collapsed="false">
      <c r="A1808" s="31" t="n">
        <v>1806</v>
      </c>
      <c r="B1808" s="43" t="s">
        <v>13561</v>
      </c>
      <c r="C1808" s="34" t="s">
        <v>13562</v>
      </c>
      <c r="D1808" s="44" t="s">
        <v>10677</v>
      </c>
      <c r="E1808" s="31" t="s">
        <v>10707</v>
      </c>
      <c r="F1808" s="31" t="s">
        <v>8617</v>
      </c>
      <c r="G1808" s="31" t="n">
        <v>73</v>
      </c>
      <c r="H1808" s="31" t="s">
        <v>7168</v>
      </c>
      <c r="I1808" s="44" t="s">
        <v>8572</v>
      </c>
      <c r="J1808" s="45" t="s">
        <v>8619</v>
      </c>
      <c r="K1808" s="45" t="s">
        <v>8621</v>
      </c>
      <c r="L1808" s="31" t="n">
        <f aca="false">COUNTIF($B$3:$B$2205,$B1808)</f>
        <v>1</v>
      </c>
      <c r="M1808" s="44" t="str">
        <f aca="false">IFERROR(INDEX(SENTENCES!$T$3:$T$1802,MATCH($F1808,SENTENCES!$A$3:$A$1802,0)),"")</f>
        <v>• Chưa tới</v>
      </c>
    </row>
    <row r="1809" customFormat="false" ht="15" hidden="false" customHeight="false" outlineLevel="0" collapsed="false">
      <c r="A1809" s="31" t="n">
        <v>1807</v>
      </c>
      <c r="B1809" s="43" t="s">
        <v>13563</v>
      </c>
      <c r="C1809" s="34" t="s">
        <v>13564</v>
      </c>
      <c r="D1809" s="44" t="s">
        <v>10686</v>
      </c>
      <c r="E1809" s="31"/>
      <c r="F1809" s="31" t="s">
        <v>8623</v>
      </c>
      <c r="G1809" s="31" t="n">
        <v>73</v>
      </c>
      <c r="H1809" s="31" t="s">
        <v>7168</v>
      </c>
      <c r="I1809" s="44" t="s">
        <v>8572</v>
      </c>
      <c r="J1809" s="45" t="s">
        <v>8625</v>
      </c>
      <c r="K1809" s="45" t="s">
        <v>8627</v>
      </c>
      <c r="L1809" s="31" t="n">
        <f aca="false">COUNTIF($B$3:$B$2205,$B1809)</f>
        <v>1</v>
      </c>
      <c r="M1809" s="44" t="str">
        <f aca="false">IFERROR(INDEX(SENTENCES!$T$3:$T$1802,MATCH($F1809,SENTENCES!$A$3:$A$1802,0)),"")</f>
        <v>• Chưa tới</v>
      </c>
    </row>
    <row r="1810" customFormat="false" ht="15" hidden="false" customHeight="false" outlineLevel="0" collapsed="false">
      <c r="A1810" s="31" t="n">
        <v>1808</v>
      </c>
      <c r="B1810" s="43" t="s">
        <v>13565</v>
      </c>
      <c r="C1810" s="34" t="s">
        <v>13566</v>
      </c>
      <c r="D1810" s="44" t="s">
        <v>10677</v>
      </c>
      <c r="E1810" s="31" t="s">
        <v>10707</v>
      </c>
      <c r="F1810" s="31" t="s">
        <v>8629</v>
      </c>
      <c r="G1810" s="31" t="n">
        <v>73</v>
      </c>
      <c r="H1810" s="31" t="s">
        <v>7168</v>
      </c>
      <c r="I1810" s="44" t="s">
        <v>8572</v>
      </c>
      <c r="J1810" s="45" t="s">
        <v>8631</v>
      </c>
      <c r="K1810" s="45" t="s">
        <v>8633</v>
      </c>
      <c r="L1810" s="31" t="n">
        <f aca="false">COUNTIF($B$3:$B$2205,$B1810)</f>
        <v>1</v>
      </c>
      <c r="M1810" s="44" t="str">
        <f aca="false">IFERROR(INDEX(SENTENCES!$T$3:$T$1802,MATCH($F1810,SENTENCES!$A$3:$A$1802,0)),"")</f>
        <v>• Chưa tới</v>
      </c>
    </row>
    <row r="1811" customFormat="false" ht="15" hidden="false" customHeight="false" outlineLevel="0" collapsed="false">
      <c r="A1811" s="31" t="n">
        <v>1809</v>
      </c>
      <c r="B1811" s="43" t="s">
        <v>13567</v>
      </c>
      <c r="C1811" s="34" t="s">
        <v>12744</v>
      </c>
      <c r="D1811" s="44" t="s">
        <v>10754</v>
      </c>
      <c r="E1811" s="31"/>
      <c r="F1811" s="31" t="s">
        <v>8635</v>
      </c>
      <c r="G1811" s="31" t="n">
        <v>73</v>
      </c>
      <c r="H1811" s="31" t="s">
        <v>7168</v>
      </c>
      <c r="I1811" s="44" t="s">
        <v>8572</v>
      </c>
      <c r="J1811" s="45" t="s">
        <v>8637</v>
      </c>
      <c r="K1811" s="45" t="s">
        <v>8639</v>
      </c>
      <c r="L1811" s="31" t="n">
        <f aca="false">COUNTIF($B$3:$B$2205,$B1811)</f>
        <v>1</v>
      </c>
      <c r="M1811" s="44" t="str">
        <f aca="false">IFERROR(INDEX(SENTENCES!$T$3:$T$1802,MATCH($F1811,SENTENCES!$A$3:$A$1802,0)),"")</f>
        <v>• Chưa tới</v>
      </c>
    </row>
    <row r="1812" customFormat="false" ht="15" hidden="false" customHeight="false" outlineLevel="0" collapsed="false">
      <c r="A1812" s="31" t="n">
        <v>1810</v>
      </c>
      <c r="B1812" s="43" t="s">
        <v>13568</v>
      </c>
      <c r="C1812" s="34" t="s">
        <v>13468</v>
      </c>
      <c r="D1812" s="44" t="s">
        <v>10677</v>
      </c>
      <c r="E1812" s="31" t="s">
        <v>10678</v>
      </c>
      <c r="F1812" s="31" t="s">
        <v>8641</v>
      </c>
      <c r="G1812" s="31" t="n">
        <v>73</v>
      </c>
      <c r="H1812" s="31" t="s">
        <v>7168</v>
      </c>
      <c r="I1812" s="44" t="s">
        <v>8572</v>
      </c>
      <c r="J1812" s="45" t="s">
        <v>8643</v>
      </c>
      <c r="K1812" s="45" t="s">
        <v>8645</v>
      </c>
      <c r="L1812" s="31" t="n">
        <f aca="false">COUNTIF($B$3:$B$2205,$B1812)</f>
        <v>1</v>
      </c>
      <c r="M1812" s="44" t="str">
        <f aca="false">IFERROR(INDEX(SENTENCES!$T$3:$T$1802,MATCH($F1812,SENTENCES!$A$3:$A$1802,0)),"")</f>
        <v>• Chưa tới</v>
      </c>
    </row>
    <row r="1813" customFormat="false" ht="15" hidden="false" customHeight="false" outlineLevel="0" collapsed="false">
      <c r="A1813" s="31" t="n">
        <v>1811</v>
      </c>
      <c r="B1813" s="43" t="s">
        <v>13569</v>
      </c>
      <c r="C1813" s="34" t="s">
        <v>13570</v>
      </c>
      <c r="D1813" s="44" t="s">
        <v>10677</v>
      </c>
      <c r="E1813" s="31" t="s">
        <v>10707</v>
      </c>
      <c r="F1813" s="31" t="s">
        <v>8647</v>
      </c>
      <c r="G1813" s="31" t="n">
        <v>73</v>
      </c>
      <c r="H1813" s="31" t="s">
        <v>7168</v>
      </c>
      <c r="I1813" s="44" t="s">
        <v>8572</v>
      </c>
      <c r="J1813" s="45" t="s">
        <v>8649</v>
      </c>
      <c r="K1813" s="45" t="s">
        <v>8651</v>
      </c>
      <c r="L1813" s="31" t="n">
        <f aca="false">COUNTIF($B$3:$B$2205,$B1813)</f>
        <v>1</v>
      </c>
      <c r="M1813" s="44" t="str">
        <f aca="false">IFERROR(INDEX(SENTENCES!$T$3:$T$1802,MATCH($F1813,SENTENCES!$A$3:$A$1802,0)),"")</f>
        <v>• Chưa tới</v>
      </c>
    </row>
    <row r="1814" customFormat="false" ht="15" hidden="false" customHeight="false" outlineLevel="0" collapsed="false">
      <c r="A1814" s="31" t="n">
        <v>1812</v>
      </c>
      <c r="B1814" s="43" t="s">
        <v>13571</v>
      </c>
      <c r="C1814" s="34" t="s">
        <v>13572</v>
      </c>
      <c r="D1814" s="44" t="s">
        <v>10677</v>
      </c>
      <c r="E1814" s="31" t="s">
        <v>10678</v>
      </c>
      <c r="F1814" s="31" t="s">
        <v>8647</v>
      </c>
      <c r="G1814" s="31" t="n">
        <v>73</v>
      </c>
      <c r="H1814" s="31" t="s">
        <v>7168</v>
      </c>
      <c r="I1814" s="44" t="s">
        <v>8572</v>
      </c>
      <c r="J1814" s="45" t="s">
        <v>8649</v>
      </c>
      <c r="K1814" s="45" t="s">
        <v>8651</v>
      </c>
      <c r="L1814" s="31" t="n">
        <f aca="false">COUNTIF($B$3:$B$2205,$B1814)</f>
        <v>1</v>
      </c>
      <c r="M1814" s="44" t="str">
        <f aca="false">IFERROR(INDEX(SENTENCES!$T$3:$T$1802,MATCH($F1814,SENTENCES!$A$3:$A$1802,0)),"")</f>
        <v>• Chưa tới</v>
      </c>
    </row>
    <row r="1815" customFormat="false" ht="15" hidden="false" customHeight="false" outlineLevel="0" collapsed="false">
      <c r="A1815" s="31" t="n">
        <v>1813</v>
      </c>
      <c r="B1815" s="43" t="s">
        <v>11123</v>
      </c>
      <c r="C1815" s="34" t="s">
        <v>13573</v>
      </c>
      <c r="D1815" s="44" t="s">
        <v>10686</v>
      </c>
      <c r="E1815" s="31"/>
      <c r="F1815" s="31" t="s">
        <v>8653</v>
      </c>
      <c r="G1815" s="31" t="n">
        <v>73</v>
      </c>
      <c r="H1815" s="31" t="s">
        <v>7168</v>
      </c>
      <c r="I1815" s="44" t="s">
        <v>8572</v>
      </c>
      <c r="J1815" s="45" t="s">
        <v>8655</v>
      </c>
      <c r="K1815" s="45" t="s">
        <v>8657</v>
      </c>
      <c r="L1815" s="31" t="n">
        <f aca="false">COUNTIF($B$3:$B$2205,$B1815)</f>
        <v>3</v>
      </c>
      <c r="M1815" s="44" t="str">
        <f aca="false">IFERROR(INDEX(SENTENCES!$T$3:$T$1802,MATCH($F1815,SENTENCES!$A$3:$A$1802,0)),"")</f>
        <v>• Chưa tới</v>
      </c>
    </row>
    <row r="1816" customFormat="false" ht="15" hidden="false" customHeight="false" outlineLevel="0" collapsed="false">
      <c r="A1816" s="31" t="n">
        <v>1814</v>
      </c>
      <c r="B1816" s="43" t="s">
        <v>13574</v>
      </c>
      <c r="C1816" s="34" t="s">
        <v>13575</v>
      </c>
      <c r="D1816" s="44" t="s">
        <v>10677</v>
      </c>
      <c r="E1816" s="31" t="s">
        <v>10707</v>
      </c>
      <c r="F1816" s="31" t="s">
        <v>8658</v>
      </c>
      <c r="G1816" s="31" t="n">
        <v>73</v>
      </c>
      <c r="H1816" s="31" t="s">
        <v>7168</v>
      </c>
      <c r="I1816" s="44" t="s">
        <v>8572</v>
      </c>
      <c r="J1816" s="45" t="s">
        <v>8660</v>
      </c>
      <c r="K1816" s="45" t="s">
        <v>8662</v>
      </c>
      <c r="L1816" s="31" t="n">
        <f aca="false">COUNTIF($B$3:$B$2205,$B1816)</f>
        <v>1</v>
      </c>
      <c r="M1816" s="44" t="str">
        <f aca="false">IFERROR(INDEX(SENTENCES!$T$3:$T$1802,MATCH($F1816,SENTENCES!$A$3:$A$1802,0)),"")</f>
        <v>• Chưa tới</v>
      </c>
    </row>
    <row r="1817" customFormat="false" ht="15" hidden="false" customHeight="false" outlineLevel="0" collapsed="false">
      <c r="A1817" s="31" t="n">
        <v>1815</v>
      </c>
      <c r="B1817" s="43" t="s">
        <v>13576</v>
      </c>
      <c r="C1817" s="34" t="s">
        <v>13577</v>
      </c>
      <c r="D1817" s="44" t="s">
        <v>10677</v>
      </c>
      <c r="E1817" s="31" t="s">
        <v>10707</v>
      </c>
      <c r="F1817" s="31" t="s">
        <v>8664</v>
      </c>
      <c r="G1817" s="31" t="n">
        <v>73</v>
      </c>
      <c r="H1817" s="31" t="s">
        <v>7168</v>
      </c>
      <c r="I1817" s="44" t="s">
        <v>8572</v>
      </c>
      <c r="J1817" s="45" t="s">
        <v>8666</v>
      </c>
      <c r="K1817" s="45" t="s">
        <v>8668</v>
      </c>
      <c r="L1817" s="31" t="n">
        <f aca="false">COUNTIF($B$3:$B$2205,$B1817)</f>
        <v>1</v>
      </c>
      <c r="M1817" s="44" t="str">
        <f aca="false">IFERROR(INDEX(SENTENCES!$T$3:$T$1802,MATCH($F1817,SENTENCES!$A$3:$A$1802,0)),"")</f>
        <v>• Chưa tới</v>
      </c>
    </row>
    <row r="1818" customFormat="false" ht="15" hidden="false" customHeight="false" outlineLevel="0" collapsed="false">
      <c r="A1818" s="31" t="n">
        <v>1816</v>
      </c>
      <c r="B1818" s="43" t="s">
        <v>13578</v>
      </c>
      <c r="C1818" s="34" t="s">
        <v>13579</v>
      </c>
      <c r="D1818" s="44" t="s">
        <v>10686</v>
      </c>
      <c r="E1818" s="31"/>
      <c r="F1818" s="31" t="s">
        <v>8670</v>
      </c>
      <c r="G1818" s="31" t="n">
        <v>73</v>
      </c>
      <c r="H1818" s="31" t="s">
        <v>7168</v>
      </c>
      <c r="I1818" s="44" t="s">
        <v>8572</v>
      </c>
      <c r="J1818" s="45" t="s">
        <v>8672</v>
      </c>
      <c r="K1818" s="45" t="s">
        <v>8674</v>
      </c>
      <c r="L1818" s="31" t="n">
        <f aca="false">COUNTIF($B$3:$B$2205,$B1818)</f>
        <v>1</v>
      </c>
      <c r="M1818" s="44" t="str">
        <f aca="false">IFERROR(INDEX(SENTENCES!$T$3:$T$1802,MATCH($F1818,SENTENCES!$A$3:$A$1802,0)),"")</f>
        <v>• Chưa tới</v>
      </c>
    </row>
    <row r="1819" customFormat="false" ht="15" hidden="false" customHeight="false" outlineLevel="0" collapsed="false">
      <c r="A1819" s="31" t="n">
        <v>1817</v>
      </c>
      <c r="B1819" s="43" t="s">
        <v>13580</v>
      </c>
      <c r="C1819" s="34" t="s">
        <v>13581</v>
      </c>
      <c r="D1819" s="44" t="s">
        <v>10677</v>
      </c>
      <c r="E1819" s="31" t="s">
        <v>10707</v>
      </c>
      <c r="F1819" s="31" t="s">
        <v>8676</v>
      </c>
      <c r="G1819" s="31" t="n">
        <v>73</v>
      </c>
      <c r="H1819" s="31" t="s">
        <v>7168</v>
      </c>
      <c r="I1819" s="44" t="s">
        <v>8572</v>
      </c>
      <c r="J1819" s="45" t="s">
        <v>8678</v>
      </c>
      <c r="K1819" s="45" t="s">
        <v>8680</v>
      </c>
      <c r="L1819" s="31" t="n">
        <f aca="false">COUNTIF($B$3:$B$2205,$B1819)</f>
        <v>1</v>
      </c>
      <c r="M1819" s="44" t="str">
        <f aca="false">IFERROR(INDEX(SENTENCES!$T$3:$T$1802,MATCH($F1819,SENTENCES!$A$3:$A$1802,0)),"")</f>
        <v>• Chưa tới</v>
      </c>
    </row>
    <row r="1820" customFormat="false" ht="15" hidden="false" customHeight="false" outlineLevel="0" collapsed="false">
      <c r="A1820" s="31" t="n">
        <v>1818</v>
      </c>
      <c r="B1820" s="43" t="s">
        <v>13582</v>
      </c>
      <c r="C1820" s="34" t="s">
        <v>13583</v>
      </c>
      <c r="D1820" s="44" t="s">
        <v>10686</v>
      </c>
      <c r="E1820" s="31"/>
      <c r="F1820" s="31" t="s">
        <v>8682</v>
      </c>
      <c r="G1820" s="31" t="n">
        <v>73</v>
      </c>
      <c r="H1820" s="31" t="s">
        <v>7168</v>
      </c>
      <c r="I1820" s="44" t="s">
        <v>8572</v>
      </c>
      <c r="J1820" s="45" t="s">
        <v>8684</v>
      </c>
      <c r="K1820" s="45" t="s">
        <v>8686</v>
      </c>
      <c r="L1820" s="31" t="n">
        <f aca="false">COUNTIF($B$3:$B$2205,$B1820)</f>
        <v>1</v>
      </c>
      <c r="M1820" s="44" t="str">
        <f aca="false">IFERROR(INDEX(SENTENCES!$T$3:$T$1802,MATCH($F1820,SENTENCES!$A$3:$A$1802,0)),"")</f>
        <v>• Chưa tới</v>
      </c>
    </row>
    <row r="1821" customFormat="false" ht="15" hidden="false" customHeight="false" outlineLevel="0" collapsed="false">
      <c r="A1821" s="31" t="n">
        <v>1819</v>
      </c>
      <c r="B1821" s="43" t="s">
        <v>13584</v>
      </c>
      <c r="C1821" s="34" t="s">
        <v>13585</v>
      </c>
      <c r="D1821" s="44" t="s">
        <v>10677</v>
      </c>
      <c r="E1821" s="31" t="s">
        <v>10707</v>
      </c>
      <c r="F1821" s="31" t="s">
        <v>8682</v>
      </c>
      <c r="G1821" s="31" t="n">
        <v>73</v>
      </c>
      <c r="H1821" s="31" t="s">
        <v>7168</v>
      </c>
      <c r="I1821" s="44" t="s">
        <v>8572</v>
      </c>
      <c r="J1821" s="45" t="s">
        <v>8684</v>
      </c>
      <c r="K1821" s="45" t="s">
        <v>8686</v>
      </c>
      <c r="L1821" s="31" t="n">
        <f aca="false">COUNTIF($B$3:$B$2205,$B1821)</f>
        <v>1</v>
      </c>
      <c r="M1821" s="44" t="str">
        <f aca="false">IFERROR(INDEX(SENTENCES!$T$3:$T$1802,MATCH($F1821,SENTENCES!$A$3:$A$1802,0)),"")</f>
        <v>• Chưa tới</v>
      </c>
    </row>
    <row r="1822" customFormat="false" ht="15" hidden="false" customHeight="false" outlineLevel="0" collapsed="false">
      <c r="A1822" s="31" t="n">
        <v>1820</v>
      </c>
      <c r="B1822" s="43" t="s">
        <v>13586</v>
      </c>
      <c r="C1822" s="34" t="s">
        <v>13587</v>
      </c>
      <c r="D1822" s="44" t="s">
        <v>10677</v>
      </c>
      <c r="E1822" s="31" t="s">
        <v>10707</v>
      </c>
      <c r="F1822" s="31" t="s">
        <v>8688</v>
      </c>
      <c r="G1822" s="31" t="n">
        <v>74</v>
      </c>
      <c r="H1822" s="31" t="s">
        <v>7168</v>
      </c>
      <c r="I1822" s="44" t="s">
        <v>8689</v>
      </c>
      <c r="J1822" s="45" t="s">
        <v>8691</v>
      </c>
      <c r="K1822" s="45" t="s">
        <v>8693</v>
      </c>
      <c r="L1822" s="31" t="n">
        <f aca="false">COUNTIF($B$3:$B$2205,$B1822)</f>
        <v>1</v>
      </c>
      <c r="M1822" s="44" t="str">
        <f aca="false">IFERROR(INDEX(SENTENCES!$T$3:$T$1802,MATCH($F1822,SENTENCES!$A$3:$A$1802,0)),"")</f>
        <v>• Chưa tới</v>
      </c>
    </row>
    <row r="1823" customFormat="false" ht="15" hidden="false" customHeight="false" outlineLevel="0" collapsed="false">
      <c r="A1823" s="31" t="n">
        <v>1821</v>
      </c>
      <c r="B1823" s="43" t="s">
        <v>13588</v>
      </c>
      <c r="C1823" s="34" t="s">
        <v>13589</v>
      </c>
      <c r="D1823" s="44" t="s">
        <v>10677</v>
      </c>
      <c r="E1823" s="31" t="s">
        <v>10678</v>
      </c>
      <c r="F1823" s="31" t="s">
        <v>8688</v>
      </c>
      <c r="G1823" s="31" t="n">
        <v>74</v>
      </c>
      <c r="H1823" s="31" t="s">
        <v>7168</v>
      </c>
      <c r="I1823" s="44" t="s">
        <v>8689</v>
      </c>
      <c r="J1823" s="45" t="s">
        <v>8691</v>
      </c>
      <c r="K1823" s="45" t="s">
        <v>8693</v>
      </c>
      <c r="L1823" s="31" t="n">
        <f aca="false">COUNTIF($B$3:$B$2205,$B1823)</f>
        <v>1</v>
      </c>
      <c r="M1823" s="44" t="str">
        <f aca="false">IFERROR(INDEX(SENTENCES!$T$3:$T$1802,MATCH($F1823,SENTENCES!$A$3:$A$1802,0)),"")</f>
        <v>• Chưa tới</v>
      </c>
    </row>
    <row r="1824" customFormat="false" ht="15" hidden="false" customHeight="false" outlineLevel="0" collapsed="false">
      <c r="A1824" s="31" t="n">
        <v>1822</v>
      </c>
      <c r="B1824" s="43" t="s">
        <v>13590</v>
      </c>
      <c r="C1824" s="34" t="s">
        <v>13591</v>
      </c>
      <c r="D1824" s="44" t="s">
        <v>10677</v>
      </c>
      <c r="E1824" s="31" t="s">
        <v>10747</v>
      </c>
      <c r="F1824" s="31" t="s">
        <v>8695</v>
      </c>
      <c r="G1824" s="31" t="n">
        <v>74</v>
      </c>
      <c r="H1824" s="31" t="s">
        <v>7168</v>
      </c>
      <c r="I1824" s="44" t="s">
        <v>8689</v>
      </c>
      <c r="J1824" s="45" t="s">
        <v>8697</v>
      </c>
      <c r="K1824" s="45" t="s">
        <v>8699</v>
      </c>
      <c r="L1824" s="31" t="n">
        <f aca="false">COUNTIF($B$3:$B$2205,$B1824)</f>
        <v>1</v>
      </c>
      <c r="M1824" s="44" t="str">
        <f aca="false">IFERROR(INDEX(SENTENCES!$T$3:$T$1802,MATCH($F1824,SENTENCES!$A$3:$A$1802,0)),"")</f>
        <v>• Chưa tới</v>
      </c>
    </row>
    <row r="1825" customFormat="false" ht="15" hidden="false" customHeight="false" outlineLevel="0" collapsed="false">
      <c r="A1825" s="31" t="n">
        <v>1823</v>
      </c>
      <c r="B1825" s="43" t="s">
        <v>13592</v>
      </c>
      <c r="C1825" s="34" t="s">
        <v>13593</v>
      </c>
      <c r="D1825" s="44" t="s">
        <v>10677</v>
      </c>
      <c r="E1825" s="31" t="s">
        <v>10707</v>
      </c>
      <c r="F1825" s="31" t="s">
        <v>8701</v>
      </c>
      <c r="G1825" s="31" t="n">
        <v>74</v>
      </c>
      <c r="H1825" s="31" t="s">
        <v>7168</v>
      </c>
      <c r="I1825" s="44" t="s">
        <v>8689</v>
      </c>
      <c r="J1825" s="45" t="s">
        <v>8703</v>
      </c>
      <c r="K1825" s="45" t="s">
        <v>8705</v>
      </c>
      <c r="L1825" s="31" t="n">
        <f aca="false">COUNTIF($B$3:$B$2205,$B1825)</f>
        <v>1</v>
      </c>
      <c r="M1825" s="44" t="str">
        <f aca="false">IFERROR(INDEX(SENTENCES!$T$3:$T$1802,MATCH($F1825,SENTENCES!$A$3:$A$1802,0)),"")</f>
        <v>• Chưa tới</v>
      </c>
    </row>
    <row r="1826" customFormat="false" ht="15" hidden="false" customHeight="false" outlineLevel="0" collapsed="false">
      <c r="A1826" s="31" t="n">
        <v>1824</v>
      </c>
      <c r="B1826" s="43" t="s">
        <v>13594</v>
      </c>
      <c r="C1826" s="34" t="s">
        <v>13595</v>
      </c>
      <c r="D1826" s="44" t="s">
        <v>10677</v>
      </c>
      <c r="E1826" s="31" t="s">
        <v>10707</v>
      </c>
      <c r="F1826" s="31" t="s">
        <v>8707</v>
      </c>
      <c r="G1826" s="31" t="n">
        <v>74</v>
      </c>
      <c r="H1826" s="31" t="s">
        <v>7168</v>
      </c>
      <c r="I1826" s="44" t="s">
        <v>8689</v>
      </c>
      <c r="J1826" s="45" t="s">
        <v>8709</v>
      </c>
      <c r="K1826" s="45" t="s">
        <v>8711</v>
      </c>
      <c r="L1826" s="31" t="n">
        <f aca="false">COUNTIF($B$3:$B$2205,$B1826)</f>
        <v>1</v>
      </c>
      <c r="M1826" s="44" t="str">
        <f aca="false">IFERROR(INDEX(SENTENCES!$T$3:$T$1802,MATCH($F1826,SENTENCES!$A$3:$A$1802,0)),"")</f>
        <v>• Chưa tới</v>
      </c>
    </row>
    <row r="1827" customFormat="false" ht="15" hidden="false" customHeight="false" outlineLevel="0" collapsed="false">
      <c r="A1827" s="31" t="n">
        <v>1825</v>
      </c>
      <c r="B1827" s="43" t="s">
        <v>13596</v>
      </c>
      <c r="C1827" s="34" t="s">
        <v>13597</v>
      </c>
      <c r="D1827" s="44" t="s">
        <v>10681</v>
      </c>
      <c r="E1827" s="31"/>
      <c r="F1827" s="31" t="s">
        <v>8713</v>
      </c>
      <c r="G1827" s="31" t="n">
        <v>74</v>
      </c>
      <c r="H1827" s="31" t="s">
        <v>7168</v>
      </c>
      <c r="I1827" s="44" t="s">
        <v>8689</v>
      </c>
      <c r="J1827" s="45" t="s">
        <v>8715</v>
      </c>
      <c r="K1827" s="45" t="s">
        <v>8717</v>
      </c>
      <c r="L1827" s="31" t="n">
        <f aca="false">COUNTIF($B$3:$B$2205,$B1827)</f>
        <v>1</v>
      </c>
      <c r="M1827" s="44" t="str">
        <f aca="false">IFERROR(INDEX(SENTENCES!$T$3:$T$1802,MATCH($F1827,SENTENCES!$A$3:$A$1802,0)),"")</f>
        <v>• Chưa tới</v>
      </c>
    </row>
    <row r="1828" customFormat="false" ht="15" hidden="false" customHeight="false" outlineLevel="0" collapsed="false">
      <c r="A1828" s="31" t="n">
        <v>1826</v>
      </c>
      <c r="B1828" s="43" t="s">
        <v>13598</v>
      </c>
      <c r="C1828" s="34" t="s">
        <v>13599</v>
      </c>
      <c r="D1828" s="44" t="s">
        <v>10686</v>
      </c>
      <c r="E1828" s="31"/>
      <c r="F1828" s="31" t="s">
        <v>8719</v>
      </c>
      <c r="G1828" s="31" t="n">
        <v>74</v>
      </c>
      <c r="H1828" s="31" t="s">
        <v>7168</v>
      </c>
      <c r="I1828" s="44" t="s">
        <v>8689</v>
      </c>
      <c r="J1828" s="45" t="s">
        <v>8721</v>
      </c>
      <c r="K1828" s="45" t="s">
        <v>8723</v>
      </c>
      <c r="L1828" s="31" t="n">
        <f aca="false">COUNTIF($B$3:$B$2205,$B1828)</f>
        <v>1</v>
      </c>
      <c r="M1828" s="44" t="str">
        <f aca="false">IFERROR(INDEX(SENTENCES!$T$3:$T$1802,MATCH($F1828,SENTENCES!$A$3:$A$1802,0)),"")</f>
        <v>• Chưa tới</v>
      </c>
    </row>
    <row r="1829" customFormat="false" ht="15" hidden="false" customHeight="false" outlineLevel="0" collapsed="false">
      <c r="A1829" s="31" t="n">
        <v>1827</v>
      </c>
      <c r="B1829" s="43" t="s">
        <v>13600</v>
      </c>
      <c r="C1829" s="34" t="s">
        <v>13601</v>
      </c>
      <c r="D1829" s="44" t="s">
        <v>10681</v>
      </c>
      <c r="E1829" s="31"/>
      <c r="F1829" s="31" t="s">
        <v>8719</v>
      </c>
      <c r="G1829" s="31" t="n">
        <v>74</v>
      </c>
      <c r="H1829" s="31" t="s">
        <v>7168</v>
      </c>
      <c r="I1829" s="44" t="s">
        <v>8689</v>
      </c>
      <c r="J1829" s="45" t="s">
        <v>8721</v>
      </c>
      <c r="K1829" s="45" t="s">
        <v>8723</v>
      </c>
      <c r="L1829" s="31" t="n">
        <f aca="false">COUNTIF($B$3:$B$2205,$B1829)</f>
        <v>1</v>
      </c>
      <c r="M1829" s="44" t="str">
        <f aca="false">IFERROR(INDEX(SENTENCES!$T$3:$T$1802,MATCH($F1829,SENTENCES!$A$3:$A$1802,0)),"")</f>
        <v>• Chưa tới</v>
      </c>
    </row>
    <row r="1830" customFormat="false" ht="15" hidden="false" customHeight="false" outlineLevel="0" collapsed="false">
      <c r="A1830" s="31" t="n">
        <v>1828</v>
      </c>
      <c r="B1830" s="43" t="s">
        <v>13602</v>
      </c>
      <c r="C1830" s="34" t="s">
        <v>13603</v>
      </c>
      <c r="D1830" s="44" t="s">
        <v>10686</v>
      </c>
      <c r="E1830" s="31"/>
      <c r="F1830" s="31" t="s">
        <v>8725</v>
      </c>
      <c r="G1830" s="31" t="n">
        <v>74</v>
      </c>
      <c r="H1830" s="31" t="s">
        <v>7168</v>
      </c>
      <c r="I1830" s="44" t="s">
        <v>8689</v>
      </c>
      <c r="J1830" s="45" t="s">
        <v>8727</v>
      </c>
      <c r="K1830" s="45" t="s">
        <v>8729</v>
      </c>
      <c r="L1830" s="31" t="n">
        <f aca="false">COUNTIF($B$3:$B$2205,$B1830)</f>
        <v>1</v>
      </c>
      <c r="M1830" s="44" t="str">
        <f aca="false">IFERROR(INDEX(SENTENCES!$T$3:$T$1802,MATCH($F1830,SENTENCES!$A$3:$A$1802,0)),"")</f>
        <v>• Chưa tới</v>
      </c>
    </row>
    <row r="1831" customFormat="false" ht="15" hidden="false" customHeight="false" outlineLevel="0" collapsed="false">
      <c r="A1831" s="31" t="n">
        <v>1829</v>
      </c>
      <c r="B1831" s="43" t="s">
        <v>13604</v>
      </c>
      <c r="C1831" s="34" t="s">
        <v>13605</v>
      </c>
      <c r="D1831" s="44" t="s">
        <v>10677</v>
      </c>
      <c r="E1831" s="31" t="s">
        <v>10707</v>
      </c>
      <c r="F1831" s="31" t="s">
        <v>8725</v>
      </c>
      <c r="G1831" s="31" t="n">
        <v>74</v>
      </c>
      <c r="H1831" s="31" t="s">
        <v>7168</v>
      </c>
      <c r="I1831" s="44" t="s">
        <v>8689</v>
      </c>
      <c r="J1831" s="45" t="s">
        <v>8727</v>
      </c>
      <c r="K1831" s="45" t="s">
        <v>8729</v>
      </c>
      <c r="L1831" s="31" t="n">
        <f aca="false">COUNTIF($B$3:$B$2205,$B1831)</f>
        <v>1</v>
      </c>
      <c r="M1831" s="44" t="str">
        <f aca="false">IFERROR(INDEX(SENTENCES!$T$3:$T$1802,MATCH($F1831,SENTENCES!$A$3:$A$1802,0)),"")</f>
        <v>• Chưa tới</v>
      </c>
    </row>
    <row r="1832" customFormat="false" ht="15" hidden="false" customHeight="false" outlineLevel="0" collapsed="false">
      <c r="A1832" s="31" t="n">
        <v>1830</v>
      </c>
      <c r="B1832" s="43" t="s">
        <v>13606</v>
      </c>
      <c r="C1832" s="34" t="s">
        <v>13607</v>
      </c>
      <c r="D1832" s="44" t="s">
        <v>10677</v>
      </c>
      <c r="E1832" s="31" t="s">
        <v>10707</v>
      </c>
      <c r="F1832" s="31" t="s">
        <v>8731</v>
      </c>
      <c r="G1832" s="31" t="n">
        <v>74</v>
      </c>
      <c r="H1832" s="31" t="s">
        <v>7168</v>
      </c>
      <c r="I1832" s="44" t="s">
        <v>8689</v>
      </c>
      <c r="J1832" s="45" t="s">
        <v>8733</v>
      </c>
      <c r="K1832" s="45" t="s">
        <v>8735</v>
      </c>
      <c r="L1832" s="31" t="n">
        <f aca="false">COUNTIF($B$3:$B$2205,$B1832)</f>
        <v>1</v>
      </c>
      <c r="M1832" s="44" t="str">
        <f aca="false">IFERROR(INDEX(SENTENCES!$T$3:$T$1802,MATCH($F1832,SENTENCES!$A$3:$A$1802,0)),"")</f>
        <v>• Chưa tới</v>
      </c>
    </row>
    <row r="1833" customFormat="false" ht="15" hidden="false" customHeight="false" outlineLevel="0" collapsed="false">
      <c r="A1833" s="31" t="n">
        <v>1831</v>
      </c>
      <c r="B1833" s="43" t="s">
        <v>13608</v>
      </c>
      <c r="C1833" s="34" t="s">
        <v>13609</v>
      </c>
      <c r="D1833" s="44" t="s">
        <v>10686</v>
      </c>
      <c r="E1833" s="31"/>
      <c r="F1833" s="31" t="s">
        <v>8737</v>
      </c>
      <c r="G1833" s="31" t="n">
        <v>74</v>
      </c>
      <c r="H1833" s="31" t="s">
        <v>7168</v>
      </c>
      <c r="I1833" s="44" t="s">
        <v>8689</v>
      </c>
      <c r="J1833" s="45" t="s">
        <v>8739</v>
      </c>
      <c r="K1833" s="45" t="s">
        <v>8741</v>
      </c>
      <c r="L1833" s="31" t="n">
        <f aca="false">COUNTIF($B$3:$B$2205,$B1833)</f>
        <v>1</v>
      </c>
      <c r="M1833" s="44" t="str">
        <f aca="false">IFERROR(INDEX(SENTENCES!$T$3:$T$1802,MATCH($F1833,SENTENCES!$A$3:$A$1802,0)),"")</f>
        <v>• Chưa tới</v>
      </c>
    </row>
    <row r="1834" customFormat="false" ht="15" hidden="false" customHeight="false" outlineLevel="0" collapsed="false">
      <c r="A1834" s="31" t="n">
        <v>1832</v>
      </c>
      <c r="B1834" s="43" t="s">
        <v>13610</v>
      </c>
      <c r="C1834" s="34" t="s">
        <v>13611</v>
      </c>
      <c r="D1834" s="44" t="s">
        <v>10677</v>
      </c>
      <c r="E1834" s="31" t="s">
        <v>10707</v>
      </c>
      <c r="F1834" s="31" t="s">
        <v>8743</v>
      </c>
      <c r="G1834" s="31" t="n">
        <v>74</v>
      </c>
      <c r="H1834" s="31" t="s">
        <v>7168</v>
      </c>
      <c r="I1834" s="44" t="s">
        <v>8689</v>
      </c>
      <c r="J1834" s="45" t="s">
        <v>8745</v>
      </c>
      <c r="K1834" s="45" t="s">
        <v>8747</v>
      </c>
      <c r="L1834" s="31" t="n">
        <f aca="false">COUNTIF($B$3:$B$2205,$B1834)</f>
        <v>1</v>
      </c>
      <c r="M1834" s="44" t="str">
        <f aca="false">IFERROR(INDEX(SENTENCES!$T$3:$T$1802,MATCH($F1834,SENTENCES!$A$3:$A$1802,0)),"")</f>
        <v>• Chưa tới</v>
      </c>
    </row>
    <row r="1835" customFormat="false" ht="15" hidden="false" customHeight="false" outlineLevel="0" collapsed="false">
      <c r="A1835" s="31" t="n">
        <v>1833</v>
      </c>
      <c r="B1835" s="43" t="s">
        <v>13612</v>
      </c>
      <c r="C1835" s="34" t="s">
        <v>13613</v>
      </c>
      <c r="D1835" s="44" t="s">
        <v>10677</v>
      </c>
      <c r="E1835" s="31" t="s">
        <v>10707</v>
      </c>
      <c r="F1835" s="31" t="s">
        <v>8749</v>
      </c>
      <c r="G1835" s="31" t="n">
        <v>74</v>
      </c>
      <c r="H1835" s="31" t="s">
        <v>7168</v>
      </c>
      <c r="I1835" s="44" t="s">
        <v>8689</v>
      </c>
      <c r="J1835" s="45" t="s">
        <v>8751</v>
      </c>
      <c r="K1835" s="45" t="s">
        <v>8753</v>
      </c>
      <c r="L1835" s="31" t="n">
        <f aca="false">COUNTIF($B$3:$B$2205,$B1835)</f>
        <v>1</v>
      </c>
      <c r="M1835" s="44" t="str">
        <f aca="false">IFERROR(INDEX(SENTENCES!$T$3:$T$1802,MATCH($F1835,SENTENCES!$A$3:$A$1802,0)),"")</f>
        <v>• Chưa tới</v>
      </c>
    </row>
    <row r="1836" customFormat="false" ht="15" hidden="false" customHeight="false" outlineLevel="0" collapsed="false">
      <c r="A1836" s="31" t="n">
        <v>1834</v>
      </c>
      <c r="B1836" s="43" t="s">
        <v>13614</v>
      </c>
      <c r="C1836" s="34" t="s">
        <v>13615</v>
      </c>
      <c r="D1836" s="44" t="s">
        <v>10794</v>
      </c>
      <c r="E1836" s="31"/>
      <c r="F1836" s="31" t="s">
        <v>8755</v>
      </c>
      <c r="G1836" s="31" t="n">
        <v>74</v>
      </c>
      <c r="H1836" s="31" t="s">
        <v>7168</v>
      </c>
      <c r="I1836" s="44" t="s">
        <v>8689</v>
      </c>
      <c r="J1836" s="45" t="s">
        <v>8757</v>
      </c>
      <c r="K1836" s="45" t="s">
        <v>8759</v>
      </c>
      <c r="L1836" s="31" t="n">
        <f aca="false">COUNTIF($B$3:$B$2205,$B1836)</f>
        <v>1</v>
      </c>
      <c r="M1836" s="44" t="str">
        <f aca="false">IFERROR(INDEX(SENTENCES!$T$3:$T$1802,MATCH($F1836,SENTENCES!$A$3:$A$1802,0)),"")</f>
        <v>• Chưa tới</v>
      </c>
    </row>
    <row r="1837" customFormat="false" ht="15" hidden="false" customHeight="false" outlineLevel="0" collapsed="false">
      <c r="A1837" s="31" t="n">
        <v>1835</v>
      </c>
      <c r="B1837" s="43" t="s">
        <v>11611</v>
      </c>
      <c r="C1837" s="34" t="s">
        <v>13616</v>
      </c>
      <c r="D1837" s="44" t="s">
        <v>10677</v>
      </c>
      <c r="E1837" s="31" t="s">
        <v>10678</v>
      </c>
      <c r="F1837" s="31" t="s">
        <v>8761</v>
      </c>
      <c r="G1837" s="31" t="n">
        <v>74</v>
      </c>
      <c r="H1837" s="31" t="s">
        <v>7168</v>
      </c>
      <c r="I1837" s="44" t="s">
        <v>8689</v>
      </c>
      <c r="J1837" s="45" t="s">
        <v>8762</v>
      </c>
      <c r="K1837" s="45" t="s">
        <v>8764</v>
      </c>
      <c r="L1837" s="31" t="n">
        <f aca="false">COUNTIF($B$3:$B$2205,$B1837)</f>
        <v>2</v>
      </c>
      <c r="M1837" s="44" t="str">
        <f aca="false">IFERROR(INDEX(SENTENCES!$T$3:$T$1802,MATCH($F1837,SENTENCES!$A$3:$A$1802,0)),"")</f>
        <v>• Chưa tới</v>
      </c>
    </row>
    <row r="1838" customFormat="false" ht="15" hidden="false" customHeight="false" outlineLevel="0" collapsed="false">
      <c r="A1838" s="31" t="n">
        <v>1836</v>
      </c>
      <c r="B1838" s="43" t="s">
        <v>13617</v>
      </c>
      <c r="C1838" s="34" t="s">
        <v>13618</v>
      </c>
      <c r="D1838" s="44" t="s">
        <v>10677</v>
      </c>
      <c r="E1838" s="31" t="s">
        <v>10678</v>
      </c>
      <c r="F1838" s="31" t="s">
        <v>8766</v>
      </c>
      <c r="G1838" s="31" t="n">
        <v>74</v>
      </c>
      <c r="H1838" s="31" t="s">
        <v>7168</v>
      </c>
      <c r="I1838" s="44" t="s">
        <v>8689</v>
      </c>
      <c r="J1838" s="45" t="s">
        <v>8768</v>
      </c>
      <c r="K1838" s="45" t="s">
        <v>8770</v>
      </c>
      <c r="L1838" s="31" t="n">
        <f aca="false">COUNTIF($B$3:$B$2205,$B1838)</f>
        <v>1</v>
      </c>
      <c r="M1838" s="44" t="str">
        <f aca="false">IFERROR(INDEX(SENTENCES!$T$3:$T$1802,MATCH($F1838,SENTENCES!$A$3:$A$1802,0)),"")</f>
        <v>• Chưa tới</v>
      </c>
    </row>
    <row r="1839" customFormat="false" ht="15" hidden="false" customHeight="false" outlineLevel="0" collapsed="false">
      <c r="A1839" s="31" t="n">
        <v>1837</v>
      </c>
      <c r="B1839" s="43" t="s">
        <v>13619</v>
      </c>
      <c r="C1839" s="34" t="s">
        <v>13620</v>
      </c>
      <c r="D1839" s="44" t="s">
        <v>10686</v>
      </c>
      <c r="E1839" s="31"/>
      <c r="F1839" s="31" t="s">
        <v>8772</v>
      </c>
      <c r="G1839" s="31" t="n">
        <v>74</v>
      </c>
      <c r="H1839" s="31" t="s">
        <v>7168</v>
      </c>
      <c r="I1839" s="44" t="s">
        <v>8689</v>
      </c>
      <c r="J1839" s="45" t="s">
        <v>8774</v>
      </c>
      <c r="K1839" s="45" t="s">
        <v>8776</v>
      </c>
      <c r="L1839" s="31" t="n">
        <f aca="false">COUNTIF($B$3:$B$2205,$B1839)</f>
        <v>1</v>
      </c>
      <c r="M1839" s="44" t="str">
        <f aca="false">IFERROR(INDEX(SENTENCES!$T$3:$T$1802,MATCH($F1839,SENTENCES!$A$3:$A$1802,0)),"")</f>
        <v>• Chưa tới</v>
      </c>
    </row>
    <row r="1840" customFormat="false" ht="15" hidden="false" customHeight="false" outlineLevel="0" collapsed="false">
      <c r="A1840" s="31" t="n">
        <v>1838</v>
      </c>
      <c r="B1840" s="43" t="s">
        <v>13621</v>
      </c>
      <c r="C1840" s="34" t="s">
        <v>13622</v>
      </c>
      <c r="D1840" s="44" t="s">
        <v>10677</v>
      </c>
      <c r="E1840" s="31" t="s">
        <v>10707</v>
      </c>
      <c r="F1840" s="31" t="s">
        <v>8778</v>
      </c>
      <c r="G1840" s="31" t="n">
        <v>74</v>
      </c>
      <c r="H1840" s="31" t="s">
        <v>7168</v>
      </c>
      <c r="I1840" s="44" t="s">
        <v>8689</v>
      </c>
      <c r="J1840" s="45" t="s">
        <v>8780</v>
      </c>
      <c r="K1840" s="45" t="s">
        <v>8782</v>
      </c>
      <c r="L1840" s="31" t="n">
        <f aca="false">COUNTIF($B$3:$B$2205,$B1840)</f>
        <v>1</v>
      </c>
      <c r="M1840" s="44" t="str">
        <f aca="false">IFERROR(INDEX(SENTENCES!$T$3:$T$1802,MATCH($F1840,SENTENCES!$A$3:$A$1802,0)),"")</f>
        <v>• Chưa tới</v>
      </c>
    </row>
    <row r="1841" customFormat="false" ht="15" hidden="false" customHeight="false" outlineLevel="0" collapsed="false">
      <c r="A1841" s="31" t="n">
        <v>1839</v>
      </c>
      <c r="B1841" s="43" t="s">
        <v>13623</v>
      </c>
      <c r="C1841" s="34" t="s">
        <v>13624</v>
      </c>
      <c r="D1841" s="44" t="s">
        <v>10686</v>
      </c>
      <c r="E1841" s="31"/>
      <c r="F1841" s="31" t="s">
        <v>8784</v>
      </c>
      <c r="G1841" s="31" t="n">
        <v>74</v>
      </c>
      <c r="H1841" s="31" t="s">
        <v>7168</v>
      </c>
      <c r="I1841" s="44" t="s">
        <v>8689</v>
      </c>
      <c r="J1841" s="45" t="s">
        <v>8786</v>
      </c>
      <c r="K1841" s="45" t="s">
        <v>8788</v>
      </c>
      <c r="L1841" s="31" t="n">
        <f aca="false">COUNTIF($B$3:$B$2205,$B1841)</f>
        <v>1</v>
      </c>
      <c r="M1841" s="44" t="str">
        <f aca="false">IFERROR(INDEX(SENTENCES!$T$3:$T$1802,MATCH($F1841,SENTENCES!$A$3:$A$1802,0)),"")</f>
        <v>• Chưa tới</v>
      </c>
    </row>
    <row r="1842" customFormat="false" ht="15" hidden="false" customHeight="false" outlineLevel="0" collapsed="false">
      <c r="A1842" s="31" t="n">
        <v>1840</v>
      </c>
      <c r="B1842" s="43" t="s">
        <v>12535</v>
      </c>
      <c r="C1842" s="34" t="s">
        <v>13625</v>
      </c>
      <c r="D1842" s="44" t="s">
        <v>10681</v>
      </c>
      <c r="E1842" s="31"/>
      <c r="F1842" s="31" t="s">
        <v>8790</v>
      </c>
      <c r="G1842" s="31" t="n">
        <v>74</v>
      </c>
      <c r="H1842" s="31" t="s">
        <v>7168</v>
      </c>
      <c r="I1842" s="44" t="s">
        <v>8689</v>
      </c>
      <c r="J1842" s="45" t="s">
        <v>8792</v>
      </c>
      <c r="K1842" s="45" t="s">
        <v>8794</v>
      </c>
      <c r="L1842" s="31" t="n">
        <f aca="false">COUNTIF($B$3:$B$2205,$B1842)</f>
        <v>2</v>
      </c>
      <c r="M1842" s="44" t="str">
        <f aca="false">IFERROR(INDEX(SENTENCES!$T$3:$T$1802,MATCH($F1842,SENTENCES!$A$3:$A$1802,0)),"")</f>
        <v>• Chưa tới</v>
      </c>
    </row>
    <row r="1843" customFormat="false" ht="15" hidden="false" customHeight="false" outlineLevel="0" collapsed="false">
      <c r="A1843" s="31" t="n">
        <v>1841</v>
      </c>
      <c r="B1843" s="43" t="s">
        <v>13626</v>
      </c>
      <c r="C1843" s="34" t="s">
        <v>13627</v>
      </c>
      <c r="D1843" s="44" t="s">
        <v>10677</v>
      </c>
      <c r="E1843" s="31" t="s">
        <v>10747</v>
      </c>
      <c r="F1843" s="31" t="s">
        <v>8796</v>
      </c>
      <c r="G1843" s="31" t="n">
        <v>74</v>
      </c>
      <c r="H1843" s="31" t="s">
        <v>7168</v>
      </c>
      <c r="I1843" s="44" t="s">
        <v>8689</v>
      </c>
      <c r="J1843" s="45" t="s">
        <v>8798</v>
      </c>
      <c r="K1843" s="45" t="s">
        <v>8800</v>
      </c>
      <c r="L1843" s="31" t="n">
        <f aca="false">COUNTIF($B$3:$B$2205,$B1843)</f>
        <v>1</v>
      </c>
      <c r="M1843" s="44" t="str">
        <f aca="false">IFERROR(INDEX(SENTENCES!$T$3:$T$1802,MATCH($F1843,SENTENCES!$A$3:$A$1802,0)),"")</f>
        <v>• Chưa tới</v>
      </c>
    </row>
    <row r="1844" customFormat="false" ht="15" hidden="false" customHeight="false" outlineLevel="0" collapsed="false">
      <c r="A1844" s="31" t="n">
        <v>1842</v>
      </c>
      <c r="B1844" s="43" t="s">
        <v>13628</v>
      </c>
      <c r="C1844" s="34" t="s">
        <v>13464</v>
      </c>
      <c r="D1844" s="44" t="s">
        <v>10686</v>
      </c>
      <c r="E1844" s="31"/>
      <c r="F1844" s="31" t="s">
        <v>8796</v>
      </c>
      <c r="G1844" s="31" t="n">
        <v>74</v>
      </c>
      <c r="H1844" s="31" t="s">
        <v>7168</v>
      </c>
      <c r="I1844" s="44" t="s">
        <v>8689</v>
      </c>
      <c r="J1844" s="45" t="s">
        <v>8798</v>
      </c>
      <c r="K1844" s="45" t="s">
        <v>8800</v>
      </c>
      <c r="L1844" s="31" t="n">
        <f aca="false">COUNTIF($B$3:$B$2205,$B1844)</f>
        <v>2</v>
      </c>
      <c r="M1844" s="44" t="str">
        <f aca="false">IFERROR(INDEX(SENTENCES!$T$3:$T$1802,MATCH($F1844,SENTENCES!$A$3:$A$1802,0)),"")</f>
        <v>• Chưa tới</v>
      </c>
    </row>
    <row r="1845" customFormat="false" ht="15" hidden="false" customHeight="false" outlineLevel="0" collapsed="false">
      <c r="A1845" s="31" t="n">
        <v>1843</v>
      </c>
      <c r="B1845" s="43" t="s">
        <v>12362</v>
      </c>
      <c r="C1845" s="34" t="s">
        <v>12897</v>
      </c>
      <c r="D1845" s="44" t="s">
        <v>10677</v>
      </c>
      <c r="E1845" s="31" t="s">
        <v>10678</v>
      </c>
      <c r="F1845" s="31" t="s">
        <v>8802</v>
      </c>
      <c r="G1845" s="31" t="n">
        <v>74</v>
      </c>
      <c r="H1845" s="31" t="s">
        <v>7168</v>
      </c>
      <c r="I1845" s="44" t="s">
        <v>8689</v>
      </c>
      <c r="J1845" s="45" t="s">
        <v>8804</v>
      </c>
      <c r="K1845" s="45" t="s">
        <v>8806</v>
      </c>
      <c r="L1845" s="31" t="n">
        <f aca="false">COUNTIF($B$3:$B$2205,$B1845)</f>
        <v>3</v>
      </c>
      <c r="M1845" s="44" t="str">
        <f aca="false">IFERROR(INDEX(SENTENCES!$T$3:$T$1802,MATCH($F1845,SENTENCES!$A$3:$A$1802,0)),"")</f>
        <v>• Chưa tới</v>
      </c>
    </row>
    <row r="1846" customFormat="false" ht="15" hidden="false" customHeight="false" outlineLevel="0" collapsed="false">
      <c r="A1846" s="31" t="n">
        <v>1844</v>
      </c>
      <c r="B1846" s="43" t="s">
        <v>13629</v>
      </c>
      <c r="C1846" s="34" t="s">
        <v>13630</v>
      </c>
      <c r="D1846" s="44" t="s">
        <v>10677</v>
      </c>
      <c r="E1846" s="31" t="s">
        <v>10707</v>
      </c>
      <c r="F1846" s="31" t="s">
        <v>8808</v>
      </c>
      <c r="G1846" s="31" t="n">
        <v>75</v>
      </c>
      <c r="H1846" s="31" t="s">
        <v>7168</v>
      </c>
      <c r="I1846" s="44" t="s">
        <v>8809</v>
      </c>
      <c r="J1846" s="45" t="s">
        <v>8811</v>
      </c>
      <c r="K1846" s="45" t="s">
        <v>8813</v>
      </c>
      <c r="L1846" s="31" t="n">
        <f aca="false">COUNTIF($B$3:$B$2205,$B1846)</f>
        <v>1</v>
      </c>
      <c r="M1846" s="44" t="str">
        <f aca="false">IFERROR(INDEX(SENTENCES!$T$3:$T$1802,MATCH($F1846,SENTENCES!$A$3:$A$1802,0)),"")</f>
        <v>• Chưa tới</v>
      </c>
    </row>
    <row r="1847" customFormat="false" ht="15" hidden="false" customHeight="false" outlineLevel="0" collapsed="false">
      <c r="A1847" s="31" t="n">
        <v>1845</v>
      </c>
      <c r="B1847" s="43" t="s">
        <v>13631</v>
      </c>
      <c r="C1847" s="34" t="s">
        <v>13632</v>
      </c>
      <c r="D1847" s="44" t="s">
        <v>10677</v>
      </c>
      <c r="E1847" s="31" t="s">
        <v>10678</v>
      </c>
      <c r="F1847" s="31" t="s">
        <v>8815</v>
      </c>
      <c r="G1847" s="31" t="n">
        <v>75</v>
      </c>
      <c r="H1847" s="31" t="s">
        <v>7168</v>
      </c>
      <c r="I1847" s="44" t="s">
        <v>8809</v>
      </c>
      <c r="J1847" s="45" t="s">
        <v>8816</v>
      </c>
      <c r="K1847" s="45" t="s">
        <v>8818</v>
      </c>
      <c r="L1847" s="31" t="n">
        <f aca="false">COUNTIF($B$3:$B$2205,$B1847)</f>
        <v>1</v>
      </c>
      <c r="M1847" s="44" t="str">
        <f aca="false">IFERROR(INDEX(SENTENCES!$T$3:$T$1802,MATCH($F1847,SENTENCES!$A$3:$A$1802,0)),"")</f>
        <v>• Chưa tới</v>
      </c>
    </row>
    <row r="1848" customFormat="false" ht="15" hidden="false" customHeight="false" outlineLevel="0" collapsed="false">
      <c r="A1848" s="31" t="n">
        <v>1846</v>
      </c>
      <c r="B1848" s="43" t="s">
        <v>13633</v>
      </c>
      <c r="C1848" s="34" t="s">
        <v>13634</v>
      </c>
      <c r="D1848" s="44" t="s">
        <v>10677</v>
      </c>
      <c r="E1848" s="31" t="s">
        <v>10707</v>
      </c>
      <c r="F1848" s="31" t="s">
        <v>8820</v>
      </c>
      <c r="G1848" s="31" t="n">
        <v>75</v>
      </c>
      <c r="H1848" s="31" t="s">
        <v>7168</v>
      </c>
      <c r="I1848" s="44" t="s">
        <v>8809</v>
      </c>
      <c r="J1848" s="45" t="s">
        <v>8822</v>
      </c>
      <c r="K1848" s="45" t="s">
        <v>8824</v>
      </c>
      <c r="L1848" s="31" t="n">
        <f aca="false">COUNTIF($B$3:$B$2205,$B1848)</f>
        <v>1</v>
      </c>
      <c r="M1848" s="44" t="str">
        <f aca="false">IFERROR(INDEX(SENTENCES!$T$3:$T$1802,MATCH($F1848,SENTENCES!$A$3:$A$1802,0)),"")</f>
        <v>• Chưa tới</v>
      </c>
    </row>
    <row r="1849" customFormat="false" ht="22.35" hidden="false" customHeight="false" outlineLevel="0" collapsed="false">
      <c r="A1849" s="31" t="n">
        <v>1847</v>
      </c>
      <c r="B1849" s="43" t="s">
        <v>13635</v>
      </c>
      <c r="C1849" s="34" t="s">
        <v>13636</v>
      </c>
      <c r="D1849" s="44" t="s">
        <v>10686</v>
      </c>
      <c r="E1849" s="31"/>
      <c r="F1849" s="31" t="s">
        <v>8826</v>
      </c>
      <c r="G1849" s="31" t="n">
        <v>75</v>
      </c>
      <c r="H1849" s="31" t="s">
        <v>7168</v>
      </c>
      <c r="I1849" s="44" t="s">
        <v>8809</v>
      </c>
      <c r="J1849" s="45" t="s">
        <v>8828</v>
      </c>
      <c r="K1849" s="45" t="s">
        <v>8830</v>
      </c>
      <c r="L1849" s="31" t="n">
        <f aca="false">COUNTIF($B$3:$B$2205,$B1849)</f>
        <v>1</v>
      </c>
      <c r="M1849" s="44" t="str">
        <f aca="false">IFERROR(INDEX(SENTENCES!$T$3:$T$1802,MATCH($F1849,SENTENCES!$A$3:$A$1802,0)),"")</f>
        <v>• Chưa tới</v>
      </c>
    </row>
    <row r="1850" customFormat="false" ht="15" hidden="false" customHeight="false" outlineLevel="0" collapsed="false">
      <c r="A1850" s="31" t="n">
        <v>1848</v>
      </c>
      <c r="B1850" s="43" t="s">
        <v>13340</v>
      </c>
      <c r="C1850" s="34" t="s">
        <v>13341</v>
      </c>
      <c r="D1850" s="44" t="s">
        <v>10677</v>
      </c>
      <c r="E1850" s="31" t="s">
        <v>10707</v>
      </c>
      <c r="F1850" s="31" t="s">
        <v>8831</v>
      </c>
      <c r="G1850" s="31" t="n">
        <v>75</v>
      </c>
      <c r="H1850" s="31" t="s">
        <v>7168</v>
      </c>
      <c r="I1850" s="44" t="s">
        <v>8809</v>
      </c>
      <c r="J1850" s="45" t="s">
        <v>8833</v>
      </c>
      <c r="K1850" s="45" t="s">
        <v>8835</v>
      </c>
      <c r="L1850" s="31" t="n">
        <f aca="false">COUNTIF($B$3:$B$2205,$B1850)</f>
        <v>2</v>
      </c>
      <c r="M1850" s="44" t="str">
        <f aca="false">IFERROR(INDEX(SENTENCES!$T$3:$T$1802,MATCH($F1850,SENTENCES!$A$3:$A$1802,0)),"")</f>
        <v>• Chưa tới</v>
      </c>
    </row>
    <row r="1851" customFormat="false" ht="15" hidden="false" customHeight="false" outlineLevel="0" collapsed="false">
      <c r="A1851" s="31" t="n">
        <v>1849</v>
      </c>
      <c r="B1851" s="43" t="s">
        <v>13637</v>
      </c>
      <c r="C1851" s="34" t="s">
        <v>13638</v>
      </c>
      <c r="D1851" s="44" t="s">
        <v>10677</v>
      </c>
      <c r="E1851" s="31" t="s">
        <v>10707</v>
      </c>
      <c r="F1851" s="31" t="s">
        <v>8836</v>
      </c>
      <c r="G1851" s="31" t="n">
        <v>75</v>
      </c>
      <c r="H1851" s="31" t="s">
        <v>7168</v>
      </c>
      <c r="I1851" s="44" t="s">
        <v>8809</v>
      </c>
      <c r="J1851" s="45" t="s">
        <v>8838</v>
      </c>
      <c r="K1851" s="45" t="s">
        <v>8840</v>
      </c>
      <c r="L1851" s="31" t="n">
        <f aca="false">COUNTIF($B$3:$B$2205,$B1851)</f>
        <v>1</v>
      </c>
      <c r="M1851" s="44" t="str">
        <f aca="false">IFERROR(INDEX(SENTENCES!$T$3:$T$1802,MATCH($F1851,SENTENCES!$A$3:$A$1802,0)),"")</f>
        <v>• Chưa tới</v>
      </c>
    </row>
    <row r="1852" customFormat="false" ht="15" hidden="false" customHeight="false" outlineLevel="0" collapsed="false">
      <c r="A1852" s="31" t="n">
        <v>1850</v>
      </c>
      <c r="B1852" s="43" t="s">
        <v>13639</v>
      </c>
      <c r="C1852" s="34" t="s">
        <v>13640</v>
      </c>
      <c r="D1852" s="44" t="s">
        <v>10677</v>
      </c>
      <c r="E1852" s="31" t="s">
        <v>10678</v>
      </c>
      <c r="F1852" s="31" t="s">
        <v>8842</v>
      </c>
      <c r="G1852" s="31" t="n">
        <v>75</v>
      </c>
      <c r="H1852" s="31" t="s">
        <v>7168</v>
      </c>
      <c r="I1852" s="44" t="s">
        <v>8809</v>
      </c>
      <c r="J1852" s="45" t="s">
        <v>8843</v>
      </c>
      <c r="K1852" s="45" t="s">
        <v>8845</v>
      </c>
      <c r="L1852" s="31" t="n">
        <f aca="false">COUNTIF($B$3:$B$2205,$B1852)</f>
        <v>1</v>
      </c>
      <c r="M1852" s="44" t="str">
        <f aca="false">IFERROR(INDEX(SENTENCES!$T$3:$T$1802,MATCH($F1852,SENTENCES!$A$3:$A$1802,0)),"")</f>
        <v>• Chưa tới</v>
      </c>
    </row>
    <row r="1853" customFormat="false" ht="15" hidden="false" customHeight="false" outlineLevel="0" collapsed="false">
      <c r="A1853" s="31" t="n">
        <v>1851</v>
      </c>
      <c r="B1853" s="43" t="s">
        <v>13641</v>
      </c>
      <c r="C1853" s="34" t="s">
        <v>13642</v>
      </c>
      <c r="D1853" s="44" t="s">
        <v>10681</v>
      </c>
      <c r="E1853" s="31"/>
      <c r="F1853" s="31" t="s">
        <v>8847</v>
      </c>
      <c r="G1853" s="31" t="n">
        <v>75</v>
      </c>
      <c r="H1853" s="31" t="s">
        <v>7168</v>
      </c>
      <c r="I1853" s="44" t="s">
        <v>8809</v>
      </c>
      <c r="J1853" s="45" t="s">
        <v>8849</v>
      </c>
      <c r="K1853" s="45" t="s">
        <v>8851</v>
      </c>
      <c r="L1853" s="31" t="n">
        <f aca="false">COUNTIF($B$3:$B$2205,$B1853)</f>
        <v>1</v>
      </c>
      <c r="M1853" s="44" t="str">
        <f aca="false">IFERROR(INDEX(SENTENCES!$T$3:$T$1802,MATCH($F1853,SENTENCES!$A$3:$A$1802,0)),"")</f>
        <v>• Chưa tới</v>
      </c>
    </row>
    <row r="1854" customFormat="false" ht="15" hidden="false" customHeight="false" outlineLevel="0" collapsed="false">
      <c r="A1854" s="31" t="n">
        <v>1852</v>
      </c>
      <c r="B1854" s="43" t="s">
        <v>13643</v>
      </c>
      <c r="C1854" s="34" t="s">
        <v>13644</v>
      </c>
      <c r="D1854" s="44" t="s">
        <v>10677</v>
      </c>
      <c r="E1854" s="31" t="s">
        <v>10678</v>
      </c>
      <c r="F1854" s="31" t="s">
        <v>8847</v>
      </c>
      <c r="G1854" s="31" t="n">
        <v>75</v>
      </c>
      <c r="H1854" s="31" t="s">
        <v>7168</v>
      </c>
      <c r="I1854" s="44" t="s">
        <v>8809</v>
      </c>
      <c r="J1854" s="45" t="s">
        <v>8849</v>
      </c>
      <c r="K1854" s="45" t="s">
        <v>8851</v>
      </c>
      <c r="L1854" s="31" t="n">
        <f aca="false">COUNTIF($B$3:$B$2205,$B1854)</f>
        <v>1</v>
      </c>
      <c r="M1854" s="44" t="str">
        <f aca="false">IFERROR(INDEX(SENTENCES!$T$3:$T$1802,MATCH($F1854,SENTENCES!$A$3:$A$1802,0)),"")</f>
        <v>• Chưa tới</v>
      </c>
    </row>
    <row r="1855" customFormat="false" ht="15" hidden="false" customHeight="false" outlineLevel="0" collapsed="false">
      <c r="A1855" s="31" t="n">
        <v>1853</v>
      </c>
      <c r="B1855" s="43" t="s">
        <v>13645</v>
      </c>
      <c r="C1855" s="34" t="s">
        <v>13646</v>
      </c>
      <c r="D1855" s="44" t="s">
        <v>10677</v>
      </c>
      <c r="E1855" s="31" t="s">
        <v>10707</v>
      </c>
      <c r="F1855" s="31" t="s">
        <v>8853</v>
      </c>
      <c r="G1855" s="31" t="n">
        <v>75</v>
      </c>
      <c r="H1855" s="31" t="s">
        <v>7168</v>
      </c>
      <c r="I1855" s="44" t="s">
        <v>8809</v>
      </c>
      <c r="J1855" s="45" t="s">
        <v>8855</v>
      </c>
      <c r="K1855" s="45" t="s">
        <v>8857</v>
      </c>
      <c r="L1855" s="31" t="n">
        <f aca="false">COUNTIF($B$3:$B$2205,$B1855)</f>
        <v>1</v>
      </c>
      <c r="M1855" s="44" t="str">
        <f aca="false">IFERROR(INDEX(SENTENCES!$T$3:$T$1802,MATCH($F1855,SENTENCES!$A$3:$A$1802,0)),"")</f>
        <v>• Chưa tới</v>
      </c>
    </row>
    <row r="1856" customFormat="false" ht="15" hidden="false" customHeight="false" outlineLevel="0" collapsed="false">
      <c r="A1856" s="31" t="n">
        <v>1854</v>
      </c>
      <c r="B1856" s="43" t="s">
        <v>13647</v>
      </c>
      <c r="C1856" s="34" t="s">
        <v>13648</v>
      </c>
      <c r="D1856" s="44" t="s">
        <v>10677</v>
      </c>
      <c r="E1856" s="31" t="s">
        <v>10747</v>
      </c>
      <c r="F1856" s="31" t="s">
        <v>8859</v>
      </c>
      <c r="G1856" s="31" t="n">
        <v>75</v>
      </c>
      <c r="H1856" s="31" t="s">
        <v>7168</v>
      </c>
      <c r="I1856" s="44" t="s">
        <v>8809</v>
      </c>
      <c r="J1856" s="45" t="s">
        <v>8861</v>
      </c>
      <c r="K1856" s="45" t="s">
        <v>8863</v>
      </c>
      <c r="L1856" s="31" t="n">
        <f aca="false">COUNTIF($B$3:$B$2205,$B1856)</f>
        <v>1</v>
      </c>
      <c r="M1856" s="44" t="str">
        <f aca="false">IFERROR(INDEX(SENTENCES!$T$3:$T$1802,MATCH($F1856,SENTENCES!$A$3:$A$1802,0)),"")</f>
        <v>• Chưa tới</v>
      </c>
    </row>
    <row r="1857" customFormat="false" ht="15" hidden="false" customHeight="false" outlineLevel="0" collapsed="false">
      <c r="A1857" s="31" t="n">
        <v>1855</v>
      </c>
      <c r="B1857" s="43" t="s">
        <v>13649</v>
      </c>
      <c r="C1857" s="34" t="s">
        <v>13650</v>
      </c>
      <c r="D1857" s="44" t="s">
        <v>10686</v>
      </c>
      <c r="E1857" s="31"/>
      <c r="F1857" s="31" t="s">
        <v>8865</v>
      </c>
      <c r="G1857" s="31" t="n">
        <v>75</v>
      </c>
      <c r="H1857" s="31" t="s">
        <v>7168</v>
      </c>
      <c r="I1857" s="44" t="s">
        <v>8809</v>
      </c>
      <c r="J1857" s="45" t="s">
        <v>8866</v>
      </c>
      <c r="K1857" s="45" t="s">
        <v>8868</v>
      </c>
      <c r="L1857" s="31" t="n">
        <f aca="false">COUNTIF($B$3:$B$2205,$B1857)</f>
        <v>1</v>
      </c>
      <c r="M1857" s="44" t="str">
        <f aca="false">IFERROR(INDEX(SENTENCES!$T$3:$T$1802,MATCH($F1857,SENTENCES!$A$3:$A$1802,0)),"")</f>
        <v>• Chưa tới</v>
      </c>
    </row>
    <row r="1858" customFormat="false" ht="15" hidden="false" customHeight="false" outlineLevel="0" collapsed="false">
      <c r="A1858" s="31" t="n">
        <v>1856</v>
      </c>
      <c r="B1858" s="43" t="s">
        <v>13651</v>
      </c>
      <c r="C1858" s="34" t="s">
        <v>13652</v>
      </c>
      <c r="D1858" s="44" t="s">
        <v>10677</v>
      </c>
      <c r="E1858" s="31" t="s">
        <v>10707</v>
      </c>
      <c r="F1858" s="31" t="s">
        <v>8870</v>
      </c>
      <c r="G1858" s="31" t="n">
        <v>75</v>
      </c>
      <c r="H1858" s="31" t="s">
        <v>7168</v>
      </c>
      <c r="I1858" s="44" t="s">
        <v>8809</v>
      </c>
      <c r="J1858" s="45" t="s">
        <v>8872</v>
      </c>
      <c r="K1858" s="45" t="s">
        <v>8874</v>
      </c>
      <c r="L1858" s="31" t="n">
        <f aca="false">COUNTIF($B$3:$B$2205,$B1858)</f>
        <v>1</v>
      </c>
      <c r="M1858" s="44" t="str">
        <f aca="false">IFERROR(INDEX(SENTENCES!$T$3:$T$1802,MATCH($F1858,SENTENCES!$A$3:$A$1802,0)),"")</f>
        <v>• Chưa tới</v>
      </c>
    </row>
    <row r="1859" customFormat="false" ht="15" hidden="false" customHeight="false" outlineLevel="0" collapsed="false">
      <c r="A1859" s="31" t="n">
        <v>1857</v>
      </c>
      <c r="B1859" s="43" t="s">
        <v>13653</v>
      </c>
      <c r="C1859" s="34" t="s">
        <v>13654</v>
      </c>
      <c r="D1859" s="44" t="s">
        <v>10754</v>
      </c>
      <c r="E1859" s="31"/>
      <c r="F1859" s="31" t="s">
        <v>8876</v>
      </c>
      <c r="G1859" s="31" t="n">
        <v>75</v>
      </c>
      <c r="H1859" s="31" t="s">
        <v>7168</v>
      </c>
      <c r="I1859" s="44" t="s">
        <v>8809</v>
      </c>
      <c r="J1859" s="45" t="s">
        <v>8878</v>
      </c>
      <c r="K1859" s="45" t="s">
        <v>8880</v>
      </c>
      <c r="L1859" s="31" t="n">
        <f aca="false">COUNTIF($B$3:$B$2205,$B1859)</f>
        <v>1</v>
      </c>
      <c r="M1859" s="44" t="str">
        <f aca="false">IFERROR(INDEX(SENTENCES!$T$3:$T$1802,MATCH($F1859,SENTENCES!$A$3:$A$1802,0)),"")</f>
        <v>• Chưa tới</v>
      </c>
    </row>
    <row r="1860" customFormat="false" ht="15" hidden="false" customHeight="false" outlineLevel="0" collapsed="false">
      <c r="A1860" s="31" t="n">
        <v>1858</v>
      </c>
      <c r="B1860" s="43" t="s">
        <v>8883</v>
      </c>
      <c r="C1860" s="34" t="s">
        <v>13655</v>
      </c>
      <c r="D1860" s="44" t="s">
        <v>10677</v>
      </c>
      <c r="E1860" s="31" t="s">
        <v>10707</v>
      </c>
      <c r="F1860" s="31" t="s">
        <v>8882</v>
      </c>
      <c r="G1860" s="31" t="n">
        <v>75</v>
      </c>
      <c r="H1860" s="31" t="s">
        <v>7168</v>
      </c>
      <c r="I1860" s="44" t="s">
        <v>8809</v>
      </c>
      <c r="J1860" s="45" t="s">
        <v>8884</v>
      </c>
      <c r="K1860" s="45" t="s">
        <v>8886</v>
      </c>
      <c r="L1860" s="31" t="n">
        <f aca="false">COUNTIF($B$3:$B$2205,$B1860)</f>
        <v>1</v>
      </c>
      <c r="M1860" s="44" t="str">
        <f aca="false">IFERROR(INDEX(SENTENCES!$T$3:$T$1802,MATCH($F1860,SENTENCES!$A$3:$A$1802,0)),"")</f>
        <v>• Chưa tới</v>
      </c>
    </row>
    <row r="1861" customFormat="false" ht="15" hidden="false" customHeight="false" outlineLevel="0" collapsed="false">
      <c r="A1861" s="31" t="n">
        <v>1859</v>
      </c>
      <c r="B1861" s="43" t="s">
        <v>13656</v>
      </c>
      <c r="C1861" s="34" t="s">
        <v>13657</v>
      </c>
      <c r="D1861" s="44" t="s">
        <v>10677</v>
      </c>
      <c r="E1861" s="31" t="s">
        <v>10707</v>
      </c>
      <c r="F1861" s="31" t="s">
        <v>8888</v>
      </c>
      <c r="G1861" s="31" t="n">
        <v>75</v>
      </c>
      <c r="H1861" s="31" t="s">
        <v>7168</v>
      </c>
      <c r="I1861" s="44" t="s">
        <v>8809</v>
      </c>
      <c r="J1861" s="45" t="s">
        <v>8890</v>
      </c>
      <c r="K1861" s="45" t="s">
        <v>8892</v>
      </c>
      <c r="L1861" s="31" t="n">
        <f aca="false">COUNTIF($B$3:$B$2205,$B1861)</f>
        <v>1</v>
      </c>
      <c r="M1861" s="44" t="str">
        <f aca="false">IFERROR(INDEX(SENTENCES!$T$3:$T$1802,MATCH($F1861,SENTENCES!$A$3:$A$1802,0)),"")</f>
        <v>• Chưa tới</v>
      </c>
    </row>
    <row r="1862" customFormat="false" ht="15" hidden="false" customHeight="false" outlineLevel="0" collapsed="false">
      <c r="A1862" s="31" t="n">
        <v>1860</v>
      </c>
      <c r="B1862" s="43" t="s">
        <v>13658</v>
      </c>
      <c r="C1862" s="34" t="s">
        <v>13659</v>
      </c>
      <c r="D1862" s="44" t="s">
        <v>10677</v>
      </c>
      <c r="E1862" s="31" t="s">
        <v>10707</v>
      </c>
      <c r="F1862" s="31" t="s">
        <v>8894</v>
      </c>
      <c r="G1862" s="31" t="n">
        <v>75</v>
      </c>
      <c r="H1862" s="31" t="s">
        <v>7168</v>
      </c>
      <c r="I1862" s="44" t="s">
        <v>8809</v>
      </c>
      <c r="J1862" s="45" t="s">
        <v>8895</v>
      </c>
      <c r="K1862" s="45" t="s">
        <v>8897</v>
      </c>
      <c r="L1862" s="31" t="n">
        <f aca="false">COUNTIF($B$3:$B$2205,$B1862)</f>
        <v>1</v>
      </c>
      <c r="M1862" s="44" t="str">
        <f aca="false">IFERROR(INDEX(SENTENCES!$T$3:$T$1802,MATCH($F1862,SENTENCES!$A$3:$A$1802,0)),"")</f>
        <v>• Chưa tới</v>
      </c>
    </row>
    <row r="1863" customFormat="false" ht="15" hidden="false" customHeight="false" outlineLevel="0" collapsed="false">
      <c r="A1863" s="31" t="n">
        <v>1861</v>
      </c>
      <c r="B1863" s="43" t="s">
        <v>13660</v>
      </c>
      <c r="C1863" s="34" t="s">
        <v>13661</v>
      </c>
      <c r="D1863" s="44" t="s">
        <v>10677</v>
      </c>
      <c r="E1863" s="31" t="s">
        <v>10707</v>
      </c>
      <c r="F1863" s="31" t="s">
        <v>8899</v>
      </c>
      <c r="G1863" s="31" t="n">
        <v>75</v>
      </c>
      <c r="H1863" s="31" t="s">
        <v>7168</v>
      </c>
      <c r="I1863" s="44" t="s">
        <v>8809</v>
      </c>
      <c r="J1863" s="45" t="s">
        <v>8901</v>
      </c>
      <c r="K1863" s="45" t="s">
        <v>8903</v>
      </c>
      <c r="L1863" s="31" t="n">
        <f aca="false">COUNTIF($B$3:$B$2205,$B1863)</f>
        <v>1</v>
      </c>
      <c r="M1863" s="44" t="str">
        <f aca="false">IFERROR(INDEX(SENTENCES!$T$3:$T$1802,MATCH($F1863,SENTENCES!$A$3:$A$1802,0)),"")</f>
        <v>• Chưa tới</v>
      </c>
    </row>
    <row r="1864" customFormat="false" ht="15" hidden="false" customHeight="false" outlineLevel="0" collapsed="false">
      <c r="A1864" s="31" t="n">
        <v>1862</v>
      </c>
      <c r="B1864" s="43" t="s">
        <v>13662</v>
      </c>
      <c r="C1864" s="34" t="s">
        <v>13663</v>
      </c>
      <c r="D1864" s="44" t="s">
        <v>10681</v>
      </c>
      <c r="E1864" s="31"/>
      <c r="F1864" s="31" t="s">
        <v>8905</v>
      </c>
      <c r="G1864" s="31" t="n">
        <v>75</v>
      </c>
      <c r="H1864" s="31" t="s">
        <v>7168</v>
      </c>
      <c r="I1864" s="44" t="s">
        <v>8809</v>
      </c>
      <c r="J1864" s="45" t="s">
        <v>8907</v>
      </c>
      <c r="K1864" s="45" t="s">
        <v>8909</v>
      </c>
      <c r="L1864" s="31" t="n">
        <f aca="false">COUNTIF($B$3:$B$2205,$B1864)</f>
        <v>1</v>
      </c>
      <c r="M1864" s="44" t="str">
        <f aca="false">IFERROR(INDEX(SENTENCES!$T$3:$T$1802,MATCH($F1864,SENTENCES!$A$3:$A$1802,0)),"")</f>
        <v>• Chưa tới</v>
      </c>
    </row>
    <row r="1865" customFormat="false" ht="15" hidden="false" customHeight="false" outlineLevel="0" collapsed="false">
      <c r="A1865" s="31" t="n">
        <v>1863</v>
      </c>
      <c r="B1865" s="43" t="s">
        <v>13664</v>
      </c>
      <c r="C1865" s="34" t="s">
        <v>13665</v>
      </c>
      <c r="D1865" s="44" t="s">
        <v>10677</v>
      </c>
      <c r="E1865" s="31" t="s">
        <v>10707</v>
      </c>
      <c r="F1865" s="31" t="s">
        <v>8911</v>
      </c>
      <c r="G1865" s="31" t="n">
        <v>75</v>
      </c>
      <c r="H1865" s="31" t="s">
        <v>7168</v>
      </c>
      <c r="I1865" s="44" t="s">
        <v>8809</v>
      </c>
      <c r="J1865" s="45" t="s">
        <v>8913</v>
      </c>
      <c r="K1865" s="45" t="s">
        <v>8915</v>
      </c>
      <c r="L1865" s="31" t="n">
        <f aca="false">COUNTIF($B$3:$B$2205,$B1865)</f>
        <v>1</v>
      </c>
      <c r="M1865" s="44" t="str">
        <f aca="false">IFERROR(INDEX(SENTENCES!$T$3:$T$1802,MATCH($F1865,SENTENCES!$A$3:$A$1802,0)),"")</f>
        <v>• Chưa tới</v>
      </c>
    </row>
    <row r="1866" customFormat="false" ht="15" hidden="false" customHeight="false" outlineLevel="0" collapsed="false">
      <c r="A1866" s="31" t="n">
        <v>1864</v>
      </c>
      <c r="B1866" s="43" t="s">
        <v>13666</v>
      </c>
      <c r="C1866" s="34" t="s">
        <v>13667</v>
      </c>
      <c r="D1866" s="44" t="s">
        <v>10677</v>
      </c>
      <c r="E1866" s="31" t="s">
        <v>10707</v>
      </c>
      <c r="F1866" s="31" t="s">
        <v>8917</v>
      </c>
      <c r="G1866" s="31" t="n">
        <v>75</v>
      </c>
      <c r="H1866" s="31" t="s">
        <v>7168</v>
      </c>
      <c r="I1866" s="44" t="s">
        <v>8809</v>
      </c>
      <c r="J1866" s="45" t="s">
        <v>8919</v>
      </c>
      <c r="K1866" s="45" t="s">
        <v>8921</v>
      </c>
      <c r="L1866" s="31" t="n">
        <f aca="false">COUNTIF($B$3:$B$2205,$B1866)</f>
        <v>1</v>
      </c>
      <c r="M1866" s="44" t="str">
        <f aca="false">IFERROR(INDEX(SENTENCES!$T$3:$T$1802,MATCH($F1866,SENTENCES!$A$3:$A$1802,0)),"")</f>
        <v>• Chưa tới</v>
      </c>
    </row>
    <row r="1867" customFormat="false" ht="15" hidden="false" customHeight="false" outlineLevel="0" collapsed="false">
      <c r="A1867" s="31" t="n">
        <v>1865</v>
      </c>
      <c r="B1867" s="43" t="s">
        <v>13668</v>
      </c>
      <c r="C1867" s="34" t="s">
        <v>13669</v>
      </c>
      <c r="D1867" s="44" t="s">
        <v>10686</v>
      </c>
      <c r="E1867" s="31"/>
      <c r="F1867" s="31" t="s">
        <v>8923</v>
      </c>
      <c r="G1867" s="31" t="n">
        <v>76</v>
      </c>
      <c r="H1867" s="31" t="s">
        <v>7168</v>
      </c>
      <c r="I1867" s="44" t="s">
        <v>8924</v>
      </c>
      <c r="J1867" s="45" t="s">
        <v>8926</v>
      </c>
      <c r="K1867" s="45" t="s">
        <v>8928</v>
      </c>
      <c r="L1867" s="31" t="n">
        <f aca="false">COUNTIF($B$3:$B$2205,$B1867)</f>
        <v>1</v>
      </c>
      <c r="M1867" s="44" t="str">
        <f aca="false">IFERROR(INDEX(SENTENCES!$T$3:$T$1802,MATCH($F1867,SENTENCES!$A$3:$A$1802,0)),"")</f>
        <v>• Chưa tới</v>
      </c>
    </row>
    <row r="1868" customFormat="false" ht="15" hidden="false" customHeight="false" outlineLevel="0" collapsed="false">
      <c r="A1868" s="31" t="n">
        <v>1866</v>
      </c>
      <c r="B1868" s="43" t="s">
        <v>13670</v>
      </c>
      <c r="C1868" s="34" t="s">
        <v>13671</v>
      </c>
      <c r="D1868" s="44" t="s">
        <v>10686</v>
      </c>
      <c r="E1868" s="31"/>
      <c r="F1868" s="31" t="s">
        <v>8923</v>
      </c>
      <c r="G1868" s="31" t="n">
        <v>76</v>
      </c>
      <c r="H1868" s="31" t="s">
        <v>7168</v>
      </c>
      <c r="I1868" s="44" t="s">
        <v>8924</v>
      </c>
      <c r="J1868" s="45" t="s">
        <v>8926</v>
      </c>
      <c r="K1868" s="45" t="s">
        <v>8928</v>
      </c>
      <c r="L1868" s="31" t="n">
        <f aca="false">COUNTIF($B$3:$B$2205,$B1868)</f>
        <v>1</v>
      </c>
      <c r="M1868" s="44" t="str">
        <f aca="false">IFERROR(INDEX(SENTENCES!$T$3:$T$1802,MATCH($F1868,SENTENCES!$A$3:$A$1802,0)),"")</f>
        <v>• Chưa tới</v>
      </c>
    </row>
    <row r="1869" customFormat="false" ht="15" hidden="false" customHeight="false" outlineLevel="0" collapsed="false">
      <c r="A1869" s="31" t="n">
        <v>1867</v>
      </c>
      <c r="B1869" s="43" t="s">
        <v>13672</v>
      </c>
      <c r="C1869" s="34" t="s">
        <v>13673</v>
      </c>
      <c r="D1869" s="44" t="s">
        <v>10677</v>
      </c>
      <c r="E1869" s="31" t="s">
        <v>10678</v>
      </c>
      <c r="F1869" s="31" t="s">
        <v>8930</v>
      </c>
      <c r="G1869" s="31" t="n">
        <v>76</v>
      </c>
      <c r="H1869" s="31" t="s">
        <v>7168</v>
      </c>
      <c r="I1869" s="44" t="s">
        <v>8924</v>
      </c>
      <c r="J1869" s="45" t="s">
        <v>8932</v>
      </c>
      <c r="K1869" s="45" t="s">
        <v>8934</v>
      </c>
      <c r="L1869" s="31" t="n">
        <f aca="false">COUNTIF($B$3:$B$2205,$B1869)</f>
        <v>1</v>
      </c>
      <c r="M1869" s="44" t="str">
        <f aca="false">IFERROR(INDEX(SENTENCES!$T$3:$T$1802,MATCH($F1869,SENTENCES!$A$3:$A$1802,0)),"")</f>
        <v>• Chưa tới</v>
      </c>
    </row>
    <row r="1870" customFormat="false" ht="15" hidden="false" customHeight="false" outlineLevel="0" collapsed="false">
      <c r="A1870" s="31" t="n">
        <v>1868</v>
      </c>
      <c r="B1870" s="43" t="s">
        <v>13674</v>
      </c>
      <c r="C1870" s="34" t="s">
        <v>13675</v>
      </c>
      <c r="D1870" s="44" t="s">
        <v>10686</v>
      </c>
      <c r="E1870" s="31"/>
      <c r="F1870" s="31" t="s">
        <v>8936</v>
      </c>
      <c r="G1870" s="31" t="n">
        <v>76</v>
      </c>
      <c r="H1870" s="31" t="s">
        <v>7168</v>
      </c>
      <c r="I1870" s="44" t="s">
        <v>8924</v>
      </c>
      <c r="J1870" s="45" t="s">
        <v>8938</v>
      </c>
      <c r="K1870" s="45" t="s">
        <v>8940</v>
      </c>
      <c r="L1870" s="31" t="n">
        <f aca="false">COUNTIF($B$3:$B$2205,$B1870)</f>
        <v>1</v>
      </c>
      <c r="M1870" s="44" t="str">
        <f aca="false">IFERROR(INDEX(SENTENCES!$T$3:$T$1802,MATCH($F1870,SENTENCES!$A$3:$A$1802,0)),"")</f>
        <v>• Chưa tới</v>
      </c>
    </row>
    <row r="1871" customFormat="false" ht="15" hidden="false" customHeight="false" outlineLevel="0" collapsed="false">
      <c r="A1871" s="31" t="n">
        <v>1869</v>
      </c>
      <c r="B1871" s="43" t="s">
        <v>13676</v>
      </c>
      <c r="C1871" s="34" t="s">
        <v>13677</v>
      </c>
      <c r="D1871" s="44" t="s">
        <v>10686</v>
      </c>
      <c r="E1871" s="31"/>
      <c r="F1871" s="31" t="s">
        <v>8942</v>
      </c>
      <c r="G1871" s="31" t="n">
        <v>76</v>
      </c>
      <c r="H1871" s="31" t="s">
        <v>7168</v>
      </c>
      <c r="I1871" s="44" t="s">
        <v>8924</v>
      </c>
      <c r="J1871" s="45" t="s">
        <v>8944</v>
      </c>
      <c r="K1871" s="45" t="s">
        <v>8946</v>
      </c>
      <c r="L1871" s="31" t="n">
        <f aca="false">COUNTIF($B$3:$B$2205,$B1871)</f>
        <v>1</v>
      </c>
      <c r="M1871" s="44" t="str">
        <f aca="false">IFERROR(INDEX(SENTENCES!$T$3:$T$1802,MATCH($F1871,SENTENCES!$A$3:$A$1802,0)),"")</f>
        <v>• Chưa tới</v>
      </c>
    </row>
    <row r="1872" customFormat="false" ht="15" hidden="false" customHeight="false" outlineLevel="0" collapsed="false">
      <c r="A1872" s="31" t="n">
        <v>1870</v>
      </c>
      <c r="B1872" s="43" t="s">
        <v>13678</v>
      </c>
      <c r="C1872" s="34" t="s">
        <v>13679</v>
      </c>
      <c r="D1872" s="44" t="s">
        <v>10686</v>
      </c>
      <c r="E1872" s="31"/>
      <c r="F1872" s="31" t="s">
        <v>8948</v>
      </c>
      <c r="G1872" s="31" t="n">
        <v>76</v>
      </c>
      <c r="H1872" s="31" t="s">
        <v>7168</v>
      </c>
      <c r="I1872" s="44" t="s">
        <v>8924</v>
      </c>
      <c r="J1872" s="45" t="s">
        <v>8950</v>
      </c>
      <c r="K1872" s="45" t="s">
        <v>8952</v>
      </c>
      <c r="L1872" s="31" t="n">
        <f aca="false">COUNTIF($B$3:$B$2205,$B1872)</f>
        <v>1</v>
      </c>
      <c r="M1872" s="44" t="str">
        <f aca="false">IFERROR(INDEX(SENTENCES!$T$3:$T$1802,MATCH($F1872,SENTENCES!$A$3:$A$1802,0)),"")</f>
        <v>• Chưa tới</v>
      </c>
    </row>
    <row r="1873" customFormat="false" ht="15" hidden="false" customHeight="false" outlineLevel="0" collapsed="false">
      <c r="A1873" s="31" t="n">
        <v>1871</v>
      </c>
      <c r="B1873" s="43" t="s">
        <v>13680</v>
      </c>
      <c r="C1873" s="34" t="s">
        <v>13681</v>
      </c>
      <c r="D1873" s="44" t="s">
        <v>10681</v>
      </c>
      <c r="E1873" s="31"/>
      <c r="F1873" s="31" t="s">
        <v>8954</v>
      </c>
      <c r="G1873" s="31" t="n">
        <v>76</v>
      </c>
      <c r="H1873" s="31" t="s">
        <v>7168</v>
      </c>
      <c r="I1873" s="44" t="s">
        <v>8924</v>
      </c>
      <c r="J1873" s="45" t="s">
        <v>8956</v>
      </c>
      <c r="K1873" s="45" t="s">
        <v>8958</v>
      </c>
      <c r="L1873" s="31" t="n">
        <f aca="false">COUNTIF($B$3:$B$2205,$B1873)</f>
        <v>1</v>
      </c>
      <c r="M1873" s="44" t="str">
        <f aca="false">IFERROR(INDEX(SENTENCES!$T$3:$T$1802,MATCH($F1873,SENTENCES!$A$3:$A$1802,0)),"")</f>
        <v>• Chưa tới</v>
      </c>
    </row>
    <row r="1874" customFormat="false" ht="15" hidden="false" customHeight="false" outlineLevel="0" collapsed="false">
      <c r="A1874" s="31" t="n">
        <v>1872</v>
      </c>
      <c r="B1874" s="43" t="s">
        <v>13682</v>
      </c>
      <c r="C1874" s="34" t="s">
        <v>13683</v>
      </c>
      <c r="D1874" s="44" t="s">
        <v>10677</v>
      </c>
      <c r="E1874" s="31" t="s">
        <v>10747</v>
      </c>
      <c r="F1874" s="31" t="s">
        <v>8960</v>
      </c>
      <c r="G1874" s="31" t="n">
        <v>76</v>
      </c>
      <c r="H1874" s="31" t="s">
        <v>7168</v>
      </c>
      <c r="I1874" s="44" t="s">
        <v>8924</v>
      </c>
      <c r="J1874" s="45" t="s">
        <v>8962</v>
      </c>
      <c r="K1874" s="45" t="s">
        <v>8964</v>
      </c>
      <c r="L1874" s="31" t="n">
        <f aca="false">COUNTIF($B$3:$B$2205,$B1874)</f>
        <v>1</v>
      </c>
      <c r="M1874" s="44" t="str">
        <f aca="false">IFERROR(INDEX(SENTENCES!$T$3:$T$1802,MATCH($F1874,SENTENCES!$A$3:$A$1802,0)),"")</f>
        <v>• Chưa tới</v>
      </c>
    </row>
    <row r="1875" customFormat="false" ht="15" hidden="false" customHeight="false" outlineLevel="0" collapsed="false">
      <c r="A1875" s="31" t="n">
        <v>1873</v>
      </c>
      <c r="B1875" s="43" t="s">
        <v>13684</v>
      </c>
      <c r="C1875" s="34" t="s">
        <v>13685</v>
      </c>
      <c r="D1875" s="44" t="s">
        <v>10677</v>
      </c>
      <c r="E1875" s="31" t="s">
        <v>10707</v>
      </c>
      <c r="F1875" s="31" t="s">
        <v>8966</v>
      </c>
      <c r="G1875" s="31" t="n">
        <v>76</v>
      </c>
      <c r="H1875" s="31" t="s">
        <v>7168</v>
      </c>
      <c r="I1875" s="44" t="s">
        <v>8924</v>
      </c>
      <c r="J1875" s="45" t="s">
        <v>8967</v>
      </c>
      <c r="K1875" s="45" t="s">
        <v>8969</v>
      </c>
      <c r="L1875" s="31" t="n">
        <f aca="false">COUNTIF($B$3:$B$2205,$B1875)</f>
        <v>1</v>
      </c>
      <c r="M1875" s="44" t="str">
        <f aca="false">IFERROR(INDEX(SENTENCES!$T$3:$T$1802,MATCH($F1875,SENTENCES!$A$3:$A$1802,0)),"")</f>
        <v>• Chưa tới</v>
      </c>
    </row>
    <row r="1876" customFormat="false" ht="15" hidden="false" customHeight="false" outlineLevel="0" collapsed="false">
      <c r="A1876" s="31" t="n">
        <v>1874</v>
      </c>
      <c r="B1876" s="43" t="s">
        <v>13686</v>
      </c>
      <c r="C1876" s="34" t="s">
        <v>13687</v>
      </c>
      <c r="D1876" s="44" t="s">
        <v>10677</v>
      </c>
      <c r="E1876" s="31" t="s">
        <v>10707</v>
      </c>
      <c r="F1876" s="31" t="s">
        <v>8971</v>
      </c>
      <c r="G1876" s="31" t="n">
        <v>76</v>
      </c>
      <c r="H1876" s="31" t="s">
        <v>7168</v>
      </c>
      <c r="I1876" s="44" t="s">
        <v>8924</v>
      </c>
      <c r="J1876" s="45" t="s">
        <v>8973</v>
      </c>
      <c r="K1876" s="45" t="s">
        <v>8975</v>
      </c>
      <c r="L1876" s="31" t="n">
        <f aca="false">COUNTIF($B$3:$B$2205,$B1876)</f>
        <v>1</v>
      </c>
      <c r="M1876" s="44" t="str">
        <f aca="false">IFERROR(INDEX(SENTENCES!$T$3:$T$1802,MATCH($F1876,SENTENCES!$A$3:$A$1802,0)),"")</f>
        <v>• Chưa tới</v>
      </c>
    </row>
    <row r="1877" customFormat="false" ht="15" hidden="false" customHeight="false" outlineLevel="0" collapsed="false">
      <c r="A1877" s="31" t="n">
        <v>1875</v>
      </c>
      <c r="B1877" s="43" t="s">
        <v>13688</v>
      </c>
      <c r="C1877" s="34" t="s">
        <v>13689</v>
      </c>
      <c r="D1877" s="44" t="s">
        <v>10754</v>
      </c>
      <c r="E1877" s="31"/>
      <c r="F1877" s="31" t="s">
        <v>8971</v>
      </c>
      <c r="G1877" s="31" t="n">
        <v>76</v>
      </c>
      <c r="H1877" s="31" t="s">
        <v>7168</v>
      </c>
      <c r="I1877" s="44" t="s">
        <v>8924</v>
      </c>
      <c r="J1877" s="45" t="s">
        <v>8973</v>
      </c>
      <c r="K1877" s="45" t="s">
        <v>8975</v>
      </c>
      <c r="L1877" s="31" t="n">
        <f aca="false">COUNTIF($B$3:$B$2205,$B1877)</f>
        <v>1</v>
      </c>
      <c r="M1877" s="44" t="str">
        <f aca="false">IFERROR(INDEX(SENTENCES!$T$3:$T$1802,MATCH($F1877,SENTENCES!$A$3:$A$1802,0)),"")</f>
        <v>• Chưa tới</v>
      </c>
    </row>
    <row r="1878" customFormat="false" ht="15" hidden="false" customHeight="false" outlineLevel="0" collapsed="false">
      <c r="A1878" s="31" t="n">
        <v>1876</v>
      </c>
      <c r="B1878" s="43" t="s">
        <v>13690</v>
      </c>
      <c r="C1878" s="34" t="s">
        <v>13691</v>
      </c>
      <c r="D1878" s="44" t="s">
        <v>10677</v>
      </c>
      <c r="E1878" s="31" t="s">
        <v>10678</v>
      </c>
      <c r="F1878" s="31" t="s">
        <v>8977</v>
      </c>
      <c r="G1878" s="31" t="n">
        <v>76</v>
      </c>
      <c r="H1878" s="31" t="s">
        <v>7168</v>
      </c>
      <c r="I1878" s="44" t="s">
        <v>8924</v>
      </c>
      <c r="J1878" s="45" t="s">
        <v>8979</v>
      </c>
      <c r="K1878" s="45" t="s">
        <v>8981</v>
      </c>
      <c r="L1878" s="31" t="n">
        <f aca="false">COUNTIF($B$3:$B$2205,$B1878)</f>
        <v>1</v>
      </c>
      <c r="M1878" s="44" t="str">
        <f aca="false">IFERROR(INDEX(SENTENCES!$T$3:$T$1802,MATCH($F1878,SENTENCES!$A$3:$A$1802,0)),"")</f>
        <v>• Chưa tới</v>
      </c>
    </row>
    <row r="1879" customFormat="false" ht="15" hidden="false" customHeight="false" outlineLevel="0" collapsed="false">
      <c r="A1879" s="31" t="n">
        <v>1877</v>
      </c>
      <c r="B1879" s="43" t="s">
        <v>13692</v>
      </c>
      <c r="C1879" s="34" t="s">
        <v>13693</v>
      </c>
      <c r="D1879" s="44" t="s">
        <v>10681</v>
      </c>
      <c r="E1879" s="31"/>
      <c r="F1879" s="31" t="s">
        <v>8977</v>
      </c>
      <c r="G1879" s="31" t="n">
        <v>76</v>
      </c>
      <c r="H1879" s="31" t="s">
        <v>7168</v>
      </c>
      <c r="I1879" s="44" t="s">
        <v>8924</v>
      </c>
      <c r="J1879" s="45" t="s">
        <v>8979</v>
      </c>
      <c r="K1879" s="45" t="s">
        <v>8981</v>
      </c>
      <c r="L1879" s="31" t="n">
        <f aca="false">COUNTIF($B$3:$B$2205,$B1879)</f>
        <v>1</v>
      </c>
      <c r="M1879" s="44" t="str">
        <f aca="false">IFERROR(INDEX(SENTENCES!$T$3:$T$1802,MATCH($F1879,SENTENCES!$A$3:$A$1802,0)),"")</f>
        <v>• Chưa tới</v>
      </c>
    </row>
    <row r="1880" customFormat="false" ht="15" hidden="false" customHeight="false" outlineLevel="0" collapsed="false">
      <c r="A1880" s="31" t="n">
        <v>1878</v>
      </c>
      <c r="B1880" s="43" t="s">
        <v>13694</v>
      </c>
      <c r="C1880" s="34" t="s">
        <v>13695</v>
      </c>
      <c r="D1880" s="44" t="s">
        <v>10677</v>
      </c>
      <c r="E1880" s="31" t="s">
        <v>10707</v>
      </c>
      <c r="F1880" s="31" t="s">
        <v>8983</v>
      </c>
      <c r="G1880" s="31" t="n">
        <v>76</v>
      </c>
      <c r="H1880" s="31" t="s">
        <v>7168</v>
      </c>
      <c r="I1880" s="44" t="s">
        <v>8924</v>
      </c>
      <c r="J1880" s="45" t="s">
        <v>8984</v>
      </c>
      <c r="K1880" s="45" t="s">
        <v>8986</v>
      </c>
      <c r="L1880" s="31" t="n">
        <f aca="false">COUNTIF($B$3:$B$2205,$B1880)</f>
        <v>1</v>
      </c>
      <c r="M1880" s="44" t="str">
        <f aca="false">IFERROR(INDEX(SENTENCES!$T$3:$T$1802,MATCH($F1880,SENTENCES!$A$3:$A$1802,0)),"")</f>
        <v>• Chưa tới</v>
      </c>
    </row>
    <row r="1881" customFormat="false" ht="15" hidden="false" customHeight="false" outlineLevel="0" collapsed="false">
      <c r="A1881" s="31" t="n">
        <v>1879</v>
      </c>
      <c r="B1881" s="43" t="s">
        <v>13696</v>
      </c>
      <c r="C1881" s="34" t="s">
        <v>13697</v>
      </c>
      <c r="D1881" s="44" t="s">
        <v>10677</v>
      </c>
      <c r="E1881" s="31" t="s">
        <v>10707</v>
      </c>
      <c r="F1881" s="31" t="s">
        <v>8983</v>
      </c>
      <c r="G1881" s="31" t="n">
        <v>76</v>
      </c>
      <c r="H1881" s="31" t="s">
        <v>7168</v>
      </c>
      <c r="I1881" s="44" t="s">
        <v>8924</v>
      </c>
      <c r="J1881" s="45" t="s">
        <v>8984</v>
      </c>
      <c r="K1881" s="45" t="s">
        <v>8986</v>
      </c>
      <c r="L1881" s="31" t="n">
        <f aca="false">COUNTIF($B$3:$B$2205,$B1881)</f>
        <v>1</v>
      </c>
      <c r="M1881" s="44" t="str">
        <f aca="false">IFERROR(INDEX(SENTENCES!$T$3:$T$1802,MATCH($F1881,SENTENCES!$A$3:$A$1802,0)),"")</f>
        <v>• Chưa tới</v>
      </c>
    </row>
    <row r="1882" customFormat="false" ht="15" hidden="false" customHeight="false" outlineLevel="0" collapsed="false">
      <c r="A1882" s="31" t="n">
        <v>1880</v>
      </c>
      <c r="B1882" s="43" t="s">
        <v>13698</v>
      </c>
      <c r="C1882" s="34" t="s">
        <v>13699</v>
      </c>
      <c r="D1882" s="44" t="s">
        <v>10686</v>
      </c>
      <c r="E1882" s="31"/>
      <c r="F1882" s="31" t="s">
        <v>8988</v>
      </c>
      <c r="G1882" s="31" t="n">
        <v>76</v>
      </c>
      <c r="H1882" s="31" t="s">
        <v>7168</v>
      </c>
      <c r="I1882" s="44" t="s">
        <v>8924</v>
      </c>
      <c r="J1882" s="45" t="s">
        <v>8990</v>
      </c>
      <c r="K1882" s="45" t="s">
        <v>8992</v>
      </c>
      <c r="L1882" s="31" t="n">
        <f aca="false">COUNTIF($B$3:$B$2205,$B1882)</f>
        <v>1</v>
      </c>
      <c r="M1882" s="44" t="str">
        <f aca="false">IFERROR(INDEX(SENTENCES!$T$3:$T$1802,MATCH($F1882,SENTENCES!$A$3:$A$1802,0)),"")</f>
        <v>• Chưa tới</v>
      </c>
    </row>
    <row r="1883" customFormat="false" ht="15" hidden="false" customHeight="false" outlineLevel="0" collapsed="false">
      <c r="A1883" s="31" t="n">
        <v>1881</v>
      </c>
      <c r="B1883" s="43" t="s">
        <v>13700</v>
      </c>
      <c r="C1883" s="34" t="s">
        <v>13220</v>
      </c>
      <c r="D1883" s="44" t="s">
        <v>10754</v>
      </c>
      <c r="E1883" s="31"/>
      <c r="F1883" s="31" t="s">
        <v>8994</v>
      </c>
      <c r="G1883" s="31" t="n">
        <v>76</v>
      </c>
      <c r="H1883" s="31" t="s">
        <v>7168</v>
      </c>
      <c r="I1883" s="44" t="s">
        <v>8924</v>
      </c>
      <c r="J1883" s="45" t="s">
        <v>8996</v>
      </c>
      <c r="K1883" s="45" t="s">
        <v>8998</v>
      </c>
      <c r="L1883" s="31" t="n">
        <f aca="false">COUNTIF($B$3:$B$2205,$B1883)</f>
        <v>1</v>
      </c>
      <c r="M1883" s="44" t="str">
        <f aca="false">IFERROR(INDEX(SENTENCES!$T$3:$T$1802,MATCH($F1883,SENTENCES!$A$3:$A$1802,0)),"")</f>
        <v>• Chưa tới</v>
      </c>
    </row>
    <row r="1884" customFormat="false" ht="15" hidden="false" customHeight="false" outlineLevel="0" collapsed="false">
      <c r="A1884" s="31" t="n">
        <v>1882</v>
      </c>
      <c r="B1884" s="43" t="s">
        <v>13701</v>
      </c>
      <c r="C1884" s="34" t="s">
        <v>13702</v>
      </c>
      <c r="D1884" s="44" t="s">
        <v>10677</v>
      </c>
      <c r="E1884" s="31" t="s">
        <v>10707</v>
      </c>
      <c r="F1884" s="31" t="s">
        <v>9000</v>
      </c>
      <c r="G1884" s="31" t="n">
        <v>76</v>
      </c>
      <c r="H1884" s="31" t="s">
        <v>7168</v>
      </c>
      <c r="I1884" s="44" t="s">
        <v>8924</v>
      </c>
      <c r="J1884" s="45" t="s">
        <v>9002</v>
      </c>
      <c r="K1884" s="45" t="s">
        <v>9004</v>
      </c>
      <c r="L1884" s="31" t="n">
        <f aca="false">COUNTIF($B$3:$B$2205,$B1884)</f>
        <v>1</v>
      </c>
      <c r="M1884" s="44" t="str">
        <f aca="false">IFERROR(INDEX(SENTENCES!$T$3:$T$1802,MATCH($F1884,SENTENCES!$A$3:$A$1802,0)),"")</f>
        <v>• Chưa tới</v>
      </c>
    </row>
    <row r="1885" customFormat="false" ht="15" hidden="false" customHeight="false" outlineLevel="0" collapsed="false">
      <c r="A1885" s="31" t="n">
        <v>1883</v>
      </c>
      <c r="B1885" s="43" t="s">
        <v>13703</v>
      </c>
      <c r="C1885" s="34" t="s">
        <v>13704</v>
      </c>
      <c r="D1885" s="44" t="s">
        <v>10677</v>
      </c>
      <c r="E1885" s="31" t="s">
        <v>10678</v>
      </c>
      <c r="F1885" s="31" t="s">
        <v>9006</v>
      </c>
      <c r="G1885" s="31" t="n">
        <v>76</v>
      </c>
      <c r="H1885" s="31" t="s">
        <v>7168</v>
      </c>
      <c r="I1885" s="44" t="s">
        <v>8924</v>
      </c>
      <c r="J1885" s="45" t="s">
        <v>9008</v>
      </c>
      <c r="K1885" s="45" t="s">
        <v>9010</v>
      </c>
      <c r="L1885" s="31" t="n">
        <f aca="false">COUNTIF($B$3:$B$2205,$B1885)</f>
        <v>1</v>
      </c>
      <c r="M1885" s="44" t="str">
        <f aca="false">IFERROR(INDEX(SENTENCES!$T$3:$T$1802,MATCH($F1885,SENTENCES!$A$3:$A$1802,0)),"")</f>
        <v>• Chưa tới</v>
      </c>
    </row>
    <row r="1886" customFormat="false" ht="15" hidden="false" customHeight="false" outlineLevel="0" collapsed="false">
      <c r="A1886" s="31" t="n">
        <v>1884</v>
      </c>
      <c r="B1886" s="43" t="s">
        <v>13705</v>
      </c>
      <c r="C1886" s="34" t="s">
        <v>13706</v>
      </c>
      <c r="D1886" s="44" t="s">
        <v>10677</v>
      </c>
      <c r="E1886" s="31" t="s">
        <v>10707</v>
      </c>
      <c r="F1886" s="31" t="s">
        <v>9012</v>
      </c>
      <c r="G1886" s="31" t="n">
        <v>76</v>
      </c>
      <c r="H1886" s="31" t="s">
        <v>7168</v>
      </c>
      <c r="I1886" s="44" t="s">
        <v>8924</v>
      </c>
      <c r="J1886" s="45" t="s">
        <v>9014</v>
      </c>
      <c r="K1886" s="45" t="s">
        <v>9016</v>
      </c>
      <c r="L1886" s="31" t="n">
        <f aca="false">COUNTIF($B$3:$B$2205,$B1886)</f>
        <v>1</v>
      </c>
      <c r="M1886" s="44" t="str">
        <f aca="false">IFERROR(INDEX(SENTENCES!$T$3:$T$1802,MATCH($F1886,SENTENCES!$A$3:$A$1802,0)),"")</f>
        <v>• Chưa tới</v>
      </c>
    </row>
    <row r="1887" customFormat="false" ht="15" hidden="false" customHeight="false" outlineLevel="0" collapsed="false">
      <c r="A1887" s="31" t="n">
        <v>1885</v>
      </c>
      <c r="B1887" s="43" t="s">
        <v>13707</v>
      </c>
      <c r="C1887" s="34" t="s">
        <v>13708</v>
      </c>
      <c r="D1887" s="44" t="s">
        <v>10686</v>
      </c>
      <c r="E1887" s="31"/>
      <c r="F1887" s="31" t="s">
        <v>9018</v>
      </c>
      <c r="G1887" s="31" t="n">
        <v>76</v>
      </c>
      <c r="H1887" s="31" t="s">
        <v>7168</v>
      </c>
      <c r="I1887" s="44" t="s">
        <v>8924</v>
      </c>
      <c r="J1887" s="45" t="s">
        <v>9020</v>
      </c>
      <c r="K1887" s="45" t="s">
        <v>9022</v>
      </c>
      <c r="L1887" s="31" t="n">
        <f aca="false">COUNTIF($B$3:$B$2205,$B1887)</f>
        <v>1</v>
      </c>
      <c r="M1887" s="44" t="str">
        <f aca="false">IFERROR(INDEX(SENTENCES!$T$3:$T$1802,MATCH($F1887,SENTENCES!$A$3:$A$1802,0)),"")</f>
        <v>• Chưa tới</v>
      </c>
    </row>
    <row r="1888" customFormat="false" ht="15" hidden="false" customHeight="false" outlineLevel="0" collapsed="false">
      <c r="A1888" s="31" t="n">
        <v>1886</v>
      </c>
      <c r="B1888" s="43" t="s">
        <v>13709</v>
      </c>
      <c r="C1888" s="34" t="s">
        <v>13710</v>
      </c>
      <c r="D1888" s="44" t="s">
        <v>10686</v>
      </c>
      <c r="E1888" s="31"/>
      <c r="F1888" s="31" t="s">
        <v>9024</v>
      </c>
      <c r="G1888" s="31" t="n">
        <v>76</v>
      </c>
      <c r="H1888" s="31" t="s">
        <v>7168</v>
      </c>
      <c r="I1888" s="44" t="s">
        <v>8924</v>
      </c>
      <c r="J1888" s="45" t="s">
        <v>9026</v>
      </c>
      <c r="K1888" s="45" t="s">
        <v>9028</v>
      </c>
      <c r="L1888" s="31" t="n">
        <f aca="false">COUNTIF($B$3:$B$2205,$B1888)</f>
        <v>1</v>
      </c>
      <c r="M1888" s="44" t="str">
        <f aca="false">IFERROR(INDEX(SENTENCES!$T$3:$T$1802,MATCH($F1888,SENTENCES!$A$3:$A$1802,0)),"")</f>
        <v>• Chưa tới</v>
      </c>
    </row>
    <row r="1889" customFormat="false" ht="15" hidden="false" customHeight="false" outlineLevel="0" collapsed="false">
      <c r="A1889" s="31" t="n">
        <v>1887</v>
      </c>
      <c r="B1889" s="43" t="s">
        <v>13711</v>
      </c>
      <c r="C1889" s="34" t="s">
        <v>13712</v>
      </c>
      <c r="D1889" s="44" t="s">
        <v>10677</v>
      </c>
      <c r="E1889" s="31" t="s">
        <v>10707</v>
      </c>
      <c r="F1889" s="31" t="s">
        <v>9030</v>
      </c>
      <c r="G1889" s="31" t="n">
        <v>76</v>
      </c>
      <c r="H1889" s="31" t="s">
        <v>7168</v>
      </c>
      <c r="I1889" s="44" t="s">
        <v>8924</v>
      </c>
      <c r="J1889" s="45" t="s">
        <v>9031</v>
      </c>
      <c r="K1889" s="45" t="s">
        <v>9033</v>
      </c>
      <c r="L1889" s="31" t="n">
        <f aca="false">COUNTIF($B$3:$B$2205,$B1889)</f>
        <v>1</v>
      </c>
      <c r="M1889" s="44" t="str">
        <f aca="false">IFERROR(INDEX(SENTENCES!$T$3:$T$1802,MATCH($F1889,SENTENCES!$A$3:$A$1802,0)),"")</f>
        <v>• Chưa tới</v>
      </c>
    </row>
    <row r="1890" customFormat="false" ht="15" hidden="false" customHeight="false" outlineLevel="0" collapsed="false">
      <c r="A1890" s="31" t="n">
        <v>1888</v>
      </c>
      <c r="B1890" s="43" t="s">
        <v>13713</v>
      </c>
      <c r="C1890" s="34" t="s">
        <v>13714</v>
      </c>
      <c r="D1890" s="44" t="s">
        <v>10794</v>
      </c>
      <c r="E1890" s="31"/>
      <c r="F1890" s="31" t="s">
        <v>9035</v>
      </c>
      <c r="G1890" s="31" t="n">
        <v>76</v>
      </c>
      <c r="H1890" s="31" t="s">
        <v>7168</v>
      </c>
      <c r="I1890" s="44" t="s">
        <v>8924</v>
      </c>
      <c r="J1890" s="45" t="s">
        <v>9037</v>
      </c>
      <c r="K1890" s="45" t="s">
        <v>9039</v>
      </c>
      <c r="L1890" s="31" t="n">
        <f aca="false">COUNTIF($B$3:$B$2205,$B1890)</f>
        <v>1</v>
      </c>
      <c r="M1890" s="44" t="str">
        <f aca="false">IFERROR(INDEX(SENTENCES!$T$3:$T$1802,MATCH($F1890,SENTENCES!$A$3:$A$1802,0)),"")</f>
        <v>• Chưa tới</v>
      </c>
    </row>
    <row r="1891" customFormat="false" ht="15" hidden="false" customHeight="false" outlineLevel="0" collapsed="false">
      <c r="A1891" s="31" t="n">
        <v>1889</v>
      </c>
      <c r="B1891" s="43" t="s">
        <v>13715</v>
      </c>
      <c r="C1891" s="34" t="s">
        <v>13716</v>
      </c>
      <c r="D1891" s="44" t="s">
        <v>10686</v>
      </c>
      <c r="E1891" s="31"/>
      <c r="F1891" s="31" t="s">
        <v>9041</v>
      </c>
      <c r="G1891" s="31" t="n">
        <v>77</v>
      </c>
      <c r="H1891" s="31" t="s">
        <v>7168</v>
      </c>
      <c r="I1891" s="44" t="s">
        <v>9042</v>
      </c>
      <c r="J1891" s="45" t="s">
        <v>9044</v>
      </c>
      <c r="K1891" s="45" t="s">
        <v>9046</v>
      </c>
      <c r="L1891" s="31" t="n">
        <f aca="false">COUNTIF($B$3:$B$2205,$B1891)</f>
        <v>1</v>
      </c>
      <c r="M1891" s="44" t="str">
        <f aca="false">IFERROR(INDEX(SENTENCES!$T$3:$T$1802,MATCH($F1891,SENTENCES!$A$3:$A$1802,0)),"")</f>
        <v>• Chưa tới</v>
      </c>
    </row>
    <row r="1892" customFormat="false" ht="15" hidden="false" customHeight="false" outlineLevel="0" collapsed="false">
      <c r="A1892" s="31" t="n">
        <v>1890</v>
      </c>
      <c r="B1892" s="43" t="s">
        <v>13717</v>
      </c>
      <c r="C1892" s="34" t="s">
        <v>13718</v>
      </c>
      <c r="D1892" s="44" t="s">
        <v>10677</v>
      </c>
      <c r="E1892" s="31" t="s">
        <v>10707</v>
      </c>
      <c r="F1892" s="31" t="s">
        <v>9048</v>
      </c>
      <c r="G1892" s="31" t="n">
        <v>77</v>
      </c>
      <c r="H1892" s="31" t="s">
        <v>7168</v>
      </c>
      <c r="I1892" s="44" t="s">
        <v>9042</v>
      </c>
      <c r="J1892" s="45" t="s">
        <v>9050</v>
      </c>
      <c r="K1892" s="45" t="s">
        <v>9052</v>
      </c>
      <c r="L1892" s="31" t="n">
        <f aca="false">COUNTIF($B$3:$B$2205,$B1892)</f>
        <v>1</v>
      </c>
      <c r="M1892" s="44" t="str">
        <f aca="false">IFERROR(INDEX(SENTENCES!$T$3:$T$1802,MATCH($F1892,SENTENCES!$A$3:$A$1802,0)),"")</f>
        <v>• Chưa tới</v>
      </c>
    </row>
    <row r="1893" customFormat="false" ht="15" hidden="false" customHeight="false" outlineLevel="0" collapsed="false">
      <c r="A1893" s="31" t="n">
        <v>1891</v>
      </c>
      <c r="B1893" s="43" t="s">
        <v>13719</v>
      </c>
      <c r="C1893" s="34" t="s">
        <v>13720</v>
      </c>
      <c r="D1893" s="44" t="s">
        <v>10754</v>
      </c>
      <c r="E1893" s="31"/>
      <c r="F1893" s="31" t="s">
        <v>9048</v>
      </c>
      <c r="G1893" s="31" t="n">
        <v>77</v>
      </c>
      <c r="H1893" s="31" t="s">
        <v>7168</v>
      </c>
      <c r="I1893" s="44" t="s">
        <v>9042</v>
      </c>
      <c r="J1893" s="45" t="s">
        <v>9050</v>
      </c>
      <c r="K1893" s="45" t="s">
        <v>9052</v>
      </c>
      <c r="L1893" s="31" t="n">
        <f aca="false">COUNTIF($B$3:$B$2205,$B1893)</f>
        <v>1</v>
      </c>
      <c r="M1893" s="44" t="str">
        <f aca="false">IFERROR(INDEX(SENTENCES!$T$3:$T$1802,MATCH($F1893,SENTENCES!$A$3:$A$1802,0)),"")</f>
        <v>• Chưa tới</v>
      </c>
    </row>
    <row r="1894" customFormat="false" ht="15" hidden="false" customHeight="false" outlineLevel="0" collapsed="false">
      <c r="A1894" s="31" t="n">
        <v>1892</v>
      </c>
      <c r="B1894" s="43" t="s">
        <v>13721</v>
      </c>
      <c r="C1894" s="34" t="s">
        <v>13722</v>
      </c>
      <c r="D1894" s="44" t="s">
        <v>10681</v>
      </c>
      <c r="E1894" s="31"/>
      <c r="F1894" s="31" t="s">
        <v>9054</v>
      </c>
      <c r="G1894" s="31" t="n">
        <v>77</v>
      </c>
      <c r="H1894" s="31" t="s">
        <v>7168</v>
      </c>
      <c r="I1894" s="44" t="s">
        <v>9042</v>
      </c>
      <c r="J1894" s="45" t="s">
        <v>9056</v>
      </c>
      <c r="K1894" s="45" t="s">
        <v>9058</v>
      </c>
      <c r="L1894" s="31" t="n">
        <f aca="false">COUNTIF($B$3:$B$2205,$B1894)</f>
        <v>1</v>
      </c>
      <c r="M1894" s="44" t="str">
        <f aca="false">IFERROR(INDEX(SENTENCES!$T$3:$T$1802,MATCH($F1894,SENTENCES!$A$3:$A$1802,0)),"")</f>
        <v>• Chưa tới</v>
      </c>
    </row>
    <row r="1895" customFormat="false" ht="15" hidden="false" customHeight="false" outlineLevel="0" collapsed="false">
      <c r="A1895" s="31" t="n">
        <v>1893</v>
      </c>
      <c r="B1895" s="43" t="s">
        <v>13723</v>
      </c>
      <c r="C1895" s="34" t="s">
        <v>13724</v>
      </c>
      <c r="D1895" s="44" t="s">
        <v>10677</v>
      </c>
      <c r="E1895" s="31" t="s">
        <v>10707</v>
      </c>
      <c r="F1895" s="31" t="s">
        <v>9060</v>
      </c>
      <c r="G1895" s="31" t="n">
        <v>77</v>
      </c>
      <c r="H1895" s="31" t="s">
        <v>7168</v>
      </c>
      <c r="I1895" s="44" t="s">
        <v>9042</v>
      </c>
      <c r="J1895" s="45" t="s">
        <v>9062</v>
      </c>
      <c r="K1895" s="45" t="s">
        <v>9064</v>
      </c>
      <c r="L1895" s="31" t="n">
        <f aca="false">COUNTIF($B$3:$B$2205,$B1895)</f>
        <v>1</v>
      </c>
      <c r="M1895" s="44" t="str">
        <f aca="false">IFERROR(INDEX(SENTENCES!$T$3:$T$1802,MATCH($F1895,SENTENCES!$A$3:$A$1802,0)),"")</f>
        <v>• Chưa tới</v>
      </c>
    </row>
    <row r="1896" customFormat="false" ht="15" hidden="false" customHeight="false" outlineLevel="0" collapsed="false">
      <c r="A1896" s="31" t="n">
        <v>1894</v>
      </c>
      <c r="B1896" s="43" t="s">
        <v>13725</v>
      </c>
      <c r="C1896" s="34" t="s">
        <v>13726</v>
      </c>
      <c r="D1896" s="44" t="s">
        <v>10677</v>
      </c>
      <c r="E1896" s="31" t="s">
        <v>10707</v>
      </c>
      <c r="F1896" s="31" t="s">
        <v>9066</v>
      </c>
      <c r="G1896" s="31" t="n">
        <v>77</v>
      </c>
      <c r="H1896" s="31" t="s">
        <v>7168</v>
      </c>
      <c r="I1896" s="44" t="s">
        <v>9042</v>
      </c>
      <c r="J1896" s="45" t="s">
        <v>9068</v>
      </c>
      <c r="K1896" s="45" t="s">
        <v>9070</v>
      </c>
      <c r="L1896" s="31" t="n">
        <f aca="false">COUNTIF($B$3:$B$2205,$B1896)</f>
        <v>1</v>
      </c>
      <c r="M1896" s="44" t="str">
        <f aca="false">IFERROR(INDEX(SENTENCES!$T$3:$T$1802,MATCH($F1896,SENTENCES!$A$3:$A$1802,0)),"")</f>
        <v>• Chưa tới</v>
      </c>
    </row>
    <row r="1897" customFormat="false" ht="15" hidden="false" customHeight="false" outlineLevel="0" collapsed="false">
      <c r="A1897" s="31" t="n">
        <v>1895</v>
      </c>
      <c r="B1897" s="43" t="s">
        <v>13727</v>
      </c>
      <c r="C1897" s="34" t="s">
        <v>13728</v>
      </c>
      <c r="D1897" s="44" t="s">
        <v>10681</v>
      </c>
      <c r="E1897" s="31"/>
      <c r="F1897" s="31" t="s">
        <v>9066</v>
      </c>
      <c r="G1897" s="31" t="n">
        <v>77</v>
      </c>
      <c r="H1897" s="31" t="s">
        <v>7168</v>
      </c>
      <c r="I1897" s="44" t="s">
        <v>9042</v>
      </c>
      <c r="J1897" s="45" t="s">
        <v>9068</v>
      </c>
      <c r="K1897" s="45" t="s">
        <v>9070</v>
      </c>
      <c r="L1897" s="31" t="n">
        <f aca="false">COUNTIF($B$3:$B$2205,$B1897)</f>
        <v>1</v>
      </c>
      <c r="M1897" s="44" t="str">
        <f aca="false">IFERROR(INDEX(SENTENCES!$T$3:$T$1802,MATCH($F1897,SENTENCES!$A$3:$A$1802,0)),"")</f>
        <v>• Chưa tới</v>
      </c>
    </row>
    <row r="1898" customFormat="false" ht="15" hidden="false" customHeight="false" outlineLevel="0" collapsed="false">
      <c r="A1898" s="31" t="n">
        <v>1896</v>
      </c>
      <c r="B1898" s="43" t="s">
        <v>13729</v>
      </c>
      <c r="C1898" s="34" t="s">
        <v>13730</v>
      </c>
      <c r="D1898" s="44" t="s">
        <v>10754</v>
      </c>
      <c r="E1898" s="31"/>
      <c r="F1898" s="31" t="s">
        <v>9072</v>
      </c>
      <c r="G1898" s="31" t="n">
        <v>77</v>
      </c>
      <c r="H1898" s="31" t="s">
        <v>7168</v>
      </c>
      <c r="I1898" s="44" t="s">
        <v>9042</v>
      </c>
      <c r="J1898" s="45" t="s">
        <v>9074</v>
      </c>
      <c r="K1898" s="45" t="s">
        <v>9076</v>
      </c>
      <c r="L1898" s="31" t="n">
        <f aca="false">COUNTIF($B$3:$B$2205,$B1898)</f>
        <v>1</v>
      </c>
      <c r="M1898" s="44" t="str">
        <f aca="false">IFERROR(INDEX(SENTENCES!$T$3:$T$1802,MATCH($F1898,SENTENCES!$A$3:$A$1802,0)),"")</f>
        <v>• Chưa tới</v>
      </c>
    </row>
    <row r="1899" customFormat="false" ht="15" hidden="false" customHeight="false" outlineLevel="0" collapsed="false">
      <c r="A1899" s="31" t="n">
        <v>1897</v>
      </c>
      <c r="B1899" s="43" t="s">
        <v>13731</v>
      </c>
      <c r="C1899" s="34" t="s">
        <v>13732</v>
      </c>
      <c r="D1899" s="44" t="s">
        <v>10794</v>
      </c>
      <c r="E1899" s="31"/>
      <c r="F1899" s="31" t="s">
        <v>9078</v>
      </c>
      <c r="G1899" s="31" t="n">
        <v>77</v>
      </c>
      <c r="H1899" s="31" t="s">
        <v>7168</v>
      </c>
      <c r="I1899" s="44" t="s">
        <v>9042</v>
      </c>
      <c r="J1899" s="45" t="s">
        <v>9080</v>
      </c>
      <c r="K1899" s="45" t="s">
        <v>9082</v>
      </c>
      <c r="L1899" s="31" t="n">
        <f aca="false">COUNTIF($B$3:$B$2205,$B1899)</f>
        <v>1</v>
      </c>
      <c r="M1899" s="44" t="str">
        <f aca="false">IFERROR(INDEX(SENTENCES!$T$3:$T$1802,MATCH($F1899,SENTENCES!$A$3:$A$1802,0)),"")</f>
        <v>• Chưa tới</v>
      </c>
    </row>
    <row r="1900" customFormat="false" ht="15" hidden="false" customHeight="false" outlineLevel="0" collapsed="false">
      <c r="A1900" s="31" t="n">
        <v>1898</v>
      </c>
      <c r="B1900" s="43" t="s">
        <v>13733</v>
      </c>
      <c r="C1900" s="34" t="s">
        <v>13734</v>
      </c>
      <c r="D1900" s="44" t="s">
        <v>10681</v>
      </c>
      <c r="E1900" s="31"/>
      <c r="F1900" s="31" t="s">
        <v>9078</v>
      </c>
      <c r="G1900" s="31" t="n">
        <v>77</v>
      </c>
      <c r="H1900" s="31" t="s">
        <v>7168</v>
      </c>
      <c r="I1900" s="44" t="s">
        <v>9042</v>
      </c>
      <c r="J1900" s="45" t="s">
        <v>9080</v>
      </c>
      <c r="K1900" s="45" t="s">
        <v>9082</v>
      </c>
      <c r="L1900" s="31" t="n">
        <f aca="false">COUNTIF($B$3:$B$2205,$B1900)</f>
        <v>1</v>
      </c>
      <c r="M1900" s="44" t="str">
        <f aca="false">IFERROR(INDEX(SENTENCES!$T$3:$T$1802,MATCH($F1900,SENTENCES!$A$3:$A$1802,0)),"")</f>
        <v>• Chưa tới</v>
      </c>
    </row>
    <row r="1901" customFormat="false" ht="22.35" hidden="false" customHeight="false" outlineLevel="0" collapsed="false">
      <c r="A1901" s="31" t="n">
        <v>1899</v>
      </c>
      <c r="B1901" s="43" t="s">
        <v>13735</v>
      </c>
      <c r="C1901" s="34" t="s">
        <v>13736</v>
      </c>
      <c r="D1901" s="44" t="s">
        <v>10677</v>
      </c>
      <c r="E1901" s="31" t="s">
        <v>10707</v>
      </c>
      <c r="F1901" s="31" t="s">
        <v>9084</v>
      </c>
      <c r="G1901" s="31" t="n">
        <v>77</v>
      </c>
      <c r="H1901" s="31" t="s">
        <v>7168</v>
      </c>
      <c r="I1901" s="44" t="s">
        <v>9042</v>
      </c>
      <c r="J1901" s="45" t="s">
        <v>9086</v>
      </c>
      <c r="K1901" s="45" t="s">
        <v>9088</v>
      </c>
      <c r="L1901" s="31" t="n">
        <f aca="false">COUNTIF($B$3:$B$2205,$B1901)</f>
        <v>1</v>
      </c>
      <c r="M1901" s="44" t="str">
        <f aca="false">IFERROR(INDEX(SENTENCES!$T$3:$T$1802,MATCH($F1901,SENTENCES!$A$3:$A$1802,0)),"")</f>
        <v>• Chưa tới</v>
      </c>
    </row>
    <row r="1902" customFormat="false" ht="15" hidden="false" customHeight="false" outlineLevel="0" collapsed="false">
      <c r="A1902" s="31" t="n">
        <v>1900</v>
      </c>
      <c r="B1902" s="43" t="s">
        <v>13737</v>
      </c>
      <c r="C1902" s="34" t="s">
        <v>13738</v>
      </c>
      <c r="D1902" s="44" t="s">
        <v>10677</v>
      </c>
      <c r="E1902" s="31" t="s">
        <v>10707</v>
      </c>
      <c r="F1902" s="31" t="s">
        <v>9090</v>
      </c>
      <c r="G1902" s="31" t="n">
        <v>77</v>
      </c>
      <c r="H1902" s="31" t="s">
        <v>7168</v>
      </c>
      <c r="I1902" s="44" t="s">
        <v>9042</v>
      </c>
      <c r="J1902" s="45" t="s">
        <v>9092</v>
      </c>
      <c r="K1902" s="45" t="s">
        <v>9094</v>
      </c>
      <c r="L1902" s="31" t="n">
        <f aca="false">COUNTIF($B$3:$B$2205,$B1902)</f>
        <v>1</v>
      </c>
      <c r="M1902" s="44" t="str">
        <f aca="false">IFERROR(INDEX(SENTENCES!$T$3:$T$1802,MATCH($F1902,SENTENCES!$A$3:$A$1802,0)),"")</f>
        <v>• Chưa tới</v>
      </c>
    </row>
    <row r="1903" customFormat="false" ht="15" hidden="false" customHeight="false" outlineLevel="0" collapsed="false">
      <c r="A1903" s="31" t="n">
        <v>1901</v>
      </c>
      <c r="B1903" s="43" t="s">
        <v>13739</v>
      </c>
      <c r="C1903" s="34" t="s">
        <v>13740</v>
      </c>
      <c r="D1903" s="44" t="s">
        <v>10677</v>
      </c>
      <c r="E1903" s="31" t="s">
        <v>10707</v>
      </c>
      <c r="F1903" s="31" t="s">
        <v>9096</v>
      </c>
      <c r="G1903" s="31" t="n">
        <v>77</v>
      </c>
      <c r="H1903" s="31" t="s">
        <v>7168</v>
      </c>
      <c r="I1903" s="44" t="s">
        <v>9042</v>
      </c>
      <c r="J1903" s="45" t="s">
        <v>9098</v>
      </c>
      <c r="K1903" s="45" t="s">
        <v>9100</v>
      </c>
      <c r="L1903" s="31" t="n">
        <f aca="false">COUNTIF($B$3:$B$2205,$B1903)</f>
        <v>1</v>
      </c>
      <c r="M1903" s="44" t="str">
        <f aca="false">IFERROR(INDEX(SENTENCES!$T$3:$T$1802,MATCH($F1903,SENTENCES!$A$3:$A$1802,0)),"")</f>
        <v>• Chưa tới</v>
      </c>
    </row>
    <row r="1904" customFormat="false" ht="15" hidden="false" customHeight="false" outlineLevel="0" collapsed="false">
      <c r="A1904" s="31" t="n">
        <v>1902</v>
      </c>
      <c r="B1904" s="43" t="s">
        <v>13741</v>
      </c>
      <c r="C1904" s="34" t="s">
        <v>13742</v>
      </c>
      <c r="D1904" s="44" t="s">
        <v>10677</v>
      </c>
      <c r="E1904" s="31" t="s">
        <v>10707</v>
      </c>
      <c r="F1904" s="31" t="s">
        <v>9102</v>
      </c>
      <c r="G1904" s="31" t="n">
        <v>77</v>
      </c>
      <c r="H1904" s="31" t="s">
        <v>7168</v>
      </c>
      <c r="I1904" s="44" t="s">
        <v>9042</v>
      </c>
      <c r="J1904" s="45" t="s">
        <v>9104</v>
      </c>
      <c r="K1904" s="45" t="s">
        <v>9106</v>
      </c>
      <c r="L1904" s="31" t="n">
        <f aca="false">COUNTIF($B$3:$B$2205,$B1904)</f>
        <v>1</v>
      </c>
      <c r="M1904" s="44" t="str">
        <f aca="false">IFERROR(INDEX(SENTENCES!$T$3:$T$1802,MATCH($F1904,SENTENCES!$A$3:$A$1802,0)),"")</f>
        <v>• Chưa tới</v>
      </c>
    </row>
    <row r="1905" customFormat="false" ht="15" hidden="false" customHeight="false" outlineLevel="0" collapsed="false">
      <c r="A1905" s="31" t="n">
        <v>1903</v>
      </c>
      <c r="B1905" s="43" t="s">
        <v>13743</v>
      </c>
      <c r="C1905" s="34" t="s">
        <v>13744</v>
      </c>
      <c r="D1905" s="44" t="s">
        <v>10677</v>
      </c>
      <c r="E1905" s="31" t="s">
        <v>10707</v>
      </c>
      <c r="F1905" s="31" t="s">
        <v>9108</v>
      </c>
      <c r="G1905" s="31" t="n">
        <v>77</v>
      </c>
      <c r="H1905" s="31" t="s">
        <v>7168</v>
      </c>
      <c r="I1905" s="44" t="s">
        <v>9042</v>
      </c>
      <c r="J1905" s="45" t="s">
        <v>9110</v>
      </c>
      <c r="K1905" s="45" t="s">
        <v>9112</v>
      </c>
      <c r="L1905" s="31" t="n">
        <f aca="false">COUNTIF($B$3:$B$2205,$B1905)</f>
        <v>1</v>
      </c>
      <c r="M1905" s="44" t="str">
        <f aca="false">IFERROR(INDEX(SENTENCES!$T$3:$T$1802,MATCH($F1905,SENTENCES!$A$3:$A$1802,0)),"")</f>
        <v>• Chưa tới</v>
      </c>
    </row>
    <row r="1906" customFormat="false" ht="15" hidden="false" customHeight="false" outlineLevel="0" collapsed="false">
      <c r="A1906" s="31" t="n">
        <v>1904</v>
      </c>
      <c r="B1906" s="43" t="s">
        <v>13745</v>
      </c>
      <c r="C1906" s="34" t="s">
        <v>13746</v>
      </c>
      <c r="D1906" s="44" t="s">
        <v>10686</v>
      </c>
      <c r="E1906" s="31"/>
      <c r="F1906" s="31" t="s">
        <v>9114</v>
      </c>
      <c r="G1906" s="31" t="n">
        <v>77</v>
      </c>
      <c r="H1906" s="31" t="s">
        <v>7168</v>
      </c>
      <c r="I1906" s="44" t="s">
        <v>9042</v>
      </c>
      <c r="J1906" s="45" t="s">
        <v>9116</v>
      </c>
      <c r="K1906" s="45" t="s">
        <v>9118</v>
      </c>
      <c r="L1906" s="31" t="n">
        <f aca="false">COUNTIF($B$3:$B$2205,$B1906)</f>
        <v>1</v>
      </c>
      <c r="M1906" s="44" t="str">
        <f aca="false">IFERROR(INDEX(SENTENCES!$T$3:$T$1802,MATCH($F1906,SENTENCES!$A$3:$A$1802,0)),"")</f>
        <v>• Chưa tới</v>
      </c>
    </row>
    <row r="1907" customFormat="false" ht="15" hidden="false" customHeight="false" outlineLevel="0" collapsed="false">
      <c r="A1907" s="31" t="n">
        <v>1905</v>
      </c>
      <c r="B1907" s="43" t="s">
        <v>13747</v>
      </c>
      <c r="C1907" s="34" t="s">
        <v>13748</v>
      </c>
      <c r="D1907" s="44" t="s">
        <v>10677</v>
      </c>
      <c r="E1907" s="31" t="s">
        <v>10707</v>
      </c>
      <c r="F1907" s="31" t="s">
        <v>9120</v>
      </c>
      <c r="G1907" s="31" t="n">
        <v>77</v>
      </c>
      <c r="H1907" s="31" t="s">
        <v>7168</v>
      </c>
      <c r="I1907" s="44" t="s">
        <v>9042</v>
      </c>
      <c r="J1907" s="45" t="s">
        <v>9122</v>
      </c>
      <c r="K1907" s="45" t="s">
        <v>9124</v>
      </c>
      <c r="L1907" s="31" t="n">
        <f aca="false">COUNTIF($B$3:$B$2205,$B1907)</f>
        <v>1</v>
      </c>
      <c r="M1907" s="44" t="str">
        <f aca="false">IFERROR(INDEX(SENTENCES!$T$3:$T$1802,MATCH($F1907,SENTENCES!$A$3:$A$1802,0)),"")</f>
        <v>• Chưa tới</v>
      </c>
    </row>
    <row r="1908" customFormat="false" ht="15" hidden="false" customHeight="false" outlineLevel="0" collapsed="false">
      <c r="A1908" s="31" t="n">
        <v>1906</v>
      </c>
      <c r="B1908" s="43" t="s">
        <v>13749</v>
      </c>
      <c r="C1908" s="34" t="s">
        <v>13750</v>
      </c>
      <c r="D1908" s="44" t="s">
        <v>10677</v>
      </c>
      <c r="E1908" s="31" t="s">
        <v>10707</v>
      </c>
      <c r="F1908" s="31" t="s">
        <v>9126</v>
      </c>
      <c r="G1908" s="31" t="n">
        <v>77</v>
      </c>
      <c r="H1908" s="31" t="s">
        <v>7168</v>
      </c>
      <c r="I1908" s="44" t="s">
        <v>9042</v>
      </c>
      <c r="J1908" s="45" t="s">
        <v>9128</v>
      </c>
      <c r="K1908" s="45" t="s">
        <v>9130</v>
      </c>
      <c r="L1908" s="31" t="n">
        <f aca="false">COUNTIF($B$3:$B$2205,$B1908)</f>
        <v>1</v>
      </c>
      <c r="M1908" s="44" t="str">
        <f aca="false">IFERROR(INDEX(SENTENCES!$T$3:$T$1802,MATCH($F1908,SENTENCES!$A$3:$A$1802,0)),"")</f>
        <v>• Chưa tới</v>
      </c>
    </row>
    <row r="1909" customFormat="false" ht="15" hidden="false" customHeight="false" outlineLevel="0" collapsed="false">
      <c r="A1909" s="31" t="n">
        <v>1907</v>
      </c>
      <c r="B1909" s="43" t="s">
        <v>13751</v>
      </c>
      <c r="C1909" s="34" t="s">
        <v>13752</v>
      </c>
      <c r="D1909" s="44" t="s">
        <v>10677</v>
      </c>
      <c r="E1909" s="31" t="s">
        <v>10747</v>
      </c>
      <c r="F1909" s="31" t="s">
        <v>9132</v>
      </c>
      <c r="G1909" s="31" t="n">
        <v>77</v>
      </c>
      <c r="H1909" s="31" t="s">
        <v>7168</v>
      </c>
      <c r="I1909" s="44" t="s">
        <v>9042</v>
      </c>
      <c r="J1909" s="45" t="s">
        <v>9134</v>
      </c>
      <c r="K1909" s="45" t="s">
        <v>9136</v>
      </c>
      <c r="L1909" s="31" t="n">
        <f aca="false">COUNTIF($B$3:$B$2205,$B1909)</f>
        <v>1</v>
      </c>
      <c r="M1909" s="44" t="str">
        <f aca="false">IFERROR(INDEX(SENTENCES!$T$3:$T$1802,MATCH($F1909,SENTENCES!$A$3:$A$1802,0)),"")</f>
        <v>• Chưa tới</v>
      </c>
    </row>
    <row r="1910" customFormat="false" ht="15" hidden="false" customHeight="false" outlineLevel="0" collapsed="false">
      <c r="A1910" s="31" t="n">
        <v>1908</v>
      </c>
      <c r="B1910" s="43" t="s">
        <v>13753</v>
      </c>
      <c r="C1910" s="34" t="s">
        <v>13754</v>
      </c>
      <c r="D1910" s="44" t="s">
        <v>10677</v>
      </c>
      <c r="E1910" s="31" t="s">
        <v>10678</v>
      </c>
      <c r="F1910" s="31" t="s">
        <v>9138</v>
      </c>
      <c r="G1910" s="31" t="n">
        <v>77</v>
      </c>
      <c r="H1910" s="31" t="s">
        <v>7168</v>
      </c>
      <c r="I1910" s="44" t="s">
        <v>9042</v>
      </c>
      <c r="J1910" s="45" t="s">
        <v>9140</v>
      </c>
      <c r="K1910" s="45" t="s">
        <v>9142</v>
      </c>
      <c r="L1910" s="31" t="n">
        <f aca="false">COUNTIF($B$3:$B$2205,$B1910)</f>
        <v>2</v>
      </c>
      <c r="M1910" s="44" t="str">
        <f aca="false">IFERROR(INDEX(SENTENCES!$T$3:$T$1802,MATCH($F1910,SENTENCES!$A$3:$A$1802,0)),"")</f>
        <v>• Chưa tới</v>
      </c>
    </row>
    <row r="1911" customFormat="false" ht="15" hidden="false" customHeight="false" outlineLevel="0" collapsed="false">
      <c r="A1911" s="31" t="n">
        <v>1909</v>
      </c>
      <c r="B1911" s="43" t="s">
        <v>13755</v>
      </c>
      <c r="C1911" s="34" t="s">
        <v>13756</v>
      </c>
      <c r="D1911" s="44" t="s">
        <v>10794</v>
      </c>
      <c r="E1911" s="31"/>
      <c r="F1911" s="31" t="s">
        <v>9144</v>
      </c>
      <c r="G1911" s="31" t="n">
        <v>77</v>
      </c>
      <c r="H1911" s="31" t="s">
        <v>7168</v>
      </c>
      <c r="I1911" s="44" t="s">
        <v>9042</v>
      </c>
      <c r="J1911" s="45" t="s">
        <v>9146</v>
      </c>
      <c r="K1911" s="45" t="s">
        <v>9148</v>
      </c>
      <c r="L1911" s="31" t="n">
        <f aca="false">COUNTIF($B$3:$B$2205,$B1911)</f>
        <v>1</v>
      </c>
      <c r="M1911" s="44" t="str">
        <f aca="false">IFERROR(INDEX(SENTENCES!$T$3:$T$1802,MATCH($F1911,SENTENCES!$A$3:$A$1802,0)),"")</f>
        <v>• Chưa tới</v>
      </c>
    </row>
    <row r="1912" customFormat="false" ht="22.35" hidden="false" customHeight="false" outlineLevel="0" collapsed="false">
      <c r="A1912" s="31" t="n">
        <v>1910</v>
      </c>
      <c r="B1912" s="43" t="s">
        <v>13757</v>
      </c>
      <c r="C1912" s="34" t="s">
        <v>13758</v>
      </c>
      <c r="D1912" s="44" t="s">
        <v>10686</v>
      </c>
      <c r="E1912" s="31"/>
      <c r="F1912" s="31" t="s">
        <v>9149</v>
      </c>
      <c r="G1912" s="31" t="n">
        <v>77</v>
      </c>
      <c r="H1912" s="31" t="s">
        <v>7168</v>
      </c>
      <c r="I1912" s="44" t="s">
        <v>9042</v>
      </c>
      <c r="J1912" s="45" t="s">
        <v>9151</v>
      </c>
      <c r="K1912" s="45" t="s">
        <v>9153</v>
      </c>
      <c r="L1912" s="31" t="n">
        <f aca="false">COUNTIF($B$3:$B$2205,$B1912)</f>
        <v>1</v>
      </c>
      <c r="M1912" s="44" t="str">
        <f aca="false">IFERROR(INDEX(SENTENCES!$T$3:$T$1802,MATCH($F1912,SENTENCES!$A$3:$A$1802,0)),"")</f>
        <v>• Chưa tới</v>
      </c>
    </row>
    <row r="1913" customFormat="false" ht="15" hidden="false" customHeight="false" outlineLevel="0" collapsed="false">
      <c r="A1913" s="31" t="n">
        <v>1911</v>
      </c>
      <c r="B1913" s="43" t="s">
        <v>13759</v>
      </c>
      <c r="C1913" s="34" t="s">
        <v>13760</v>
      </c>
      <c r="D1913" s="44" t="s">
        <v>10677</v>
      </c>
      <c r="E1913" s="31" t="s">
        <v>10707</v>
      </c>
      <c r="F1913" s="31" t="s">
        <v>9155</v>
      </c>
      <c r="G1913" s="31" t="n">
        <v>77</v>
      </c>
      <c r="H1913" s="31" t="s">
        <v>7168</v>
      </c>
      <c r="I1913" s="44" t="s">
        <v>9042</v>
      </c>
      <c r="J1913" s="45" t="s">
        <v>9157</v>
      </c>
      <c r="K1913" s="45" t="s">
        <v>9159</v>
      </c>
      <c r="L1913" s="31" t="n">
        <f aca="false">COUNTIF($B$3:$B$2205,$B1913)</f>
        <v>1</v>
      </c>
      <c r="M1913" s="44" t="str">
        <f aca="false">IFERROR(INDEX(SENTENCES!$T$3:$T$1802,MATCH($F1913,SENTENCES!$A$3:$A$1802,0)),"")</f>
        <v>• Chưa tới</v>
      </c>
    </row>
    <row r="1914" customFormat="false" ht="15" hidden="false" customHeight="false" outlineLevel="0" collapsed="false">
      <c r="A1914" s="31" t="n">
        <v>1912</v>
      </c>
      <c r="B1914" s="43" t="s">
        <v>13761</v>
      </c>
      <c r="C1914" s="34" t="s">
        <v>13762</v>
      </c>
      <c r="D1914" s="44" t="s">
        <v>10686</v>
      </c>
      <c r="E1914" s="31"/>
      <c r="F1914" s="31" t="s">
        <v>9161</v>
      </c>
      <c r="G1914" s="31" t="n">
        <v>78</v>
      </c>
      <c r="H1914" s="31" t="s">
        <v>7168</v>
      </c>
      <c r="I1914" s="44" t="s">
        <v>9162</v>
      </c>
      <c r="J1914" s="45" t="s">
        <v>9163</v>
      </c>
      <c r="K1914" s="45" t="s">
        <v>9165</v>
      </c>
      <c r="L1914" s="31" t="n">
        <f aca="false">COUNTIF($B$3:$B$2205,$B1914)</f>
        <v>1</v>
      </c>
      <c r="M1914" s="44" t="str">
        <f aca="false">IFERROR(INDEX(SENTENCES!$T$3:$T$1802,MATCH($F1914,SENTENCES!$A$3:$A$1802,0)),"")</f>
        <v>• Chưa tới</v>
      </c>
    </row>
    <row r="1915" customFormat="false" ht="15" hidden="false" customHeight="false" outlineLevel="0" collapsed="false">
      <c r="A1915" s="31" t="n">
        <v>1913</v>
      </c>
      <c r="B1915" s="43" t="s">
        <v>13763</v>
      </c>
      <c r="C1915" s="34" t="s">
        <v>13764</v>
      </c>
      <c r="D1915" s="44" t="s">
        <v>10677</v>
      </c>
      <c r="E1915" s="31" t="s">
        <v>10707</v>
      </c>
      <c r="F1915" s="31" t="s">
        <v>9167</v>
      </c>
      <c r="G1915" s="31" t="n">
        <v>78</v>
      </c>
      <c r="H1915" s="31" t="s">
        <v>7168</v>
      </c>
      <c r="I1915" s="44" t="s">
        <v>9162</v>
      </c>
      <c r="J1915" s="45" t="s">
        <v>9168</v>
      </c>
      <c r="K1915" s="45" t="s">
        <v>9170</v>
      </c>
      <c r="L1915" s="31" t="n">
        <f aca="false">COUNTIF($B$3:$B$2205,$B1915)</f>
        <v>1</v>
      </c>
      <c r="M1915" s="44" t="str">
        <f aca="false">IFERROR(INDEX(SENTENCES!$T$3:$T$1802,MATCH($F1915,SENTENCES!$A$3:$A$1802,0)),"")</f>
        <v>• Chưa tới</v>
      </c>
    </row>
    <row r="1916" customFormat="false" ht="15" hidden="false" customHeight="false" outlineLevel="0" collapsed="false">
      <c r="A1916" s="31" t="n">
        <v>1914</v>
      </c>
      <c r="B1916" s="43" t="s">
        <v>9173</v>
      </c>
      <c r="C1916" s="34" t="s">
        <v>11441</v>
      </c>
      <c r="D1916" s="44" t="s">
        <v>10794</v>
      </c>
      <c r="E1916" s="31"/>
      <c r="F1916" s="31" t="s">
        <v>9172</v>
      </c>
      <c r="G1916" s="31" t="n">
        <v>78</v>
      </c>
      <c r="H1916" s="31" t="s">
        <v>7168</v>
      </c>
      <c r="I1916" s="44" t="s">
        <v>9162</v>
      </c>
      <c r="J1916" s="45" t="s">
        <v>9174</v>
      </c>
      <c r="K1916" s="45" t="s">
        <v>9176</v>
      </c>
      <c r="L1916" s="31" t="n">
        <f aca="false">COUNTIF($B$3:$B$2205,$B1916)</f>
        <v>1</v>
      </c>
      <c r="M1916" s="44" t="str">
        <f aca="false">IFERROR(INDEX(SENTENCES!$T$3:$T$1802,MATCH($F1916,SENTENCES!$A$3:$A$1802,0)),"")</f>
        <v>• Chưa tới</v>
      </c>
    </row>
    <row r="1917" customFormat="false" ht="15" hidden="false" customHeight="false" outlineLevel="0" collapsed="false">
      <c r="A1917" s="31" t="n">
        <v>1915</v>
      </c>
      <c r="B1917" s="43" t="s">
        <v>13765</v>
      </c>
      <c r="C1917" s="34" t="s">
        <v>13766</v>
      </c>
      <c r="D1917" s="44" t="s">
        <v>10677</v>
      </c>
      <c r="E1917" s="31" t="s">
        <v>10707</v>
      </c>
      <c r="F1917" s="31" t="s">
        <v>9178</v>
      </c>
      <c r="G1917" s="31" t="n">
        <v>78</v>
      </c>
      <c r="H1917" s="31" t="s">
        <v>7168</v>
      </c>
      <c r="I1917" s="44" t="s">
        <v>9162</v>
      </c>
      <c r="J1917" s="45" t="s">
        <v>9180</v>
      </c>
      <c r="K1917" s="45" t="s">
        <v>9182</v>
      </c>
      <c r="L1917" s="31" t="n">
        <f aca="false">COUNTIF($B$3:$B$2205,$B1917)</f>
        <v>1</v>
      </c>
      <c r="M1917" s="44" t="str">
        <f aca="false">IFERROR(INDEX(SENTENCES!$T$3:$T$1802,MATCH($F1917,SENTENCES!$A$3:$A$1802,0)),"")</f>
        <v>• Chưa tới</v>
      </c>
    </row>
    <row r="1918" customFormat="false" ht="15" hidden="false" customHeight="false" outlineLevel="0" collapsed="false">
      <c r="A1918" s="31" t="n">
        <v>1916</v>
      </c>
      <c r="B1918" s="43" t="s">
        <v>13767</v>
      </c>
      <c r="C1918" s="34" t="s">
        <v>13768</v>
      </c>
      <c r="D1918" s="44" t="s">
        <v>10677</v>
      </c>
      <c r="E1918" s="31" t="s">
        <v>10678</v>
      </c>
      <c r="F1918" s="31" t="s">
        <v>9178</v>
      </c>
      <c r="G1918" s="31" t="n">
        <v>78</v>
      </c>
      <c r="H1918" s="31" t="s">
        <v>7168</v>
      </c>
      <c r="I1918" s="44" t="s">
        <v>9162</v>
      </c>
      <c r="J1918" s="45" t="s">
        <v>9180</v>
      </c>
      <c r="K1918" s="45" t="s">
        <v>9182</v>
      </c>
      <c r="L1918" s="31" t="n">
        <f aca="false">COUNTIF($B$3:$B$2205,$B1918)</f>
        <v>2</v>
      </c>
      <c r="M1918" s="44" t="str">
        <f aca="false">IFERROR(INDEX(SENTENCES!$T$3:$T$1802,MATCH($F1918,SENTENCES!$A$3:$A$1802,0)),"")</f>
        <v>• Chưa tới</v>
      </c>
    </row>
    <row r="1919" customFormat="false" ht="15" hidden="false" customHeight="false" outlineLevel="0" collapsed="false">
      <c r="A1919" s="31" t="n">
        <v>1917</v>
      </c>
      <c r="B1919" s="43" t="s">
        <v>13769</v>
      </c>
      <c r="C1919" s="34" t="s">
        <v>13770</v>
      </c>
      <c r="D1919" s="44" t="s">
        <v>10677</v>
      </c>
      <c r="E1919" s="31" t="s">
        <v>10707</v>
      </c>
      <c r="F1919" s="31" t="s">
        <v>9184</v>
      </c>
      <c r="G1919" s="31" t="n">
        <v>78</v>
      </c>
      <c r="H1919" s="31" t="s">
        <v>7168</v>
      </c>
      <c r="I1919" s="44" t="s">
        <v>9162</v>
      </c>
      <c r="J1919" s="45" t="s">
        <v>9186</v>
      </c>
      <c r="K1919" s="45" t="s">
        <v>9188</v>
      </c>
      <c r="L1919" s="31" t="n">
        <f aca="false">COUNTIF($B$3:$B$2205,$B1919)</f>
        <v>1</v>
      </c>
      <c r="M1919" s="44" t="str">
        <f aca="false">IFERROR(INDEX(SENTENCES!$T$3:$T$1802,MATCH($F1919,SENTENCES!$A$3:$A$1802,0)),"")</f>
        <v>• Chưa tới</v>
      </c>
    </row>
    <row r="1920" customFormat="false" ht="15" hidden="false" customHeight="false" outlineLevel="0" collapsed="false">
      <c r="A1920" s="31" t="n">
        <v>1918</v>
      </c>
      <c r="B1920" s="43" t="s">
        <v>13771</v>
      </c>
      <c r="C1920" s="34" t="s">
        <v>13772</v>
      </c>
      <c r="D1920" s="44" t="s">
        <v>10677</v>
      </c>
      <c r="E1920" s="31" t="s">
        <v>10707</v>
      </c>
      <c r="F1920" s="31" t="s">
        <v>9190</v>
      </c>
      <c r="G1920" s="31" t="n">
        <v>78</v>
      </c>
      <c r="H1920" s="31" t="s">
        <v>7168</v>
      </c>
      <c r="I1920" s="44" t="s">
        <v>9162</v>
      </c>
      <c r="J1920" s="45" t="s">
        <v>9192</v>
      </c>
      <c r="K1920" s="45" t="s">
        <v>9194</v>
      </c>
      <c r="L1920" s="31" t="n">
        <f aca="false">COUNTIF($B$3:$B$2205,$B1920)</f>
        <v>1</v>
      </c>
      <c r="M1920" s="44" t="str">
        <f aca="false">IFERROR(INDEX(SENTENCES!$T$3:$T$1802,MATCH($F1920,SENTENCES!$A$3:$A$1802,0)),"")</f>
        <v>• Chưa tới</v>
      </c>
    </row>
    <row r="1921" customFormat="false" ht="15" hidden="false" customHeight="false" outlineLevel="0" collapsed="false">
      <c r="A1921" s="31" t="n">
        <v>1919</v>
      </c>
      <c r="B1921" s="43" t="s">
        <v>13773</v>
      </c>
      <c r="C1921" s="34" t="s">
        <v>13774</v>
      </c>
      <c r="D1921" s="44" t="s">
        <v>10677</v>
      </c>
      <c r="E1921" s="31" t="s">
        <v>10707</v>
      </c>
      <c r="F1921" s="31" t="s">
        <v>9196</v>
      </c>
      <c r="G1921" s="31" t="n">
        <v>78</v>
      </c>
      <c r="H1921" s="31" t="s">
        <v>7168</v>
      </c>
      <c r="I1921" s="44" t="s">
        <v>9162</v>
      </c>
      <c r="J1921" s="45" t="s">
        <v>9197</v>
      </c>
      <c r="K1921" s="45" t="s">
        <v>9199</v>
      </c>
      <c r="L1921" s="31" t="n">
        <f aca="false">COUNTIF($B$3:$B$2205,$B1921)</f>
        <v>1</v>
      </c>
      <c r="M1921" s="44" t="str">
        <f aca="false">IFERROR(INDEX(SENTENCES!$T$3:$T$1802,MATCH($F1921,SENTENCES!$A$3:$A$1802,0)),"")</f>
        <v>• Chưa tới</v>
      </c>
    </row>
    <row r="1922" customFormat="false" ht="15" hidden="false" customHeight="false" outlineLevel="0" collapsed="false">
      <c r="A1922" s="31" t="n">
        <v>1920</v>
      </c>
      <c r="B1922" s="43" t="s">
        <v>13775</v>
      </c>
      <c r="C1922" s="34" t="s">
        <v>13776</v>
      </c>
      <c r="D1922" s="44" t="s">
        <v>10677</v>
      </c>
      <c r="E1922" s="31" t="s">
        <v>10747</v>
      </c>
      <c r="F1922" s="31" t="s">
        <v>9201</v>
      </c>
      <c r="G1922" s="31" t="n">
        <v>78</v>
      </c>
      <c r="H1922" s="31" t="s">
        <v>7168</v>
      </c>
      <c r="I1922" s="44" t="s">
        <v>9162</v>
      </c>
      <c r="J1922" s="45" t="s">
        <v>9203</v>
      </c>
      <c r="K1922" s="45" t="s">
        <v>9205</v>
      </c>
      <c r="L1922" s="31" t="n">
        <f aca="false">COUNTIF($B$3:$B$2205,$B1922)</f>
        <v>1</v>
      </c>
      <c r="M1922" s="44" t="str">
        <f aca="false">IFERROR(INDEX(SENTENCES!$T$3:$T$1802,MATCH($F1922,SENTENCES!$A$3:$A$1802,0)),"")</f>
        <v>• Chưa tới</v>
      </c>
    </row>
    <row r="1923" customFormat="false" ht="15" hidden="false" customHeight="false" outlineLevel="0" collapsed="false">
      <c r="A1923" s="31" t="n">
        <v>1921</v>
      </c>
      <c r="B1923" s="43" t="s">
        <v>13777</v>
      </c>
      <c r="C1923" s="34" t="s">
        <v>13778</v>
      </c>
      <c r="D1923" s="44" t="s">
        <v>10677</v>
      </c>
      <c r="E1923" s="31" t="s">
        <v>10707</v>
      </c>
      <c r="F1923" s="31" t="s">
        <v>9201</v>
      </c>
      <c r="G1923" s="31" t="n">
        <v>78</v>
      </c>
      <c r="H1923" s="31" t="s">
        <v>7168</v>
      </c>
      <c r="I1923" s="44" t="s">
        <v>9162</v>
      </c>
      <c r="J1923" s="45" t="s">
        <v>9203</v>
      </c>
      <c r="K1923" s="45" t="s">
        <v>9205</v>
      </c>
      <c r="L1923" s="31" t="n">
        <f aca="false">COUNTIF($B$3:$B$2205,$B1923)</f>
        <v>1</v>
      </c>
      <c r="M1923" s="44" t="str">
        <f aca="false">IFERROR(INDEX(SENTENCES!$T$3:$T$1802,MATCH($F1923,SENTENCES!$A$3:$A$1802,0)),"")</f>
        <v>• Chưa tới</v>
      </c>
    </row>
    <row r="1924" customFormat="false" ht="15" hidden="false" customHeight="false" outlineLevel="0" collapsed="false">
      <c r="A1924" s="31" t="n">
        <v>1922</v>
      </c>
      <c r="B1924" s="43" t="s">
        <v>13779</v>
      </c>
      <c r="C1924" s="34" t="s">
        <v>13780</v>
      </c>
      <c r="D1924" s="44" t="s">
        <v>10677</v>
      </c>
      <c r="E1924" s="31" t="s">
        <v>10678</v>
      </c>
      <c r="F1924" s="31" t="s">
        <v>9207</v>
      </c>
      <c r="G1924" s="31" t="n">
        <v>78</v>
      </c>
      <c r="H1924" s="31" t="s">
        <v>7168</v>
      </c>
      <c r="I1924" s="44" t="s">
        <v>9162</v>
      </c>
      <c r="J1924" s="45" t="s">
        <v>9209</v>
      </c>
      <c r="K1924" s="45" t="s">
        <v>9211</v>
      </c>
      <c r="L1924" s="31" t="n">
        <f aca="false">COUNTIF($B$3:$B$2205,$B1924)</f>
        <v>1</v>
      </c>
      <c r="M1924" s="44" t="str">
        <f aca="false">IFERROR(INDEX(SENTENCES!$T$3:$T$1802,MATCH($F1924,SENTENCES!$A$3:$A$1802,0)),"")</f>
        <v>• Chưa tới</v>
      </c>
    </row>
    <row r="1925" customFormat="false" ht="15" hidden="false" customHeight="false" outlineLevel="0" collapsed="false">
      <c r="A1925" s="31" t="n">
        <v>1923</v>
      </c>
      <c r="B1925" s="43" t="s">
        <v>13781</v>
      </c>
      <c r="C1925" s="34" t="s">
        <v>13782</v>
      </c>
      <c r="D1925" s="44" t="s">
        <v>10677</v>
      </c>
      <c r="E1925" s="31" t="s">
        <v>10678</v>
      </c>
      <c r="F1925" s="31" t="s">
        <v>9213</v>
      </c>
      <c r="G1925" s="31" t="n">
        <v>78</v>
      </c>
      <c r="H1925" s="31" t="s">
        <v>7168</v>
      </c>
      <c r="I1925" s="44" t="s">
        <v>9162</v>
      </c>
      <c r="J1925" s="45" t="s">
        <v>9215</v>
      </c>
      <c r="K1925" s="45" t="s">
        <v>9217</v>
      </c>
      <c r="L1925" s="31" t="n">
        <f aca="false">COUNTIF($B$3:$B$2205,$B1925)</f>
        <v>1</v>
      </c>
      <c r="M1925" s="44" t="str">
        <f aca="false">IFERROR(INDEX(SENTENCES!$T$3:$T$1802,MATCH($F1925,SENTENCES!$A$3:$A$1802,0)),"")</f>
        <v>• Chưa tới</v>
      </c>
    </row>
    <row r="1926" customFormat="false" ht="15" hidden="false" customHeight="false" outlineLevel="0" collapsed="false">
      <c r="A1926" s="31" t="n">
        <v>1924</v>
      </c>
      <c r="B1926" s="43" t="s">
        <v>13783</v>
      </c>
      <c r="C1926" s="34" t="s">
        <v>13784</v>
      </c>
      <c r="D1926" s="44" t="s">
        <v>10686</v>
      </c>
      <c r="E1926" s="31"/>
      <c r="F1926" s="31" t="s">
        <v>9213</v>
      </c>
      <c r="G1926" s="31" t="n">
        <v>78</v>
      </c>
      <c r="H1926" s="31" t="s">
        <v>7168</v>
      </c>
      <c r="I1926" s="44" t="s">
        <v>9162</v>
      </c>
      <c r="J1926" s="45" t="s">
        <v>9215</v>
      </c>
      <c r="K1926" s="45" t="s">
        <v>9217</v>
      </c>
      <c r="L1926" s="31" t="n">
        <f aca="false">COUNTIF($B$3:$B$2205,$B1926)</f>
        <v>1</v>
      </c>
      <c r="M1926" s="44" t="str">
        <f aca="false">IFERROR(INDEX(SENTENCES!$T$3:$T$1802,MATCH($F1926,SENTENCES!$A$3:$A$1802,0)),"")</f>
        <v>• Chưa tới</v>
      </c>
    </row>
    <row r="1927" customFormat="false" ht="15" hidden="false" customHeight="false" outlineLevel="0" collapsed="false">
      <c r="A1927" s="31" t="n">
        <v>1925</v>
      </c>
      <c r="B1927" s="43" t="s">
        <v>13785</v>
      </c>
      <c r="C1927" s="34" t="s">
        <v>13786</v>
      </c>
      <c r="D1927" s="44" t="s">
        <v>10677</v>
      </c>
      <c r="E1927" s="31" t="s">
        <v>10707</v>
      </c>
      <c r="F1927" s="31" t="s">
        <v>9219</v>
      </c>
      <c r="G1927" s="31" t="n">
        <v>78</v>
      </c>
      <c r="H1927" s="31" t="s">
        <v>7168</v>
      </c>
      <c r="I1927" s="44" t="s">
        <v>9162</v>
      </c>
      <c r="J1927" s="45" t="s">
        <v>9221</v>
      </c>
      <c r="K1927" s="45" t="s">
        <v>9223</v>
      </c>
      <c r="L1927" s="31" t="n">
        <f aca="false">COUNTIF($B$3:$B$2205,$B1927)</f>
        <v>1</v>
      </c>
      <c r="M1927" s="44" t="str">
        <f aca="false">IFERROR(INDEX(SENTENCES!$T$3:$T$1802,MATCH($F1927,SENTENCES!$A$3:$A$1802,0)),"")</f>
        <v>• Chưa tới</v>
      </c>
    </row>
    <row r="1928" customFormat="false" ht="15" hidden="false" customHeight="false" outlineLevel="0" collapsed="false">
      <c r="A1928" s="31" t="n">
        <v>1926</v>
      </c>
      <c r="B1928" s="43" t="s">
        <v>13787</v>
      </c>
      <c r="C1928" s="34" t="s">
        <v>13788</v>
      </c>
      <c r="D1928" s="44" t="s">
        <v>10681</v>
      </c>
      <c r="E1928" s="31"/>
      <c r="F1928" s="31" t="s">
        <v>9225</v>
      </c>
      <c r="G1928" s="31" t="n">
        <v>78</v>
      </c>
      <c r="H1928" s="31" t="s">
        <v>7168</v>
      </c>
      <c r="I1928" s="44" t="s">
        <v>9162</v>
      </c>
      <c r="J1928" s="45" t="s">
        <v>9227</v>
      </c>
      <c r="K1928" s="45" t="s">
        <v>9229</v>
      </c>
      <c r="L1928" s="31" t="n">
        <f aca="false">COUNTIF($B$3:$B$2205,$B1928)</f>
        <v>1</v>
      </c>
      <c r="M1928" s="44" t="str">
        <f aca="false">IFERROR(INDEX(SENTENCES!$T$3:$T$1802,MATCH($F1928,SENTENCES!$A$3:$A$1802,0)),"")</f>
        <v>• Chưa tới</v>
      </c>
    </row>
    <row r="1929" customFormat="false" ht="15" hidden="false" customHeight="false" outlineLevel="0" collapsed="false">
      <c r="A1929" s="31" t="n">
        <v>1927</v>
      </c>
      <c r="B1929" s="43" t="s">
        <v>13789</v>
      </c>
      <c r="C1929" s="34" t="s">
        <v>13790</v>
      </c>
      <c r="D1929" s="44" t="s">
        <v>10677</v>
      </c>
      <c r="E1929" s="31" t="s">
        <v>10707</v>
      </c>
      <c r="F1929" s="31" t="s">
        <v>9231</v>
      </c>
      <c r="G1929" s="31" t="n">
        <v>78</v>
      </c>
      <c r="H1929" s="31" t="s">
        <v>7168</v>
      </c>
      <c r="I1929" s="44" t="s">
        <v>9162</v>
      </c>
      <c r="J1929" s="45" t="s">
        <v>9233</v>
      </c>
      <c r="K1929" s="45" t="s">
        <v>9235</v>
      </c>
      <c r="L1929" s="31" t="n">
        <f aca="false">COUNTIF($B$3:$B$2205,$B1929)</f>
        <v>1</v>
      </c>
      <c r="M1929" s="44" t="str">
        <f aca="false">IFERROR(INDEX(SENTENCES!$T$3:$T$1802,MATCH($F1929,SENTENCES!$A$3:$A$1802,0)),"")</f>
        <v>• Chưa tới</v>
      </c>
    </row>
    <row r="1930" customFormat="false" ht="15" hidden="false" customHeight="false" outlineLevel="0" collapsed="false">
      <c r="A1930" s="31" t="n">
        <v>1928</v>
      </c>
      <c r="B1930" s="43" t="s">
        <v>13314</v>
      </c>
      <c r="C1930" s="34" t="s">
        <v>13315</v>
      </c>
      <c r="D1930" s="44" t="s">
        <v>10677</v>
      </c>
      <c r="E1930" s="31" t="s">
        <v>10747</v>
      </c>
      <c r="F1930" s="31" t="s">
        <v>9237</v>
      </c>
      <c r="G1930" s="31" t="n">
        <v>78</v>
      </c>
      <c r="H1930" s="31" t="s">
        <v>7168</v>
      </c>
      <c r="I1930" s="44" t="s">
        <v>9162</v>
      </c>
      <c r="J1930" s="45" t="s">
        <v>9239</v>
      </c>
      <c r="K1930" s="45" t="s">
        <v>9241</v>
      </c>
      <c r="L1930" s="31" t="n">
        <f aca="false">COUNTIF($B$3:$B$2205,$B1930)</f>
        <v>2</v>
      </c>
      <c r="M1930" s="44" t="str">
        <f aca="false">IFERROR(INDEX(SENTENCES!$T$3:$T$1802,MATCH($F1930,SENTENCES!$A$3:$A$1802,0)),"")</f>
        <v>• Chưa tới</v>
      </c>
    </row>
    <row r="1931" customFormat="false" ht="15" hidden="false" customHeight="false" outlineLevel="0" collapsed="false">
      <c r="A1931" s="31" t="n">
        <v>1929</v>
      </c>
      <c r="B1931" s="43" t="s">
        <v>13174</v>
      </c>
      <c r="C1931" s="34" t="s">
        <v>13175</v>
      </c>
      <c r="D1931" s="44" t="s">
        <v>10677</v>
      </c>
      <c r="E1931" s="31" t="s">
        <v>10707</v>
      </c>
      <c r="F1931" s="31" t="s">
        <v>9243</v>
      </c>
      <c r="G1931" s="31" t="n">
        <v>78</v>
      </c>
      <c r="H1931" s="31" t="s">
        <v>7168</v>
      </c>
      <c r="I1931" s="44" t="s">
        <v>9162</v>
      </c>
      <c r="J1931" s="45" t="s">
        <v>9245</v>
      </c>
      <c r="K1931" s="45" t="s">
        <v>9247</v>
      </c>
      <c r="L1931" s="31" t="n">
        <f aca="false">COUNTIF($B$3:$B$2205,$B1931)</f>
        <v>2</v>
      </c>
      <c r="M1931" s="44" t="str">
        <f aca="false">IFERROR(INDEX(SENTENCES!$T$3:$T$1802,MATCH($F1931,SENTENCES!$A$3:$A$1802,0)),"")</f>
        <v>• Chưa tới</v>
      </c>
    </row>
    <row r="1932" customFormat="false" ht="15" hidden="false" customHeight="false" outlineLevel="0" collapsed="false">
      <c r="A1932" s="31" t="n">
        <v>1930</v>
      </c>
      <c r="B1932" s="43" t="s">
        <v>13791</v>
      </c>
      <c r="C1932" s="34" t="s">
        <v>13599</v>
      </c>
      <c r="D1932" s="44" t="s">
        <v>10677</v>
      </c>
      <c r="E1932" s="31" t="s">
        <v>10707</v>
      </c>
      <c r="F1932" s="31" t="s">
        <v>9248</v>
      </c>
      <c r="G1932" s="31" t="n">
        <v>78</v>
      </c>
      <c r="H1932" s="31" t="s">
        <v>7168</v>
      </c>
      <c r="I1932" s="44" t="s">
        <v>9162</v>
      </c>
      <c r="J1932" s="45" t="s">
        <v>9249</v>
      </c>
      <c r="K1932" s="45" t="s">
        <v>9251</v>
      </c>
      <c r="L1932" s="31" t="n">
        <f aca="false">COUNTIF($B$3:$B$2205,$B1932)</f>
        <v>1</v>
      </c>
      <c r="M1932" s="44" t="str">
        <f aca="false">IFERROR(INDEX(SENTENCES!$T$3:$T$1802,MATCH($F1932,SENTENCES!$A$3:$A$1802,0)),"")</f>
        <v>• Chưa tới</v>
      </c>
    </row>
    <row r="1933" customFormat="false" ht="15" hidden="false" customHeight="false" outlineLevel="0" collapsed="false">
      <c r="A1933" s="31" t="n">
        <v>1931</v>
      </c>
      <c r="B1933" s="43" t="s">
        <v>13792</v>
      </c>
      <c r="C1933" s="34" t="s">
        <v>13793</v>
      </c>
      <c r="D1933" s="44" t="s">
        <v>10681</v>
      </c>
      <c r="E1933" s="31"/>
      <c r="F1933" s="31" t="s">
        <v>9248</v>
      </c>
      <c r="G1933" s="31" t="n">
        <v>78</v>
      </c>
      <c r="H1933" s="31" t="s">
        <v>7168</v>
      </c>
      <c r="I1933" s="44" t="s">
        <v>9162</v>
      </c>
      <c r="J1933" s="45" t="s">
        <v>9249</v>
      </c>
      <c r="K1933" s="45" t="s">
        <v>9251</v>
      </c>
      <c r="L1933" s="31" t="n">
        <f aca="false">COUNTIF($B$3:$B$2205,$B1933)</f>
        <v>1</v>
      </c>
      <c r="M1933" s="44" t="str">
        <f aca="false">IFERROR(INDEX(SENTENCES!$T$3:$T$1802,MATCH($F1933,SENTENCES!$A$3:$A$1802,0)),"")</f>
        <v>• Chưa tới</v>
      </c>
    </row>
    <row r="1934" customFormat="false" ht="15" hidden="false" customHeight="false" outlineLevel="0" collapsed="false">
      <c r="A1934" s="31" t="n">
        <v>1932</v>
      </c>
      <c r="B1934" s="43" t="s">
        <v>13794</v>
      </c>
      <c r="C1934" s="34" t="s">
        <v>13369</v>
      </c>
      <c r="D1934" s="44" t="s">
        <v>10677</v>
      </c>
      <c r="E1934" s="31" t="s">
        <v>10747</v>
      </c>
      <c r="F1934" s="31" t="s">
        <v>9253</v>
      </c>
      <c r="G1934" s="31" t="n">
        <v>78</v>
      </c>
      <c r="H1934" s="31" t="s">
        <v>7168</v>
      </c>
      <c r="I1934" s="44" t="s">
        <v>9162</v>
      </c>
      <c r="J1934" s="45" t="s">
        <v>9255</v>
      </c>
      <c r="K1934" s="45" t="s">
        <v>9257</v>
      </c>
      <c r="L1934" s="31" t="n">
        <f aca="false">COUNTIF($B$3:$B$2205,$B1934)</f>
        <v>1</v>
      </c>
      <c r="M1934" s="44" t="str">
        <f aca="false">IFERROR(INDEX(SENTENCES!$T$3:$T$1802,MATCH($F1934,SENTENCES!$A$3:$A$1802,0)),"")</f>
        <v>• Chưa tới</v>
      </c>
    </row>
    <row r="1935" customFormat="false" ht="15" hidden="false" customHeight="false" outlineLevel="0" collapsed="false">
      <c r="A1935" s="31" t="n">
        <v>1933</v>
      </c>
      <c r="B1935" s="43" t="s">
        <v>13795</v>
      </c>
      <c r="C1935" s="34" t="s">
        <v>13796</v>
      </c>
      <c r="D1935" s="44" t="s">
        <v>10677</v>
      </c>
      <c r="E1935" s="31" t="s">
        <v>10678</v>
      </c>
      <c r="F1935" s="31" t="s">
        <v>9259</v>
      </c>
      <c r="G1935" s="31" t="n">
        <v>78</v>
      </c>
      <c r="H1935" s="31" t="s">
        <v>7168</v>
      </c>
      <c r="I1935" s="44" t="s">
        <v>9162</v>
      </c>
      <c r="J1935" s="45" t="s">
        <v>9261</v>
      </c>
      <c r="K1935" s="45" t="s">
        <v>9263</v>
      </c>
      <c r="L1935" s="31" t="n">
        <f aca="false">COUNTIF($B$3:$B$2205,$B1935)</f>
        <v>1</v>
      </c>
      <c r="M1935" s="44" t="str">
        <f aca="false">IFERROR(INDEX(SENTENCES!$T$3:$T$1802,MATCH($F1935,SENTENCES!$A$3:$A$1802,0)),"")</f>
        <v>• Chưa tới</v>
      </c>
    </row>
    <row r="1936" customFormat="false" ht="15" hidden="false" customHeight="false" outlineLevel="0" collapsed="false">
      <c r="A1936" s="31" t="n">
        <v>1934</v>
      </c>
      <c r="B1936" s="43" t="s">
        <v>13797</v>
      </c>
      <c r="C1936" s="34" t="s">
        <v>13798</v>
      </c>
      <c r="D1936" s="44" t="s">
        <v>10677</v>
      </c>
      <c r="E1936" s="31" t="s">
        <v>10707</v>
      </c>
      <c r="F1936" s="31" t="s">
        <v>9265</v>
      </c>
      <c r="G1936" s="31" t="n">
        <v>78</v>
      </c>
      <c r="H1936" s="31" t="s">
        <v>7168</v>
      </c>
      <c r="I1936" s="44" t="s">
        <v>9162</v>
      </c>
      <c r="J1936" s="45" t="s">
        <v>9267</v>
      </c>
      <c r="K1936" s="45" t="s">
        <v>9269</v>
      </c>
      <c r="L1936" s="31" t="n">
        <f aca="false">COUNTIF($B$3:$B$2205,$B1936)</f>
        <v>1</v>
      </c>
      <c r="M1936" s="44" t="str">
        <f aca="false">IFERROR(INDEX(SENTENCES!$T$3:$T$1802,MATCH($F1936,SENTENCES!$A$3:$A$1802,0)),"")</f>
        <v>• Chưa tới</v>
      </c>
    </row>
    <row r="1937" customFormat="false" ht="15" hidden="false" customHeight="false" outlineLevel="0" collapsed="false">
      <c r="A1937" s="31" t="n">
        <v>1935</v>
      </c>
      <c r="B1937" s="43" t="s">
        <v>13799</v>
      </c>
      <c r="C1937" s="34" t="s">
        <v>13800</v>
      </c>
      <c r="D1937" s="44" t="s">
        <v>10677</v>
      </c>
      <c r="E1937" s="31" t="s">
        <v>10707</v>
      </c>
      <c r="F1937" s="31" t="s">
        <v>9271</v>
      </c>
      <c r="G1937" s="31" t="n">
        <v>78</v>
      </c>
      <c r="H1937" s="31" t="s">
        <v>7168</v>
      </c>
      <c r="I1937" s="44" t="s">
        <v>9162</v>
      </c>
      <c r="J1937" s="45" t="s">
        <v>9272</v>
      </c>
      <c r="K1937" s="45" t="s">
        <v>9274</v>
      </c>
      <c r="L1937" s="31" t="n">
        <f aca="false">COUNTIF($B$3:$B$2205,$B1937)</f>
        <v>1</v>
      </c>
      <c r="M1937" s="44" t="str">
        <f aca="false">IFERROR(INDEX(SENTENCES!$T$3:$T$1802,MATCH($F1937,SENTENCES!$A$3:$A$1802,0)),"")</f>
        <v>• Chưa tới</v>
      </c>
    </row>
    <row r="1938" customFormat="false" ht="15" hidden="false" customHeight="false" outlineLevel="0" collapsed="false">
      <c r="A1938" s="31" t="n">
        <v>1936</v>
      </c>
      <c r="B1938" s="43" t="s">
        <v>13801</v>
      </c>
      <c r="C1938" s="34" t="s">
        <v>13802</v>
      </c>
      <c r="D1938" s="44" t="s">
        <v>10677</v>
      </c>
      <c r="E1938" s="31" t="s">
        <v>10707</v>
      </c>
      <c r="F1938" s="31" t="s">
        <v>9276</v>
      </c>
      <c r="G1938" s="31" t="n">
        <v>79</v>
      </c>
      <c r="H1938" s="31" t="s">
        <v>7168</v>
      </c>
      <c r="I1938" s="44" t="s">
        <v>9277</v>
      </c>
      <c r="J1938" s="45" t="s">
        <v>9279</v>
      </c>
      <c r="K1938" s="45" t="s">
        <v>9281</v>
      </c>
      <c r="L1938" s="31" t="n">
        <f aca="false">COUNTIF($B$3:$B$2205,$B1938)</f>
        <v>1</v>
      </c>
      <c r="M1938" s="44" t="str">
        <f aca="false">IFERROR(INDEX(SENTENCES!$T$3:$T$1802,MATCH($F1938,SENTENCES!$A$3:$A$1802,0)),"")</f>
        <v>• Chưa tới</v>
      </c>
    </row>
    <row r="1939" customFormat="false" ht="15" hidden="false" customHeight="false" outlineLevel="0" collapsed="false">
      <c r="A1939" s="31" t="n">
        <v>1937</v>
      </c>
      <c r="B1939" s="43" t="s">
        <v>13767</v>
      </c>
      <c r="C1939" s="34" t="s">
        <v>13803</v>
      </c>
      <c r="D1939" s="44" t="s">
        <v>10677</v>
      </c>
      <c r="E1939" s="31" t="s">
        <v>10678</v>
      </c>
      <c r="F1939" s="31" t="s">
        <v>9276</v>
      </c>
      <c r="G1939" s="31" t="n">
        <v>79</v>
      </c>
      <c r="H1939" s="31" t="s">
        <v>7168</v>
      </c>
      <c r="I1939" s="44" t="s">
        <v>9277</v>
      </c>
      <c r="J1939" s="45" t="s">
        <v>9279</v>
      </c>
      <c r="K1939" s="45" t="s">
        <v>9281</v>
      </c>
      <c r="L1939" s="31" t="n">
        <f aca="false">COUNTIF($B$3:$B$2205,$B1939)</f>
        <v>2</v>
      </c>
      <c r="M1939" s="44" t="str">
        <f aca="false">IFERROR(INDEX(SENTENCES!$T$3:$T$1802,MATCH($F1939,SENTENCES!$A$3:$A$1802,0)),"")</f>
        <v>• Chưa tới</v>
      </c>
    </row>
    <row r="1940" customFormat="false" ht="15" hidden="false" customHeight="false" outlineLevel="0" collapsed="false">
      <c r="A1940" s="31" t="n">
        <v>1938</v>
      </c>
      <c r="B1940" s="43" t="s">
        <v>13804</v>
      </c>
      <c r="C1940" s="34" t="s">
        <v>13805</v>
      </c>
      <c r="D1940" s="44" t="s">
        <v>10686</v>
      </c>
      <c r="E1940" s="31"/>
      <c r="F1940" s="31" t="s">
        <v>9283</v>
      </c>
      <c r="G1940" s="31" t="n">
        <v>79</v>
      </c>
      <c r="H1940" s="31" t="s">
        <v>7168</v>
      </c>
      <c r="I1940" s="44" t="s">
        <v>9277</v>
      </c>
      <c r="J1940" s="45" t="s">
        <v>9285</v>
      </c>
      <c r="K1940" s="45" t="s">
        <v>9287</v>
      </c>
      <c r="L1940" s="31" t="n">
        <f aca="false">COUNTIF($B$3:$B$2205,$B1940)</f>
        <v>1</v>
      </c>
      <c r="M1940" s="44" t="str">
        <f aca="false">IFERROR(INDEX(SENTENCES!$T$3:$T$1802,MATCH($F1940,SENTENCES!$A$3:$A$1802,0)),"")</f>
        <v>• Chưa tới</v>
      </c>
    </row>
    <row r="1941" customFormat="false" ht="15" hidden="false" customHeight="false" outlineLevel="0" collapsed="false">
      <c r="A1941" s="31" t="n">
        <v>1939</v>
      </c>
      <c r="B1941" s="43" t="s">
        <v>13806</v>
      </c>
      <c r="C1941" s="34" t="s">
        <v>13807</v>
      </c>
      <c r="D1941" s="44" t="s">
        <v>10677</v>
      </c>
      <c r="E1941" s="31" t="s">
        <v>10678</v>
      </c>
      <c r="F1941" s="31" t="s">
        <v>9289</v>
      </c>
      <c r="G1941" s="31" t="n">
        <v>79</v>
      </c>
      <c r="H1941" s="31" t="s">
        <v>7168</v>
      </c>
      <c r="I1941" s="44" t="s">
        <v>9277</v>
      </c>
      <c r="J1941" s="45" t="s">
        <v>9291</v>
      </c>
      <c r="K1941" s="45" t="s">
        <v>9293</v>
      </c>
      <c r="L1941" s="31" t="n">
        <f aca="false">COUNTIF($B$3:$B$2205,$B1941)</f>
        <v>1</v>
      </c>
      <c r="M1941" s="44" t="str">
        <f aca="false">IFERROR(INDEX(SENTENCES!$T$3:$T$1802,MATCH($F1941,SENTENCES!$A$3:$A$1802,0)),"")</f>
        <v>• Chưa tới</v>
      </c>
    </row>
    <row r="1942" customFormat="false" ht="15" hidden="false" customHeight="false" outlineLevel="0" collapsed="false">
      <c r="A1942" s="31" t="n">
        <v>1940</v>
      </c>
      <c r="B1942" s="43" t="s">
        <v>13808</v>
      </c>
      <c r="C1942" s="34" t="s">
        <v>13809</v>
      </c>
      <c r="D1942" s="44" t="s">
        <v>10677</v>
      </c>
      <c r="E1942" s="31" t="s">
        <v>10678</v>
      </c>
      <c r="F1942" s="31" t="s">
        <v>9295</v>
      </c>
      <c r="G1942" s="31" t="n">
        <v>79</v>
      </c>
      <c r="H1942" s="31" t="s">
        <v>7168</v>
      </c>
      <c r="I1942" s="44" t="s">
        <v>9277</v>
      </c>
      <c r="J1942" s="45" t="s">
        <v>9297</v>
      </c>
      <c r="K1942" s="45" t="s">
        <v>9299</v>
      </c>
      <c r="L1942" s="31" t="n">
        <f aca="false">COUNTIF($B$3:$B$2205,$B1942)</f>
        <v>1</v>
      </c>
      <c r="M1942" s="44" t="str">
        <f aca="false">IFERROR(INDEX(SENTENCES!$T$3:$T$1802,MATCH($F1942,SENTENCES!$A$3:$A$1802,0)),"")</f>
        <v>• Chưa tới</v>
      </c>
    </row>
    <row r="1943" customFormat="false" ht="15" hidden="false" customHeight="false" outlineLevel="0" collapsed="false">
      <c r="A1943" s="31" t="n">
        <v>1941</v>
      </c>
      <c r="B1943" s="43" t="s">
        <v>13810</v>
      </c>
      <c r="C1943" s="34" t="s">
        <v>13811</v>
      </c>
      <c r="D1943" s="44" t="s">
        <v>10677</v>
      </c>
      <c r="E1943" s="31" t="s">
        <v>10678</v>
      </c>
      <c r="F1943" s="31" t="s">
        <v>9301</v>
      </c>
      <c r="G1943" s="31" t="n">
        <v>79</v>
      </c>
      <c r="H1943" s="31" t="s">
        <v>7168</v>
      </c>
      <c r="I1943" s="44" t="s">
        <v>9277</v>
      </c>
      <c r="J1943" s="45" t="s">
        <v>9302</v>
      </c>
      <c r="K1943" s="45" t="s">
        <v>9304</v>
      </c>
      <c r="L1943" s="31" t="n">
        <f aca="false">COUNTIF($B$3:$B$2205,$B1943)</f>
        <v>1</v>
      </c>
      <c r="M1943" s="44" t="str">
        <f aca="false">IFERROR(INDEX(SENTENCES!$T$3:$T$1802,MATCH($F1943,SENTENCES!$A$3:$A$1802,0)),"")</f>
        <v>• Chưa tới</v>
      </c>
    </row>
    <row r="1944" customFormat="false" ht="15" hidden="false" customHeight="false" outlineLevel="0" collapsed="false">
      <c r="A1944" s="31" t="n">
        <v>1942</v>
      </c>
      <c r="B1944" s="43" t="s">
        <v>13812</v>
      </c>
      <c r="C1944" s="34" t="s">
        <v>13813</v>
      </c>
      <c r="D1944" s="44" t="s">
        <v>10686</v>
      </c>
      <c r="E1944" s="31"/>
      <c r="F1944" s="31" t="s">
        <v>9306</v>
      </c>
      <c r="G1944" s="31" t="n">
        <v>79</v>
      </c>
      <c r="H1944" s="31" t="s">
        <v>7168</v>
      </c>
      <c r="I1944" s="44" t="s">
        <v>9277</v>
      </c>
      <c r="J1944" s="45" t="s">
        <v>9308</v>
      </c>
      <c r="K1944" s="45" t="s">
        <v>9310</v>
      </c>
      <c r="L1944" s="31" t="n">
        <f aca="false">COUNTIF($B$3:$B$2205,$B1944)</f>
        <v>1</v>
      </c>
      <c r="M1944" s="44" t="str">
        <f aca="false">IFERROR(INDEX(SENTENCES!$T$3:$T$1802,MATCH($F1944,SENTENCES!$A$3:$A$1802,0)),"")</f>
        <v>• Chưa tới</v>
      </c>
    </row>
    <row r="1945" customFormat="false" ht="15" hidden="false" customHeight="false" outlineLevel="0" collapsed="false">
      <c r="A1945" s="31" t="n">
        <v>1943</v>
      </c>
      <c r="B1945" s="43" t="s">
        <v>13814</v>
      </c>
      <c r="C1945" s="34" t="s">
        <v>13815</v>
      </c>
      <c r="D1945" s="44" t="s">
        <v>10677</v>
      </c>
      <c r="E1945" s="31" t="s">
        <v>10678</v>
      </c>
      <c r="F1945" s="31" t="s">
        <v>9312</v>
      </c>
      <c r="G1945" s="31" t="n">
        <v>79</v>
      </c>
      <c r="H1945" s="31" t="s">
        <v>7168</v>
      </c>
      <c r="I1945" s="44" t="s">
        <v>9277</v>
      </c>
      <c r="J1945" s="45" t="s">
        <v>9314</v>
      </c>
      <c r="K1945" s="45" t="s">
        <v>9316</v>
      </c>
      <c r="L1945" s="31" t="n">
        <f aca="false">COUNTIF($B$3:$B$2205,$B1945)</f>
        <v>1</v>
      </c>
      <c r="M1945" s="44" t="str">
        <f aca="false">IFERROR(INDEX(SENTENCES!$T$3:$T$1802,MATCH($F1945,SENTENCES!$A$3:$A$1802,0)),"")</f>
        <v>• Chưa tới</v>
      </c>
    </row>
    <row r="1946" customFormat="false" ht="15" hidden="false" customHeight="false" outlineLevel="0" collapsed="false">
      <c r="A1946" s="31" t="n">
        <v>1944</v>
      </c>
      <c r="B1946" s="43" t="s">
        <v>13816</v>
      </c>
      <c r="C1946" s="34" t="s">
        <v>13817</v>
      </c>
      <c r="D1946" s="44" t="s">
        <v>10677</v>
      </c>
      <c r="E1946" s="31" t="s">
        <v>10707</v>
      </c>
      <c r="F1946" s="31" t="s">
        <v>9318</v>
      </c>
      <c r="G1946" s="31" t="n">
        <v>79</v>
      </c>
      <c r="H1946" s="31" t="s">
        <v>7168</v>
      </c>
      <c r="I1946" s="44" t="s">
        <v>9277</v>
      </c>
      <c r="J1946" s="45" t="s">
        <v>9320</v>
      </c>
      <c r="K1946" s="45" t="s">
        <v>9322</v>
      </c>
      <c r="L1946" s="31" t="n">
        <f aca="false">COUNTIF($B$3:$B$2205,$B1946)</f>
        <v>1</v>
      </c>
      <c r="M1946" s="44" t="str">
        <f aca="false">IFERROR(INDEX(SENTENCES!$T$3:$T$1802,MATCH($F1946,SENTENCES!$A$3:$A$1802,0)),"")</f>
        <v>• Chưa tới</v>
      </c>
    </row>
    <row r="1947" customFormat="false" ht="15" hidden="false" customHeight="false" outlineLevel="0" collapsed="false">
      <c r="A1947" s="31" t="n">
        <v>1945</v>
      </c>
      <c r="B1947" s="43" t="s">
        <v>13818</v>
      </c>
      <c r="C1947" s="34" t="s">
        <v>13819</v>
      </c>
      <c r="D1947" s="44" t="s">
        <v>10677</v>
      </c>
      <c r="E1947" s="31" t="s">
        <v>10678</v>
      </c>
      <c r="F1947" s="31" t="s">
        <v>9324</v>
      </c>
      <c r="G1947" s="31" t="n">
        <v>79</v>
      </c>
      <c r="H1947" s="31" t="s">
        <v>7168</v>
      </c>
      <c r="I1947" s="44" t="s">
        <v>9277</v>
      </c>
      <c r="J1947" s="45" t="s">
        <v>9326</v>
      </c>
      <c r="K1947" s="45" t="s">
        <v>9328</v>
      </c>
      <c r="L1947" s="31" t="n">
        <f aca="false">COUNTIF($B$3:$B$2205,$B1947)</f>
        <v>1</v>
      </c>
      <c r="M1947" s="44" t="str">
        <f aca="false">IFERROR(INDEX(SENTENCES!$T$3:$T$1802,MATCH($F1947,SENTENCES!$A$3:$A$1802,0)),"")</f>
        <v>• Chưa tới</v>
      </c>
    </row>
    <row r="1948" customFormat="false" ht="15" hidden="false" customHeight="false" outlineLevel="0" collapsed="false">
      <c r="A1948" s="31" t="n">
        <v>1946</v>
      </c>
      <c r="B1948" s="43" t="s">
        <v>13820</v>
      </c>
      <c r="C1948" s="34" t="s">
        <v>13821</v>
      </c>
      <c r="D1948" s="44" t="s">
        <v>10677</v>
      </c>
      <c r="E1948" s="31" t="s">
        <v>10747</v>
      </c>
      <c r="F1948" s="31" t="s">
        <v>9330</v>
      </c>
      <c r="G1948" s="31" t="n">
        <v>79</v>
      </c>
      <c r="H1948" s="31" t="s">
        <v>7168</v>
      </c>
      <c r="I1948" s="44" t="s">
        <v>9277</v>
      </c>
      <c r="J1948" s="45" t="s">
        <v>9332</v>
      </c>
      <c r="K1948" s="45" t="s">
        <v>9334</v>
      </c>
      <c r="L1948" s="31" t="n">
        <f aca="false">COUNTIF($B$3:$B$2205,$B1948)</f>
        <v>1</v>
      </c>
      <c r="M1948" s="44" t="str">
        <f aca="false">IFERROR(INDEX(SENTENCES!$T$3:$T$1802,MATCH($F1948,SENTENCES!$A$3:$A$1802,0)),"")</f>
        <v>• Chưa tới</v>
      </c>
    </row>
    <row r="1949" customFormat="false" ht="15" hidden="false" customHeight="false" outlineLevel="0" collapsed="false">
      <c r="A1949" s="31" t="n">
        <v>1947</v>
      </c>
      <c r="B1949" s="43" t="s">
        <v>13822</v>
      </c>
      <c r="C1949" s="34" t="s">
        <v>13823</v>
      </c>
      <c r="D1949" s="44" t="s">
        <v>10681</v>
      </c>
      <c r="E1949" s="31"/>
      <c r="F1949" s="31" t="s">
        <v>9336</v>
      </c>
      <c r="G1949" s="31" t="n">
        <v>79</v>
      </c>
      <c r="H1949" s="31" t="s">
        <v>7168</v>
      </c>
      <c r="I1949" s="44" t="s">
        <v>9277</v>
      </c>
      <c r="J1949" s="45" t="s">
        <v>9338</v>
      </c>
      <c r="K1949" s="45" t="s">
        <v>9340</v>
      </c>
      <c r="L1949" s="31" t="n">
        <f aca="false">COUNTIF($B$3:$B$2205,$B1949)</f>
        <v>1</v>
      </c>
      <c r="M1949" s="44" t="str">
        <f aca="false">IFERROR(INDEX(SENTENCES!$T$3:$T$1802,MATCH($F1949,SENTENCES!$A$3:$A$1802,0)),"")</f>
        <v>• Chưa tới</v>
      </c>
    </row>
    <row r="1950" customFormat="false" ht="15" hidden="false" customHeight="false" outlineLevel="0" collapsed="false">
      <c r="A1950" s="31" t="n">
        <v>1948</v>
      </c>
      <c r="B1950" s="43" t="s">
        <v>13824</v>
      </c>
      <c r="C1950" s="34" t="s">
        <v>13825</v>
      </c>
      <c r="D1950" s="44" t="s">
        <v>10754</v>
      </c>
      <c r="E1950" s="31"/>
      <c r="F1950" s="31" t="s">
        <v>9342</v>
      </c>
      <c r="G1950" s="31" t="n">
        <v>79</v>
      </c>
      <c r="H1950" s="31" t="s">
        <v>7168</v>
      </c>
      <c r="I1950" s="44" t="s">
        <v>9277</v>
      </c>
      <c r="J1950" s="45" t="s">
        <v>9344</v>
      </c>
      <c r="K1950" s="45" t="s">
        <v>9346</v>
      </c>
      <c r="L1950" s="31" t="n">
        <f aca="false">COUNTIF($B$3:$B$2205,$B1950)</f>
        <v>1</v>
      </c>
      <c r="M1950" s="44" t="str">
        <f aca="false">IFERROR(INDEX(SENTENCES!$T$3:$T$1802,MATCH($F1950,SENTENCES!$A$3:$A$1802,0)),"")</f>
        <v>• Chưa tới</v>
      </c>
    </row>
    <row r="1951" customFormat="false" ht="15" hidden="false" customHeight="false" outlineLevel="0" collapsed="false">
      <c r="A1951" s="31" t="n">
        <v>1949</v>
      </c>
      <c r="B1951" s="43" t="s">
        <v>13826</v>
      </c>
      <c r="C1951" s="34" t="s">
        <v>13807</v>
      </c>
      <c r="D1951" s="44" t="s">
        <v>10677</v>
      </c>
      <c r="E1951" s="31" t="s">
        <v>10747</v>
      </c>
      <c r="F1951" s="31" t="s">
        <v>9348</v>
      </c>
      <c r="G1951" s="31" t="n">
        <v>79</v>
      </c>
      <c r="H1951" s="31" t="s">
        <v>7168</v>
      </c>
      <c r="I1951" s="44" t="s">
        <v>9277</v>
      </c>
      <c r="J1951" s="45" t="s">
        <v>9350</v>
      </c>
      <c r="K1951" s="45" t="s">
        <v>9352</v>
      </c>
      <c r="L1951" s="31" t="n">
        <f aca="false">COUNTIF($B$3:$B$2205,$B1951)</f>
        <v>1</v>
      </c>
      <c r="M1951" s="44" t="str">
        <f aca="false">IFERROR(INDEX(SENTENCES!$T$3:$T$1802,MATCH($F1951,SENTENCES!$A$3:$A$1802,0)),"")</f>
        <v>• Chưa tới</v>
      </c>
    </row>
    <row r="1952" customFormat="false" ht="15" hidden="false" customHeight="false" outlineLevel="0" collapsed="false">
      <c r="A1952" s="31" t="n">
        <v>1950</v>
      </c>
      <c r="B1952" s="43" t="s">
        <v>13827</v>
      </c>
      <c r="C1952" s="34" t="s">
        <v>13828</v>
      </c>
      <c r="D1952" s="44" t="s">
        <v>10681</v>
      </c>
      <c r="E1952" s="31"/>
      <c r="F1952" s="31" t="s">
        <v>9354</v>
      </c>
      <c r="G1952" s="31" t="n">
        <v>79</v>
      </c>
      <c r="H1952" s="31" t="s">
        <v>7168</v>
      </c>
      <c r="I1952" s="44" t="s">
        <v>9277</v>
      </c>
      <c r="J1952" s="45" t="s">
        <v>9356</v>
      </c>
      <c r="K1952" s="45" t="s">
        <v>9358</v>
      </c>
      <c r="L1952" s="31" t="n">
        <f aca="false">COUNTIF($B$3:$B$2205,$B1952)</f>
        <v>1</v>
      </c>
      <c r="M1952" s="44" t="str">
        <f aca="false">IFERROR(INDEX(SENTENCES!$T$3:$T$1802,MATCH($F1952,SENTENCES!$A$3:$A$1802,0)),"")</f>
        <v>• Chưa tới</v>
      </c>
    </row>
    <row r="1953" customFormat="false" ht="15" hidden="false" customHeight="false" outlineLevel="0" collapsed="false">
      <c r="A1953" s="31" t="n">
        <v>1951</v>
      </c>
      <c r="B1953" s="43" t="s">
        <v>13829</v>
      </c>
      <c r="C1953" s="34" t="s">
        <v>13830</v>
      </c>
      <c r="D1953" s="44" t="s">
        <v>10677</v>
      </c>
      <c r="E1953" s="31" t="s">
        <v>10707</v>
      </c>
      <c r="F1953" s="31" t="s">
        <v>9360</v>
      </c>
      <c r="G1953" s="31" t="n">
        <v>79</v>
      </c>
      <c r="H1953" s="31" t="s">
        <v>7168</v>
      </c>
      <c r="I1953" s="44" t="s">
        <v>9277</v>
      </c>
      <c r="J1953" s="45" t="s">
        <v>9362</v>
      </c>
      <c r="K1953" s="45" t="s">
        <v>9364</v>
      </c>
      <c r="L1953" s="31" t="n">
        <f aca="false">COUNTIF($B$3:$B$2205,$B1953)</f>
        <v>1</v>
      </c>
      <c r="M1953" s="44" t="str">
        <f aca="false">IFERROR(INDEX(SENTENCES!$T$3:$T$1802,MATCH($F1953,SENTENCES!$A$3:$A$1802,0)),"")</f>
        <v>• Chưa tới</v>
      </c>
    </row>
    <row r="1954" customFormat="false" ht="15" hidden="false" customHeight="false" outlineLevel="0" collapsed="false">
      <c r="A1954" s="31" t="n">
        <v>1952</v>
      </c>
      <c r="B1954" s="43" t="s">
        <v>13831</v>
      </c>
      <c r="C1954" s="34" t="s">
        <v>13832</v>
      </c>
      <c r="D1954" s="44" t="s">
        <v>10681</v>
      </c>
      <c r="E1954" s="31"/>
      <c r="F1954" s="31" t="s">
        <v>9366</v>
      </c>
      <c r="G1954" s="31" t="n">
        <v>79</v>
      </c>
      <c r="H1954" s="31" t="s">
        <v>7168</v>
      </c>
      <c r="I1954" s="44" t="s">
        <v>9277</v>
      </c>
      <c r="J1954" s="45" t="s">
        <v>9368</v>
      </c>
      <c r="K1954" s="45" t="s">
        <v>9370</v>
      </c>
      <c r="L1954" s="31" t="n">
        <f aca="false">COUNTIF($B$3:$B$2205,$B1954)</f>
        <v>1</v>
      </c>
      <c r="M1954" s="44" t="str">
        <f aca="false">IFERROR(INDEX(SENTENCES!$T$3:$T$1802,MATCH($F1954,SENTENCES!$A$3:$A$1802,0)),"")</f>
        <v>• Chưa tới</v>
      </c>
    </row>
    <row r="1955" customFormat="false" ht="15" hidden="false" customHeight="false" outlineLevel="0" collapsed="false">
      <c r="A1955" s="31" t="n">
        <v>1953</v>
      </c>
      <c r="B1955" s="43" t="s">
        <v>13833</v>
      </c>
      <c r="C1955" s="34" t="s">
        <v>13834</v>
      </c>
      <c r="D1955" s="44" t="s">
        <v>10677</v>
      </c>
      <c r="E1955" s="31" t="s">
        <v>10707</v>
      </c>
      <c r="F1955" s="31" t="s">
        <v>9372</v>
      </c>
      <c r="G1955" s="31" t="n">
        <v>79</v>
      </c>
      <c r="H1955" s="31" t="s">
        <v>7168</v>
      </c>
      <c r="I1955" s="44" t="s">
        <v>9277</v>
      </c>
      <c r="J1955" s="45" t="s">
        <v>9374</v>
      </c>
      <c r="K1955" s="45" t="s">
        <v>9376</v>
      </c>
      <c r="L1955" s="31" t="n">
        <f aca="false">COUNTIF($B$3:$B$2205,$B1955)</f>
        <v>1</v>
      </c>
      <c r="M1955" s="44" t="str">
        <f aca="false">IFERROR(INDEX(SENTENCES!$T$3:$T$1802,MATCH($F1955,SENTENCES!$A$3:$A$1802,0)),"")</f>
        <v>• Chưa tới</v>
      </c>
    </row>
    <row r="1956" customFormat="false" ht="15" hidden="false" customHeight="false" outlineLevel="0" collapsed="false">
      <c r="A1956" s="31" t="n">
        <v>1954</v>
      </c>
      <c r="B1956" s="43" t="s">
        <v>13835</v>
      </c>
      <c r="C1956" s="34" t="s">
        <v>12153</v>
      </c>
      <c r="D1956" s="44" t="s">
        <v>10677</v>
      </c>
      <c r="E1956" s="31" t="s">
        <v>10747</v>
      </c>
      <c r="F1956" s="31" t="s">
        <v>9378</v>
      </c>
      <c r="G1956" s="31" t="n">
        <v>79</v>
      </c>
      <c r="H1956" s="31" t="s">
        <v>7168</v>
      </c>
      <c r="I1956" s="44" t="s">
        <v>9277</v>
      </c>
      <c r="J1956" s="45" t="s">
        <v>9380</v>
      </c>
      <c r="K1956" s="45" t="s">
        <v>9382</v>
      </c>
      <c r="L1956" s="31" t="n">
        <f aca="false">COUNTIF($B$3:$B$2205,$B1956)</f>
        <v>1</v>
      </c>
      <c r="M1956" s="44" t="str">
        <f aca="false">IFERROR(INDEX(SENTENCES!$T$3:$T$1802,MATCH($F1956,SENTENCES!$A$3:$A$1802,0)),"")</f>
        <v>• Chưa tới</v>
      </c>
    </row>
    <row r="1957" customFormat="false" ht="15" hidden="false" customHeight="false" outlineLevel="0" collapsed="false">
      <c r="A1957" s="31" t="n">
        <v>1955</v>
      </c>
      <c r="B1957" s="43" t="s">
        <v>13836</v>
      </c>
      <c r="C1957" s="34" t="s">
        <v>13837</v>
      </c>
      <c r="D1957" s="44" t="s">
        <v>10686</v>
      </c>
      <c r="E1957" s="31"/>
      <c r="F1957" s="31" t="s">
        <v>9378</v>
      </c>
      <c r="G1957" s="31" t="n">
        <v>79</v>
      </c>
      <c r="H1957" s="31" t="s">
        <v>7168</v>
      </c>
      <c r="I1957" s="44" t="s">
        <v>9277</v>
      </c>
      <c r="J1957" s="45" t="s">
        <v>9380</v>
      </c>
      <c r="K1957" s="45" t="s">
        <v>9382</v>
      </c>
      <c r="L1957" s="31" t="n">
        <f aca="false">COUNTIF($B$3:$B$2205,$B1957)</f>
        <v>1</v>
      </c>
      <c r="M1957" s="44" t="str">
        <f aca="false">IFERROR(INDEX(SENTENCES!$T$3:$T$1802,MATCH($F1957,SENTENCES!$A$3:$A$1802,0)),"")</f>
        <v>• Chưa tới</v>
      </c>
    </row>
    <row r="1958" customFormat="false" ht="15" hidden="false" customHeight="false" outlineLevel="0" collapsed="false">
      <c r="A1958" s="31" t="n">
        <v>1956</v>
      </c>
      <c r="B1958" s="43" t="s">
        <v>13838</v>
      </c>
      <c r="C1958" s="34" t="s">
        <v>13839</v>
      </c>
      <c r="D1958" s="44" t="s">
        <v>10686</v>
      </c>
      <c r="E1958" s="31"/>
      <c r="F1958" s="31" t="s">
        <v>9384</v>
      </c>
      <c r="G1958" s="31" t="n">
        <v>79</v>
      </c>
      <c r="H1958" s="31" t="s">
        <v>7168</v>
      </c>
      <c r="I1958" s="44" t="s">
        <v>9277</v>
      </c>
      <c r="J1958" s="45" t="s">
        <v>9386</v>
      </c>
      <c r="K1958" s="45" t="s">
        <v>9388</v>
      </c>
      <c r="L1958" s="31" t="n">
        <f aca="false">COUNTIF($B$3:$B$2205,$B1958)</f>
        <v>1</v>
      </c>
      <c r="M1958" s="44" t="str">
        <f aca="false">IFERROR(INDEX(SENTENCES!$T$3:$T$1802,MATCH($F1958,SENTENCES!$A$3:$A$1802,0)),"")</f>
        <v>• Chưa tới</v>
      </c>
    </row>
    <row r="1959" customFormat="false" ht="15" hidden="false" customHeight="false" outlineLevel="0" collapsed="false">
      <c r="A1959" s="31" t="n">
        <v>1957</v>
      </c>
      <c r="B1959" s="43" t="s">
        <v>13840</v>
      </c>
      <c r="C1959" s="34" t="s">
        <v>13841</v>
      </c>
      <c r="D1959" s="44" t="s">
        <v>10677</v>
      </c>
      <c r="E1959" s="31" t="s">
        <v>10678</v>
      </c>
      <c r="F1959" s="31" t="s">
        <v>9390</v>
      </c>
      <c r="G1959" s="31" t="n">
        <v>79</v>
      </c>
      <c r="H1959" s="31" t="s">
        <v>7168</v>
      </c>
      <c r="I1959" s="44" t="s">
        <v>9277</v>
      </c>
      <c r="J1959" s="45" t="s">
        <v>9392</v>
      </c>
      <c r="K1959" s="45" t="s">
        <v>9394</v>
      </c>
      <c r="L1959" s="31" t="n">
        <f aca="false">COUNTIF($B$3:$B$2205,$B1959)</f>
        <v>1</v>
      </c>
      <c r="M1959" s="44" t="str">
        <f aca="false">IFERROR(INDEX(SENTENCES!$T$3:$T$1802,MATCH($F1959,SENTENCES!$A$3:$A$1802,0)),"")</f>
        <v>• Chưa tới</v>
      </c>
    </row>
    <row r="1960" customFormat="false" ht="15" hidden="false" customHeight="false" outlineLevel="0" collapsed="false">
      <c r="A1960" s="31" t="n">
        <v>1958</v>
      </c>
      <c r="B1960" s="43" t="s">
        <v>13842</v>
      </c>
      <c r="C1960" s="34" t="s">
        <v>13843</v>
      </c>
      <c r="D1960" s="44" t="s">
        <v>10677</v>
      </c>
      <c r="E1960" s="31" t="s">
        <v>10707</v>
      </c>
      <c r="F1960" s="31" t="s">
        <v>9396</v>
      </c>
      <c r="G1960" s="31" t="n">
        <v>80</v>
      </c>
      <c r="H1960" s="31" t="s">
        <v>7168</v>
      </c>
      <c r="I1960" s="44" t="s">
        <v>9397</v>
      </c>
      <c r="J1960" s="45" t="s">
        <v>9399</v>
      </c>
      <c r="K1960" s="45" t="s">
        <v>9401</v>
      </c>
      <c r="L1960" s="31" t="n">
        <f aca="false">COUNTIF($B$3:$B$2205,$B1960)</f>
        <v>1</v>
      </c>
      <c r="M1960" s="44" t="str">
        <f aca="false">IFERROR(INDEX(SENTENCES!$T$3:$T$1802,MATCH($F1960,SENTENCES!$A$3:$A$1802,0)),"")</f>
        <v>• Chưa tới</v>
      </c>
    </row>
    <row r="1961" customFormat="false" ht="15" hidden="false" customHeight="false" outlineLevel="0" collapsed="false">
      <c r="A1961" s="31" t="n">
        <v>1959</v>
      </c>
      <c r="B1961" s="43" t="s">
        <v>13844</v>
      </c>
      <c r="C1961" s="34" t="s">
        <v>13845</v>
      </c>
      <c r="D1961" s="44" t="s">
        <v>10686</v>
      </c>
      <c r="E1961" s="31"/>
      <c r="F1961" s="31" t="s">
        <v>9396</v>
      </c>
      <c r="G1961" s="31" t="n">
        <v>80</v>
      </c>
      <c r="H1961" s="31" t="s">
        <v>7168</v>
      </c>
      <c r="I1961" s="44" t="s">
        <v>9397</v>
      </c>
      <c r="J1961" s="45" t="s">
        <v>9399</v>
      </c>
      <c r="K1961" s="45" t="s">
        <v>9401</v>
      </c>
      <c r="L1961" s="31" t="n">
        <f aca="false">COUNTIF($B$3:$B$2205,$B1961)</f>
        <v>1</v>
      </c>
      <c r="M1961" s="44" t="str">
        <f aca="false">IFERROR(INDEX(SENTENCES!$T$3:$T$1802,MATCH($F1961,SENTENCES!$A$3:$A$1802,0)),"")</f>
        <v>• Chưa tới</v>
      </c>
    </row>
    <row r="1962" customFormat="false" ht="15" hidden="false" customHeight="false" outlineLevel="0" collapsed="false">
      <c r="A1962" s="31" t="n">
        <v>1960</v>
      </c>
      <c r="B1962" s="43" t="s">
        <v>13846</v>
      </c>
      <c r="C1962" s="34" t="s">
        <v>13523</v>
      </c>
      <c r="D1962" s="44" t="s">
        <v>10681</v>
      </c>
      <c r="E1962" s="31"/>
      <c r="F1962" s="31" t="s">
        <v>9403</v>
      </c>
      <c r="G1962" s="31" t="n">
        <v>80</v>
      </c>
      <c r="H1962" s="31" t="s">
        <v>7168</v>
      </c>
      <c r="I1962" s="44" t="s">
        <v>9397</v>
      </c>
      <c r="J1962" s="45" t="s">
        <v>9405</v>
      </c>
      <c r="K1962" s="45" t="s">
        <v>9407</v>
      </c>
      <c r="L1962" s="31" t="n">
        <f aca="false">COUNTIF($B$3:$B$2205,$B1962)</f>
        <v>1</v>
      </c>
      <c r="M1962" s="44" t="str">
        <f aca="false">IFERROR(INDEX(SENTENCES!$T$3:$T$1802,MATCH($F1962,SENTENCES!$A$3:$A$1802,0)),"")</f>
        <v>• Chưa tới</v>
      </c>
    </row>
    <row r="1963" customFormat="false" ht="15" hidden="false" customHeight="false" outlineLevel="0" collapsed="false">
      <c r="A1963" s="31" t="n">
        <v>1961</v>
      </c>
      <c r="B1963" s="43" t="s">
        <v>13847</v>
      </c>
      <c r="C1963" s="34" t="s">
        <v>13848</v>
      </c>
      <c r="D1963" s="44" t="s">
        <v>10677</v>
      </c>
      <c r="E1963" s="31" t="s">
        <v>10707</v>
      </c>
      <c r="F1963" s="31" t="s">
        <v>9409</v>
      </c>
      <c r="G1963" s="31" t="n">
        <v>80</v>
      </c>
      <c r="H1963" s="31" t="s">
        <v>7168</v>
      </c>
      <c r="I1963" s="44" t="s">
        <v>9397</v>
      </c>
      <c r="J1963" s="45" t="s">
        <v>9410</v>
      </c>
      <c r="K1963" s="45" t="s">
        <v>9412</v>
      </c>
      <c r="L1963" s="31" t="n">
        <f aca="false">COUNTIF($B$3:$B$2205,$B1963)</f>
        <v>1</v>
      </c>
      <c r="M1963" s="44" t="str">
        <f aca="false">IFERROR(INDEX(SENTENCES!$T$3:$T$1802,MATCH($F1963,SENTENCES!$A$3:$A$1802,0)),"")</f>
        <v>• Chưa tới</v>
      </c>
    </row>
    <row r="1964" customFormat="false" ht="15" hidden="false" customHeight="false" outlineLevel="0" collapsed="false">
      <c r="A1964" s="31" t="n">
        <v>1962</v>
      </c>
      <c r="B1964" s="43" t="s">
        <v>13391</v>
      </c>
      <c r="C1964" s="34" t="s">
        <v>13392</v>
      </c>
      <c r="D1964" s="44" t="s">
        <v>10686</v>
      </c>
      <c r="E1964" s="31"/>
      <c r="F1964" s="31" t="s">
        <v>9409</v>
      </c>
      <c r="G1964" s="31" t="n">
        <v>80</v>
      </c>
      <c r="H1964" s="31" t="s">
        <v>7168</v>
      </c>
      <c r="I1964" s="44" t="s">
        <v>9397</v>
      </c>
      <c r="J1964" s="45" t="s">
        <v>9410</v>
      </c>
      <c r="K1964" s="45" t="s">
        <v>9412</v>
      </c>
      <c r="L1964" s="31" t="n">
        <f aca="false">COUNTIF($B$3:$B$2205,$B1964)</f>
        <v>2</v>
      </c>
      <c r="M1964" s="44" t="str">
        <f aca="false">IFERROR(INDEX(SENTENCES!$T$3:$T$1802,MATCH($F1964,SENTENCES!$A$3:$A$1802,0)),"")</f>
        <v>• Chưa tới</v>
      </c>
    </row>
    <row r="1965" customFormat="false" ht="15" hidden="false" customHeight="false" outlineLevel="0" collapsed="false">
      <c r="A1965" s="31" t="n">
        <v>1963</v>
      </c>
      <c r="B1965" s="43" t="s">
        <v>13849</v>
      </c>
      <c r="C1965" s="34" t="s">
        <v>13850</v>
      </c>
      <c r="D1965" s="44" t="s">
        <v>10677</v>
      </c>
      <c r="E1965" s="31" t="s">
        <v>10678</v>
      </c>
      <c r="F1965" s="31" t="s">
        <v>9414</v>
      </c>
      <c r="G1965" s="31" t="n">
        <v>80</v>
      </c>
      <c r="H1965" s="31" t="s">
        <v>7168</v>
      </c>
      <c r="I1965" s="44" t="s">
        <v>9397</v>
      </c>
      <c r="J1965" s="45" t="s">
        <v>9416</v>
      </c>
      <c r="K1965" s="45" t="s">
        <v>9418</v>
      </c>
      <c r="L1965" s="31" t="n">
        <f aca="false">COUNTIF($B$3:$B$2205,$B1965)</f>
        <v>1</v>
      </c>
      <c r="M1965" s="44" t="str">
        <f aca="false">IFERROR(INDEX(SENTENCES!$T$3:$T$1802,MATCH($F1965,SENTENCES!$A$3:$A$1802,0)),"")</f>
        <v>• Chưa tới</v>
      </c>
    </row>
    <row r="1966" customFormat="false" ht="15" hidden="false" customHeight="false" outlineLevel="0" collapsed="false">
      <c r="A1966" s="31" t="n">
        <v>1964</v>
      </c>
      <c r="B1966" s="43" t="s">
        <v>13851</v>
      </c>
      <c r="C1966" s="34" t="s">
        <v>13852</v>
      </c>
      <c r="D1966" s="44" t="s">
        <v>10677</v>
      </c>
      <c r="E1966" s="31" t="s">
        <v>10707</v>
      </c>
      <c r="F1966" s="31" t="s">
        <v>9420</v>
      </c>
      <c r="G1966" s="31" t="n">
        <v>80</v>
      </c>
      <c r="H1966" s="31" t="s">
        <v>7168</v>
      </c>
      <c r="I1966" s="44" t="s">
        <v>9397</v>
      </c>
      <c r="J1966" s="45" t="s">
        <v>9422</v>
      </c>
      <c r="K1966" s="45" t="s">
        <v>9424</v>
      </c>
      <c r="L1966" s="31" t="n">
        <f aca="false">COUNTIF($B$3:$B$2205,$B1966)</f>
        <v>1</v>
      </c>
      <c r="M1966" s="44" t="str">
        <f aca="false">IFERROR(INDEX(SENTENCES!$T$3:$T$1802,MATCH($F1966,SENTENCES!$A$3:$A$1802,0)),"")</f>
        <v>• Chưa tới</v>
      </c>
    </row>
    <row r="1967" customFormat="false" ht="15" hidden="false" customHeight="false" outlineLevel="0" collapsed="false">
      <c r="A1967" s="31" t="n">
        <v>1965</v>
      </c>
      <c r="B1967" s="43" t="s">
        <v>13853</v>
      </c>
      <c r="C1967" s="34" t="s">
        <v>13854</v>
      </c>
      <c r="D1967" s="44" t="s">
        <v>10677</v>
      </c>
      <c r="E1967" s="31" t="s">
        <v>10707</v>
      </c>
      <c r="F1967" s="31" t="s">
        <v>9420</v>
      </c>
      <c r="G1967" s="31" t="n">
        <v>80</v>
      </c>
      <c r="H1967" s="31" t="s">
        <v>7168</v>
      </c>
      <c r="I1967" s="44" t="s">
        <v>9397</v>
      </c>
      <c r="J1967" s="45" t="s">
        <v>9422</v>
      </c>
      <c r="K1967" s="45" t="s">
        <v>9424</v>
      </c>
      <c r="L1967" s="31" t="n">
        <f aca="false">COUNTIF($B$3:$B$2205,$B1967)</f>
        <v>1</v>
      </c>
      <c r="M1967" s="44" t="str">
        <f aca="false">IFERROR(INDEX(SENTENCES!$T$3:$T$1802,MATCH($F1967,SENTENCES!$A$3:$A$1802,0)),"")</f>
        <v>• Chưa tới</v>
      </c>
    </row>
    <row r="1968" customFormat="false" ht="15" hidden="false" customHeight="false" outlineLevel="0" collapsed="false">
      <c r="A1968" s="31" t="n">
        <v>1966</v>
      </c>
      <c r="B1968" s="43" t="s">
        <v>13855</v>
      </c>
      <c r="C1968" s="34" t="s">
        <v>13856</v>
      </c>
      <c r="D1968" s="44" t="s">
        <v>10677</v>
      </c>
      <c r="E1968" s="31" t="s">
        <v>10747</v>
      </c>
      <c r="F1968" s="31" t="s">
        <v>9426</v>
      </c>
      <c r="G1968" s="31" t="n">
        <v>80</v>
      </c>
      <c r="H1968" s="31" t="s">
        <v>7168</v>
      </c>
      <c r="I1968" s="44" t="s">
        <v>9397</v>
      </c>
      <c r="J1968" s="45" t="s">
        <v>9427</v>
      </c>
      <c r="K1968" s="45" t="s">
        <v>9429</v>
      </c>
      <c r="L1968" s="31" t="n">
        <f aca="false">COUNTIF($B$3:$B$2205,$B1968)</f>
        <v>1</v>
      </c>
      <c r="M1968" s="44" t="str">
        <f aca="false">IFERROR(INDEX(SENTENCES!$T$3:$T$1802,MATCH($F1968,SENTENCES!$A$3:$A$1802,0)),"")</f>
        <v>• Chưa tới</v>
      </c>
    </row>
    <row r="1969" customFormat="false" ht="15" hidden="false" customHeight="false" outlineLevel="0" collapsed="false">
      <c r="A1969" s="31" t="n">
        <v>1967</v>
      </c>
      <c r="B1969" s="43" t="s">
        <v>13857</v>
      </c>
      <c r="C1969" s="34" t="s">
        <v>13858</v>
      </c>
      <c r="D1969" s="44" t="s">
        <v>10686</v>
      </c>
      <c r="E1969" s="31"/>
      <c r="F1969" s="31" t="s">
        <v>9431</v>
      </c>
      <c r="G1969" s="31" t="n">
        <v>80</v>
      </c>
      <c r="H1969" s="31" t="s">
        <v>7168</v>
      </c>
      <c r="I1969" s="44" t="s">
        <v>9397</v>
      </c>
      <c r="J1969" s="45" t="s">
        <v>9433</v>
      </c>
      <c r="K1969" s="45" t="s">
        <v>9435</v>
      </c>
      <c r="L1969" s="31" t="n">
        <f aca="false">COUNTIF($B$3:$B$2205,$B1969)</f>
        <v>1</v>
      </c>
      <c r="M1969" s="44" t="str">
        <f aca="false">IFERROR(INDEX(SENTENCES!$T$3:$T$1802,MATCH($F1969,SENTENCES!$A$3:$A$1802,0)),"")</f>
        <v>• Chưa tới</v>
      </c>
    </row>
    <row r="1970" customFormat="false" ht="15" hidden="false" customHeight="false" outlineLevel="0" collapsed="false">
      <c r="A1970" s="31" t="n">
        <v>1968</v>
      </c>
      <c r="B1970" s="43" t="s">
        <v>13859</v>
      </c>
      <c r="C1970" s="34" t="s">
        <v>13860</v>
      </c>
      <c r="D1970" s="44" t="s">
        <v>10681</v>
      </c>
      <c r="E1970" s="31"/>
      <c r="F1970" s="31" t="s">
        <v>9431</v>
      </c>
      <c r="G1970" s="31" t="n">
        <v>80</v>
      </c>
      <c r="H1970" s="31" t="s">
        <v>7168</v>
      </c>
      <c r="I1970" s="44" t="s">
        <v>9397</v>
      </c>
      <c r="J1970" s="45" t="s">
        <v>9433</v>
      </c>
      <c r="K1970" s="45" t="s">
        <v>9435</v>
      </c>
      <c r="L1970" s="31" t="n">
        <f aca="false">COUNTIF($B$3:$B$2205,$B1970)</f>
        <v>1</v>
      </c>
      <c r="M1970" s="44" t="str">
        <f aca="false">IFERROR(INDEX(SENTENCES!$T$3:$T$1802,MATCH($F1970,SENTENCES!$A$3:$A$1802,0)),"")</f>
        <v>• Chưa tới</v>
      </c>
    </row>
    <row r="1971" customFormat="false" ht="15" hidden="false" customHeight="false" outlineLevel="0" collapsed="false">
      <c r="A1971" s="31" t="n">
        <v>1969</v>
      </c>
      <c r="B1971" s="43" t="s">
        <v>13861</v>
      </c>
      <c r="C1971" s="34" t="s">
        <v>13862</v>
      </c>
      <c r="D1971" s="44" t="s">
        <v>10677</v>
      </c>
      <c r="E1971" s="31" t="s">
        <v>10678</v>
      </c>
      <c r="F1971" s="31" t="s">
        <v>9437</v>
      </c>
      <c r="G1971" s="31" t="n">
        <v>80</v>
      </c>
      <c r="H1971" s="31" t="s">
        <v>7168</v>
      </c>
      <c r="I1971" s="44" t="s">
        <v>9397</v>
      </c>
      <c r="J1971" s="45" t="s">
        <v>9438</v>
      </c>
      <c r="K1971" s="45" t="s">
        <v>9440</v>
      </c>
      <c r="L1971" s="31" t="n">
        <f aca="false">COUNTIF($B$3:$B$2205,$B1971)</f>
        <v>1</v>
      </c>
      <c r="M1971" s="44" t="str">
        <f aca="false">IFERROR(INDEX(SENTENCES!$T$3:$T$1802,MATCH($F1971,SENTENCES!$A$3:$A$1802,0)),"")</f>
        <v>• Chưa tới</v>
      </c>
    </row>
    <row r="1972" customFormat="false" ht="15" hidden="false" customHeight="false" outlineLevel="0" collapsed="false">
      <c r="A1972" s="31" t="n">
        <v>1970</v>
      </c>
      <c r="B1972" s="43" t="s">
        <v>13863</v>
      </c>
      <c r="C1972" s="34" t="s">
        <v>13864</v>
      </c>
      <c r="D1972" s="44" t="s">
        <v>10686</v>
      </c>
      <c r="E1972" s="31"/>
      <c r="F1972" s="31" t="s">
        <v>9442</v>
      </c>
      <c r="G1972" s="31" t="n">
        <v>80</v>
      </c>
      <c r="H1972" s="31" t="s">
        <v>7168</v>
      </c>
      <c r="I1972" s="44" t="s">
        <v>9397</v>
      </c>
      <c r="J1972" s="45" t="s">
        <v>9444</v>
      </c>
      <c r="K1972" s="45" t="s">
        <v>9446</v>
      </c>
      <c r="L1972" s="31" t="n">
        <f aca="false">COUNTIF($B$3:$B$2205,$B1972)</f>
        <v>1</v>
      </c>
      <c r="M1972" s="44" t="str">
        <f aca="false">IFERROR(INDEX(SENTENCES!$T$3:$T$1802,MATCH($F1972,SENTENCES!$A$3:$A$1802,0)),"")</f>
        <v>• Chưa tới</v>
      </c>
    </row>
    <row r="1973" customFormat="false" ht="15" hidden="false" customHeight="false" outlineLevel="0" collapsed="false">
      <c r="A1973" s="31" t="n">
        <v>1971</v>
      </c>
      <c r="B1973" s="43" t="s">
        <v>13865</v>
      </c>
      <c r="C1973" s="34" t="s">
        <v>13866</v>
      </c>
      <c r="D1973" s="44" t="s">
        <v>10686</v>
      </c>
      <c r="E1973" s="31"/>
      <c r="F1973" s="31" t="s">
        <v>9442</v>
      </c>
      <c r="G1973" s="31" t="n">
        <v>80</v>
      </c>
      <c r="H1973" s="31" t="s">
        <v>7168</v>
      </c>
      <c r="I1973" s="44" t="s">
        <v>9397</v>
      </c>
      <c r="J1973" s="45" t="s">
        <v>9444</v>
      </c>
      <c r="K1973" s="45" t="s">
        <v>9446</v>
      </c>
      <c r="L1973" s="31" t="n">
        <f aca="false">COUNTIF($B$3:$B$2205,$B1973)</f>
        <v>1</v>
      </c>
      <c r="M1973" s="44" t="str">
        <f aca="false">IFERROR(INDEX(SENTENCES!$T$3:$T$1802,MATCH($F1973,SENTENCES!$A$3:$A$1802,0)),"")</f>
        <v>• Chưa tới</v>
      </c>
    </row>
    <row r="1974" customFormat="false" ht="15" hidden="false" customHeight="false" outlineLevel="0" collapsed="false">
      <c r="A1974" s="31" t="n">
        <v>1972</v>
      </c>
      <c r="B1974" s="43" t="s">
        <v>13867</v>
      </c>
      <c r="C1974" s="34" t="s">
        <v>13868</v>
      </c>
      <c r="D1974" s="44" t="s">
        <v>10677</v>
      </c>
      <c r="E1974" s="31" t="s">
        <v>10707</v>
      </c>
      <c r="F1974" s="31" t="s">
        <v>9448</v>
      </c>
      <c r="G1974" s="31" t="n">
        <v>80</v>
      </c>
      <c r="H1974" s="31" t="s">
        <v>7168</v>
      </c>
      <c r="I1974" s="44" t="s">
        <v>9397</v>
      </c>
      <c r="J1974" s="45" t="s">
        <v>9450</v>
      </c>
      <c r="K1974" s="45" t="s">
        <v>9452</v>
      </c>
      <c r="L1974" s="31" t="n">
        <f aca="false">COUNTIF($B$3:$B$2205,$B1974)</f>
        <v>1</v>
      </c>
      <c r="M1974" s="44" t="str">
        <f aca="false">IFERROR(INDEX(SENTENCES!$T$3:$T$1802,MATCH($F1974,SENTENCES!$A$3:$A$1802,0)),"")</f>
        <v>• Chưa tới</v>
      </c>
    </row>
    <row r="1975" customFormat="false" ht="15" hidden="false" customHeight="false" outlineLevel="0" collapsed="false">
      <c r="A1975" s="31" t="n">
        <v>1973</v>
      </c>
      <c r="B1975" s="43" t="s">
        <v>13869</v>
      </c>
      <c r="C1975" s="34" t="s">
        <v>13870</v>
      </c>
      <c r="D1975" s="44" t="s">
        <v>10677</v>
      </c>
      <c r="E1975" s="31" t="s">
        <v>10707</v>
      </c>
      <c r="F1975" s="31" t="s">
        <v>9454</v>
      </c>
      <c r="G1975" s="31" t="n">
        <v>80</v>
      </c>
      <c r="H1975" s="31" t="s">
        <v>7168</v>
      </c>
      <c r="I1975" s="44" t="s">
        <v>9397</v>
      </c>
      <c r="J1975" s="45" t="s">
        <v>9456</v>
      </c>
      <c r="K1975" s="45" t="s">
        <v>9458</v>
      </c>
      <c r="L1975" s="31" t="n">
        <f aca="false">COUNTIF($B$3:$B$2205,$B1975)</f>
        <v>1</v>
      </c>
      <c r="M1975" s="44" t="str">
        <f aca="false">IFERROR(INDEX(SENTENCES!$T$3:$T$1802,MATCH($F1975,SENTENCES!$A$3:$A$1802,0)),"")</f>
        <v>• Chưa tới</v>
      </c>
    </row>
    <row r="1976" customFormat="false" ht="15" hidden="false" customHeight="false" outlineLevel="0" collapsed="false">
      <c r="A1976" s="31" t="n">
        <v>1974</v>
      </c>
      <c r="B1976" s="43" t="s">
        <v>13871</v>
      </c>
      <c r="C1976" s="34" t="s">
        <v>13872</v>
      </c>
      <c r="D1976" s="44" t="s">
        <v>10677</v>
      </c>
      <c r="E1976" s="31" t="s">
        <v>10678</v>
      </c>
      <c r="F1976" s="31" t="s">
        <v>9454</v>
      </c>
      <c r="G1976" s="31" t="n">
        <v>80</v>
      </c>
      <c r="H1976" s="31" t="s">
        <v>7168</v>
      </c>
      <c r="I1976" s="44" t="s">
        <v>9397</v>
      </c>
      <c r="J1976" s="45" t="s">
        <v>9456</v>
      </c>
      <c r="K1976" s="45" t="s">
        <v>9458</v>
      </c>
      <c r="L1976" s="31" t="n">
        <f aca="false">COUNTIF($B$3:$B$2205,$B1976)</f>
        <v>1</v>
      </c>
      <c r="M1976" s="44" t="str">
        <f aca="false">IFERROR(INDEX(SENTENCES!$T$3:$T$1802,MATCH($F1976,SENTENCES!$A$3:$A$1802,0)),"")</f>
        <v>• Chưa tới</v>
      </c>
    </row>
    <row r="1977" customFormat="false" ht="15" hidden="false" customHeight="false" outlineLevel="0" collapsed="false">
      <c r="A1977" s="31" t="n">
        <v>1975</v>
      </c>
      <c r="B1977" s="43" t="s">
        <v>13873</v>
      </c>
      <c r="C1977" s="34" t="s">
        <v>13874</v>
      </c>
      <c r="D1977" s="44" t="s">
        <v>10677</v>
      </c>
      <c r="E1977" s="31" t="s">
        <v>10707</v>
      </c>
      <c r="F1977" s="31" t="s">
        <v>9460</v>
      </c>
      <c r="G1977" s="31" t="n">
        <v>80</v>
      </c>
      <c r="H1977" s="31" t="s">
        <v>7168</v>
      </c>
      <c r="I1977" s="44" t="s">
        <v>9397</v>
      </c>
      <c r="J1977" s="45" t="s">
        <v>9462</v>
      </c>
      <c r="K1977" s="45" t="s">
        <v>9464</v>
      </c>
      <c r="L1977" s="31" t="n">
        <f aca="false">COUNTIF($B$3:$B$2205,$B1977)</f>
        <v>1</v>
      </c>
      <c r="M1977" s="44" t="str">
        <f aca="false">IFERROR(INDEX(SENTENCES!$T$3:$T$1802,MATCH($F1977,SENTENCES!$A$3:$A$1802,0)),"")</f>
        <v>• Chưa tới</v>
      </c>
    </row>
    <row r="1978" customFormat="false" ht="15" hidden="false" customHeight="false" outlineLevel="0" collapsed="false">
      <c r="A1978" s="31" t="n">
        <v>1976</v>
      </c>
      <c r="B1978" s="43" t="s">
        <v>13875</v>
      </c>
      <c r="C1978" s="34" t="s">
        <v>13876</v>
      </c>
      <c r="D1978" s="44" t="s">
        <v>10681</v>
      </c>
      <c r="E1978" s="31"/>
      <c r="F1978" s="31" t="s">
        <v>9466</v>
      </c>
      <c r="G1978" s="31" t="n">
        <v>80</v>
      </c>
      <c r="H1978" s="31" t="s">
        <v>7168</v>
      </c>
      <c r="I1978" s="44" t="s">
        <v>9397</v>
      </c>
      <c r="J1978" s="45" t="s">
        <v>9467</v>
      </c>
      <c r="K1978" s="45" t="s">
        <v>9469</v>
      </c>
      <c r="L1978" s="31" t="n">
        <f aca="false">COUNTIF($B$3:$B$2205,$B1978)</f>
        <v>1</v>
      </c>
      <c r="M1978" s="44" t="str">
        <f aca="false">IFERROR(INDEX(SENTENCES!$T$3:$T$1802,MATCH($F1978,SENTENCES!$A$3:$A$1802,0)),"")</f>
        <v>• Chưa tới</v>
      </c>
    </row>
    <row r="1979" customFormat="false" ht="15" hidden="false" customHeight="false" outlineLevel="0" collapsed="false">
      <c r="A1979" s="31" t="n">
        <v>1977</v>
      </c>
      <c r="B1979" s="43" t="s">
        <v>13877</v>
      </c>
      <c r="C1979" s="34" t="s">
        <v>13878</v>
      </c>
      <c r="D1979" s="44" t="s">
        <v>10677</v>
      </c>
      <c r="E1979" s="31" t="s">
        <v>10707</v>
      </c>
      <c r="F1979" s="31" t="s">
        <v>9471</v>
      </c>
      <c r="G1979" s="31" t="n">
        <v>80</v>
      </c>
      <c r="H1979" s="31" t="s">
        <v>7168</v>
      </c>
      <c r="I1979" s="44" t="s">
        <v>9397</v>
      </c>
      <c r="J1979" s="45" t="s">
        <v>9473</v>
      </c>
      <c r="K1979" s="45" t="s">
        <v>9475</v>
      </c>
      <c r="L1979" s="31" t="n">
        <f aca="false">COUNTIF($B$3:$B$2205,$B1979)</f>
        <v>1</v>
      </c>
      <c r="M1979" s="44" t="str">
        <f aca="false">IFERROR(INDEX(SENTENCES!$T$3:$T$1802,MATCH($F1979,SENTENCES!$A$3:$A$1802,0)),"")</f>
        <v>• Chưa tới</v>
      </c>
    </row>
    <row r="1980" customFormat="false" ht="22.35" hidden="false" customHeight="false" outlineLevel="0" collapsed="false">
      <c r="A1980" s="31" t="n">
        <v>1978</v>
      </c>
      <c r="B1980" s="43" t="s">
        <v>13879</v>
      </c>
      <c r="C1980" s="34" t="s">
        <v>13880</v>
      </c>
      <c r="D1980" s="44" t="s">
        <v>10681</v>
      </c>
      <c r="E1980" s="31"/>
      <c r="F1980" s="31" t="s">
        <v>9477</v>
      </c>
      <c r="G1980" s="31" t="n">
        <v>80</v>
      </c>
      <c r="H1980" s="31" t="s">
        <v>7168</v>
      </c>
      <c r="I1980" s="44" t="s">
        <v>9397</v>
      </c>
      <c r="J1980" s="45" t="s">
        <v>9479</v>
      </c>
      <c r="K1980" s="45" t="s">
        <v>9481</v>
      </c>
      <c r="L1980" s="31" t="n">
        <f aca="false">COUNTIF($B$3:$B$2205,$B1980)</f>
        <v>1</v>
      </c>
      <c r="M1980" s="44" t="str">
        <f aca="false">IFERROR(INDEX(SENTENCES!$T$3:$T$1802,MATCH($F1980,SENTENCES!$A$3:$A$1802,0)),"")</f>
        <v>• Chưa tới</v>
      </c>
    </row>
    <row r="1981" customFormat="false" ht="15" hidden="false" customHeight="false" outlineLevel="0" collapsed="false">
      <c r="A1981" s="31" t="n">
        <v>1979</v>
      </c>
      <c r="B1981" s="43" t="s">
        <v>13881</v>
      </c>
      <c r="C1981" s="34" t="s">
        <v>13882</v>
      </c>
      <c r="D1981" s="44" t="s">
        <v>10686</v>
      </c>
      <c r="E1981" s="31"/>
      <c r="F1981" s="31" t="s">
        <v>9483</v>
      </c>
      <c r="G1981" s="31" t="n">
        <v>80</v>
      </c>
      <c r="H1981" s="31" t="s">
        <v>7168</v>
      </c>
      <c r="I1981" s="44" t="s">
        <v>9397</v>
      </c>
      <c r="J1981" s="45" t="s">
        <v>9485</v>
      </c>
      <c r="K1981" s="45" t="s">
        <v>9487</v>
      </c>
      <c r="L1981" s="31" t="n">
        <f aca="false">COUNTIF($B$3:$B$2205,$B1981)</f>
        <v>1</v>
      </c>
      <c r="M1981" s="44" t="str">
        <f aca="false">IFERROR(INDEX(SENTENCES!$T$3:$T$1802,MATCH($F1981,SENTENCES!$A$3:$A$1802,0)),"")</f>
        <v>• Chưa tới</v>
      </c>
    </row>
    <row r="1982" customFormat="false" ht="15" hidden="false" customHeight="false" outlineLevel="0" collapsed="false">
      <c r="A1982" s="31" t="n">
        <v>1980</v>
      </c>
      <c r="B1982" s="43" t="s">
        <v>13883</v>
      </c>
      <c r="C1982" s="34" t="s">
        <v>13884</v>
      </c>
      <c r="D1982" s="44" t="s">
        <v>10677</v>
      </c>
      <c r="E1982" s="31" t="s">
        <v>10707</v>
      </c>
      <c r="F1982" s="31" t="s">
        <v>9483</v>
      </c>
      <c r="G1982" s="31" t="n">
        <v>80</v>
      </c>
      <c r="H1982" s="31" t="s">
        <v>7168</v>
      </c>
      <c r="I1982" s="44" t="s">
        <v>9397</v>
      </c>
      <c r="J1982" s="45" t="s">
        <v>9485</v>
      </c>
      <c r="K1982" s="45" t="s">
        <v>9487</v>
      </c>
      <c r="L1982" s="31" t="n">
        <f aca="false">COUNTIF($B$3:$B$2205,$B1982)</f>
        <v>1</v>
      </c>
      <c r="M1982" s="44" t="str">
        <f aca="false">IFERROR(INDEX(SENTENCES!$T$3:$T$1802,MATCH($F1982,SENTENCES!$A$3:$A$1802,0)),"")</f>
        <v>• Chưa tới</v>
      </c>
    </row>
    <row r="1983" customFormat="false" ht="15" hidden="false" customHeight="false" outlineLevel="0" collapsed="false">
      <c r="A1983" s="31" t="n">
        <v>1981</v>
      </c>
      <c r="B1983" s="43" t="s">
        <v>13885</v>
      </c>
      <c r="C1983" s="34" t="s">
        <v>13886</v>
      </c>
      <c r="D1983" s="44" t="s">
        <v>10677</v>
      </c>
      <c r="E1983" s="31" t="s">
        <v>10707</v>
      </c>
      <c r="F1983" s="31" t="s">
        <v>9489</v>
      </c>
      <c r="G1983" s="31" t="n">
        <v>80</v>
      </c>
      <c r="H1983" s="31" t="s">
        <v>7168</v>
      </c>
      <c r="I1983" s="44" t="s">
        <v>9397</v>
      </c>
      <c r="J1983" s="45" t="s">
        <v>9491</v>
      </c>
      <c r="K1983" s="45" t="s">
        <v>9493</v>
      </c>
      <c r="L1983" s="31" t="n">
        <f aca="false">COUNTIF($B$3:$B$2205,$B1983)</f>
        <v>1</v>
      </c>
      <c r="M1983" s="44" t="str">
        <f aca="false">IFERROR(INDEX(SENTENCES!$T$3:$T$1802,MATCH($F1983,SENTENCES!$A$3:$A$1802,0)),"")</f>
        <v>• Chưa tới</v>
      </c>
    </row>
    <row r="1984" customFormat="false" ht="15" hidden="false" customHeight="false" outlineLevel="0" collapsed="false">
      <c r="A1984" s="31" t="n">
        <v>1982</v>
      </c>
      <c r="B1984" s="43" t="s">
        <v>13887</v>
      </c>
      <c r="C1984" s="34" t="s">
        <v>13888</v>
      </c>
      <c r="D1984" s="44" t="s">
        <v>10677</v>
      </c>
      <c r="E1984" s="31" t="s">
        <v>10678</v>
      </c>
      <c r="F1984" s="31" t="s">
        <v>9495</v>
      </c>
      <c r="G1984" s="31" t="n">
        <v>80</v>
      </c>
      <c r="H1984" s="31" t="s">
        <v>7168</v>
      </c>
      <c r="I1984" s="44" t="s">
        <v>9397</v>
      </c>
      <c r="J1984" s="45" t="s">
        <v>9497</v>
      </c>
      <c r="K1984" s="45" t="s">
        <v>9499</v>
      </c>
      <c r="L1984" s="31" t="n">
        <f aca="false">COUNTIF($B$3:$B$2205,$B1984)</f>
        <v>1</v>
      </c>
      <c r="M1984" s="44" t="str">
        <f aca="false">IFERROR(INDEX(SENTENCES!$T$3:$T$1802,MATCH($F1984,SENTENCES!$A$3:$A$1802,0)),"")</f>
        <v>• Chưa tới</v>
      </c>
    </row>
    <row r="1985" customFormat="false" ht="15" hidden="false" customHeight="false" outlineLevel="0" collapsed="false">
      <c r="A1985" s="31" t="n">
        <v>1983</v>
      </c>
      <c r="B1985" s="43" t="s">
        <v>13889</v>
      </c>
      <c r="C1985" s="34" t="s">
        <v>13329</v>
      </c>
      <c r="D1985" s="44" t="s">
        <v>10677</v>
      </c>
      <c r="E1985" s="31" t="s">
        <v>10707</v>
      </c>
      <c r="F1985" s="31" t="s">
        <v>9501</v>
      </c>
      <c r="G1985" s="31" t="n">
        <v>80</v>
      </c>
      <c r="H1985" s="31" t="s">
        <v>7168</v>
      </c>
      <c r="I1985" s="44" t="s">
        <v>9397</v>
      </c>
      <c r="J1985" s="45" t="s">
        <v>9503</v>
      </c>
      <c r="K1985" s="45" t="s">
        <v>9505</v>
      </c>
      <c r="L1985" s="31" t="n">
        <f aca="false">COUNTIF($B$3:$B$2205,$B1985)</f>
        <v>1</v>
      </c>
      <c r="M1985" s="44" t="str">
        <f aca="false">IFERROR(INDEX(SENTENCES!$T$3:$T$1802,MATCH($F1985,SENTENCES!$A$3:$A$1802,0)),"")</f>
        <v>• Chưa tới</v>
      </c>
    </row>
    <row r="1986" customFormat="false" ht="15" hidden="false" customHeight="false" outlineLevel="0" collapsed="false">
      <c r="A1986" s="31" t="n">
        <v>1984</v>
      </c>
      <c r="B1986" s="43" t="s">
        <v>13354</v>
      </c>
      <c r="C1986" s="34" t="s">
        <v>13355</v>
      </c>
      <c r="D1986" s="44" t="s">
        <v>10677</v>
      </c>
      <c r="E1986" s="31" t="s">
        <v>10678</v>
      </c>
      <c r="F1986" s="31" t="s">
        <v>9507</v>
      </c>
      <c r="G1986" s="31" t="n">
        <v>80</v>
      </c>
      <c r="H1986" s="31" t="s">
        <v>7168</v>
      </c>
      <c r="I1986" s="44" t="s">
        <v>9397</v>
      </c>
      <c r="J1986" s="45" t="s">
        <v>9508</v>
      </c>
      <c r="K1986" s="45" t="s">
        <v>9510</v>
      </c>
      <c r="L1986" s="31" t="n">
        <f aca="false">COUNTIF($B$3:$B$2205,$B1986)</f>
        <v>2</v>
      </c>
      <c r="M1986" s="44" t="str">
        <f aca="false">IFERROR(INDEX(SENTENCES!$T$3:$T$1802,MATCH($F1986,SENTENCES!$A$3:$A$1802,0)),"")</f>
        <v>• Chưa tới</v>
      </c>
    </row>
    <row r="1987" customFormat="false" ht="15" hidden="false" customHeight="false" outlineLevel="0" collapsed="false">
      <c r="A1987" s="31" t="n">
        <v>1985</v>
      </c>
      <c r="B1987" s="43" t="s">
        <v>13890</v>
      </c>
      <c r="C1987" s="34" t="s">
        <v>13891</v>
      </c>
      <c r="D1987" s="44" t="s">
        <v>10686</v>
      </c>
      <c r="E1987" s="31"/>
      <c r="F1987" s="31" t="s">
        <v>9512</v>
      </c>
      <c r="G1987" s="31" t="n">
        <v>81</v>
      </c>
      <c r="H1987" s="31" t="s">
        <v>7168</v>
      </c>
      <c r="I1987" s="44" t="s">
        <v>9513</v>
      </c>
      <c r="J1987" s="45" t="s">
        <v>9515</v>
      </c>
      <c r="K1987" s="45" t="s">
        <v>9517</v>
      </c>
      <c r="L1987" s="31" t="n">
        <f aca="false">COUNTIF($B$3:$B$2205,$B1987)</f>
        <v>1</v>
      </c>
      <c r="M1987" s="44" t="str">
        <f aca="false">IFERROR(INDEX(SENTENCES!$T$3:$T$1802,MATCH($F1987,SENTENCES!$A$3:$A$1802,0)),"")</f>
        <v>• Chưa tới</v>
      </c>
    </row>
    <row r="1988" customFormat="false" ht="15" hidden="false" customHeight="false" outlineLevel="0" collapsed="false">
      <c r="A1988" s="31" t="n">
        <v>1986</v>
      </c>
      <c r="B1988" s="43" t="s">
        <v>13892</v>
      </c>
      <c r="C1988" s="34" t="s">
        <v>13893</v>
      </c>
      <c r="D1988" s="44" t="s">
        <v>10681</v>
      </c>
      <c r="E1988" s="31"/>
      <c r="F1988" s="31" t="s">
        <v>9519</v>
      </c>
      <c r="G1988" s="31" t="n">
        <v>81</v>
      </c>
      <c r="H1988" s="31" t="s">
        <v>7168</v>
      </c>
      <c r="I1988" s="44" t="s">
        <v>9513</v>
      </c>
      <c r="J1988" s="45" t="s">
        <v>9521</v>
      </c>
      <c r="K1988" s="45" t="s">
        <v>9523</v>
      </c>
      <c r="L1988" s="31" t="n">
        <f aca="false">COUNTIF($B$3:$B$2205,$B1988)</f>
        <v>1</v>
      </c>
      <c r="M1988" s="44" t="str">
        <f aca="false">IFERROR(INDEX(SENTENCES!$T$3:$T$1802,MATCH($F1988,SENTENCES!$A$3:$A$1802,0)),"")</f>
        <v>• Chưa tới</v>
      </c>
    </row>
    <row r="1989" customFormat="false" ht="15" hidden="false" customHeight="false" outlineLevel="0" collapsed="false">
      <c r="A1989" s="31" t="n">
        <v>1987</v>
      </c>
      <c r="B1989" s="43" t="s">
        <v>13894</v>
      </c>
      <c r="C1989" s="34" t="s">
        <v>13895</v>
      </c>
      <c r="D1989" s="44" t="s">
        <v>10677</v>
      </c>
      <c r="E1989" s="31" t="s">
        <v>10707</v>
      </c>
      <c r="F1989" s="31" t="s">
        <v>9525</v>
      </c>
      <c r="G1989" s="31" t="n">
        <v>81</v>
      </c>
      <c r="H1989" s="31" t="s">
        <v>7168</v>
      </c>
      <c r="I1989" s="44" t="s">
        <v>9513</v>
      </c>
      <c r="J1989" s="45" t="s">
        <v>9527</v>
      </c>
      <c r="K1989" s="45" t="s">
        <v>9529</v>
      </c>
      <c r="L1989" s="31" t="n">
        <f aca="false">COUNTIF($B$3:$B$2205,$B1989)</f>
        <v>1</v>
      </c>
      <c r="M1989" s="44" t="str">
        <f aca="false">IFERROR(INDEX(SENTENCES!$T$3:$T$1802,MATCH($F1989,SENTENCES!$A$3:$A$1802,0)),"")</f>
        <v>• Chưa tới</v>
      </c>
    </row>
    <row r="1990" customFormat="false" ht="15" hidden="false" customHeight="false" outlineLevel="0" collapsed="false">
      <c r="A1990" s="31" t="n">
        <v>1988</v>
      </c>
      <c r="B1990" s="43" t="s">
        <v>11104</v>
      </c>
      <c r="C1990" s="34" t="s">
        <v>11105</v>
      </c>
      <c r="D1990" s="44" t="s">
        <v>10686</v>
      </c>
      <c r="E1990" s="31"/>
      <c r="F1990" s="31" t="s">
        <v>9531</v>
      </c>
      <c r="G1990" s="31" t="n">
        <v>81</v>
      </c>
      <c r="H1990" s="31" t="s">
        <v>7168</v>
      </c>
      <c r="I1990" s="44" t="s">
        <v>9513</v>
      </c>
      <c r="J1990" s="45" t="s">
        <v>9533</v>
      </c>
      <c r="K1990" s="45" t="s">
        <v>9535</v>
      </c>
      <c r="L1990" s="31" t="n">
        <f aca="false">COUNTIF($B$3:$B$2205,$B1990)</f>
        <v>5</v>
      </c>
      <c r="M1990" s="44" t="str">
        <f aca="false">IFERROR(INDEX(SENTENCES!$T$3:$T$1802,MATCH($F1990,SENTENCES!$A$3:$A$1802,0)),"")</f>
        <v>• Chưa tới</v>
      </c>
    </row>
    <row r="1991" customFormat="false" ht="15" hidden="false" customHeight="false" outlineLevel="0" collapsed="false">
      <c r="A1991" s="31" t="n">
        <v>1989</v>
      </c>
      <c r="B1991" s="43" t="s">
        <v>11364</v>
      </c>
      <c r="C1991" s="34" t="s">
        <v>13896</v>
      </c>
      <c r="D1991" s="44" t="s">
        <v>10677</v>
      </c>
      <c r="E1991" s="31" t="s">
        <v>10747</v>
      </c>
      <c r="F1991" s="31" t="s">
        <v>9536</v>
      </c>
      <c r="G1991" s="31" t="n">
        <v>81</v>
      </c>
      <c r="H1991" s="31" t="s">
        <v>7168</v>
      </c>
      <c r="I1991" s="44" t="s">
        <v>9513</v>
      </c>
      <c r="J1991" s="45" t="s">
        <v>9537</v>
      </c>
      <c r="K1991" s="45" t="s">
        <v>9539</v>
      </c>
      <c r="L1991" s="31" t="n">
        <f aca="false">COUNTIF($B$3:$B$2205,$B1991)</f>
        <v>2</v>
      </c>
      <c r="M1991" s="44" t="str">
        <f aca="false">IFERROR(INDEX(SENTENCES!$T$3:$T$1802,MATCH($F1991,SENTENCES!$A$3:$A$1802,0)),"")</f>
        <v>• Chưa tới</v>
      </c>
    </row>
    <row r="1992" customFormat="false" ht="15" hidden="false" customHeight="false" outlineLevel="0" collapsed="false">
      <c r="A1992" s="31" t="n">
        <v>1990</v>
      </c>
      <c r="B1992" s="43" t="s">
        <v>13897</v>
      </c>
      <c r="C1992" s="34" t="s">
        <v>13898</v>
      </c>
      <c r="D1992" s="44" t="s">
        <v>10677</v>
      </c>
      <c r="E1992" s="31" t="s">
        <v>10747</v>
      </c>
      <c r="F1992" s="31" t="s">
        <v>9536</v>
      </c>
      <c r="G1992" s="31" t="n">
        <v>81</v>
      </c>
      <c r="H1992" s="31" t="s">
        <v>7168</v>
      </c>
      <c r="I1992" s="44" t="s">
        <v>9513</v>
      </c>
      <c r="J1992" s="45" t="s">
        <v>9537</v>
      </c>
      <c r="K1992" s="45" t="s">
        <v>9539</v>
      </c>
      <c r="L1992" s="31" t="n">
        <f aca="false">COUNTIF($B$3:$B$2205,$B1992)</f>
        <v>1</v>
      </c>
      <c r="M1992" s="44" t="str">
        <f aca="false">IFERROR(INDEX(SENTENCES!$T$3:$T$1802,MATCH($F1992,SENTENCES!$A$3:$A$1802,0)),"")</f>
        <v>• Chưa tới</v>
      </c>
    </row>
    <row r="1993" customFormat="false" ht="15" hidden="false" customHeight="false" outlineLevel="0" collapsed="false">
      <c r="A1993" s="31" t="n">
        <v>1991</v>
      </c>
      <c r="B1993" s="43" t="s">
        <v>13899</v>
      </c>
      <c r="C1993" s="34" t="s">
        <v>13900</v>
      </c>
      <c r="D1993" s="44" t="s">
        <v>10677</v>
      </c>
      <c r="E1993" s="31" t="s">
        <v>10707</v>
      </c>
      <c r="F1993" s="31" t="s">
        <v>9541</v>
      </c>
      <c r="G1993" s="31" t="n">
        <v>81</v>
      </c>
      <c r="H1993" s="31" t="s">
        <v>7168</v>
      </c>
      <c r="I1993" s="44" t="s">
        <v>9513</v>
      </c>
      <c r="J1993" s="45" t="s">
        <v>9543</v>
      </c>
      <c r="K1993" s="45" t="s">
        <v>9545</v>
      </c>
      <c r="L1993" s="31" t="n">
        <f aca="false">COUNTIF($B$3:$B$2205,$B1993)</f>
        <v>1</v>
      </c>
      <c r="M1993" s="44" t="str">
        <f aca="false">IFERROR(INDEX(SENTENCES!$T$3:$T$1802,MATCH($F1993,SENTENCES!$A$3:$A$1802,0)),"")</f>
        <v>• Chưa tới</v>
      </c>
    </row>
    <row r="1994" customFormat="false" ht="15" hidden="false" customHeight="false" outlineLevel="0" collapsed="false">
      <c r="A1994" s="31" t="n">
        <v>1992</v>
      </c>
      <c r="B1994" s="43" t="s">
        <v>13901</v>
      </c>
      <c r="C1994" s="34" t="s">
        <v>13902</v>
      </c>
      <c r="D1994" s="44" t="s">
        <v>10686</v>
      </c>
      <c r="E1994" s="31"/>
      <c r="F1994" s="31" t="s">
        <v>9547</v>
      </c>
      <c r="G1994" s="31" t="n">
        <v>81</v>
      </c>
      <c r="H1994" s="31" t="s">
        <v>7168</v>
      </c>
      <c r="I1994" s="44" t="s">
        <v>9513</v>
      </c>
      <c r="J1994" s="45" t="s">
        <v>9549</v>
      </c>
      <c r="K1994" s="45" t="s">
        <v>9551</v>
      </c>
      <c r="L1994" s="31" t="n">
        <f aca="false">COUNTIF($B$3:$B$2205,$B1994)</f>
        <v>1</v>
      </c>
      <c r="M1994" s="44" t="str">
        <f aca="false">IFERROR(INDEX(SENTENCES!$T$3:$T$1802,MATCH($F1994,SENTENCES!$A$3:$A$1802,0)),"")</f>
        <v>• Chưa tới</v>
      </c>
    </row>
    <row r="1995" customFormat="false" ht="15" hidden="false" customHeight="false" outlineLevel="0" collapsed="false">
      <c r="A1995" s="31" t="n">
        <v>1993</v>
      </c>
      <c r="B1995" s="43" t="s">
        <v>13903</v>
      </c>
      <c r="C1995" s="34" t="s">
        <v>13904</v>
      </c>
      <c r="D1995" s="44" t="s">
        <v>10677</v>
      </c>
      <c r="E1995" s="31" t="s">
        <v>10747</v>
      </c>
      <c r="F1995" s="31" t="s">
        <v>9547</v>
      </c>
      <c r="G1995" s="31" t="n">
        <v>81</v>
      </c>
      <c r="H1995" s="31" t="s">
        <v>7168</v>
      </c>
      <c r="I1995" s="44" t="s">
        <v>9513</v>
      </c>
      <c r="J1995" s="45" t="s">
        <v>9549</v>
      </c>
      <c r="K1995" s="45" t="s">
        <v>9551</v>
      </c>
      <c r="L1995" s="31" t="n">
        <f aca="false">COUNTIF($B$3:$B$2205,$B1995)</f>
        <v>1</v>
      </c>
      <c r="M1995" s="44" t="str">
        <f aca="false">IFERROR(INDEX(SENTENCES!$T$3:$T$1802,MATCH($F1995,SENTENCES!$A$3:$A$1802,0)),"")</f>
        <v>• Chưa tới</v>
      </c>
    </row>
    <row r="1996" customFormat="false" ht="15" hidden="false" customHeight="false" outlineLevel="0" collapsed="false">
      <c r="A1996" s="31" t="n">
        <v>1994</v>
      </c>
      <c r="B1996" s="43" t="s">
        <v>13905</v>
      </c>
      <c r="C1996" s="34" t="s">
        <v>12988</v>
      </c>
      <c r="D1996" s="44" t="s">
        <v>10686</v>
      </c>
      <c r="E1996" s="31"/>
      <c r="F1996" s="31" t="s">
        <v>9553</v>
      </c>
      <c r="G1996" s="31" t="n">
        <v>81</v>
      </c>
      <c r="H1996" s="31" t="s">
        <v>7168</v>
      </c>
      <c r="I1996" s="44" t="s">
        <v>9513</v>
      </c>
      <c r="J1996" s="45" t="s">
        <v>9555</v>
      </c>
      <c r="K1996" s="45" t="s">
        <v>9557</v>
      </c>
      <c r="L1996" s="31" t="n">
        <f aca="false">COUNTIF($B$3:$B$2205,$B1996)</f>
        <v>1</v>
      </c>
      <c r="M1996" s="44" t="str">
        <f aca="false">IFERROR(INDEX(SENTENCES!$T$3:$T$1802,MATCH($F1996,SENTENCES!$A$3:$A$1802,0)),"")</f>
        <v>• Chưa tới</v>
      </c>
    </row>
    <row r="1997" customFormat="false" ht="15" hidden="false" customHeight="false" outlineLevel="0" collapsed="false">
      <c r="A1997" s="31" t="n">
        <v>1995</v>
      </c>
      <c r="B1997" s="43" t="s">
        <v>13906</v>
      </c>
      <c r="C1997" s="34" t="s">
        <v>13907</v>
      </c>
      <c r="D1997" s="44" t="s">
        <v>10794</v>
      </c>
      <c r="E1997" s="31"/>
      <c r="F1997" s="31" t="s">
        <v>9559</v>
      </c>
      <c r="G1997" s="31" t="n">
        <v>81</v>
      </c>
      <c r="H1997" s="31" t="s">
        <v>7168</v>
      </c>
      <c r="I1997" s="44" t="s">
        <v>9513</v>
      </c>
      <c r="J1997" s="45" t="s">
        <v>9561</v>
      </c>
      <c r="K1997" s="45" t="s">
        <v>9563</v>
      </c>
      <c r="L1997" s="31" t="n">
        <f aca="false">COUNTIF($B$3:$B$2205,$B1997)</f>
        <v>1</v>
      </c>
      <c r="M1997" s="44" t="str">
        <f aca="false">IFERROR(INDEX(SENTENCES!$T$3:$T$1802,MATCH($F1997,SENTENCES!$A$3:$A$1802,0)),"")</f>
        <v>• Chưa tới</v>
      </c>
    </row>
    <row r="1998" customFormat="false" ht="15" hidden="false" customHeight="false" outlineLevel="0" collapsed="false">
      <c r="A1998" s="31" t="n">
        <v>1996</v>
      </c>
      <c r="B1998" s="43" t="s">
        <v>12855</v>
      </c>
      <c r="C1998" s="34" t="s">
        <v>12883</v>
      </c>
      <c r="D1998" s="44" t="s">
        <v>10686</v>
      </c>
      <c r="E1998" s="31"/>
      <c r="F1998" s="31" t="s">
        <v>9565</v>
      </c>
      <c r="G1998" s="31" t="n">
        <v>81</v>
      </c>
      <c r="H1998" s="31" t="s">
        <v>7168</v>
      </c>
      <c r="I1998" s="44" t="s">
        <v>9513</v>
      </c>
      <c r="J1998" s="45" t="s">
        <v>9567</v>
      </c>
      <c r="K1998" s="45" t="s">
        <v>9569</v>
      </c>
      <c r="L1998" s="31" t="n">
        <f aca="false">COUNTIF($B$3:$B$2205,$B1998)</f>
        <v>2</v>
      </c>
      <c r="M1998" s="44" t="str">
        <f aca="false">IFERROR(INDEX(SENTENCES!$T$3:$T$1802,MATCH($F1998,SENTENCES!$A$3:$A$1802,0)),"")</f>
        <v>• Chưa tới</v>
      </c>
    </row>
    <row r="1999" customFormat="false" ht="15" hidden="false" customHeight="false" outlineLevel="0" collapsed="false">
      <c r="A1999" s="31" t="n">
        <v>1997</v>
      </c>
      <c r="B1999" s="43" t="s">
        <v>11016</v>
      </c>
      <c r="C1999" s="34" t="s">
        <v>13908</v>
      </c>
      <c r="D1999" s="44" t="s">
        <v>10686</v>
      </c>
      <c r="E1999" s="31"/>
      <c r="F1999" s="31" t="s">
        <v>9571</v>
      </c>
      <c r="G1999" s="31" t="n">
        <v>81</v>
      </c>
      <c r="H1999" s="31" t="s">
        <v>7168</v>
      </c>
      <c r="I1999" s="44" t="s">
        <v>9513</v>
      </c>
      <c r="J1999" s="45" t="s">
        <v>9573</v>
      </c>
      <c r="K1999" s="45" t="s">
        <v>9575</v>
      </c>
      <c r="L1999" s="31" t="n">
        <f aca="false">COUNTIF($B$3:$B$2205,$B1999)</f>
        <v>3</v>
      </c>
      <c r="M1999" s="44" t="str">
        <f aca="false">IFERROR(INDEX(SENTENCES!$T$3:$T$1802,MATCH($F1999,SENTENCES!$A$3:$A$1802,0)),"")</f>
        <v>• Chưa tới</v>
      </c>
    </row>
    <row r="2000" customFormat="false" ht="22.35" hidden="false" customHeight="false" outlineLevel="0" collapsed="false">
      <c r="A2000" s="31" t="n">
        <v>1998</v>
      </c>
      <c r="B2000" s="43" t="s">
        <v>13909</v>
      </c>
      <c r="C2000" s="34" t="s">
        <v>13910</v>
      </c>
      <c r="D2000" s="44" t="s">
        <v>10677</v>
      </c>
      <c r="E2000" s="31" t="s">
        <v>10707</v>
      </c>
      <c r="F2000" s="31" t="s">
        <v>9577</v>
      </c>
      <c r="G2000" s="31" t="n">
        <v>81</v>
      </c>
      <c r="H2000" s="31" t="s">
        <v>7168</v>
      </c>
      <c r="I2000" s="44" t="s">
        <v>9513</v>
      </c>
      <c r="J2000" s="45" t="s">
        <v>9579</v>
      </c>
      <c r="K2000" s="45" t="s">
        <v>9581</v>
      </c>
      <c r="L2000" s="31" t="n">
        <f aca="false">COUNTIF($B$3:$B$2205,$B2000)</f>
        <v>1</v>
      </c>
      <c r="M2000" s="44" t="str">
        <f aca="false">IFERROR(INDEX(SENTENCES!$T$3:$T$1802,MATCH($F2000,SENTENCES!$A$3:$A$1802,0)),"")</f>
        <v>• Chưa tới</v>
      </c>
    </row>
    <row r="2001" customFormat="false" ht="15" hidden="false" customHeight="false" outlineLevel="0" collapsed="false">
      <c r="A2001" s="31" t="n">
        <v>1999</v>
      </c>
      <c r="B2001" s="43" t="s">
        <v>13911</v>
      </c>
      <c r="C2001" s="34" t="s">
        <v>13912</v>
      </c>
      <c r="D2001" s="44" t="s">
        <v>10677</v>
      </c>
      <c r="E2001" s="31" t="s">
        <v>10678</v>
      </c>
      <c r="F2001" s="31" t="s">
        <v>9583</v>
      </c>
      <c r="G2001" s="31" t="n">
        <v>81</v>
      </c>
      <c r="H2001" s="31" t="s">
        <v>7168</v>
      </c>
      <c r="I2001" s="44" t="s">
        <v>9513</v>
      </c>
      <c r="J2001" s="45" t="s">
        <v>9585</v>
      </c>
      <c r="K2001" s="45" t="s">
        <v>9587</v>
      </c>
      <c r="L2001" s="31" t="n">
        <f aca="false">COUNTIF($B$3:$B$2205,$B2001)</f>
        <v>1</v>
      </c>
      <c r="M2001" s="44" t="str">
        <f aca="false">IFERROR(INDEX(SENTENCES!$T$3:$T$1802,MATCH($F2001,SENTENCES!$A$3:$A$1802,0)),"")</f>
        <v>• Chưa tới</v>
      </c>
    </row>
    <row r="2002" customFormat="false" ht="15" hidden="false" customHeight="false" outlineLevel="0" collapsed="false">
      <c r="A2002" s="31" t="n">
        <v>2000</v>
      </c>
      <c r="B2002" s="43" t="s">
        <v>13913</v>
      </c>
      <c r="C2002" s="34" t="s">
        <v>13914</v>
      </c>
      <c r="D2002" s="44" t="s">
        <v>10681</v>
      </c>
      <c r="E2002" s="31"/>
      <c r="F2002" s="31" t="s">
        <v>9583</v>
      </c>
      <c r="G2002" s="31" t="n">
        <v>81</v>
      </c>
      <c r="H2002" s="31" t="s">
        <v>7168</v>
      </c>
      <c r="I2002" s="44" t="s">
        <v>9513</v>
      </c>
      <c r="J2002" s="45" t="s">
        <v>9585</v>
      </c>
      <c r="K2002" s="45" t="s">
        <v>9587</v>
      </c>
      <c r="L2002" s="31" t="n">
        <f aca="false">COUNTIF($B$3:$B$2205,$B2002)</f>
        <v>1</v>
      </c>
      <c r="M2002" s="44" t="str">
        <f aca="false">IFERROR(INDEX(SENTENCES!$T$3:$T$1802,MATCH($F2002,SENTENCES!$A$3:$A$1802,0)),"")</f>
        <v>• Chưa tới</v>
      </c>
    </row>
    <row r="2003" customFormat="false" ht="15" hidden="false" customHeight="false" outlineLevel="0" collapsed="false">
      <c r="A2003" s="31" t="n">
        <v>2001</v>
      </c>
      <c r="B2003" s="43" t="s">
        <v>13915</v>
      </c>
      <c r="C2003" s="34" t="s">
        <v>13916</v>
      </c>
      <c r="D2003" s="44" t="s">
        <v>10677</v>
      </c>
      <c r="E2003" s="31" t="s">
        <v>10707</v>
      </c>
      <c r="F2003" s="31" t="s">
        <v>9589</v>
      </c>
      <c r="G2003" s="31" t="n">
        <v>81</v>
      </c>
      <c r="H2003" s="31" t="s">
        <v>7168</v>
      </c>
      <c r="I2003" s="44" t="s">
        <v>9513</v>
      </c>
      <c r="J2003" s="45" t="s">
        <v>9591</v>
      </c>
      <c r="K2003" s="45" t="s">
        <v>9593</v>
      </c>
      <c r="L2003" s="31" t="n">
        <f aca="false">COUNTIF($B$3:$B$2205,$B2003)</f>
        <v>1</v>
      </c>
      <c r="M2003" s="44" t="str">
        <f aca="false">IFERROR(INDEX(SENTENCES!$T$3:$T$1802,MATCH($F2003,SENTENCES!$A$3:$A$1802,0)),"")</f>
        <v>• Chưa tới</v>
      </c>
    </row>
    <row r="2004" customFormat="false" ht="15" hidden="false" customHeight="false" outlineLevel="0" collapsed="false">
      <c r="A2004" s="31" t="n">
        <v>2002</v>
      </c>
      <c r="B2004" s="43" t="s">
        <v>13917</v>
      </c>
      <c r="C2004" s="34" t="s">
        <v>12373</v>
      </c>
      <c r="D2004" s="44" t="s">
        <v>10681</v>
      </c>
      <c r="E2004" s="31"/>
      <c r="F2004" s="31" t="s">
        <v>9595</v>
      </c>
      <c r="G2004" s="31" t="n">
        <v>81</v>
      </c>
      <c r="H2004" s="31" t="s">
        <v>7168</v>
      </c>
      <c r="I2004" s="44" t="s">
        <v>9513</v>
      </c>
      <c r="J2004" s="45" t="s">
        <v>9597</v>
      </c>
      <c r="K2004" s="45" t="s">
        <v>9599</v>
      </c>
      <c r="L2004" s="31" t="n">
        <f aca="false">COUNTIF($B$3:$B$2205,$B2004)</f>
        <v>1</v>
      </c>
      <c r="M2004" s="44" t="str">
        <f aca="false">IFERROR(INDEX(SENTENCES!$T$3:$T$1802,MATCH($F2004,SENTENCES!$A$3:$A$1802,0)),"")</f>
        <v>• Chưa tới</v>
      </c>
    </row>
    <row r="2005" customFormat="false" ht="15" hidden="false" customHeight="false" outlineLevel="0" collapsed="false">
      <c r="A2005" s="31" t="n">
        <v>2003</v>
      </c>
      <c r="B2005" s="43" t="s">
        <v>13918</v>
      </c>
      <c r="C2005" s="34" t="s">
        <v>13919</v>
      </c>
      <c r="D2005" s="44" t="s">
        <v>10677</v>
      </c>
      <c r="E2005" s="31" t="s">
        <v>10678</v>
      </c>
      <c r="F2005" s="31" t="s">
        <v>9601</v>
      </c>
      <c r="G2005" s="31" t="n">
        <v>81</v>
      </c>
      <c r="H2005" s="31" t="s">
        <v>7168</v>
      </c>
      <c r="I2005" s="44" t="s">
        <v>9513</v>
      </c>
      <c r="J2005" s="45" t="s">
        <v>9603</v>
      </c>
      <c r="K2005" s="45" t="s">
        <v>9605</v>
      </c>
      <c r="L2005" s="31" t="n">
        <f aca="false">COUNTIF($B$3:$B$2205,$B2005)</f>
        <v>1</v>
      </c>
      <c r="M2005" s="44" t="str">
        <f aca="false">IFERROR(INDEX(SENTENCES!$T$3:$T$1802,MATCH($F2005,SENTENCES!$A$3:$A$1802,0)),"")</f>
        <v>• Chưa tới</v>
      </c>
    </row>
    <row r="2006" customFormat="false" ht="15" hidden="false" customHeight="false" outlineLevel="0" collapsed="false">
      <c r="A2006" s="31" t="n">
        <v>2004</v>
      </c>
      <c r="B2006" s="43" t="s">
        <v>13920</v>
      </c>
      <c r="C2006" s="34" t="s">
        <v>13921</v>
      </c>
      <c r="D2006" s="44" t="s">
        <v>10677</v>
      </c>
      <c r="E2006" s="31" t="s">
        <v>10747</v>
      </c>
      <c r="F2006" s="31" t="s">
        <v>9607</v>
      </c>
      <c r="G2006" s="31" t="n">
        <v>81</v>
      </c>
      <c r="H2006" s="31" t="s">
        <v>7168</v>
      </c>
      <c r="I2006" s="44" t="s">
        <v>9513</v>
      </c>
      <c r="J2006" s="45" t="s">
        <v>9609</v>
      </c>
      <c r="K2006" s="45" t="s">
        <v>9611</v>
      </c>
      <c r="L2006" s="31" t="n">
        <f aca="false">COUNTIF($B$3:$B$2205,$B2006)</f>
        <v>1</v>
      </c>
      <c r="M2006" s="44" t="str">
        <f aca="false">IFERROR(INDEX(SENTENCES!$T$3:$T$1802,MATCH($F2006,SENTENCES!$A$3:$A$1802,0)),"")</f>
        <v>• Chưa tới</v>
      </c>
    </row>
    <row r="2007" customFormat="false" ht="15" hidden="false" customHeight="false" outlineLevel="0" collapsed="false">
      <c r="A2007" s="31" t="n">
        <v>2005</v>
      </c>
      <c r="B2007" s="43" t="s">
        <v>13922</v>
      </c>
      <c r="C2007" s="34" t="s">
        <v>13923</v>
      </c>
      <c r="D2007" s="44" t="s">
        <v>10677</v>
      </c>
      <c r="E2007" s="31" t="s">
        <v>10707</v>
      </c>
      <c r="F2007" s="31" t="s">
        <v>9613</v>
      </c>
      <c r="G2007" s="31" t="n">
        <v>81</v>
      </c>
      <c r="H2007" s="31" t="s">
        <v>7168</v>
      </c>
      <c r="I2007" s="44" t="s">
        <v>9513</v>
      </c>
      <c r="J2007" s="45" t="s">
        <v>9615</v>
      </c>
      <c r="K2007" s="45" t="s">
        <v>9617</v>
      </c>
      <c r="L2007" s="31" t="n">
        <f aca="false">COUNTIF($B$3:$B$2205,$B2007)</f>
        <v>1</v>
      </c>
      <c r="M2007" s="44" t="str">
        <f aca="false">IFERROR(INDEX(SENTENCES!$T$3:$T$1802,MATCH($F2007,SENTENCES!$A$3:$A$1802,0)),"")</f>
        <v>• Chưa tới</v>
      </c>
    </row>
    <row r="2008" customFormat="false" ht="15" hidden="false" customHeight="false" outlineLevel="0" collapsed="false">
      <c r="A2008" s="31" t="n">
        <v>2006</v>
      </c>
      <c r="B2008" s="43" t="s">
        <v>13924</v>
      </c>
      <c r="C2008" s="34" t="s">
        <v>13925</v>
      </c>
      <c r="D2008" s="44" t="s">
        <v>10681</v>
      </c>
      <c r="E2008" s="31"/>
      <c r="F2008" s="31" t="s">
        <v>9613</v>
      </c>
      <c r="G2008" s="31" t="n">
        <v>81</v>
      </c>
      <c r="H2008" s="31" t="s">
        <v>7168</v>
      </c>
      <c r="I2008" s="44" t="s">
        <v>9513</v>
      </c>
      <c r="J2008" s="45" t="s">
        <v>9615</v>
      </c>
      <c r="K2008" s="45" t="s">
        <v>9617</v>
      </c>
      <c r="L2008" s="31" t="n">
        <f aca="false">COUNTIF($B$3:$B$2205,$B2008)</f>
        <v>1</v>
      </c>
      <c r="M2008" s="44" t="str">
        <f aca="false">IFERROR(INDEX(SENTENCES!$T$3:$T$1802,MATCH($F2008,SENTENCES!$A$3:$A$1802,0)),"")</f>
        <v>• Chưa tới</v>
      </c>
    </row>
    <row r="2009" customFormat="false" ht="15" hidden="false" customHeight="false" outlineLevel="0" collapsed="false">
      <c r="A2009" s="31" t="n">
        <v>2007</v>
      </c>
      <c r="B2009" s="43" t="s">
        <v>13926</v>
      </c>
      <c r="C2009" s="34" t="s">
        <v>13927</v>
      </c>
      <c r="D2009" s="44" t="s">
        <v>10677</v>
      </c>
      <c r="E2009" s="31" t="s">
        <v>10678</v>
      </c>
      <c r="F2009" s="31" t="s">
        <v>9619</v>
      </c>
      <c r="G2009" s="31" t="n">
        <v>81</v>
      </c>
      <c r="H2009" s="31" t="s">
        <v>7168</v>
      </c>
      <c r="I2009" s="44" t="s">
        <v>9513</v>
      </c>
      <c r="J2009" s="45" t="s">
        <v>9621</v>
      </c>
      <c r="K2009" s="45" t="s">
        <v>9623</v>
      </c>
      <c r="L2009" s="31" t="n">
        <f aca="false">COUNTIF($B$3:$B$2205,$B2009)</f>
        <v>1</v>
      </c>
      <c r="M2009" s="44" t="str">
        <f aca="false">IFERROR(INDEX(SENTENCES!$T$3:$T$1802,MATCH($F2009,SENTENCES!$A$3:$A$1802,0)),"")</f>
        <v>• Chưa tới</v>
      </c>
    </row>
    <row r="2010" customFormat="false" ht="15" hidden="false" customHeight="false" outlineLevel="0" collapsed="false">
      <c r="A2010" s="31" t="n">
        <v>2008</v>
      </c>
      <c r="B2010" s="43" t="s">
        <v>13928</v>
      </c>
      <c r="C2010" s="34" t="s">
        <v>13929</v>
      </c>
      <c r="D2010" s="44" t="s">
        <v>10677</v>
      </c>
      <c r="E2010" s="31" t="s">
        <v>10707</v>
      </c>
      <c r="F2010" s="31" t="s">
        <v>9625</v>
      </c>
      <c r="G2010" s="31" t="n">
        <v>81</v>
      </c>
      <c r="H2010" s="31" t="s">
        <v>7168</v>
      </c>
      <c r="I2010" s="44" t="s">
        <v>9513</v>
      </c>
      <c r="J2010" s="45" t="s">
        <v>9626</v>
      </c>
      <c r="K2010" s="45" t="s">
        <v>9628</v>
      </c>
      <c r="L2010" s="31" t="n">
        <f aca="false">COUNTIF($B$3:$B$2205,$B2010)</f>
        <v>1</v>
      </c>
      <c r="M2010" s="44" t="str">
        <f aca="false">IFERROR(INDEX(SENTENCES!$T$3:$T$1802,MATCH($F2010,SENTENCES!$A$3:$A$1802,0)),"")</f>
        <v>• Chưa tới</v>
      </c>
    </row>
    <row r="2011" customFormat="false" ht="15" hidden="false" customHeight="false" outlineLevel="0" collapsed="false">
      <c r="A2011" s="31" t="n">
        <v>2009</v>
      </c>
      <c r="B2011" s="43" t="s">
        <v>13930</v>
      </c>
      <c r="C2011" s="34" t="s">
        <v>13931</v>
      </c>
      <c r="D2011" s="44" t="s">
        <v>10681</v>
      </c>
      <c r="E2011" s="31"/>
      <c r="F2011" s="31" t="s">
        <v>9630</v>
      </c>
      <c r="G2011" s="31" t="n">
        <v>82</v>
      </c>
      <c r="H2011" s="31" t="s">
        <v>7168</v>
      </c>
      <c r="I2011" s="44" t="s">
        <v>9631</v>
      </c>
      <c r="J2011" s="45" t="s">
        <v>9632</v>
      </c>
      <c r="K2011" s="45" t="s">
        <v>9634</v>
      </c>
      <c r="L2011" s="31" t="n">
        <f aca="false">COUNTIF($B$3:$B$2205,$B2011)</f>
        <v>1</v>
      </c>
      <c r="M2011" s="44" t="str">
        <f aca="false">IFERROR(INDEX(SENTENCES!$T$3:$T$1802,MATCH($F2011,SENTENCES!$A$3:$A$1802,0)),"")</f>
        <v>• Chưa tới</v>
      </c>
    </row>
    <row r="2012" customFormat="false" ht="15" hidden="false" customHeight="false" outlineLevel="0" collapsed="false">
      <c r="A2012" s="31" t="n">
        <v>2010</v>
      </c>
      <c r="B2012" s="43" t="s">
        <v>13932</v>
      </c>
      <c r="C2012" s="34" t="s">
        <v>13933</v>
      </c>
      <c r="D2012" s="44" t="s">
        <v>10677</v>
      </c>
      <c r="E2012" s="31" t="s">
        <v>10707</v>
      </c>
      <c r="F2012" s="31" t="s">
        <v>9636</v>
      </c>
      <c r="G2012" s="31" t="n">
        <v>82</v>
      </c>
      <c r="H2012" s="31" t="s">
        <v>7168</v>
      </c>
      <c r="I2012" s="44" t="s">
        <v>9631</v>
      </c>
      <c r="J2012" s="45" t="s">
        <v>9638</v>
      </c>
      <c r="K2012" s="45" t="s">
        <v>9640</v>
      </c>
      <c r="L2012" s="31" t="n">
        <f aca="false">COUNTIF($B$3:$B$2205,$B2012)</f>
        <v>1</v>
      </c>
      <c r="M2012" s="44" t="str">
        <f aca="false">IFERROR(INDEX(SENTENCES!$T$3:$T$1802,MATCH($F2012,SENTENCES!$A$3:$A$1802,0)),"")</f>
        <v>• Chưa tới</v>
      </c>
    </row>
    <row r="2013" customFormat="false" ht="15" hidden="false" customHeight="false" outlineLevel="0" collapsed="false">
      <c r="A2013" s="31" t="n">
        <v>2011</v>
      </c>
      <c r="B2013" s="43" t="s">
        <v>13934</v>
      </c>
      <c r="C2013" s="34" t="s">
        <v>12473</v>
      </c>
      <c r="D2013" s="44" t="s">
        <v>10677</v>
      </c>
      <c r="E2013" s="31" t="s">
        <v>10707</v>
      </c>
      <c r="F2013" s="31" t="s">
        <v>9642</v>
      </c>
      <c r="G2013" s="31" t="n">
        <v>82</v>
      </c>
      <c r="H2013" s="31" t="s">
        <v>7168</v>
      </c>
      <c r="I2013" s="44" t="s">
        <v>9631</v>
      </c>
      <c r="J2013" s="45" t="s">
        <v>9644</v>
      </c>
      <c r="K2013" s="45" t="s">
        <v>9646</v>
      </c>
      <c r="L2013" s="31" t="n">
        <f aca="false">COUNTIF($B$3:$B$2205,$B2013)</f>
        <v>1</v>
      </c>
      <c r="M2013" s="44" t="str">
        <f aca="false">IFERROR(INDEX(SENTENCES!$T$3:$T$1802,MATCH($F2013,SENTENCES!$A$3:$A$1802,0)),"")</f>
        <v>• Chưa tới</v>
      </c>
    </row>
    <row r="2014" customFormat="false" ht="15" hidden="false" customHeight="false" outlineLevel="0" collapsed="false">
      <c r="A2014" s="31" t="n">
        <v>2012</v>
      </c>
      <c r="B2014" s="43" t="s">
        <v>13935</v>
      </c>
      <c r="C2014" s="34" t="s">
        <v>13936</v>
      </c>
      <c r="D2014" s="44" t="s">
        <v>10686</v>
      </c>
      <c r="E2014" s="31"/>
      <c r="F2014" s="31" t="s">
        <v>9648</v>
      </c>
      <c r="G2014" s="31" t="n">
        <v>82</v>
      </c>
      <c r="H2014" s="31" t="s">
        <v>7168</v>
      </c>
      <c r="I2014" s="44" t="s">
        <v>9631</v>
      </c>
      <c r="J2014" s="45" t="s">
        <v>9650</v>
      </c>
      <c r="K2014" s="45" t="s">
        <v>9652</v>
      </c>
      <c r="L2014" s="31" t="n">
        <f aca="false">COUNTIF($B$3:$B$2205,$B2014)</f>
        <v>1</v>
      </c>
      <c r="M2014" s="44" t="str">
        <f aca="false">IFERROR(INDEX(SENTENCES!$T$3:$T$1802,MATCH($F2014,SENTENCES!$A$3:$A$1802,0)),"")</f>
        <v>• Chưa tới</v>
      </c>
    </row>
    <row r="2015" customFormat="false" ht="15" hidden="false" customHeight="false" outlineLevel="0" collapsed="false">
      <c r="A2015" s="31" t="n">
        <v>2013</v>
      </c>
      <c r="B2015" s="43" t="s">
        <v>13937</v>
      </c>
      <c r="C2015" s="34" t="s">
        <v>13938</v>
      </c>
      <c r="D2015" s="44" t="s">
        <v>10794</v>
      </c>
      <c r="E2015" s="31"/>
      <c r="F2015" s="31" t="s">
        <v>9654</v>
      </c>
      <c r="G2015" s="31" t="n">
        <v>82</v>
      </c>
      <c r="H2015" s="31" t="s">
        <v>7168</v>
      </c>
      <c r="I2015" s="44" t="s">
        <v>9631</v>
      </c>
      <c r="J2015" s="45" t="s">
        <v>9656</v>
      </c>
      <c r="K2015" s="45" t="s">
        <v>9658</v>
      </c>
      <c r="L2015" s="31" t="n">
        <f aca="false">COUNTIF($B$3:$B$2205,$B2015)</f>
        <v>1</v>
      </c>
      <c r="M2015" s="44" t="str">
        <f aca="false">IFERROR(INDEX(SENTENCES!$T$3:$T$1802,MATCH($F2015,SENTENCES!$A$3:$A$1802,0)),"")</f>
        <v>• Chưa tới</v>
      </c>
    </row>
    <row r="2016" customFormat="false" ht="15" hidden="false" customHeight="false" outlineLevel="0" collapsed="false">
      <c r="A2016" s="31" t="n">
        <v>2014</v>
      </c>
      <c r="B2016" s="43" t="s">
        <v>13939</v>
      </c>
      <c r="C2016" s="34" t="s">
        <v>13940</v>
      </c>
      <c r="D2016" s="44" t="s">
        <v>10677</v>
      </c>
      <c r="E2016" s="31" t="s">
        <v>10678</v>
      </c>
      <c r="F2016" s="31" t="s">
        <v>9660</v>
      </c>
      <c r="G2016" s="31" t="n">
        <v>82</v>
      </c>
      <c r="H2016" s="31" t="s">
        <v>7168</v>
      </c>
      <c r="I2016" s="44" t="s">
        <v>9631</v>
      </c>
      <c r="J2016" s="45" t="s">
        <v>9662</v>
      </c>
      <c r="K2016" s="45" t="s">
        <v>9664</v>
      </c>
      <c r="L2016" s="31" t="n">
        <f aca="false">COUNTIF($B$3:$B$2205,$B2016)</f>
        <v>1</v>
      </c>
      <c r="M2016" s="44" t="str">
        <f aca="false">IFERROR(INDEX(SENTENCES!$T$3:$T$1802,MATCH($F2016,SENTENCES!$A$3:$A$1802,0)),"")</f>
        <v>• Chưa tới</v>
      </c>
    </row>
    <row r="2017" customFormat="false" ht="15" hidden="false" customHeight="false" outlineLevel="0" collapsed="false">
      <c r="A2017" s="31" t="n">
        <v>2015</v>
      </c>
      <c r="B2017" s="43" t="s">
        <v>12581</v>
      </c>
      <c r="C2017" s="34" t="s">
        <v>12364</v>
      </c>
      <c r="D2017" s="44" t="s">
        <v>10686</v>
      </c>
      <c r="E2017" s="31"/>
      <c r="F2017" s="31" t="s">
        <v>9660</v>
      </c>
      <c r="G2017" s="31" t="n">
        <v>82</v>
      </c>
      <c r="H2017" s="31" t="s">
        <v>7168</v>
      </c>
      <c r="I2017" s="44" t="s">
        <v>9631</v>
      </c>
      <c r="J2017" s="45" t="s">
        <v>9662</v>
      </c>
      <c r="K2017" s="45" t="s">
        <v>9664</v>
      </c>
      <c r="L2017" s="31" t="n">
        <f aca="false">COUNTIF($B$3:$B$2205,$B2017)</f>
        <v>2</v>
      </c>
      <c r="M2017" s="44" t="str">
        <f aca="false">IFERROR(INDEX(SENTENCES!$T$3:$T$1802,MATCH($F2017,SENTENCES!$A$3:$A$1802,0)),"")</f>
        <v>• Chưa tới</v>
      </c>
    </row>
    <row r="2018" customFormat="false" ht="15" hidden="false" customHeight="false" outlineLevel="0" collapsed="false">
      <c r="A2018" s="31" t="n">
        <v>2016</v>
      </c>
      <c r="B2018" s="43" t="s">
        <v>13941</v>
      </c>
      <c r="C2018" s="34" t="s">
        <v>13942</v>
      </c>
      <c r="D2018" s="44" t="s">
        <v>10686</v>
      </c>
      <c r="E2018" s="31"/>
      <c r="F2018" s="31" t="s">
        <v>9666</v>
      </c>
      <c r="G2018" s="31" t="n">
        <v>82</v>
      </c>
      <c r="H2018" s="31" t="s">
        <v>7168</v>
      </c>
      <c r="I2018" s="44" t="s">
        <v>9631</v>
      </c>
      <c r="J2018" s="45" t="s">
        <v>9668</v>
      </c>
      <c r="K2018" s="45" t="s">
        <v>9670</v>
      </c>
      <c r="L2018" s="31" t="n">
        <f aca="false">COUNTIF($B$3:$B$2205,$B2018)</f>
        <v>1</v>
      </c>
      <c r="M2018" s="44" t="str">
        <f aca="false">IFERROR(INDEX(SENTENCES!$T$3:$T$1802,MATCH($F2018,SENTENCES!$A$3:$A$1802,0)),"")</f>
        <v>• Chưa tới</v>
      </c>
    </row>
    <row r="2019" customFormat="false" ht="15" hidden="false" customHeight="false" outlineLevel="0" collapsed="false">
      <c r="A2019" s="31" t="n">
        <v>2017</v>
      </c>
      <c r="B2019" s="43" t="s">
        <v>13943</v>
      </c>
      <c r="C2019" s="34" t="s">
        <v>13944</v>
      </c>
      <c r="D2019" s="44" t="s">
        <v>10677</v>
      </c>
      <c r="E2019" s="31" t="s">
        <v>10678</v>
      </c>
      <c r="F2019" s="31" t="s">
        <v>9672</v>
      </c>
      <c r="G2019" s="31" t="n">
        <v>82</v>
      </c>
      <c r="H2019" s="31" t="s">
        <v>7168</v>
      </c>
      <c r="I2019" s="44" t="s">
        <v>9631</v>
      </c>
      <c r="J2019" s="45" t="s">
        <v>9674</v>
      </c>
      <c r="K2019" s="45" t="s">
        <v>9676</v>
      </c>
      <c r="L2019" s="31" t="n">
        <f aca="false">COUNTIF($B$3:$B$2205,$B2019)</f>
        <v>1</v>
      </c>
      <c r="M2019" s="44" t="str">
        <f aca="false">IFERROR(INDEX(SENTENCES!$T$3:$T$1802,MATCH($F2019,SENTENCES!$A$3:$A$1802,0)),"")</f>
        <v>• Chưa tới</v>
      </c>
    </row>
    <row r="2020" customFormat="false" ht="15" hidden="false" customHeight="false" outlineLevel="0" collapsed="false">
      <c r="A2020" s="31" t="n">
        <v>2018</v>
      </c>
      <c r="B2020" s="43" t="s">
        <v>12612</v>
      </c>
      <c r="C2020" s="34" t="s">
        <v>13945</v>
      </c>
      <c r="D2020" s="44" t="s">
        <v>10754</v>
      </c>
      <c r="E2020" s="31"/>
      <c r="F2020" s="31" t="s">
        <v>9678</v>
      </c>
      <c r="G2020" s="31" t="n">
        <v>82</v>
      </c>
      <c r="H2020" s="31" t="s">
        <v>7168</v>
      </c>
      <c r="I2020" s="44" t="s">
        <v>9631</v>
      </c>
      <c r="J2020" s="45" t="s">
        <v>9679</v>
      </c>
      <c r="K2020" s="45" t="s">
        <v>9681</v>
      </c>
      <c r="L2020" s="31" t="n">
        <f aca="false">COUNTIF($B$3:$B$2205,$B2020)</f>
        <v>2</v>
      </c>
      <c r="M2020" s="44" t="str">
        <f aca="false">IFERROR(INDEX(SENTENCES!$T$3:$T$1802,MATCH($F2020,SENTENCES!$A$3:$A$1802,0)),"")</f>
        <v>• Chưa tới</v>
      </c>
    </row>
    <row r="2021" customFormat="false" ht="22.35" hidden="false" customHeight="false" outlineLevel="0" collapsed="false">
      <c r="A2021" s="31" t="n">
        <v>2019</v>
      </c>
      <c r="B2021" s="43" t="s">
        <v>13946</v>
      </c>
      <c r="C2021" s="34" t="s">
        <v>13947</v>
      </c>
      <c r="D2021" s="44" t="s">
        <v>10677</v>
      </c>
      <c r="E2021" s="31" t="s">
        <v>10707</v>
      </c>
      <c r="F2021" s="31" t="s">
        <v>9683</v>
      </c>
      <c r="G2021" s="31" t="n">
        <v>82</v>
      </c>
      <c r="H2021" s="31" t="s">
        <v>7168</v>
      </c>
      <c r="I2021" s="44" t="s">
        <v>9631</v>
      </c>
      <c r="J2021" s="45" t="s">
        <v>9685</v>
      </c>
      <c r="K2021" s="45" t="s">
        <v>9687</v>
      </c>
      <c r="L2021" s="31" t="n">
        <f aca="false">COUNTIF($B$3:$B$2205,$B2021)</f>
        <v>1</v>
      </c>
      <c r="M2021" s="44" t="str">
        <f aca="false">IFERROR(INDEX(SENTENCES!$T$3:$T$1802,MATCH($F2021,SENTENCES!$A$3:$A$1802,0)),"")</f>
        <v>• Chưa tới</v>
      </c>
    </row>
    <row r="2022" customFormat="false" ht="15" hidden="false" customHeight="false" outlineLevel="0" collapsed="false">
      <c r="A2022" s="31" t="n">
        <v>2020</v>
      </c>
      <c r="B2022" s="43" t="s">
        <v>13948</v>
      </c>
      <c r="C2022" s="34" t="s">
        <v>13949</v>
      </c>
      <c r="D2022" s="44" t="s">
        <v>10686</v>
      </c>
      <c r="E2022" s="31"/>
      <c r="F2022" s="31" t="s">
        <v>9689</v>
      </c>
      <c r="G2022" s="31" t="n">
        <v>82</v>
      </c>
      <c r="H2022" s="31" t="s">
        <v>7168</v>
      </c>
      <c r="I2022" s="44" t="s">
        <v>9631</v>
      </c>
      <c r="J2022" s="45" t="s">
        <v>9691</v>
      </c>
      <c r="K2022" s="45" t="s">
        <v>9693</v>
      </c>
      <c r="L2022" s="31" t="n">
        <f aca="false">COUNTIF($B$3:$B$2205,$B2022)</f>
        <v>1</v>
      </c>
      <c r="M2022" s="44" t="str">
        <f aca="false">IFERROR(INDEX(SENTENCES!$T$3:$T$1802,MATCH($F2022,SENTENCES!$A$3:$A$1802,0)),"")</f>
        <v>• Chưa tới</v>
      </c>
    </row>
    <row r="2023" customFormat="false" ht="15" hidden="false" customHeight="false" outlineLevel="0" collapsed="false">
      <c r="A2023" s="31" t="n">
        <v>2021</v>
      </c>
      <c r="B2023" s="43" t="s">
        <v>13950</v>
      </c>
      <c r="C2023" s="34" t="s">
        <v>12014</v>
      </c>
      <c r="D2023" s="44" t="s">
        <v>10681</v>
      </c>
      <c r="E2023" s="31"/>
      <c r="F2023" s="31" t="s">
        <v>9689</v>
      </c>
      <c r="G2023" s="31" t="n">
        <v>82</v>
      </c>
      <c r="H2023" s="31" t="s">
        <v>7168</v>
      </c>
      <c r="I2023" s="44" t="s">
        <v>9631</v>
      </c>
      <c r="J2023" s="45" t="s">
        <v>9691</v>
      </c>
      <c r="K2023" s="45" t="s">
        <v>9693</v>
      </c>
      <c r="L2023" s="31" t="n">
        <f aca="false">COUNTIF($B$3:$B$2205,$B2023)</f>
        <v>1</v>
      </c>
      <c r="M2023" s="44" t="str">
        <f aca="false">IFERROR(INDEX(SENTENCES!$T$3:$T$1802,MATCH($F2023,SENTENCES!$A$3:$A$1802,0)),"")</f>
        <v>• Chưa tới</v>
      </c>
    </row>
    <row r="2024" customFormat="false" ht="15" hidden="false" customHeight="false" outlineLevel="0" collapsed="false">
      <c r="A2024" s="31" t="n">
        <v>2022</v>
      </c>
      <c r="B2024" s="43" t="s">
        <v>13951</v>
      </c>
      <c r="C2024" s="34" t="s">
        <v>13952</v>
      </c>
      <c r="D2024" s="44" t="s">
        <v>10677</v>
      </c>
      <c r="E2024" s="31" t="s">
        <v>10707</v>
      </c>
      <c r="F2024" s="31" t="s">
        <v>9695</v>
      </c>
      <c r="G2024" s="31" t="n">
        <v>82</v>
      </c>
      <c r="H2024" s="31" t="s">
        <v>7168</v>
      </c>
      <c r="I2024" s="44" t="s">
        <v>9631</v>
      </c>
      <c r="J2024" s="45" t="s">
        <v>9697</v>
      </c>
      <c r="K2024" s="45" t="s">
        <v>9699</v>
      </c>
      <c r="L2024" s="31" t="n">
        <f aca="false">COUNTIF($B$3:$B$2205,$B2024)</f>
        <v>1</v>
      </c>
      <c r="M2024" s="44" t="str">
        <f aca="false">IFERROR(INDEX(SENTENCES!$T$3:$T$1802,MATCH($F2024,SENTENCES!$A$3:$A$1802,0)),"")</f>
        <v>• Chưa tới</v>
      </c>
    </row>
    <row r="2025" customFormat="false" ht="15" hidden="false" customHeight="false" outlineLevel="0" collapsed="false">
      <c r="A2025" s="31" t="n">
        <v>2023</v>
      </c>
      <c r="B2025" s="43" t="s">
        <v>13953</v>
      </c>
      <c r="C2025" s="34" t="s">
        <v>13954</v>
      </c>
      <c r="D2025" s="44" t="s">
        <v>10686</v>
      </c>
      <c r="E2025" s="31"/>
      <c r="F2025" s="31" t="s">
        <v>9701</v>
      </c>
      <c r="G2025" s="31" t="n">
        <v>82</v>
      </c>
      <c r="H2025" s="31" t="s">
        <v>7168</v>
      </c>
      <c r="I2025" s="44" t="s">
        <v>9631</v>
      </c>
      <c r="J2025" s="45" t="s">
        <v>9702</v>
      </c>
      <c r="K2025" s="45" t="s">
        <v>9704</v>
      </c>
      <c r="L2025" s="31" t="n">
        <f aca="false">COUNTIF($B$3:$B$2205,$B2025)</f>
        <v>1</v>
      </c>
      <c r="M2025" s="44" t="str">
        <f aca="false">IFERROR(INDEX(SENTENCES!$T$3:$T$1802,MATCH($F2025,SENTENCES!$A$3:$A$1802,0)),"")</f>
        <v>• Chưa tới</v>
      </c>
    </row>
    <row r="2026" customFormat="false" ht="15" hidden="false" customHeight="false" outlineLevel="0" collapsed="false">
      <c r="A2026" s="31" t="n">
        <v>2024</v>
      </c>
      <c r="B2026" s="43" t="s">
        <v>13955</v>
      </c>
      <c r="C2026" s="34" t="s">
        <v>13956</v>
      </c>
      <c r="D2026" s="44" t="s">
        <v>10677</v>
      </c>
      <c r="E2026" s="31" t="s">
        <v>10707</v>
      </c>
      <c r="F2026" s="31" t="s">
        <v>9706</v>
      </c>
      <c r="G2026" s="31" t="n">
        <v>82</v>
      </c>
      <c r="H2026" s="31" t="s">
        <v>7168</v>
      </c>
      <c r="I2026" s="44" t="s">
        <v>9631</v>
      </c>
      <c r="J2026" s="45" t="s">
        <v>9708</v>
      </c>
      <c r="K2026" s="45" t="s">
        <v>9710</v>
      </c>
      <c r="L2026" s="31" t="n">
        <f aca="false">COUNTIF($B$3:$B$2205,$B2026)</f>
        <v>1</v>
      </c>
      <c r="M2026" s="44" t="str">
        <f aca="false">IFERROR(INDEX(SENTENCES!$T$3:$T$1802,MATCH($F2026,SENTENCES!$A$3:$A$1802,0)),"")</f>
        <v>• Chưa tới</v>
      </c>
    </row>
    <row r="2027" customFormat="false" ht="15" hidden="false" customHeight="false" outlineLevel="0" collapsed="false">
      <c r="A2027" s="31" t="n">
        <v>2025</v>
      </c>
      <c r="B2027" s="43" t="s">
        <v>13957</v>
      </c>
      <c r="C2027" s="34" t="s">
        <v>13958</v>
      </c>
      <c r="D2027" s="44" t="s">
        <v>10677</v>
      </c>
      <c r="E2027" s="31" t="s">
        <v>10707</v>
      </c>
      <c r="F2027" s="31" t="s">
        <v>9712</v>
      </c>
      <c r="G2027" s="31" t="n">
        <v>82</v>
      </c>
      <c r="H2027" s="31" t="s">
        <v>7168</v>
      </c>
      <c r="I2027" s="44" t="s">
        <v>9631</v>
      </c>
      <c r="J2027" s="45" t="s">
        <v>9714</v>
      </c>
      <c r="K2027" s="45" t="s">
        <v>9716</v>
      </c>
      <c r="L2027" s="31" t="n">
        <f aca="false">COUNTIF($B$3:$B$2205,$B2027)</f>
        <v>2</v>
      </c>
      <c r="M2027" s="44" t="str">
        <f aca="false">IFERROR(INDEX(SENTENCES!$T$3:$T$1802,MATCH($F2027,SENTENCES!$A$3:$A$1802,0)),"")</f>
        <v>• Chưa tới</v>
      </c>
    </row>
    <row r="2028" customFormat="false" ht="15" hidden="false" customHeight="false" outlineLevel="0" collapsed="false">
      <c r="A2028" s="31" t="n">
        <v>2026</v>
      </c>
      <c r="B2028" s="43" t="s">
        <v>13959</v>
      </c>
      <c r="C2028" s="34" t="s">
        <v>13960</v>
      </c>
      <c r="D2028" s="44" t="s">
        <v>10677</v>
      </c>
      <c r="E2028" s="31" t="s">
        <v>10707</v>
      </c>
      <c r="F2028" s="31" t="s">
        <v>9712</v>
      </c>
      <c r="G2028" s="31" t="n">
        <v>82</v>
      </c>
      <c r="H2028" s="31" t="s">
        <v>7168</v>
      </c>
      <c r="I2028" s="44" t="s">
        <v>9631</v>
      </c>
      <c r="J2028" s="45" t="s">
        <v>9714</v>
      </c>
      <c r="K2028" s="45" t="s">
        <v>9716</v>
      </c>
      <c r="L2028" s="31" t="n">
        <f aca="false">COUNTIF($B$3:$B$2205,$B2028)</f>
        <v>1</v>
      </c>
      <c r="M2028" s="44" t="str">
        <f aca="false">IFERROR(INDEX(SENTENCES!$T$3:$T$1802,MATCH($F2028,SENTENCES!$A$3:$A$1802,0)),"")</f>
        <v>• Chưa tới</v>
      </c>
    </row>
    <row r="2029" customFormat="false" ht="15" hidden="false" customHeight="false" outlineLevel="0" collapsed="false">
      <c r="A2029" s="31" t="n">
        <v>2027</v>
      </c>
      <c r="B2029" s="43" t="s">
        <v>13961</v>
      </c>
      <c r="C2029" s="34" t="s">
        <v>13962</v>
      </c>
      <c r="D2029" s="44" t="s">
        <v>10794</v>
      </c>
      <c r="E2029" s="31"/>
      <c r="F2029" s="31" t="s">
        <v>9718</v>
      </c>
      <c r="G2029" s="31" t="n">
        <v>82</v>
      </c>
      <c r="H2029" s="31" t="s">
        <v>7168</v>
      </c>
      <c r="I2029" s="44" t="s">
        <v>9631</v>
      </c>
      <c r="J2029" s="45" t="s">
        <v>9719</v>
      </c>
      <c r="K2029" s="45" t="s">
        <v>9721</v>
      </c>
      <c r="L2029" s="31" t="n">
        <f aca="false">COUNTIF($B$3:$B$2205,$B2029)</f>
        <v>1</v>
      </c>
      <c r="M2029" s="44" t="str">
        <f aca="false">IFERROR(INDEX(SENTENCES!$T$3:$T$1802,MATCH($F2029,SENTENCES!$A$3:$A$1802,0)),"")</f>
        <v>• Chưa tới</v>
      </c>
    </row>
    <row r="2030" customFormat="false" ht="15" hidden="false" customHeight="false" outlineLevel="0" collapsed="false">
      <c r="A2030" s="31" t="n">
        <v>2028</v>
      </c>
      <c r="B2030" s="43" t="s">
        <v>13963</v>
      </c>
      <c r="C2030" s="34" t="s">
        <v>13964</v>
      </c>
      <c r="D2030" s="44" t="s">
        <v>10677</v>
      </c>
      <c r="E2030" s="31" t="s">
        <v>10707</v>
      </c>
      <c r="F2030" s="31" t="s">
        <v>9723</v>
      </c>
      <c r="G2030" s="31" t="n">
        <v>82</v>
      </c>
      <c r="H2030" s="31" t="s">
        <v>7168</v>
      </c>
      <c r="I2030" s="44" t="s">
        <v>9631</v>
      </c>
      <c r="J2030" s="45" t="s">
        <v>9725</v>
      </c>
      <c r="K2030" s="45" t="s">
        <v>9727</v>
      </c>
      <c r="L2030" s="31" t="n">
        <f aca="false">COUNTIF($B$3:$B$2205,$B2030)</f>
        <v>1</v>
      </c>
      <c r="M2030" s="44" t="str">
        <f aca="false">IFERROR(INDEX(SENTENCES!$T$3:$T$1802,MATCH($F2030,SENTENCES!$A$3:$A$1802,0)),"")</f>
        <v>• Chưa tới</v>
      </c>
    </row>
    <row r="2031" customFormat="false" ht="15" hidden="false" customHeight="false" outlineLevel="0" collapsed="false">
      <c r="A2031" s="31" t="n">
        <v>2029</v>
      </c>
      <c r="B2031" s="43" t="s">
        <v>13965</v>
      </c>
      <c r="C2031" s="34" t="s">
        <v>13966</v>
      </c>
      <c r="D2031" s="44" t="s">
        <v>10677</v>
      </c>
      <c r="E2031" s="31" t="s">
        <v>10747</v>
      </c>
      <c r="F2031" s="31" t="s">
        <v>9729</v>
      </c>
      <c r="G2031" s="31" t="n">
        <v>82</v>
      </c>
      <c r="H2031" s="31" t="s">
        <v>7168</v>
      </c>
      <c r="I2031" s="44" t="s">
        <v>9631</v>
      </c>
      <c r="J2031" s="45" t="s">
        <v>9731</v>
      </c>
      <c r="K2031" s="45" t="s">
        <v>9733</v>
      </c>
      <c r="L2031" s="31" t="n">
        <f aca="false">COUNTIF($B$3:$B$2205,$B2031)</f>
        <v>1</v>
      </c>
      <c r="M2031" s="44" t="str">
        <f aca="false">IFERROR(INDEX(SENTENCES!$T$3:$T$1802,MATCH($F2031,SENTENCES!$A$3:$A$1802,0)),"")</f>
        <v>• Chưa tới</v>
      </c>
    </row>
    <row r="2032" customFormat="false" ht="15" hidden="false" customHeight="false" outlineLevel="0" collapsed="false">
      <c r="A2032" s="31" t="n">
        <v>2030</v>
      </c>
      <c r="B2032" s="43" t="s">
        <v>13967</v>
      </c>
      <c r="C2032" s="34" t="s">
        <v>13968</v>
      </c>
      <c r="D2032" s="44" t="s">
        <v>10686</v>
      </c>
      <c r="E2032" s="31"/>
      <c r="F2032" s="31" t="s">
        <v>9729</v>
      </c>
      <c r="G2032" s="31" t="n">
        <v>82</v>
      </c>
      <c r="H2032" s="31" t="s">
        <v>7168</v>
      </c>
      <c r="I2032" s="44" t="s">
        <v>9631</v>
      </c>
      <c r="J2032" s="45" t="s">
        <v>9731</v>
      </c>
      <c r="K2032" s="45" t="s">
        <v>9733</v>
      </c>
      <c r="L2032" s="31" t="n">
        <f aca="false">COUNTIF($B$3:$B$2205,$B2032)</f>
        <v>1</v>
      </c>
      <c r="M2032" s="44" t="str">
        <f aca="false">IFERROR(INDEX(SENTENCES!$T$3:$T$1802,MATCH($F2032,SENTENCES!$A$3:$A$1802,0)),"")</f>
        <v>• Chưa tới</v>
      </c>
    </row>
    <row r="2033" customFormat="false" ht="15" hidden="false" customHeight="false" outlineLevel="0" collapsed="false">
      <c r="A2033" s="31" t="n">
        <v>2031</v>
      </c>
      <c r="B2033" s="43" t="s">
        <v>13969</v>
      </c>
      <c r="C2033" s="34" t="s">
        <v>13970</v>
      </c>
      <c r="D2033" s="44" t="s">
        <v>10794</v>
      </c>
      <c r="E2033" s="31"/>
      <c r="F2033" s="31" t="s">
        <v>9735</v>
      </c>
      <c r="G2033" s="31" t="n">
        <v>82</v>
      </c>
      <c r="H2033" s="31" t="s">
        <v>7168</v>
      </c>
      <c r="I2033" s="44" t="s">
        <v>9631</v>
      </c>
      <c r="J2033" s="45" t="s">
        <v>9737</v>
      </c>
      <c r="K2033" s="45" t="s">
        <v>9739</v>
      </c>
      <c r="L2033" s="31" t="n">
        <f aca="false">COUNTIF($B$3:$B$2205,$B2033)</f>
        <v>1</v>
      </c>
      <c r="M2033" s="44" t="str">
        <f aca="false">IFERROR(INDEX(SENTENCES!$T$3:$T$1802,MATCH($F2033,SENTENCES!$A$3:$A$1802,0)),"")</f>
        <v>• Chưa tới</v>
      </c>
    </row>
    <row r="2034" customFormat="false" ht="15" hidden="false" customHeight="false" outlineLevel="0" collapsed="false">
      <c r="A2034" s="31" t="n">
        <v>2032</v>
      </c>
      <c r="B2034" s="43" t="s">
        <v>13971</v>
      </c>
      <c r="C2034" s="34" t="s">
        <v>13972</v>
      </c>
      <c r="D2034" s="44" t="s">
        <v>10677</v>
      </c>
      <c r="E2034" s="31" t="s">
        <v>10707</v>
      </c>
      <c r="F2034" s="31" t="s">
        <v>9741</v>
      </c>
      <c r="G2034" s="31" t="n">
        <v>82</v>
      </c>
      <c r="H2034" s="31" t="s">
        <v>7168</v>
      </c>
      <c r="I2034" s="44" t="s">
        <v>9631</v>
      </c>
      <c r="J2034" s="45" t="s">
        <v>9742</v>
      </c>
      <c r="K2034" s="45" t="s">
        <v>9744</v>
      </c>
      <c r="L2034" s="31" t="n">
        <f aca="false">COUNTIF($B$3:$B$2205,$B2034)</f>
        <v>1</v>
      </c>
      <c r="M2034" s="44" t="str">
        <f aca="false">IFERROR(INDEX(SENTENCES!$T$3:$T$1802,MATCH($F2034,SENTENCES!$A$3:$A$1802,0)),"")</f>
        <v>• Chưa tới</v>
      </c>
    </row>
    <row r="2035" customFormat="false" ht="15" hidden="false" customHeight="false" outlineLevel="0" collapsed="false">
      <c r="A2035" s="31" t="n">
        <v>2033</v>
      </c>
      <c r="B2035" s="43" t="s">
        <v>13973</v>
      </c>
      <c r="C2035" s="34" t="s">
        <v>13974</v>
      </c>
      <c r="D2035" s="44" t="s">
        <v>10754</v>
      </c>
      <c r="E2035" s="31"/>
      <c r="F2035" s="31" t="s">
        <v>9746</v>
      </c>
      <c r="G2035" s="31" t="n">
        <v>83</v>
      </c>
      <c r="H2035" s="31" t="s">
        <v>7168</v>
      </c>
      <c r="I2035" s="44" t="s">
        <v>9747</v>
      </c>
      <c r="J2035" s="45" t="s">
        <v>9749</v>
      </c>
      <c r="K2035" s="45" t="s">
        <v>9751</v>
      </c>
      <c r="L2035" s="31" t="n">
        <f aca="false">COUNTIF($B$3:$B$2205,$B2035)</f>
        <v>1</v>
      </c>
      <c r="M2035" s="44" t="str">
        <f aca="false">IFERROR(INDEX(SENTENCES!$T$3:$T$1802,MATCH($F2035,SENTENCES!$A$3:$A$1802,0)),"")</f>
        <v>• Chưa tới</v>
      </c>
    </row>
    <row r="2036" customFormat="false" ht="15" hidden="false" customHeight="false" outlineLevel="0" collapsed="false">
      <c r="A2036" s="31" t="n">
        <v>2034</v>
      </c>
      <c r="B2036" s="43" t="s">
        <v>13034</v>
      </c>
      <c r="C2036" s="34" t="s">
        <v>13975</v>
      </c>
      <c r="D2036" s="44" t="s">
        <v>10686</v>
      </c>
      <c r="E2036" s="31"/>
      <c r="F2036" s="31" t="s">
        <v>9753</v>
      </c>
      <c r="G2036" s="31" t="n">
        <v>83</v>
      </c>
      <c r="H2036" s="31" t="s">
        <v>7168</v>
      </c>
      <c r="I2036" s="44" t="s">
        <v>9747</v>
      </c>
      <c r="J2036" s="45" t="s">
        <v>9755</v>
      </c>
      <c r="K2036" s="45" t="s">
        <v>9757</v>
      </c>
      <c r="L2036" s="31" t="n">
        <f aca="false">COUNTIF($B$3:$B$2205,$B2036)</f>
        <v>2</v>
      </c>
      <c r="M2036" s="44" t="str">
        <f aca="false">IFERROR(INDEX(SENTENCES!$T$3:$T$1802,MATCH($F2036,SENTENCES!$A$3:$A$1802,0)),"")</f>
        <v>• Chưa tới</v>
      </c>
    </row>
    <row r="2037" customFormat="false" ht="15" hidden="false" customHeight="false" outlineLevel="0" collapsed="false">
      <c r="A2037" s="31" t="n">
        <v>2035</v>
      </c>
      <c r="B2037" s="43" t="s">
        <v>13976</v>
      </c>
      <c r="C2037" s="34" t="s">
        <v>13977</v>
      </c>
      <c r="D2037" s="44" t="s">
        <v>10686</v>
      </c>
      <c r="E2037" s="31"/>
      <c r="F2037" s="31" t="s">
        <v>9759</v>
      </c>
      <c r="G2037" s="31" t="n">
        <v>83</v>
      </c>
      <c r="H2037" s="31" t="s">
        <v>7168</v>
      </c>
      <c r="I2037" s="44" t="s">
        <v>9747</v>
      </c>
      <c r="J2037" s="45" t="s">
        <v>9761</v>
      </c>
      <c r="K2037" s="45" t="s">
        <v>9763</v>
      </c>
      <c r="L2037" s="31" t="n">
        <f aca="false">COUNTIF($B$3:$B$2205,$B2037)</f>
        <v>1</v>
      </c>
      <c r="M2037" s="44" t="str">
        <f aca="false">IFERROR(INDEX(SENTENCES!$T$3:$T$1802,MATCH($F2037,SENTENCES!$A$3:$A$1802,0)),"")</f>
        <v>• Chưa tới</v>
      </c>
    </row>
    <row r="2038" customFormat="false" ht="15" hidden="false" customHeight="false" outlineLevel="0" collapsed="false">
      <c r="A2038" s="31" t="n">
        <v>2036</v>
      </c>
      <c r="B2038" s="43" t="s">
        <v>13978</v>
      </c>
      <c r="C2038" s="34" t="s">
        <v>13979</v>
      </c>
      <c r="D2038" s="44" t="s">
        <v>10681</v>
      </c>
      <c r="E2038" s="31"/>
      <c r="F2038" s="31" t="s">
        <v>9759</v>
      </c>
      <c r="G2038" s="31" t="n">
        <v>83</v>
      </c>
      <c r="H2038" s="31" t="s">
        <v>7168</v>
      </c>
      <c r="I2038" s="44" t="s">
        <v>9747</v>
      </c>
      <c r="J2038" s="45" t="s">
        <v>9761</v>
      </c>
      <c r="K2038" s="45" t="s">
        <v>9763</v>
      </c>
      <c r="L2038" s="31" t="n">
        <f aca="false">COUNTIF($B$3:$B$2205,$B2038)</f>
        <v>1</v>
      </c>
      <c r="M2038" s="44" t="str">
        <f aca="false">IFERROR(INDEX(SENTENCES!$T$3:$T$1802,MATCH($F2038,SENTENCES!$A$3:$A$1802,0)),"")</f>
        <v>• Chưa tới</v>
      </c>
    </row>
    <row r="2039" customFormat="false" ht="15" hidden="false" customHeight="false" outlineLevel="0" collapsed="false">
      <c r="A2039" s="31" t="n">
        <v>2037</v>
      </c>
      <c r="B2039" s="43" t="s">
        <v>9766</v>
      </c>
      <c r="C2039" s="34" t="s">
        <v>13980</v>
      </c>
      <c r="D2039" s="44" t="s">
        <v>10794</v>
      </c>
      <c r="E2039" s="31"/>
      <c r="F2039" s="31" t="s">
        <v>9765</v>
      </c>
      <c r="G2039" s="31" t="n">
        <v>83</v>
      </c>
      <c r="H2039" s="31" t="s">
        <v>7168</v>
      </c>
      <c r="I2039" s="44" t="s">
        <v>9747</v>
      </c>
      <c r="J2039" s="45" t="s">
        <v>9767</v>
      </c>
      <c r="K2039" s="45" t="s">
        <v>9769</v>
      </c>
      <c r="L2039" s="31" t="n">
        <f aca="false">COUNTIF($B$3:$B$2205,$B2039)</f>
        <v>1</v>
      </c>
      <c r="M2039" s="44" t="str">
        <f aca="false">IFERROR(INDEX(SENTENCES!$T$3:$T$1802,MATCH($F2039,SENTENCES!$A$3:$A$1802,0)),"")</f>
        <v>• Chưa tới</v>
      </c>
    </row>
    <row r="2040" customFormat="false" ht="15" hidden="false" customHeight="false" outlineLevel="0" collapsed="false">
      <c r="A2040" s="31" t="n">
        <v>2038</v>
      </c>
      <c r="B2040" s="43" t="s">
        <v>11225</v>
      </c>
      <c r="C2040" s="34" t="s">
        <v>13981</v>
      </c>
      <c r="D2040" s="44" t="s">
        <v>10686</v>
      </c>
      <c r="E2040" s="31"/>
      <c r="F2040" s="31" t="s">
        <v>9771</v>
      </c>
      <c r="G2040" s="31" t="n">
        <v>83</v>
      </c>
      <c r="H2040" s="31" t="s">
        <v>7168</v>
      </c>
      <c r="I2040" s="44" t="s">
        <v>9747</v>
      </c>
      <c r="J2040" s="45" t="s">
        <v>9773</v>
      </c>
      <c r="K2040" s="45" t="s">
        <v>9775</v>
      </c>
      <c r="L2040" s="31" t="n">
        <f aca="false">COUNTIF($B$3:$B$2205,$B2040)</f>
        <v>2</v>
      </c>
      <c r="M2040" s="44" t="str">
        <f aca="false">IFERROR(INDEX(SENTENCES!$T$3:$T$1802,MATCH($F2040,SENTENCES!$A$3:$A$1802,0)),"")</f>
        <v>• Chưa tới</v>
      </c>
    </row>
    <row r="2041" customFormat="false" ht="15" hidden="false" customHeight="false" outlineLevel="0" collapsed="false">
      <c r="A2041" s="31" t="n">
        <v>2039</v>
      </c>
      <c r="B2041" s="43" t="s">
        <v>9091</v>
      </c>
      <c r="C2041" s="34" t="s">
        <v>12459</v>
      </c>
      <c r="D2041" s="44" t="s">
        <v>10754</v>
      </c>
      <c r="E2041" s="31"/>
      <c r="F2041" s="31" t="s">
        <v>9777</v>
      </c>
      <c r="G2041" s="31" t="n">
        <v>83</v>
      </c>
      <c r="H2041" s="31" t="s">
        <v>7168</v>
      </c>
      <c r="I2041" s="44" t="s">
        <v>9747</v>
      </c>
      <c r="J2041" s="45" t="s">
        <v>9779</v>
      </c>
      <c r="K2041" s="45" t="s">
        <v>9781</v>
      </c>
      <c r="L2041" s="31" t="n">
        <f aca="false">COUNTIF($B$3:$B$2205,$B2041)</f>
        <v>3</v>
      </c>
      <c r="M2041" s="44" t="str">
        <f aca="false">IFERROR(INDEX(SENTENCES!$T$3:$T$1802,MATCH($F2041,SENTENCES!$A$3:$A$1802,0)),"")</f>
        <v>• Chưa tới</v>
      </c>
    </row>
    <row r="2042" customFormat="false" ht="15" hidden="false" customHeight="false" outlineLevel="0" collapsed="false">
      <c r="A2042" s="31" t="n">
        <v>2040</v>
      </c>
      <c r="B2042" s="43" t="s">
        <v>13982</v>
      </c>
      <c r="C2042" s="34" t="s">
        <v>13983</v>
      </c>
      <c r="D2042" s="44" t="s">
        <v>10677</v>
      </c>
      <c r="E2042" s="31" t="s">
        <v>10678</v>
      </c>
      <c r="F2042" s="31" t="s">
        <v>9782</v>
      </c>
      <c r="G2042" s="31" t="n">
        <v>83</v>
      </c>
      <c r="H2042" s="31" t="s">
        <v>7168</v>
      </c>
      <c r="I2042" s="44" t="s">
        <v>9747</v>
      </c>
      <c r="J2042" s="45" t="s">
        <v>9784</v>
      </c>
      <c r="K2042" s="45" t="s">
        <v>9786</v>
      </c>
      <c r="L2042" s="31" t="n">
        <f aca="false">COUNTIF($B$3:$B$2205,$B2042)</f>
        <v>1</v>
      </c>
      <c r="M2042" s="44" t="str">
        <f aca="false">IFERROR(INDEX(SENTENCES!$T$3:$T$1802,MATCH($F2042,SENTENCES!$A$3:$A$1802,0)),"")</f>
        <v>• Chưa tới</v>
      </c>
    </row>
    <row r="2043" customFormat="false" ht="15" hidden="false" customHeight="false" outlineLevel="0" collapsed="false">
      <c r="A2043" s="31" t="n">
        <v>2041</v>
      </c>
      <c r="B2043" s="43" t="s">
        <v>13984</v>
      </c>
      <c r="C2043" s="34" t="s">
        <v>13985</v>
      </c>
      <c r="D2043" s="44" t="s">
        <v>10677</v>
      </c>
      <c r="E2043" s="31" t="s">
        <v>10707</v>
      </c>
      <c r="F2043" s="31" t="s">
        <v>9782</v>
      </c>
      <c r="G2043" s="31" t="n">
        <v>83</v>
      </c>
      <c r="H2043" s="31" t="s">
        <v>7168</v>
      </c>
      <c r="I2043" s="44" t="s">
        <v>9747</v>
      </c>
      <c r="J2043" s="45" t="s">
        <v>9784</v>
      </c>
      <c r="K2043" s="45" t="s">
        <v>9786</v>
      </c>
      <c r="L2043" s="31" t="n">
        <f aca="false">COUNTIF($B$3:$B$2205,$B2043)</f>
        <v>1</v>
      </c>
      <c r="M2043" s="44" t="str">
        <f aca="false">IFERROR(INDEX(SENTENCES!$T$3:$T$1802,MATCH($F2043,SENTENCES!$A$3:$A$1802,0)),"")</f>
        <v>• Chưa tới</v>
      </c>
    </row>
    <row r="2044" customFormat="false" ht="15" hidden="false" customHeight="false" outlineLevel="0" collapsed="false">
      <c r="A2044" s="31" t="n">
        <v>2042</v>
      </c>
      <c r="B2044" s="43" t="s">
        <v>13986</v>
      </c>
      <c r="C2044" s="34" t="s">
        <v>13987</v>
      </c>
      <c r="D2044" s="44" t="s">
        <v>10686</v>
      </c>
      <c r="E2044" s="31"/>
      <c r="F2044" s="31" t="s">
        <v>9788</v>
      </c>
      <c r="G2044" s="31" t="n">
        <v>83</v>
      </c>
      <c r="H2044" s="31" t="s">
        <v>7168</v>
      </c>
      <c r="I2044" s="44" t="s">
        <v>9747</v>
      </c>
      <c r="J2044" s="45" t="s">
        <v>9790</v>
      </c>
      <c r="K2044" s="45" t="s">
        <v>9792</v>
      </c>
      <c r="L2044" s="31" t="n">
        <f aca="false">COUNTIF($B$3:$B$2205,$B2044)</f>
        <v>1</v>
      </c>
      <c r="M2044" s="44" t="str">
        <f aca="false">IFERROR(INDEX(SENTENCES!$T$3:$T$1802,MATCH($F2044,SENTENCES!$A$3:$A$1802,0)),"")</f>
        <v>• Chưa tới</v>
      </c>
    </row>
    <row r="2045" customFormat="false" ht="15" hidden="false" customHeight="false" outlineLevel="0" collapsed="false">
      <c r="A2045" s="31" t="n">
        <v>2043</v>
      </c>
      <c r="B2045" s="43" t="s">
        <v>13988</v>
      </c>
      <c r="C2045" s="34" t="s">
        <v>13989</v>
      </c>
      <c r="D2045" s="44" t="s">
        <v>10681</v>
      </c>
      <c r="E2045" s="31"/>
      <c r="F2045" s="31" t="s">
        <v>9794</v>
      </c>
      <c r="G2045" s="31" t="n">
        <v>83</v>
      </c>
      <c r="H2045" s="31" t="s">
        <v>7168</v>
      </c>
      <c r="I2045" s="44" t="s">
        <v>9747</v>
      </c>
      <c r="J2045" s="45" t="s">
        <v>9796</v>
      </c>
      <c r="K2045" s="45" t="s">
        <v>9798</v>
      </c>
      <c r="L2045" s="31" t="n">
        <f aca="false">COUNTIF($B$3:$B$2205,$B2045)</f>
        <v>1</v>
      </c>
      <c r="M2045" s="44" t="str">
        <f aca="false">IFERROR(INDEX(SENTENCES!$T$3:$T$1802,MATCH($F2045,SENTENCES!$A$3:$A$1802,0)),"")</f>
        <v>• Chưa tới</v>
      </c>
    </row>
    <row r="2046" customFormat="false" ht="15" hidden="false" customHeight="false" outlineLevel="0" collapsed="false">
      <c r="A2046" s="31" t="n">
        <v>2044</v>
      </c>
      <c r="B2046" s="43" t="s">
        <v>13990</v>
      </c>
      <c r="C2046" s="34" t="s">
        <v>13991</v>
      </c>
      <c r="D2046" s="44" t="s">
        <v>10677</v>
      </c>
      <c r="E2046" s="31" t="s">
        <v>10747</v>
      </c>
      <c r="F2046" s="31" t="s">
        <v>9800</v>
      </c>
      <c r="G2046" s="31" t="n">
        <v>83</v>
      </c>
      <c r="H2046" s="31" t="s">
        <v>7168</v>
      </c>
      <c r="I2046" s="44" t="s">
        <v>9747</v>
      </c>
      <c r="J2046" s="45" t="s">
        <v>9802</v>
      </c>
      <c r="K2046" s="45" t="s">
        <v>9804</v>
      </c>
      <c r="L2046" s="31" t="n">
        <f aca="false">COUNTIF($B$3:$B$2205,$B2046)</f>
        <v>1</v>
      </c>
      <c r="M2046" s="44" t="str">
        <f aca="false">IFERROR(INDEX(SENTENCES!$T$3:$T$1802,MATCH($F2046,SENTENCES!$A$3:$A$1802,0)),"")</f>
        <v>• Chưa tới</v>
      </c>
    </row>
    <row r="2047" customFormat="false" ht="15" hidden="false" customHeight="false" outlineLevel="0" collapsed="false">
      <c r="A2047" s="31" t="n">
        <v>2045</v>
      </c>
      <c r="B2047" s="43" t="s">
        <v>13992</v>
      </c>
      <c r="C2047" s="34" t="s">
        <v>13993</v>
      </c>
      <c r="D2047" s="44" t="s">
        <v>10686</v>
      </c>
      <c r="E2047" s="31"/>
      <c r="F2047" s="31" t="s">
        <v>9806</v>
      </c>
      <c r="G2047" s="31" t="n">
        <v>83</v>
      </c>
      <c r="H2047" s="31" t="s">
        <v>7168</v>
      </c>
      <c r="I2047" s="44" t="s">
        <v>9747</v>
      </c>
      <c r="J2047" s="45" t="s">
        <v>9808</v>
      </c>
      <c r="K2047" s="45" t="s">
        <v>9810</v>
      </c>
      <c r="L2047" s="31" t="n">
        <f aca="false">COUNTIF($B$3:$B$2205,$B2047)</f>
        <v>1</v>
      </c>
      <c r="M2047" s="44" t="str">
        <f aca="false">IFERROR(INDEX(SENTENCES!$T$3:$T$1802,MATCH($F2047,SENTENCES!$A$3:$A$1802,0)),"")</f>
        <v>• Chưa tới</v>
      </c>
    </row>
    <row r="2048" customFormat="false" ht="15" hidden="false" customHeight="false" outlineLevel="0" collapsed="false">
      <c r="A2048" s="31" t="n">
        <v>2046</v>
      </c>
      <c r="B2048" s="43" t="s">
        <v>12358</v>
      </c>
      <c r="C2048" s="34" t="s">
        <v>12359</v>
      </c>
      <c r="D2048" s="44" t="s">
        <v>10686</v>
      </c>
      <c r="E2048" s="31"/>
      <c r="F2048" s="31" t="s">
        <v>9812</v>
      </c>
      <c r="G2048" s="31" t="n">
        <v>83</v>
      </c>
      <c r="H2048" s="31" t="s">
        <v>7168</v>
      </c>
      <c r="I2048" s="44" t="s">
        <v>9747</v>
      </c>
      <c r="J2048" s="45" t="s">
        <v>9814</v>
      </c>
      <c r="K2048" s="45" t="s">
        <v>9816</v>
      </c>
      <c r="L2048" s="31" t="n">
        <f aca="false">COUNTIF($B$3:$B$2205,$B2048)</f>
        <v>2</v>
      </c>
      <c r="M2048" s="44" t="str">
        <f aca="false">IFERROR(INDEX(SENTENCES!$T$3:$T$1802,MATCH($F2048,SENTENCES!$A$3:$A$1802,0)),"")</f>
        <v>• Chưa tới</v>
      </c>
    </row>
    <row r="2049" customFormat="false" ht="15" hidden="false" customHeight="false" outlineLevel="0" collapsed="false">
      <c r="A2049" s="31" t="n">
        <v>2047</v>
      </c>
      <c r="B2049" s="43" t="s">
        <v>13264</v>
      </c>
      <c r="C2049" s="34" t="s">
        <v>13265</v>
      </c>
      <c r="D2049" s="44" t="s">
        <v>10686</v>
      </c>
      <c r="E2049" s="31"/>
      <c r="F2049" s="31" t="s">
        <v>9817</v>
      </c>
      <c r="G2049" s="31" t="n">
        <v>83</v>
      </c>
      <c r="H2049" s="31" t="s">
        <v>7168</v>
      </c>
      <c r="I2049" s="44" t="s">
        <v>9747</v>
      </c>
      <c r="J2049" s="45" t="s">
        <v>9819</v>
      </c>
      <c r="K2049" s="45" t="s">
        <v>9821</v>
      </c>
      <c r="L2049" s="31" t="n">
        <f aca="false">COUNTIF($B$3:$B$2205,$B2049)</f>
        <v>2</v>
      </c>
      <c r="M2049" s="44" t="str">
        <f aca="false">IFERROR(INDEX(SENTENCES!$T$3:$T$1802,MATCH($F2049,SENTENCES!$A$3:$A$1802,0)),"")</f>
        <v>• Chưa tới</v>
      </c>
    </row>
    <row r="2050" customFormat="false" ht="15" hidden="false" customHeight="false" outlineLevel="0" collapsed="false">
      <c r="A2050" s="31" t="n">
        <v>2048</v>
      </c>
      <c r="B2050" s="43" t="s">
        <v>13994</v>
      </c>
      <c r="C2050" s="34" t="s">
        <v>13995</v>
      </c>
      <c r="D2050" s="44" t="s">
        <v>10677</v>
      </c>
      <c r="E2050" s="31" t="s">
        <v>10747</v>
      </c>
      <c r="F2050" s="31" t="s">
        <v>9822</v>
      </c>
      <c r="G2050" s="31" t="n">
        <v>83</v>
      </c>
      <c r="H2050" s="31" t="s">
        <v>7168</v>
      </c>
      <c r="I2050" s="44" t="s">
        <v>9747</v>
      </c>
      <c r="J2050" s="45" t="s">
        <v>9824</v>
      </c>
      <c r="K2050" s="45" t="s">
        <v>9826</v>
      </c>
      <c r="L2050" s="31" t="n">
        <f aca="false">COUNTIF($B$3:$B$2205,$B2050)</f>
        <v>1</v>
      </c>
      <c r="M2050" s="44" t="str">
        <f aca="false">IFERROR(INDEX(SENTENCES!$T$3:$T$1802,MATCH($F2050,SENTENCES!$A$3:$A$1802,0)),"")</f>
        <v>• Chưa tới</v>
      </c>
    </row>
    <row r="2051" customFormat="false" ht="15" hidden="false" customHeight="false" outlineLevel="0" collapsed="false">
      <c r="A2051" s="31" t="n">
        <v>2049</v>
      </c>
      <c r="B2051" s="43" t="s">
        <v>13996</v>
      </c>
      <c r="C2051" s="34" t="s">
        <v>13997</v>
      </c>
      <c r="D2051" s="44" t="s">
        <v>10754</v>
      </c>
      <c r="E2051" s="31"/>
      <c r="F2051" s="31" t="s">
        <v>9828</v>
      </c>
      <c r="G2051" s="31" t="n">
        <v>83</v>
      </c>
      <c r="H2051" s="31" t="s">
        <v>7168</v>
      </c>
      <c r="I2051" s="44" t="s">
        <v>9747</v>
      </c>
      <c r="J2051" s="45" t="s">
        <v>9830</v>
      </c>
      <c r="K2051" s="45" t="s">
        <v>9832</v>
      </c>
      <c r="L2051" s="31" t="n">
        <f aca="false">COUNTIF($B$3:$B$2205,$B2051)</f>
        <v>1</v>
      </c>
      <c r="M2051" s="44" t="str">
        <f aca="false">IFERROR(INDEX(SENTENCES!$T$3:$T$1802,MATCH($F2051,SENTENCES!$A$3:$A$1802,0)),"")</f>
        <v>• Chưa tới</v>
      </c>
    </row>
    <row r="2052" customFormat="false" ht="15" hidden="false" customHeight="false" outlineLevel="0" collapsed="false">
      <c r="A2052" s="31" t="n">
        <v>2050</v>
      </c>
      <c r="B2052" s="43" t="s">
        <v>12650</v>
      </c>
      <c r="C2052" s="34" t="s">
        <v>12651</v>
      </c>
      <c r="D2052" s="44" t="s">
        <v>10677</v>
      </c>
      <c r="E2052" s="31" t="s">
        <v>10707</v>
      </c>
      <c r="F2052" s="31" t="s">
        <v>9834</v>
      </c>
      <c r="G2052" s="31" t="n">
        <v>83</v>
      </c>
      <c r="H2052" s="31" t="s">
        <v>7168</v>
      </c>
      <c r="I2052" s="44" t="s">
        <v>9747</v>
      </c>
      <c r="J2052" s="45" t="s">
        <v>9836</v>
      </c>
      <c r="K2052" s="45" t="s">
        <v>9838</v>
      </c>
      <c r="L2052" s="31" t="n">
        <f aca="false">COUNTIF($B$3:$B$2205,$B2052)</f>
        <v>2</v>
      </c>
      <c r="M2052" s="44" t="str">
        <f aca="false">IFERROR(INDEX(SENTENCES!$T$3:$T$1802,MATCH($F2052,SENTENCES!$A$3:$A$1802,0)),"")</f>
        <v>• Chưa tới</v>
      </c>
    </row>
    <row r="2053" customFormat="false" ht="15" hidden="false" customHeight="false" outlineLevel="0" collapsed="false">
      <c r="A2053" s="31" t="n">
        <v>2051</v>
      </c>
      <c r="B2053" s="43" t="s">
        <v>13998</v>
      </c>
      <c r="C2053" s="34" t="s">
        <v>13999</v>
      </c>
      <c r="D2053" s="44" t="s">
        <v>10677</v>
      </c>
      <c r="E2053" s="31" t="s">
        <v>10707</v>
      </c>
      <c r="F2053" s="31" t="s">
        <v>9834</v>
      </c>
      <c r="G2053" s="31" t="n">
        <v>83</v>
      </c>
      <c r="H2053" s="31" t="s">
        <v>7168</v>
      </c>
      <c r="I2053" s="44" t="s">
        <v>9747</v>
      </c>
      <c r="J2053" s="45" t="s">
        <v>9836</v>
      </c>
      <c r="K2053" s="45" t="s">
        <v>9838</v>
      </c>
      <c r="L2053" s="31" t="n">
        <f aca="false">COUNTIF($B$3:$B$2205,$B2053)</f>
        <v>1</v>
      </c>
      <c r="M2053" s="44" t="str">
        <f aca="false">IFERROR(INDEX(SENTENCES!$T$3:$T$1802,MATCH($F2053,SENTENCES!$A$3:$A$1802,0)),"")</f>
        <v>• Chưa tới</v>
      </c>
    </row>
    <row r="2054" customFormat="false" ht="15" hidden="false" customHeight="false" outlineLevel="0" collapsed="false">
      <c r="A2054" s="31" t="n">
        <v>2052</v>
      </c>
      <c r="B2054" s="43" t="s">
        <v>9841</v>
      </c>
      <c r="C2054" s="34" t="s">
        <v>14000</v>
      </c>
      <c r="D2054" s="44" t="s">
        <v>10754</v>
      </c>
      <c r="E2054" s="31"/>
      <c r="F2054" s="31" t="s">
        <v>9840</v>
      </c>
      <c r="G2054" s="31" t="n">
        <v>83</v>
      </c>
      <c r="H2054" s="31" t="s">
        <v>7168</v>
      </c>
      <c r="I2054" s="44" t="s">
        <v>9747</v>
      </c>
      <c r="J2054" s="45" t="s">
        <v>9842</v>
      </c>
      <c r="K2054" s="45" t="s">
        <v>9844</v>
      </c>
      <c r="L2054" s="31" t="n">
        <f aca="false">COUNTIF($B$3:$B$2205,$B2054)</f>
        <v>1</v>
      </c>
      <c r="M2054" s="44" t="str">
        <f aca="false">IFERROR(INDEX(SENTENCES!$T$3:$T$1802,MATCH($F2054,SENTENCES!$A$3:$A$1802,0)),"")</f>
        <v>• Chưa tới</v>
      </c>
    </row>
    <row r="2055" customFormat="false" ht="15" hidden="false" customHeight="false" outlineLevel="0" collapsed="false">
      <c r="A2055" s="31" t="n">
        <v>2053</v>
      </c>
      <c r="B2055" s="43" t="s">
        <v>14001</v>
      </c>
      <c r="C2055" s="34" t="s">
        <v>14002</v>
      </c>
      <c r="D2055" s="44" t="s">
        <v>10681</v>
      </c>
      <c r="E2055" s="31"/>
      <c r="F2055" s="31" t="s">
        <v>9846</v>
      </c>
      <c r="G2055" s="31" t="n">
        <v>83</v>
      </c>
      <c r="H2055" s="31" t="s">
        <v>7168</v>
      </c>
      <c r="I2055" s="44" t="s">
        <v>9747</v>
      </c>
      <c r="J2055" s="45" t="s">
        <v>9848</v>
      </c>
      <c r="K2055" s="45" t="s">
        <v>9850</v>
      </c>
      <c r="L2055" s="31" t="n">
        <f aca="false">COUNTIF($B$3:$B$2205,$B2055)</f>
        <v>1</v>
      </c>
      <c r="M2055" s="44" t="str">
        <f aca="false">IFERROR(INDEX(SENTENCES!$T$3:$T$1802,MATCH($F2055,SENTENCES!$A$3:$A$1802,0)),"")</f>
        <v>• Chưa tới</v>
      </c>
    </row>
    <row r="2056" customFormat="false" ht="15" hidden="false" customHeight="false" outlineLevel="0" collapsed="false">
      <c r="A2056" s="31" t="n">
        <v>2054</v>
      </c>
      <c r="B2056" s="43" t="s">
        <v>12340</v>
      </c>
      <c r="C2056" s="34" t="s">
        <v>12341</v>
      </c>
      <c r="D2056" s="44" t="s">
        <v>10686</v>
      </c>
      <c r="E2056" s="31"/>
      <c r="F2056" s="31" t="s">
        <v>9852</v>
      </c>
      <c r="G2056" s="31" t="n">
        <v>83</v>
      </c>
      <c r="H2056" s="31" t="s">
        <v>7168</v>
      </c>
      <c r="I2056" s="44" t="s">
        <v>9747</v>
      </c>
      <c r="J2056" s="45" t="s">
        <v>9854</v>
      </c>
      <c r="K2056" s="45" t="s">
        <v>9856</v>
      </c>
      <c r="L2056" s="31" t="n">
        <f aca="false">COUNTIF($B$3:$B$2205,$B2056)</f>
        <v>2</v>
      </c>
      <c r="M2056" s="44" t="str">
        <f aca="false">IFERROR(INDEX(SENTENCES!$T$3:$T$1802,MATCH($F2056,SENTENCES!$A$3:$A$1802,0)),"")</f>
        <v>• Chưa tới</v>
      </c>
    </row>
    <row r="2057" customFormat="false" ht="15" hidden="false" customHeight="false" outlineLevel="0" collapsed="false">
      <c r="A2057" s="31" t="n">
        <v>2055</v>
      </c>
      <c r="B2057" s="43" t="s">
        <v>14003</v>
      </c>
      <c r="C2057" s="34" t="s">
        <v>14004</v>
      </c>
      <c r="D2057" s="44" t="s">
        <v>10794</v>
      </c>
      <c r="E2057" s="31"/>
      <c r="F2057" s="31" t="s">
        <v>9858</v>
      </c>
      <c r="G2057" s="31" t="n">
        <v>83</v>
      </c>
      <c r="H2057" s="31" t="s">
        <v>7168</v>
      </c>
      <c r="I2057" s="44" t="s">
        <v>9747</v>
      </c>
      <c r="J2057" s="45" t="s">
        <v>9860</v>
      </c>
      <c r="K2057" s="45" t="s">
        <v>9862</v>
      </c>
      <c r="L2057" s="31" t="n">
        <f aca="false">COUNTIF($B$3:$B$2205,$B2057)</f>
        <v>1</v>
      </c>
      <c r="M2057" s="44" t="str">
        <f aca="false">IFERROR(INDEX(SENTENCES!$T$3:$T$1802,MATCH($F2057,SENTENCES!$A$3:$A$1802,0)),"")</f>
        <v>• Chưa tới</v>
      </c>
    </row>
    <row r="2058" customFormat="false" ht="15" hidden="false" customHeight="false" outlineLevel="0" collapsed="false">
      <c r="A2058" s="31" t="n">
        <v>2056</v>
      </c>
      <c r="B2058" s="43" t="s">
        <v>14005</v>
      </c>
      <c r="C2058" s="34" t="s">
        <v>14006</v>
      </c>
      <c r="D2058" s="44" t="s">
        <v>10677</v>
      </c>
      <c r="E2058" s="31" t="s">
        <v>10678</v>
      </c>
      <c r="F2058" s="31" t="s">
        <v>9864</v>
      </c>
      <c r="G2058" s="31" t="n">
        <v>84</v>
      </c>
      <c r="H2058" s="31" t="s">
        <v>7168</v>
      </c>
      <c r="I2058" s="44" t="s">
        <v>9865</v>
      </c>
      <c r="J2058" s="45" t="s">
        <v>9867</v>
      </c>
      <c r="K2058" s="45" t="s">
        <v>9869</v>
      </c>
      <c r="L2058" s="31" t="n">
        <f aca="false">COUNTIF($B$3:$B$2205,$B2058)</f>
        <v>1</v>
      </c>
      <c r="M2058" s="44" t="str">
        <f aca="false">IFERROR(INDEX(SENTENCES!$T$3:$T$1802,MATCH($F2058,SENTENCES!$A$3:$A$1802,0)),"")</f>
        <v>• Chưa tới</v>
      </c>
    </row>
    <row r="2059" customFormat="false" ht="15" hidden="false" customHeight="false" outlineLevel="0" collapsed="false">
      <c r="A2059" s="31" t="n">
        <v>2057</v>
      </c>
      <c r="B2059" s="43" t="s">
        <v>14007</v>
      </c>
      <c r="C2059" s="34" t="s">
        <v>14008</v>
      </c>
      <c r="D2059" s="44" t="s">
        <v>10677</v>
      </c>
      <c r="E2059" s="31" t="s">
        <v>10707</v>
      </c>
      <c r="F2059" s="31" t="s">
        <v>9871</v>
      </c>
      <c r="G2059" s="31" t="n">
        <v>84</v>
      </c>
      <c r="H2059" s="31" t="s">
        <v>7168</v>
      </c>
      <c r="I2059" s="44" t="s">
        <v>9865</v>
      </c>
      <c r="J2059" s="45" t="s">
        <v>9872</v>
      </c>
      <c r="K2059" s="45" t="s">
        <v>9874</v>
      </c>
      <c r="L2059" s="31" t="n">
        <f aca="false">COUNTIF($B$3:$B$2205,$B2059)</f>
        <v>1</v>
      </c>
      <c r="M2059" s="44" t="str">
        <f aca="false">IFERROR(INDEX(SENTENCES!$T$3:$T$1802,MATCH($F2059,SENTENCES!$A$3:$A$1802,0)),"")</f>
        <v>• Chưa tới</v>
      </c>
    </row>
    <row r="2060" customFormat="false" ht="15" hidden="false" customHeight="false" outlineLevel="0" collapsed="false">
      <c r="A2060" s="31" t="n">
        <v>2058</v>
      </c>
      <c r="B2060" s="43" t="s">
        <v>11438</v>
      </c>
      <c r="C2060" s="34" t="s">
        <v>11643</v>
      </c>
      <c r="D2060" s="44" t="s">
        <v>10677</v>
      </c>
      <c r="E2060" s="31" t="s">
        <v>10747</v>
      </c>
      <c r="F2060" s="31" t="s">
        <v>9876</v>
      </c>
      <c r="G2060" s="31" t="n">
        <v>84</v>
      </c>
      <c r="H2060" s="31" t="s">
        <v>7168</v>
      </c>
      <c r="I2060" s="44" t="s">
        <v>9865</v>
      </c>
      <c r="J2060" s="45" t="s">
        <v>9878</v>
      </c>
      <c r="K2060" s="45" t="s">
        <v>9880</v>
      </c>
      <c r="L2060" s="31" t="n">
        <f aca="false">COUNTIF($B$3:$B$2205,$B2060)</f>
        <v>3</v>
      </c>
      <c r="M2060" s="44" t="str">
        <f aca="false">IFERROR(INDEX(SENTENCES!$T$3:$T$1802,MATCH($F2060,SENTENCES!$A$3:$A$1802,0)),"")</f>
        <v>• Chưa tới</v>
      </c>
    </row>
    <row r="2061" customFormat="false" ht="15" hidden="false" customHeight="false" outlineLevel="0" collapsed="false">
      <c r="A2061" s="31" t="n">
        <v>2059</v>
      </c>
      <c r="B2061" s="43" t="s">
        <v>14009</v>
      </c>
      <c r="C2061" s="34" t="s">
        <v>11762</v>
      </c>
      <c r="D2061" s="44" t="s">
        <v>10677</v>
      </c>
      <c r="E2061" s="31" t="s">
        <v>10707</v>
      </c>
      <c r="F2061" s="31" t="s">
        <v>9882</v>
      </c>
      <c r="G2061" s="31" t="n">
        <v>84</v>
      </c>
      <c r="H2061" s="31" t="s">
        <v>7168</v>
      </c>
      <c r="I2061" s="44" t="s">
        <v>9865</v>
      </c>
      <c r="J2061" s="45" t="s">
        <v>9884</v>
      </c>
      <c r="K2061" s="45" t="s">
        <v>9886</v>
      </c>
      <c r="L2061" s="31" t="n">
        <f aca="false">COUNTIF($B$3:$B$2205,$B2061)</f>
        <v>1</v>
      </c>
      <c r="M2061" s="44" t="str">
        <f aca="false">IFERROR(INDEX(SENTENCES!$T$3:$T$1802,MATCH($F2061,SENTENCES!$A$3:$A$1802,0)),"")</f>
        <v>• Chưa tới</v>
      </c>
    </row>
    <row r="2062" customFormat="false" ht="15" hidden="false" customHeight="false" outlineLevel="0" collapsed="false">
      <c r="A2062" s="31" t="n">
        <v>2060</v>
      </c>
      <c r="B2062" s="43" t="s">
        <v>14010</v>
      </c>
      <c r="C2062" s="34" t="s">
        <v>14011</v>
      </c>
      <c r="D2062" s="44" t="s">
        <v>10686</v>
      </c>
      <c r="E2062" s="31"/>
      <c r="F2062" s="31" t="s">
        <v>9888</v>
      </c>
      <c r="G2062" s="31" t="n">
        <v>84</v>
      </c>
      <c r="H2062" s="31" t="s">
        <v>7168</v>
      </c>
      <c r="I2062" s="44" t="s">
        <v>9865</v>
      </c>
      <c r="J2062" s="45" t="s">
        <v>9890</v>
      </c>
      <c r="K2062" s="45" t="s">
        <v>9892</v>
      </c>
      <c r="L2062" s="31" t="n">
        <f aca="false">COUNTIF($B$3:$B$2205,$B2062)</f>
        <v>1</v>
      </c>
      <c r="M2062" s="44" t="str">
        <f aca="false">IFERROR(INDEX(SENTENCES!$T$3:$T$1802,MATCH($F2062,SENTENCES!$A$3:$A$1802,0)),"")</f>
        <v>• Chưa tới</v>
      </c>
    </row>
    <row r="2063" customFormat="false" ht="15" hidden="false" customHeight="false" outlineLevel="0" collapsed="false">
      <c r="A2063" s="31" t="n">
        <v>2061</v>
      </c>
      <c r="B2063" s="43" t="s">
        <v>14012</v>
      </c>
      <c r="C2063" s="34" t="s">
        <v>14013</v>
      </c>
      <c r="D2063" s="44" t="s">
        <v>10754</v>
      </c>
      <c r="E2063" s="31"/>
      <c r="F2063" s="31" t="s">
        <v>9894</v>
      </c>
      <c r="G2063" s="31" t="n">
        <v>84</v>
      </c>
      <c r="H2063" s="31" t="s">
        <v>7168</v>
      </c>
      <c r="I2063" s="44" t="s">
        <v>9865</v>
      </c>
      <c r="J2063" s="45" t="s">
        <v>9896</v>
      </c>
      <c r="K2063" s="45" t="s">
        <v>9898</v>
      </c>
      <c r="L2063" s="31" t="n">
        <f aca="false">COUNTIF($B$3:$B$2205,$B2063)</f>
        <v>1</v>
      </c>
      <c r="M2063" s="44" t="str">
        <f aca="false">IFERROR(INDEX(SENTENCES!$T$3:$T$1802,MATCH($F2063,SENTENCES!$A$3:$A$1802,0)),"")</f>
        <v>• Chưa tới</v>
      </c>
    </row>
    <row r="2064" customFormat="false" ht="15" hidden="false" customHeight="false" outlineLevel="0" collapsed="false">
      <c r="A2064" s="31" t="n">
        <v>2062</v>
      </c>
      <c r="B2064" s="43" t="s">
        <v>14014</v>
      </c>
      <c r="C2064" s="34" t="s">
        <v>11105</v>
      </c>
      <c r="D2064" s="44" t="s">
        <v>10686</v>
      </c>
      <c r="E2064" s="31"/>
      <c r="F2064" s="31" t="s">
        <v>9900</v>
      </c>
      <c r="G2064" s="31" t="n">
        <v>84</v>
      </c>
      <c r="H2064" s="31" t="s">
        <v>7168</v>
      </c>
      <c r="I2064" s="44" t="s">
        <v>9865</v>
      </c>
      <c r="J2064" s="45" t="s">
        <v>9902</v>
      </c>
      <c r="K2064" s="45" t="s">
        <v>9904</v>
      </c>
      <c r="L2064" s="31" t="n">
        <f aca="false">COUNTIF($B$3:$B$2205,$B2064)</f>
        <v>1</v>
      </c>
      <c r="M2064" s="44" t="str">
        <f aca="false">IFERROR(INDEX(SENTENCES!$T$3:$T$1802,MATCH($F2064,SENTENCES!$A$3:$A$1802,0)),"")</f>
        <v>• Chưa tới</v>
      </c>
    </row>
    <row r="2065" customFormat="false" ht="15" hidden="false" customHeight="false" outlineLevel="0" collapsed="false">
      <c r="A2065" s="31" t="n">
        <v>2063</v>
      </c>
      <c r="B2065" s="43" t="s">
        <v>14015</v>
      </c>
      <c r="C2065" s="34" t="s">
        <v>14016</v>
      </c>
      <c r="D2065" s="44" t="s">
        <v>10681</v>
      </c>
      <c r="E2065" s="31"/>
      <c r="F2065" s="31" t="s">
        <v>9906</v>
      </c>
      <c r="G2065" s="31" t="n">
        <v>84</v>
      </c>
      <c r="H2065" s="31" t="s">
        <v>7168</v>
      </c>
      <c r="I2065" s="44" t="s">
        <v>9865</v>
      </c>
      <c r="J2065" s="45" t="s">
        <v>9908</v>
      </c>
      <c r="K2065" s="45" t="s">
        <v>9910</v>
      </c>
      <c r="L2065" s="31" t="n">
        <f aca="false">COUNTIF($B$3:$B$2205,$B2065)</f>
        <v>1</v>
      </c>
      <c r="M2065" s="44" t="str">
        <f aca="false">IFERROR(INDEX(SENTENCES!$T$3:$T$1802,MATCH($F2065,SENTENCES!$A$3:$A$1802,0)),"")</f>
        <v>• Chưa tới</v>
      </c>
    </row>
    <row r="2066" customFormat="false" ht="15" hidden="false" customHeight="false" outlineLevel="0" collapsed="false">
      <c r="A2066" s="31" t="n">
        <v>2064</v>
      </c>
      <c r="B2066" s="43" t="s">
        <v>12946</v>
      </c>
      <c r="C2066" s="34" t="s">
        <v>12947</v>
      </c>
      <c r="D2066" s="44" t="s">
        <v>10686</v>
      </c>
      <c r="E2066" s="31"/>
      <c r="F2066" s="31" t="s">
        <v>9912</v>
      </c>
      <c r="G2066" s="31" t="n">
        <v>84</v>
      </c>
      <c r="H2066" s="31" t="s">
        <v>7168</v>
      </c>
      <c r="I2066" s="44" t="s">
        <v>9865</v>
      </c>
      <c r="J2066" s="45" t="s">
        <v>9913</v>
      </c>
      <c r="K2066" s="45" t="s">
        <v>9915</v>
      </c>
      <c r="L2066" s="31" t="n">
        <f aca="false">COUNTIF($B$3:$B$2205,$B2066)</f>
        <v>2</v>
      </c>
      <c r="M2066" s="44" t="str">
        <f aca="false">IFERROR(INDEX(SENTENCES!$T$3:$T$1802,MATCH($F2066,SENTENCES!$A$3:$A$1802,0)),"")</f>
        <v>• Chưa tới</v>
      </c>
    </row>
    <row r="2067" customFormat="false" ht="15" hidden="false" customHeight="false" outlineLevel="0" collapsed="false">
      <c r="A2067" s="31" t="n">
        <v>2065</v>
      </c>
      <c r="B2067" s="43" t="s">
        <v>14017</v>
      </c>
      <c r="C2067" s="34" t="s">
        <v>14018</v>
      </c>
      <c r="D2067" s="44" t="s">
        <v>10681</v>
      </c>
      <c r="E2067" s="31"/>
      <c r="F2067" s="31" t="s">
        <v>9916</v>
      </c>
      <c r="G2067" s="31" t="n">
        <v>84</v>
      </c>
      <c r="H2067" s="31" t="s">
        <v>7168</v>
      </c>
      <c r="I2067" s="44" t="s">
        <v>9865</v>
      </c>
      <c r="J2067" s="45" t="s">
        <v>9917</v>
      </c>
      <c r="K2067" s="45" t="s">
        <v>9919</v>
      </c>
      <c r="L2067" s="31" t="n">
        <f aca="false">COUNTIF($B$3:$B$2205,$B2067)</f>
        <v>1</v>
      </c>
      <c r="M2067" s="44" t="str">
        <f aca="false">IFERROR(INDEX(SENTENCES!$T$3:$T$1802,MATCH($F2067,SENTENCES!$A$3:$A$1802,0)),"")</f>
        <v>• Chưa tới</v>
      </c>
    </row>
    <row r="2068" customFormat="false" ht="15" hidden="false" customHeight="false" outlineLevel="0" collapsed="false">
      <c r="A2068" s="31" t="n">
        <v>2066</v>
      </c>
      <c r="B2068" s="43" t="s">
        <v>13957</v>
      </c>
      <c r="C2068" s="34" t="s">
        <v>13958</v>
      </c>
      <c r="D2068" s="44" t="s">
        <v>10677</v>
      </c>
      <c r="E2068" s="31" t="s">
        <v>10707</v>
      </c>
      <c r="F2068" s="31" t="s">
        <v>9921</v>
      </c>
      <c r="G2068" s="31" t="n">
        <v>84</v>
      </c>
      <c r="H2068" s="31" t="s">
        <v>7168</v>
      </c>
      <c r="I2068" s="44" t="s">
        <v>9865</v>
      </c>
      <c r="J2068" s="45" t="s">
        <v>9923</v>
      </c>
      <c r="K2068" s="45" t="s">
        <v>9925</v>
      </c>
      <c r="L2068" s="31" t="n">
        <f aca="false">COUNTIF($B$3:$B$2205,$B2068)</f>
        <v>2</v>
      </c>
      <c r="M2068" s="44" t="str">
        <f aca="false">IFERROR(INDEX(SENTENCES!$T$3:$T$1802,MATCH($F2068,SENTENCES!$A$3:$A$1802,0)),"")</f>
        <v>• Chưa tới</v>
      </c>
    </row>
    <row r="2069" customFormat="false" ht="15" hidden="false" customHeight="false" outlineLevel="0" collapsed="false">
      <c r="A2069" s="31" t="n">
        <v>2067</v>
      </c>
      <c r="B2069" s="43" t="s">
        <v>14019</v>
      </c>
      <c r="C2069" s="34" t="s">
        <v>14020</v>
      </c>
      <c r="D2069" s="44" t="s">
        <v>10677</v>
      </c>
      <c r="E2069" s="31" t="s">
        <v>10747</v>
      </c>
      <c r="F2069" s="31" t="s">
        <v>9927</v>
      </c>
      <c r="G2069" s="31" t="n">
        <v>84</v>
      </c>
      <c r="H2069" s="31" t="s">
        <v>7168</v>
      </c>
      <c r="I2069" s="44" t="s">
        <v>9865</v>
      </c>
      <c r="J2069" s="45" t="s">
        <v>9929</v>
      </c>
      <c r="K2069" s="45" t="s">
        <v>9931</v>
      </c>
      <c r="L2069" s="31" t="n">
        <f aca="false">COUNTIF($B$3:$B$2205,$B2069)</f>
        <v>1</v>
      </c>
      <c r="M2069" s="44" t="str">
        <f aca="false">IFERROR(INDEX(SENTENCES!$T$3:$T$1802,MATCH($F2069,SENTENCES!$A$3:$A$1802,0)),"")</f>
        <v>• Chưa tới</v>
      </c>
    </row>
    <row r="2070" customFormat="false" ht="15" hidden="false" customHeight="false" outlineLevel="0" collapsed="false">
      <c r="A2070" s="31" t="n">
        <v>2068</v>
      </c>
      <c r="B2070" s="43" t="s">
        <v>14021</v>
      </c>
      <c r="C2070" s="34" t="s">
        <v>14022</v>
      </c>
      <c r="D2070" s="44" t="s">
        <v>10677</v>
      </c>
      <c r="E2070" s="31" t="s">
        <v>10707</v>
      </c>
      <c r="F2070" s="31" t="s">
        <v>9933</v>
      </c>
      <c r="G2070" s="31" t="n">
        <v>84</v>
      </c>
      <c r="H2070" s="31" t="s">
        <v>7168</v>
      </c>
      <c r="I2070" s="44" t="s">
        <v>9865</v>
      </c>
      <c r="J2070" s="45" t="s">
        <v>9934</v>
      </c>
      <c r="K2070" s="45" t="s">
        <v>9936</v>
      </c>
      <c r="L2070" s="31" t="n">
        <f aca="false">COUNTIF($B$3:$B$2205,$B2070)</f>
        <v>1</v>
      </c>
      <c r="M2070" s="44" t="str">
        <f aca="false">IFERROR(INDEX(SENTENCES!$T$3:$T$1802,MATCH($F2070,SENTENCES!$A$3:$A$1802,0)),"")</f>
        <v>• Chưa tới</v>
      </c>
    </row>
    <row r="2071" customFormat="false" ht="15" hidden="false" customHeight="false" outlineLevel="0" collapsed="false">
      <c r="A2071" s="31" t="n">
        <v>2069</v>
      </c>
      <c r="B2071" s="43" t="s">
        <v>14023</v>
      </c>
      <c r="C2071" s="34" t="s">
        <v>14024</v>
      </c>
      <c r="D2071" s="44" t="s">
        <v>10681</v>
      </c>
      <c r="E2071" s="31"/>
      <c r="F2071" s="31" t="s">
        <v>9938</v>
      </c>
      <c r="G2071" s="31" t="n">
        <v>84</v>
      </c>
      <c r="H2071" s="31" t="s">
        <v>7168</v>
      </c>
      <c r="I2071" s="44" t="s">
        <v>9865</v>
      </c>
      <c r="J2071" s="45" t="s">
        <v>9940</v>
      </c>
      <c r="K2071" s="45" t="s">
        <v>9942</v>
      </c>
      <c r="L2071" s="31" t="n">
        <f aca="false">COUNTIF($B$3:$B$2205,$B2071)</f>
        <v>1</v>
      </c>
      <c r="M2071" s="44" t="str">
        <f aca="false">IFERROR(INDEX(SENTENCES!$T$3:$T$1802,MATCH($F2071,SENTENCES!$A$3:$A$1802,0)),"")</f>
        <v>• Chưa tới</v>
      </c>
    </row>
    <row r="2072" customFormat="false" ht="15" hidden="false" customHeight="false" outlineLevel="0" collapsed="false">
      <c r="A2072" s="31" t="n">
        <v>2070</v>
      </c>
      <c r="B2072" s="43" t="s">
        <v>14025</v>
      </c>
      <c r="C2072" s="34" t="s">
        <v>14026</v>
      </c>
      <c r="D2072" s="44" t="s">
        <v>10677</v>
      </c>
      <c r="E2072" s="31" t="s">
        <v>10707</v>
      </c>
      <c r="F2072" s="31" t="s">
        <v>9944</v>
      </c>
      <c r="G2072" s="31" t="n">
        <v>84</v>
      </c>
      <c r="H2072" s="31" t="s">
        <v>7168</v>
      </c>
      <c r="I2072" s="44" t="s">
        <v>9865</v>
      </c>
      <c r="J2072" s="45" t="s">
        <v>9945</v>
      </c>
      <c r="K2072" s="45" t="s">
        <v>9947</v>
      </c>
      <c r="L2072" s="31" t="n">
        <f aca="false">COUNTIF($B$3:$B$2205,$B2072)</f>
        <v>1</v>
      </c>
      <c r="M2072" s="44" t="str">
        <f aca="false">IFERROR(INDEX(SENTENCES!$T$3:$T$1802,MATCH($F2072,SENTENCES!$A$3:$A$1802,0)),"")</f>
        <v>• Chưa tới</v>
      </c>
    </row>
    <row r="2073" customFormat="false" ht="15" hidden="false" customHeight="false" outlineLevel="0" collapsed="false">
      <c r="A2073" s="31" t="n">
        <v>2071</v>
      </c>
      <c r="B2073" s="43" t="s">
        <v>14027</v>
      </c>
      <c r="C2073" s="34" t="s">
        <v>14028</v>
      </c>
      <c r="D2073" s="44" t="s">
        <v>10686</v>
      </c>
      <c r="E2073" s="31"/>
      <c r="F2073" s="31" t="s">
        <v>9949</v>
      </c>
      <c r="G2073" s="31" t="n">
        <v>84</v>
      </c>
      <c r="H2073" s="31" t="s">
        <v>7168</v>
      </c>
      <c r="I2073" s="44" t="s">
        <v>9865</v>
      </c>
      <c r="J2073" s="45" t="s">
        <v>9951</v>
      </c>
      <c r="K2073" s="45" t="s">
        <v>9953</v>
      </c>
      <c r="L2073" s="31" t="n">
        <f aca="false">COUNTIF($B$3:$B$2205,$B2073)</f>
        <v>2</v>
      </c>
      <c r="M2073" s="44" t="str">
        <f aca="false">IFERROR(INDEX(SENTENCES!$T$3:$T$1802,MATCH($F2073,SENTENCES!$A$3:$A$1802,0)),"")</f>
        <v>• Chưa tới</v>
      </c>
    </row>
    <row r="2074" customFormat="false" ht="15" hidden="false" customHeight="false" outlineLevel="0" collapsed="false">
      <c r="A2074" s="31" t="n">
        <v>2072</v>
      </c>
      <c r="B2074" s="43" t="s">
        <v>14029</v>
      </c>
      <c r="C2074" s="34" t="s">
        <v>14030</v>
      </c>
      <c r="D2074" s="44" t="s">
        <v>10677</v>
      </c>
      <c r="E2074" s="31" t="s">
        <v>10678</v>
      </c>
      <c r="F2074" s="31" t="s">
        <v>9955</v>
      </c>
      <c r="G2074" s="31" t="n">
        <v>84</v>
      </c>
      <c r="H2074" s="31" t="s">
        <v>7168</v>
      </c>
      <c r="I2074" s="44" t="s">
        <v>9865</v>
      </c>
      <c r="J2074" s="45" t="s">
        <v>9957</v>
      </c>
      <c r="K2074" s="45" t="s">
        <v>9959</v>
      </c>
      <c r="L2074" s="31" t="n">
        <f aca="false">COUNTIF($B$3:$B$2205,$B2074)</f>
        <v>1</v>
      </c>
      <c r="M2074" s="44" t="str">
        <f aca="false">IFERROR(INDEX(SENTENCES!$T$3:$T$1802,MATCH($F2074,SENTENCES!$A$3:$A$1802,0)),"")</f>
        <v>• Chưa tới</v>
      </c>
    </row>
    <row r="2075" customFormat="false" ht="15" hidden="false" customHeight="false" outlineLevel="0" collapsed="false">
      <c r="A2075" s="31" t="n">
        <v>2073</v>
      </c>
      <c r="B2075" s="43" t="s">
        <v>14031</v>
      </c>
      <c r="C2075" s="34" t="s">
        <v>14032</v>
      </c>
      <c r="D2075" s="44" t="s">
        <v>10677</v>
      </c>
      <c r="E2075" s="31" t="s">
        <v>10678</v>
      </c>
      <c r="F2075" s="31" t="s">
        <v>9961</v>
      </c>
      <c r="G2075" s="31" t="n">
        <v>84</v>
      </c>
      <c r="H2075" s="31" t="s">
        <v>7168</v>
      </c>
      <c r="I2075" s="44" t="s">
        <v>9865</v>
      </c>
      <c r="J2075" s="45" t="s">
        <v>9963</v>
      </c>
      <c r="K2075" s="45" t="s">
        <v>9965</v>
      </c>
      <c r="L2075" s="31" t="n">
        <f aca="false">COUNTIF($B$3:$B$2205,$B2075)</f>
        <v>1</v>
      </c>
      <c r="M2075" s="44" t="str">
        <f aca="false">IFERROR(INDEX(SENTENCES!$T$3:$T$1802,MATCH($F2075,SENTENCES!$A$3:$A$1802,0)),"")</f>
        <v>• Chưa tới</v>
      </c>
    </row>
    <row r="2076" customFormat="false" ht="15" hidden="false" customHeight="false" outlineLevel="0" collapsed="false">
      <c r="A2076" s="31" t="n">
        <v>2074</v>
      </c>
      <c r="B2076" s="43" t="s">
        <v>14033</v>
      </c>
      <c r="C2076" s="34" t="s">
        <v>14034</v>
      </c>
      <c r="D2076" s="44" t="s">
        <v>10677</v>
      </c>
      <c r="E2076" s="31" t="s">
        <v>10678</v>
      </c>
      <c r="F2076" s="31" t="s">
        <v>9967</v>
      </c>
      <c r="G2076" s="31" t="n">
        <v>84</v>
      </c>
      <c r="H2076" s="31" t="s">
        <v>7168</v>
      </c>
      <c r="I2076" s="44" t="s">
        <v>9865</v>
      </c>
      <c r="J2076" s="45" t="s">
        <v>9969</v>
      </c>
      <c r="K2076" s="45" t="s">
        <v>9971</v>
      </c>
      <c r="L2076" s="31" t="n">
        <f aca="false">COUNTIF($B$3:$B$2205,$B2076)</f>
        <v>1</v>
      </c>
      <c r="M2076" s="44" t="str">
        <f aca="false">IFERROR(INDEX(SENTENCES!$T$3:$T$1802,MATCH($F2076,SENTENCES!$A$3:$A$1802,0)),"")</f>
        <v>• Chưa tới</v>
      </c>
    </row>
    <row r="2077" customFormat="false" ht="15" hidden="false" customHeight="false" outlineLevel="0" collapsed="false">
      <c r="A2077" s="31" t="n">
        <v>2075</v>
      </c>
      <c r="B2077" s="43" t="s">
        <v>14035</v>
      </c>
      <c r="C2077" s="34" t="s">
        <v>14036</v>
      </c>
      <c r="D2077" s="44" t="s">
        <v>10677</v>
      </c>
      <c r="E2077" s="31" t="s">
        <v>10707</v>
      </c>
      <c r="F2077" s="31" t="s">
        <v>9973</v>
      </c>
      <c r="G2077" s="31" t="n">
        <v>84</v>
      </c>
      <c r="H2077" s="31" t="s">
        <v>7168</v>
      </c>
      <c r="I2077" s="44" t="s">
        <v>9865</v>
      </c>
      <c r="J2077" s="45" t="s">
        <v>9975</v>
      </c>
      <c r="K2077" s="45" t="s">
        <v>9977</v>
      </c>
      <c r="L2077" s="31" t="n">
        <f aca="false">COUNTIF($B$3:$B$2205,$B2077)</f>
        <v>1</v>
      </c>
      <c r="M2077" s="44" t="str">
        <f aca="false">IFERROR(INDEX(SENTENCES!$T$3:$T$1802,MATCH($F2077,SENTENCES!$A$3:$A$1802,0)),"")</f>
        <v>• Chưa tới</v>
      </c>
    </row>
    <row r="2078" customFormat="false" ht="15" hidden="false" customHeight="false" outlineLevel="0" collapsed="false">
      <c r="A2078" s="31" t="n">
        <v>2076</v>
      </c>
      <c r="B2078" s="43" t="s">
        <v>14037</v>
      </c>
      <c r="C2078" s="34" t="s">
        <v>12920</v>
      </c>
      <c r="D2078" s="44" t="s">
        <v>10677</v>
      </c>
      <c r="E2078" s="31" t="s">
        <v>10678</v>
      </c>
      <c r="F2078" s="31" t="s">
        <v>9979</v>
      </c>
      <c r="G2078" s="31" t="n">
        <v>85</v>
      </c>
      <c r="H2078" s="31" t="s">
        <v>7168</v>
      </c>
      <c r="I2078" s="44" t="s">
        <v>9980</v>
      </c>
      <c r="J2078" s="45" t="s">
        <v>9982</v>
      </c>
      <c r="K2078" s="45" t="s">
        <v>9984</v>
      </c>
      <c r="L2078" s="31" t="n">
        <f aca="false">COUNTIF($B$3:$B$2205,$B2078)</f>
        <v>1</v>
      </c>
      <c r="M2078" s="44" t="str">
        <f aca="false">IFERROR(INDEX(SENTENCES!$T$3:$T$1802,MATCH($F2078,SENTENCES!$A$3:$A$1802,0)),"")</f>
        <v>• Chưa tới</v>
      </c>
    </row>
    <row r="2079" customFormat="false" ht="15" hidden="false" customHeight="false" outlineLevel="0" collapsed="false">
      <c r="A2079" s="31" t="n">
        <v>2077</v>
      </c>
      <c r="B2079" s="43" t="s">
        <v>14038</v>
      </c>
      <c r="C2079" s="34" t="s">
        <v>14039</v>
      </c>
      <c r="D2079" s="44" t="s">
        <v>10686</v>
      </c>
      <c r="E2079" s="31"/>
      <c r="F2079" s="31" t="s">
        <v>9986</v>
      </c>
      <c r="G2079" s="31" t="n">
        <v>85</v>
      </c>
      <c r="H2079" s="31" t="s">
        <v>7168</v>
      </c>
      <c r="I2079" s="44" t="s">
        <v>9980</v>
      </c>
      <c r="J2079" s="45" t="s">
        <v>9988</v>
      </c>
      <c r="K2079" s="45" t="s">
        <v>9990</v>
      </c>
      <c r="L2079" s="31" t="n">
        <f aca="false">COUNTIF($B$3:$B$2205,$B2079)</f>
        <v>1</v>
      </c>
      <c r="M2079" s="44" t="str">
        <f aca="false">IFERROR(INDEX(SENTENCES!$T$3:$T$1802,MATCH($F2079,SENTENCES!$A$3:$A$1802,0)),"")</f>
        <v>• Chưa tới</v>
      </c>
    </row>
    <row r="2080" customFormat="false" ht="15" hidden="false" customHeight="false" outlineLevel="0" collapsed="false">
      <c r="A2080" s="31" t="n">
        <v>2078</v>
      </c>
      <c r="B2080" s="43" t="s">
        <v>14040</v>
      </c>
      <c r="C2080" s="34" t="s">
        <v>14041</v>
      </c>
      <c r="D2080" s="44" t="s">
        <v>10677</v>
      </c>
      <c r="E2080" s="31" t="s">
        <v>10678</v>
      </c>
      <c r="F2080" s="31" t="s">
        <v>9992</v>
      </c>
      <c r="G2080" s="31" t="n">
        <v>85</v>
      </c>
      <c r="H2080" s="31" t="s">
        <v>7168</v>
      </c>
      <c r="I2080" s="44" t="s">
        <v>9980</v>
      </c>
      <c r="J2080" s="45" t="s">
        <v>9994</v>
      </c>
      <c r="K2080" s="45" t="s">
        <v>9996</v>
      </c>
      <c r="L2080" s="31" t="n">
        <f aca="false">COUNTIF($B$3:$B$2205,$B2080)</f>
        <v>1</v>
      </c>
      <c r="M2080" s="44" t="str">
        <f aca="false">IFERROR(INDEX(SENTENCES!$T$3:$T$1802,MATCH($F2080,SENTENCES!$A$3:$A$1802,0)),"")</f>
        <v>• Chưa tới</v>
      </c>
    </row>
    <row r="2081" customFormat="false" ht="15" hidden="false" customHeight="false" outlineLevel="0" collapsed="false">
      <c r="A2081" s="31" t="n">
        <v>2079</v>
      </c>
      <c r="B2081" s="43" t="s">
        <v>14042</v>
      </c>
      <c r="C2081" s="34" t="s">
        <v>14043</v>
      </c>
      <c r="D2081" s="44" t="s">
        <v>10677</v>
      </c>
      <c r="E2081" s="31" t="s">
        <v>10707</v>
      </c>
      <c r="F2081" s="31" t="s">
        <v>9998</v>
      </c>
      <c r="G2081" s="31" t="n">
        <v>85</v>
      </c>
      <c r="H2081" s="31" t="s">
        <v>7168</v>
      </c>
      <c r="I2081" s="44" t="s">
        <v>9980</v>
      </c>
      <c r="J2081" s="45" t="s">
        <v>10000</v>
      </c>
      <c r="K2081" s="45" t="s">
        <v>10002</v>
      </c>
      <c r="L2081" s="31" t="n">
        <f aca="false">COUNTIF($B$3:$B$2205,$B2081)</f>
        <v>1</v>
      </c>
      <c r="M2081" s="44" t="str">
        <f aca="false">IFERROR(INDEX(SENTENCES!$T$3:$T$1802,MATCH($F2081,SENTENCES!$A$3:$A$1802,0)),"")</f>
        <v>• Chưa tới</v>
      </c>
    </row>
    <row r="2082" customFormat="false" ht="15" hidden="false" customHeight="false" outlineLevel="0" collapsed="false">
      <c r="A2082" s="31" t="n">
        <v>2080</v>
      </c>
      <c r="B2082" s="43" t="s">
        <v>14044</v>
      </c>
      <c r="C2082" s="34" t="s">
        <v>14045</v>
      </c>
      <c r="D2082" s="44" t="s">
        <v>10677</v>
      </c>
      <c r="E2082" s="31" t="s">
        <v>10707</v>
      </c>
      <c r="F2082" s="31" t="s">
        <v>9998</v>
      </c>
      <c r="G2082" s="31" t="n">
        <v>85</v>
      </c>
      <c r="H2082" s="31" t="s">
        <v>7168</v>
      </c>
      <c r="I2082" s="44" t="s">
        <v>9980</v>
      </c>
      <c r="J2082" s="45" t="s">
        <v>10000</v>
      </c>
      <c r="K2082" s="45" t="s">
        <v>10002</v>
      </c>
      <c r="L2082" s="31" t="n">
        <f aca="false">COUNTIF($B$3:$B$2205,$B2082)</f>
        <v>1</v>
      </c>
      <c r="M2082" s="44" t="str">
        <f aca="false">IFERROR(INDEX(SENTENCES!$T$3:$T$1802,MATCH($F2082,SENTENCES!$A$3:$A$1802,0)),"")</f>
        <v>• Chưa tới</v>
      </c>
    </row>
    <row r="2083" customFormat="false" ht="15" hidden="false" customHeight="false" outlineLevel="0" collapsed="false">
      <c r="A2083" s="31" t="n">
        <v>2081</v>
      </c>
      <c r="B2083" s="43" t="s">
        <v>12079</v>
      </c>
      <c r="C2083" s="34" t="s">
        <v>14046</v>
      </c>
      <c r="D2083" s="44" t="s">
        <v>10677</v>
      </c>
      <c r="E2083" s="31" t="s">
        <v>10678</v>
      </c>
      <c r="F2083" s="31" t="s">
        <v>10004</v>
      </c>
      <c r="G2083" s="31" t="n">
        <v>85</v>
      </c>
      <c r="H2083" s="31" t="s">
        <v>7168</v>
      </c>
      <c r="I2083" s="44" t="s">
        <v>9980</v>
      </c>
      <c r="J2083" s="45" t="s">
        <v>10006</v>
      </c>
      <c r="K2083" s="45" t="s">
        <v>10008</v>
      </c>
      <c r="L2083" s="31" t="n">
        <f aca="false">COUNTIF($B$3:$B$2205,$B2083)</f>
        <v>2</v>
      </c>
      <c r="M2083" s="44" t="str">
        <f aca="false">IFERROR(INDEX(SENTENCES!$T$3:$T$1802,MATCH($F2083,SENTENCES!$A$3:$A$1802,0)),"")</f>
        <v>• Chưa tới</v>
      </c>
    </row>
    <row r="2084" customFormat="false" ht="15" hidden="false" customHeight="false" outlineLevel="0" collapsed="false">
      <c r="A2084" s="31" t="n">
        <v>2082</v>
      </c>
      <c r="B2084" s="43" t="s">
        <v>14047</v>
      </c>
      <c r="C2084" s="34" t="s">
        <v>14048</v>
      </c>
      <c r="D2084" s="44" t="s">
        <v>10677</v>
      </c>
      <c r="E2084" s="31" t="s">
        <v>10707</v>
      </c>
      <c r="F2084" s="31" t="s">
        <v>10010</v>
      </c>
      <c r="G2084" s="31" t="n">
        <v>85</v>
      </c>
      <c r="H2084" s="31" t="s">
        <v>7168</v>
      </c>
      <c r="I2084" s="44" t="s">
        <v>9980</v>
      </c>
      <c r="J2084" s="45" t="s">
        <v>10011</v>
      </c>
      <c r="K2084" s="45" t="s">
        <v>10013</v>
      </c>
      <c r="L2084" s="31" t="n">
        <f aca="false">COUNTIF($B$3:$B$2205,$B2084)</f>
        <v>1</v>
      </c>
      <c r="M2084" s="44" t="str">
        <f aca="false">IFERROR(INDEX(SENTENCES!$T$3:$T$1802,MATCH($F2084,SENTENCES!$A$3:$A$1802,0)),"")</f>
        <v>• Chưa tới</v>
      </c>
    </row>
    <row r="2085" customFormat="false" ht="15" hidden="false" customHeight="false" outlineLevel="0" collapsed="false">
      <c r="A2085" s="31" t="n">
        <v>2083</v>
      </c>
      <c r="B2085" s="43" t="s">
        <v>13212</v>
      </c>
      <c r="C2085" s="34" t="s">
        <v>13213</v>
      </c>
      <c r="D2085" s="44" t="s">
        <v>10686</v>
      </c>
      <c r="E2085" s="31"/>
      <c r="F2085" s="31" t="s">
        <v>10015</v>
      </c>
      <c r="G2085" s="31" t="n">
        <v>85</v>
      </c>
      <c r="H2085" s="31" t="s">
        <v>7168</v>
      </c>
      <c r="I2085" s="44" t="s">
        <v>9980</v>
      </c>
      <c r="J2085" s="45" t="s">
        <v>10016</v>
      </c>
      <c r="K2085" s="45" t="s">
        <v>10018</v>
      </c>
      <c r="L2085" s="31" t="n">
        <f aca="false">COUNTIF($B$3:$B$2205,$B2085)</f>
        <v>2</v>
      </c>
      <c r="M2085" s="44" t="str">
        <f aca="false">IFERROR(INDEX(SENTENCES!$T$3:$T$1802,MATCH($F2085,SENTENCES!$A$3:$A$1802,0)),"")</f>
        <v>• Chưa tới</v>
      </c>
    </row>
    <row r="2086" customFormat="false" ht="15" hidden="false" customHeight="false" outlineLevel="0" collapsed="false">
      <c r="A2086" s="31" t="n">
        <v>2084</v>
      </c>
      <c r="B2086" s="43" t="s">
        <v>10980</v>
      </c>
      <c r="C2086" s="34" t="s">
        <v>10981</v>
      </c>
      <c r="D2086" s="44" t="s">
        <v>10677</v>
      </c>
      <c r="E2086" s="31" t="s">
        <v>10707</v>
      </c>
      <c r="F2086" s="31" t="s">
        <v>10019</v>
      </c>
      <c r="G2086" s="31" t="n">
        <v>85</v>
      </c>
      <c r="H2086" s="31" t="s">
        <v>7168</v>
      </c>
      <c r="I2086" s="44" t="s">
        <v>9980</v>
      </c>
      <c r="J2086" s="45" t="s">
        <v>10020</v>
      </c>
      <c r="K2086" s="45" t="s">
        <v>10022</v>
      </c>
      <c r="L2086" s="31" t="n">
        <f aca="false">COUNTIF($B$3:$B$2205,$B2086)</f>
        <v>2</v>
      </c>
      <c r="M2086" s="44" t="str">
        <f aca="false">IFERROR(INDEX(SENTENCES!$T$3:$T$1802,MATCH($F2086,SENTENCES!$A$3:$A$1802,0)),"")</f>
        <v>• Chưa tới</v>
      </c>
    </row>
    <row r="2087" customFormat="false" ht="15" hidden="false" customHeight="false" outlineLevel="0" collapsed="false">
      <c r="A2087" s="31" t="n">
        <v>2085</v>
      </c>
      <c r="B2087" s="43" t="s">
        <v>14049</v>
      </c>
      <c r="C2087" s="34" t="s">
        <v>14050</v>
      </c>
      <c r="D2087" s="44" t="s">
        <v>10794</v>
      </c>
      <c r="E2087" s="31"/>
      <c r="F2087" s="31" t="s">
        <v>10023</v>
      </c>
      <c r="G2087" s="31" t="n">
        <v>85</v>
      </c>
      <c r="H2087" s="31" t="s">
        <v>7168</v>
      </c>
      <c r="I2087" s="44" t="s">
        <v>9980</v>
      </c>
      <c r="J2087" s="45" t="s">
        <v>10025</v>
      </c>
      <c r="K2087" s="45" t="s">
        <v>10027</v>
      </c>
      <c r="L2087" s="31" t="n">
        <f aca="false">COUNTIF($B$3:$B$2205,$B2087)</f>
        <v>2</v>
      </c>
      <c r="M2087" s="44" t="str">
        <f aca="false">IFERROR(INDEX(SENTENCES!$T$3:$T$1802,MATCH($F2087,SENTENCES!$A$3:$A$1802,0)),"")</f>
        <v>• Chưa tới</v>
      </c>
    </row>
    <row r="2088" customFormat="false" ht="15" hidden="false" customHeight="false" outlineLevel="0" collapsed="false">
      <c r="A2088" s="31" t="n">
        <v>2086</v>
      </c>
      <c r="B2088" s="43" t="s">
        <v>14051</v>
      </c>
      <c r="C2088" s="34" t="s">
        <v>14052</v>
      </c>
      <c r="D2088" s="44" t="s">
        <v>10677</v>
      </c>
      <c r="E2088" s="31" t="s">
        <v>10678</v>
      </c>
      <c r="F2088" s="31" t="s">
        <v>10029</v>
      </c>
      <c r="G2088" s="31" t="n">
        <v>85</v>
      </c>
      <c r="H2088" s="31" t="s">
        <v>7168</v>
      </c>
      <c r="I2088" s="44" t="s">
        <v>9980</v>
      </c>
      <c r="J2088" s="45" t="s">
        <v>10031</v>
      </c>
      <c r="K2088" s="45" t="s">
        <v>10033</v>
      </c>
      <c r="L2088" s="31" t="n">
        <f aca="false">COUNTIF($B$3:$B$2205,$B2088)</f>
        <v>1</v>
      </c>
      <c r="M2088" s="44" t="str">
        <f aca="false">IFERROR(INDEX(SENTENCES!$T$3:$T$1802,MATCH($F2088,SENTENCES!$A$3:$A$1802,0)),"")</f>
        <v>• Chưa tới</v>
      </c>
    </row>
    <row r="2089" customFormat="false" ht="15" hidden="false" customHeight="false" outlineLevel="0" collapsed="false">
      <c r="A2089" s="31" t="n">
        <v>2087</v>
      </c>
      <c r="B2089" s="43" t="s">
        <v>14053</v>
      </c>
      <c r="C2089" s="34" t="s">
        <v>14054</v>
      </c>
      <c r="D2089" s="44" t="s">
        <v>10681</v>
      </c>
      <c r="E2089" s="31"/>
      <c r="F2089" s="31" t="s">
        <v>10035</v>
      </c>
      <c r="G2089" s="31" t="n">
        <v>85</v>
      </c>
      <c r="H2089" s="31" t="s">
        <v>7168</v>
      </c>
      <c r="I2089" s="44" t="s">
        <v>9980</v>
      </c>
      <c r="J2089" s="45" t="s">
        <v>10037</v>
      </c>
      <c r="K2089" s="45" t="s">
        <v>10039</v>
      </c>
      <c r="L2089" s="31" t="n">
        <f aca="false">COUNTIF($B$3:$B$2205,$B2089)</f>
        <v>1</v>
      </c>
      <c r="M2089" s="44" t="str">
        <f aca="false">IFERROR(INDEX(SENTENCES!$T$3:$T$1802,MATCH($F2089,SENTENCES!$A$3:$A$1802,0)),"")</f>
        <v>• Chưa tới</v>
      </c>
    </row>
    <row r="2090" customFormat="false" ht="15" hidden="false" customHeight="false" outlineLevel="0" collapsed="false">
      <c r="A2090" s="31" t="n">
        <v>2088</v>
      </c>
      <c r="B2090" s="43" t="s">
        <v>12777</v>
      </c>
      <c r="C2090" s="34" t="s">
        <v>14055</v>
      </c>
      <c r="D2090" s="44" t="s">
        <v>10686</v>
      </c>
      <c r="E2090" s="31"/>
      <c r="F2090" s="31" t="s">
        <v>10041</v>
      </c>
      <c r="G2090" s="31" t="n">
        <v>85</v>
      </c>
      <c r="H2090" s="31" t="s">
        <v>7168</v>
      </c>
      <c r="I2090" s="44" t="s">
        <v>9980</v>
      </c>
      <c r="J2090" s="45" t="s">
        <v>10043</v>
      </c>
      <c r="K2090" s="45" t="s">
        <v>10045</v>
      </c>
      <c r="L2090" s="31" t="n">
        <f aca="false">COUNTIF($B$3:$B$2205,$B2090)</f>
        <v>2</v>
      </c>
      <c r="M2090" s="44" t="str">
        <f aca="false">IFERROR(INDEX(SENTENCES!$T$3:$T$1802,MATCH($F2090,SENTENCES!$A$3:$A$1802,0)),"")</f>
        <v>• Chưa tới</v>
      </c>
    </row>
    <row r="2091" customFormat="false" ht="15" hidden="false" customHeight="false" outlineLevel="0" collapsed="false">
      <c r="A2091" s="31" t="n">
        <v>2089</v>
      </c>
      <c r="B2091" s="43" t="s">
        <v>12730</v>
      </c>
      <c r="C2091" s="34" t="s">
        <v>14056</v>
      </c>
      <c r="D2091" s="44" t="s">
        <v>10754</v>
      </c>
      <c r="E2091" s="31"/>
      <c r="F2091" s="31" t="s">
        <v>10046</v>
      </c>
      <c r="G2091" s="31" t="n">
        <v>85</v>
      </c>
      <c r="H2091" s="31" t="s">
        <v>7168</v>
      </c>
      <c r="I2091" s="44" t="s">
        <v>9980</v>
      </c>
      <c r="J2091" s="45" t="s">
        <v>10048</v>
      </c>
      <c r="K2091" s="45" t="s">
        <v>10050</v>
      </c>
      <c r="L2091" s="31" t="n">
        <f aca="false">COUNTIF($B$3:$B$2205,$B2091)</f>
        <v>3</v>
      </c>
      <c r="M2091" s="44" t="str">
        <f aca="false">IFERROR(INDEX(SENTENCES!$T$3:$T$1802,MATCH($F2091,SENTENCES!$A$3:$A$1802,0)),"")</f>
        <v>• Chưa tới</v>
      </c>
    </row>
    <row r="2092" customFormat="false" ht="15" hidden="false" customHeight="false" outlineLevel="0" collapsed="false">
      <c r="A2092" s="31" t="n">
        <v>2090</v>
      </c>
      <c r="B2092" s="43" t="s">
        <v>11640</v>
      </c>
      <c r="C2092" s="34" t="s">
        <v>11641</v>
      </c>
      <c r="D2092" s="44" t="s">
        <v>10677</v>
      </c>
      <c r="E2092" s="31" t="s">
        <v>10707</v>
      </c>
      <c r="F2092" s="31" t="s">
        <v>10052</v>
      </c>
      <c r="G2092" s="31" t="n">
        <v>85</v>
      </c>
      <c r="H2092" s="31" t="s">
        <v>7168</v>
      </c>
      <c r="I2092" s="44" t="s">
        <v>9980</v>
      </c>
      <c r="J2092" s="45" t="s">
        <v>10053</v>
      </c>
      <c r="K2092" s="45" t="s">
        <v>10055</v>
      </c>
      <c r="L2092" s="31" t="n">
        <f aca="false">COUNTIF($B$3:$B$2205,$B2092)</f>
        <v>2</v>
      </c>
      <c r="M2092" s="44" t="str">
        <f aca="false">IFERROR(INDEX(SENTENCES!$T$3:$T$1802,MATCH($F2092,SENTENCES!$A$3:$A$1802,0)),"")</f>
        <v>• Chưa tới</v>
      </c>
    </row>
    <row r="2093" customFormat="false" ht="15" hidden="false" customHeight="false" outlineLevel="0" collapsed="false">
      <c r="A2093" s="31" t="n">
        <v>2091</v>
      </c>
      <c r="B2093" s="43" t="s">
        <v>13214</v>
      </c>
      <c r="C2093" s="34" t="s">
        <v>14057</v>
      </c>
      <c r="D2093" s="44" t="s">
        <v>10686</v>
      </c>
      <c r="E2093" s="31"/>
      <c r="F2093" s="31" t="s">
        <v>10056</v>
      </c>
      <c r="G2093" s="31" t="n">
        <v>85</v>
      </c>
      <c r="H2093" s="31" t="s">
        <v>7168</v>
      </c>
      <c r="I2093" s="44" t="s">
        <v>9980</v>
      </c>
      <c r="J2093" s="45" t="s">
        <v>10057</v>
      </c>
      <c r="K2093" s="45" t="s">
        <v>10059</v>
      </c>
      <c r="L2093" s="31" t="n">
        <f aca="false">COUNTIF($B$3:$B$2205,$B2093)</f>
        <v>2</v>
      </c>
      <c r="M2093" s="44" t="str">
        <f aca="false">IFERROR(INDEX(SENTENCES!$T$3:$T$1802,MATCH($F2093,SENTENCES!$A$3:$A$1802,0)),"")</f>
        <v>• Chưa tới</v>
      </c>
    </row>
    <row r="2094" customFormat="false" ht="15" hidden="false" customHeight="false" outlineLevel="0" collapsed="false">
      <c r="A2094" s="31" t="n">
        <v>2092</v>
      </c>
      <c r="B2094" s="43" t="s">
        <v>10062</v>
      </c>
      <c r="C2094" s="34" t="s">
        <v>14058</v>
      </c>
      <c r="D2094" s="44" t="s">
        <v>10794</v>
      </c>
      <c r="E2094" s="31"/>
      <c r="F2094" s="31" t="s">
        <v>10061</v>
      </c>
      <c r="G2094" s="31" t="n">
        <v>85</v>
      </c>
      <c r="H2094" s="31" t="s">
        <v>7168</v>
      </c>
      <c r="I2094" s="44" t="s">
        <v>9980</v>
      </c>
      <c r="J2094" s="45" t="s">
        <v>10063</v>
      </c>
      <c r="K2094" s="45" t="s">
        <v>10065</v>
      </c>
      <c r="L2094" s="31" t="n">
        <f aca="false">COUNTIF($B$3:$B$2205,$B2094)</f>
        <v>1</v>
      </c>
      <c r="M2094" s="44" t="str">
        <f aca="false">IFERROR(INDEX(SENTENCES!$T$3:$T$1802,MATCH($F2094,SENTENCES!$A$3:$A$1802,0)),"")</f>
        <v>• Chưa tới</v>
      </c>
    </row>
    <row r="2095" customFormat="false" ht="15" hidden="false" customHeight="false" outlineLevel="0" collapsed="false">
      <c r="A2095" s="31" t="n">
        <v>2093</v>
      </c>
      <c r="B2095" s="43" t="s">
        <v>12292</v>
      </c>
      <c r="C2095" s="34" t="s">
        <v>12293</v>
      </c>
      <c r="D2095" s="44" t="s">
        <v>10677</v>
      </c>
      <c r="E2095" s="31" t="s">
        <v>10678</v>
      </c>
      <c r="F2095" s="31" t="s">
        <v>10067</v>
      </c>
      <c r="G2095" s="31" t="n">
        <v>85</v>
      </c>
      <c r="H2095" s="31" t="s">
        <v>7168</v>
      </c>
      <c r="I2095" s="44" t="s">
        <v>9980</v>
      </c>
      <c r="J2095" s="45" t="s">
        <v>10069</v>
      </c>
      <c r="K2095" s="45" t="s">
        <v>10071</v>
      </c>
      <c r="L2095" s="31" t="n">
        <f aca="false">COUNTIF($B$3:$B$2205,$B2095)</f>
        <v>2</v>
      </c>
      <c r="M2095" s="44" t="str">
        <f aca="false">IFERROR(INDEX(SENTENCES!$T$3:$T$1802,MATCH($F2095,SENTENCES!$A$3:$A$1802,0)),"")</f>
        <v>• Chưa tới</v>
      </c>
    </row>
    <row r="2096" customFormat="false" ht="15" hidden="false" customHeight="false" outlineLevel="0" collapsed="false">
      <c r="A2096" s="31" t="n">
        <v>2094</v>
      </c>
      <c r="B2096" s="43" t="s">
        <v>14059</v>
      </c>
      <c r="C2096" s="34" t="s">
        <v>14060</v>
      </c>
      <c r="D2096" s="44" t="s">
        <v>10677</v>
      </c>
      <c r="E2096" s="31" t="s">
        <v>10707</v>
      </c>
      <c r="F2096" s="31" t="s">
        <v>10072</v>
      </c>
      <c r="G2096" s="31" t="n">
        <v>85</v>
      </c>
      <c r="H2096" s="31" t="s">
        <v>7168</v>
      </c>
      <c r="I2096" s="44" t="s">
        <v>9980</v>
      </c>
      <c r="J2096" s="45" t="s">
        <v>10073</v>
      </c>
      <c r="K2096" s="45" t="s">
        <v>10075</v>
      </c>
      <c r="L2096" s="31" t="n">
        <f aca="false">COUNTIF($B$3:$B$2205,$B2096)</f>
        <v>1</v>
      </c>
      <c r="M2096" s="44" t="str">
        <f aca="false">IFERROR(INDEX(SENTENCES!$T$3:$T$1802,MATCH($F2096,SENTENCES!$A$3:$A$1802,0)),"")</f>
        <v>• Chưa tới</v>
      </c>
    </row>
    <row r="2097" customFormat="false" ht="15" hidden="false" customHeight="false" outlineLevel="0" collapsed="false">
      <c r="A2097" s="31" t="n">
        <v>2095</v>
      </c>
      <c r="B2097" s="43" t="s">
        <v>10078</v>
      </c>
      <c r="C2097" s="34" t="s">
        <v>13459</v>
      </c>
      <c r="D2097" s="44" t="s">
        <v>10754</v>
      </c>
      <c r="E2097" s="31"/>
      <c r="F2097" s="31" t="s">
        <v>10077</v>
      </c>
      <c r="G2097" s="31" t="n">
        <v>85</v>
      </c>
      <c r="H2097" s="31" t="s">
        <v>7168</v>
      </c>
      <c r="I2097" s="44" t="s">
        <v>9980</v>
      </c>
      <c r="J2097" s="45" t="s">
        <v>10079</v>
      </c>
      <c r="K2097" s="45" t="s">
        <v>10081</v>
      </c>
      <c r="L2097" s="31" t="n">
        <f aca="false">COUNTIF($B$3:$B$2205,$B2097)</f>
        <v>1</v>
      </c>
      <c r="M2097" s="44" t="str">
        <f aca="false">IFERROR(INDEX(SENTENCES!$T$3:$T$1802,MATCH($F2097,SENTENCES!$A$3:$A$1802,0)),"")</f>
        <v>• Chưa tới</v>
      </c>
    </row>
    <row r="2098" customFormat="false" ht="15" hidden="false" customHeight="false" outlineLevel="0" collapsed="false">
      <c r="A2098" s="31" t="n">
        <v>2096</v>
      </c>
      <c r="B2098" s="43" t="s">
        <v>14061</v>
      </c>
      <c r="C2098" s="34" t="s">
        <v>11647</v>
      </c>
      <c r="D2098" s="44" t="s">
        <v>10794</v>
      </c>
      <c r="E2098" s="31"/>
      <c r="F2098" s="31" t="s">
        <v>10083</v>
      </c>
      <c r="G2098" s="31" t="n">
        <v>85</v>
      </c>
      <c r="H2098" s="31" t="s">
        <v>7168</v>
      </c>
      <c r="I2098" s="44" t="s">
        <v>9980</v>
      </c>
      <c r="J2098" s="45" t="s">
        <v>10085</v>
      </c>
      <c r="K2098" s="45" t="s">
        <v>10087</v>
      </c>
      <c r="L2098" s="31" t="n">
        <f aca="false">COUNTIF($B$3:$B$2205,$B2098)</f>
        <v>1</v>
      </c>
      <c r="M2098" s="44" t="str">
        <f aca="false">IFERROR(INDEX(SENTENCES!$T$3:$T$1802,MATCH($F2098,SENTENCES!$A$3:$A$1802,0)),"")</f>
        <v>• Chưa tới</v>
      </c>
    </row>
    <row r="2099" customFormat="false" ht="15" hidden="false" customHeight="false" outlineLevel="0" collapsed="false">
      <c r="A2099" s="31" t="n">
        <v>2097</v>
      </c>
      <c r="B2099" s="43" t="s">
        <v>14062</v>
      </c>
      <c r="C2099" s="34" t="s">
        <v>14063</v>
      </c>
      <c r="D2099" s="44" t="s">
        <v>10677</v>
      </c>
      <c r="E2099" s="31" t="s">
        <v>10707</v>
      </c>
      <c r="F2099" s="31" t="s">
        <v>10089</v>
      </c>
      <c r="G2099" s="31" t="n">
        <v>86</v>
      </c>
      <c r="H2099" s="31" t="s">
        <v>7168</v>
      </c>
      <c r="I2099" s="44" t="s">
        <v>10090</v>
      </c>
      <c r="J2099" s="45" t="s">
        <v>10092</v>
      </c>
      <c r="K2099" s="45" t="s">
        <v>10094</v>
      </c>
      <c r="L2099" s="31" t="n">
        <f aca="false">COUNTIF($B$3:$B$2205,$B2099)</f>
        <v>1</v>
      </c>
      <c r="M2099" s="44" t="str">
        <f aca="false">IFERROR(INDEX(SENTENCES!$T$3:$T$1802,MATCH($F2099,SENTENCES!$A$3:$A$1802,0)),"")</f>
        <v>• Chưa tới</v>
      </c>
    </row>
    <row r="2100" customFormat="false" ht="15" hidden="false" customHeight="false" outlineLevel="0" collapsed="false">
      <c r="A2100" s="31" t="n">
        <v>2098</v>
      </c>
      <c r="B2100" s="43" t="s">
        <v>14064</v>
      </c>
      <c r="C2100" s="34" t="s">
        <v>14065</v>
      </c>
      <c r="D2100" s="44" t="s">
        <v>10677</v>
      </c>
      <c r="E2100" s="31" t="s">
        <v>10678</v>
      </c>
      <c r="F2100" s="31" t="s">
        <v>10096</v>
      </c>
      <c r="G2100" s="31" t="n">
        <v>86</v>
      </c>
      <c r="H2100" s="31" t="s">
        <v>7168</v>
      </c>
      <c r="I2100" s="44" t="s">
        <v>10090</v>
      </c>
      <c r="J2100" s="45" t="s">
        <v>10097</v>
      </c>
      <c r="K2100" s="45" t="s">
        <v>10099</v>
      </c>
      <c r="L2100" s="31" t="n">
        <f aca="false">COUNTIF($B$3:$B$2205,$B2100)</f>
        <v>1</v>
      </c>
      <c r="M2100" s="44" t="str">
        <f aca="false">IFERROR(INDEX(SENTENCES!$T$3:$T$1802,MATCH($F2100,SENTENCES!$A$3:$A$1802,0)),"")</f>
        <v>• Chưa tới</v>
      </c>
    </row>
    <row r="2101" customFormat="false" ht="15" hidden="false" customHeight="false" outlineLevel="0" collapsed="false">
      <c r="A2101" s="31" t="n">
        <v>2099</v>
      </c>
      <c r="B2101" s="43" t="s">
        <v>13433</v>
      </c>
      <c r="C2101" s="34" t="s">
        <v>14066</v>
      </c>
      <c r="D2101" s="44" t="s">
        <v>10681</v>
      </c>
      <c r="E2101" s="31"/>
      <c r="F2101" s="31" t="s">
        <v>10096</v>
      </c>
      <c r="G2101" s="31" t="n">
        <v>86</v>
      </c>
      <c r="H2101" s="31" t="s">
        <v>7168</v>
      </c>
      <c r="I2101" s="44" t="s">
        <v>10090</v>
      </c>
      <c r="J2101" s="45" t="s">
        <v>10097</v>
      </c>
      <c r="K2101" s="45" t="s">
        <v>10099</v>
      </c>
      <c r="L2101" s="31" t="n">
        <f aca="false">COUNTIF($B$3:$B$2205,$B2101)</f>
        <v>2</v>
      </c>
      <c r="M2101" s="44" t="str">
        <f aca="false">IFERROR(INDEX(SENTENCES!$T$3:$T$1802,MATCH($F2101,SENTENCES!$A$3:$A$1802,0)),"")</f>
        <v>• Chưa tới</v>
      </c>
    </row>
    <row r="2102" customFormat="false" ht="15" hidden="false" customHeight="false" outlineLevel="0" collapsed="false">
      <c r="A2102" s="31" t="n">
        <v>2100</v>
      </c>
      <c r="B2102" s="43" t="s">
        <v>10102</v>
      </c>
      <c r="C2102" s="34" t="s">
        <v>14067</v>
      </c>
      <c r="D2102" s="44" t="s">
        <v>10754</v>
      </c>
      <c r="E2102" s="31"/>
      <c r="F2102" s="31" t="s">
        <v>10101</v>
      </c>
      <c r="G2102" s="31" t="n">
        <v>86</v>
      </c>
      <c r="H2102" s="31" t="s">
        <v>7168</v>
      </c>
      <c r="I2102" s="44" t="s">
        <v>10090</v>
      </c>
      <c r="J2102" s="45" t="s">
        <v>10103</v>
      </c>
      <c r="K2102" s="45" t="s">
        <v>10105</v>
      </c>
      <c r="L2102" s="31" t="n">
        <f aca="false">COUNTIF($B$3:$B$2205,$B2102)</f>
        <v>1</v>
      </c>
      <c r="M2102" s="44" t="str">
        <f aca="false">IFERROR(INDEX(SENTENCES!$T$3:$T$1802,MATCH($F2102,SENTENCES!$A$3:$A$1802,0)),"")</f>
        <v>• Chưa tới</v>
      </c>
    </row>
    <row r="2103" customFormat="false" ht="15" hidden="false" customHeight="false" outlineLevel="0" collapsed="false">
      <c r="A2103" s="31" t="n">
        <v>2101</v>
      </c>
      <c r="B2103" s="43" t="s">
        <v>14068</v>
      </c>
      <c r="C2103" s="34" t="s">
        <v>14069</v>
      </c>
      <c r="D2103" s="44" t="s">
        <v>10677</v>
      </c>
      <c r="E2103" s="31" t="s">
        <v>10678</v>
      </c>
      <c r="F2103" s="31" t="s">
        <v>10107</v>
      </c>
      <c r="G2103" s="31" t="n">
        <v>86</v>
      </c>
      <c r="H2103" s="31" t="s">
        <v>7168</v>
      </c>
      <c r="I2103" s="44" t="s">
        <v>10090</v>
      </c>
      <c r="J2103" s="45" t="s">
        <v>10108</v>
      </c>
      <c r="K2103" s="45" t="s">
        <v>10110</v>
      </c>
      <c r="L2103" s="31" t="n">
        <f aca="false">COUNTIF($B$3:$B$2205,$B2103)</f>
        <v>1</v>
      </c>
      <c r="M2103" s="44" t="str">
        <f aca="false">IFERROR(INDEX(SENTENCES!$T$3:$T$1802,MATCH($F2103,SENTENCES!$A$3:$A$1802,0)),"")</f>
        <v>• Chưa tới</v>
      </c>
    </row>
    <row r="2104" customFormat="false" ht="15" hidden="false" customHeight="false" outlineLevel="0" collapsed="false">
      <c r="A2104" s="31" t="n">
        <v>2102</v>
      </c>
      <c r="B2104" s="43" t="s">
        <v>14070</v>
      </c>
      <c r="C2104" s="34" t="s">
        <v>14071</v>
      </c>
      <c r="D2104" s="44" t="s">
        <v>10677</v>
      </c>
      <c r="E2104" s="31" t="s">
        <v>10678</v>
      </c>
      <c r="F2104" s="31" t="s">
        <v>10112</v>
      </c>
      <c r="G2104" s="31" t="n">
        <v>86</v>
      </c>
      <c r="H2104" s="31" t="s">
        <v>7168</v>
      </c>
      <c r="I2104" s="44" t="s">
        <v>10090</v>
      </c>
      <c r="J2104" s="45" t="s">
        <v>10114</v>
      </c>
      <c r="K2104" s="45" t="s">
        <v>10116</v>
      </c>
      <c r="L2104" s="31" t="n">
        <f aca="false">COUNTIF($B$3:$B$2205,$B2104)</f>
        <v>1</v>
      </c>
      <c r="M2104" s="44" t="str">
        <f aca="false">IFERROR(INDEX(SENTENCES!$T$3:$T$1802,MATCH($F2104,SENTENCES!$A$3:$A$1802,0)),"")</f>
        <v>• Chưa tới</v>
      </c>
    </row>
    <row r="2105" customFormat="false" ht="15" hidden="false" customHeight="false" outlineLevel="0" collapsed="false">
      <c r="A2105" s="31" t="n">
        <v>2103</v>
      </c>
      <c r="B2105" s="43" t="s">
        <v>14072</v>
      </c>
      <c r="C2105" s="34" t="s">
        <v>14073</v>
      </c>
      <c r="D2105" s="44" t="s">
        <v>10681</v>
      </c>
      <c r="E2105" s="31"/>
      <c r="F2105" s="31" t="s">
        <v>10118</v>
      </c>
      <c r="G2105" s="31" t="n">
        <v>86</v>
      </c>
      <c r="H2105" s="31" t="s">
        <v>7168</v>
      </c>
      <c r="I2105" s="44" t="s">
        <v>10090</v>
      </c>
      <c r="J2105" s="45" t="s">
        <v>10120</v>
      </c>
      <c r="K2105" s="45" t="s">
        <v>10122</v>
      </c>
      <c r="L2105" s="31" t="n">
        <f aca="false">COUNTIF($B$3:$B$2205,$B2105)</f>
        <v>1</v>
      </c>
      <c r="M2105" s="44" t="str">
        <f aca="false">IFERROR(INDEX(SENTENCES!$T$3:$T$1802,MATCH($F2105,SENTENCES!$A$3:$A$1802,0)),"")</f>
        <v>• Chưa tới</v>
      </c>
    </row>
    <row r="2106" customFormat="false" ht="15" hidden="false" customHeight="false" outlineLevel="0" collapsed="false">
      <c r="A2106" s="31" t="n">
        <v>2104</v>
      </c>
      <c r="B2106" s="43" t="s">
        <v>14074</v>
      </c>
      <c r="C2106" s="34" t="s">
        <v>14075</v>
      </c>
      <c r="D2106" s="44" t="s">
        <v>10677</v>
      </c>
      <c r="E2106" s="31" t="s">
        <v>10678</v>
      </c>
      <c r="F2106" s="31" t="s">
        <v>10124</v>
      </c>
      <c r="G2106" s="31" t="n">
        <v>86</v>
      </c>
      <c r="H2106" s="31" t="s">
        <v>7168</v>
      </c>
      <c r="I2106" s="44" t="s">
        <v>10090</v>
      </c>
      <c r="J2106" s="45" t="s">
        <v>10126</v>
      </c>
      <c r="K2106" s="45" t="s">
        <v>10128</v>
      </c>
      <c r="L2106" s="31" t="n">
        <f aca="false">COUNTIF($B$3:$B$2205,$B2106)</f>
        <v>1</v>
      </c>
      <c r="M2106" s="44" t="str">
        <f aca="false">IFERROR(INDEX(SENTENCES!$T$3:$T$1802,MATCH($F2106,SENTENCES!$A$3:$A$1802,0)),"")</f>
        <v>• Chưa tới</v>
      </c>
    </row>
    <row r="2107" customFormat="false" ht="15" hidden="false" customHeight="false" outlineLevel="0" collapsed="false">
      <c r="A2107" s="31" t="n">
        <v>2105</v>
      </c>
      <c r="B2107" s="43" t="s">
        <v>14076</v>
      </c>
      <c r="C2107" s="34" t="s">
        <v>14077</v>
      </c>
      <c r="D2107" s="44" t="s">
        <v>10677</v>
      </c>
      <c r="E2107" s="31" t="s">
        <v>10678</v>
      </c>
      <c r="F2107" s="31" t="s">
        <v>10130</v>
      </c>
      <c r="G2107" s="31" t="n">
        <v>86</v>
      </c>
      <c r="H2107" s="31" t="s">
        <v>7168</v>
      </c>
      <c r="I2107" s="44" t="s">
        <v>10090</v>
      </c>
      <c r="J2107" s="45" t="s">
        <v>10132</v>
      </c>
      <c r="K2107" s="45" t="s">
        <v>10134</v>
      </c>
      <c r="L2107" s="31" t="n">
        <f aca="false">COUNTIF($B$3:$B$2205,$B2107)</f>
        <v>1</v>
      </c>
      <c r="M2107" s="44" t="str">
        <f aca="false">IFERROR(INDEX(SENTENCES!$T$3:$T$1802,MATCH($F2107,SENTENCES!$A$3:$A$1802,0)),"")</f>
        <v>• Chưa tới</v>
      </c>
    </row>
    <row r="2108" customFormat="false" ht="15" hidden="false" customHeight="false" outlineLevel="0" collapsed="false">
      <c r="A2108" s="31" t="n">
        <v>2106</v>
      </c>
      <c r="B2108" s="43" t="s">
        <v>13628</v>
      </c>
      <c r="C2108" s="34" t="s">
        <v>13464</v>
      </c>
      <c r="D2108" s="44" t="s">
        <v>10686</v>
      </c>
      <c r="E2108" s="31"/>
      <c r="F2108" s="31" t="s">
        <v>10136</v>
      </c>
      <c r="G2108" s="31" t="n">
        <v>86</v>
      </c>
      <c r="H2108" s="31" t="s">
        <v>7168</v>
      </c>
      <c r="I2108" s="44" t="s">
        <v>10090</v>
      </c>
      <c r="J2108" s="45" t="s">
        <v>10138</v>
      </c>
      <c r="K2108" s="45" t="s">
        <v>10140</v>
      </c>
      <c r="L2108" s="31" t="n">
        <f aca="false">COUNTIF($B$3:$B$2205,$B2108)</f>
        <v>2</v>
      </c>
      <c r="M2108" s="44" t="str">
        <f aca="false">IFERROR(INDEX(SENTENCES!$T$3:$T$1802,MATCH($F2108,SENTENCES!$A$3:$A$1802,0)),"")</f>
        <v>• Chưa tới</v>
      </c>
    </row>
    <row r="2109" customFormat="false" ht="15" hidden="false" customHeight="false" outlineLevel="0" collapsed="false">
      <c r="A2109" s="31" t="n">
        <v>2107</v>
      </c>
      <c r="B2109" s="43" t="s">
        <v>14078</v>
      </c>
      <c r="C2109" s="34" t="s">
        <v>14079</v>
      </c>
      <c r="D2109" s="44" t="s">
        <v>10677</v>
      </c>
      <c r="E2109" s="31" t="s">
        <v>10678</v>
      </c>
      <c r="F2109" s="31" t="s">
        <v>10142</v>
      </c>
      <c r="G2109" s="31" t="n">
        <v>86</v>
      </c>
      <c r="H2109" s="31" t="s">
        <v>7168</v>
      </c>
      <c r="I2109" s="44" t="s">
        <v>10090</v>
      </c>
      <c r="J2109" s="45" t="s">
        <v>10144</v>
      </c>
      <c r="K2109" s="45" t="s">
        <v>10146</v>
      </c>
      <c r="L2109" s="31" t="n">
        <f aca="false">COUNTIF($B$3:$B$2205,$B2109)</f>
        <v>1</v>
      </c>
      <c r="M2109" s="44" t="str">
        <f aca="false">IFERROR(INDEX(SENTENCES!$T$3:$T$1802,MATCH($F2109,SENTENCES!$A$3:$A$1802,0)),"")</f>
        <v>• Chưa tới</v>
      </c>
    </row>
    <row r="2110" customFormat="false" ht="15" hidden="false" customHeight="false" outlineLevel="0" collapsed="false">
      <c r="A2110" s="31" t="n">
        <v>2108</v>
      </c>
      <c r="B2110" s="43" t="s">
        <v>14080</v>
      </c>
      <c r="C2110" s="34" t="s">
        <v>14081</v>
      </c>
      <c r="D2110" s="44" t="s">
        <v>10681</v>
      </c>
      <c r="E2110" s="31"/>
      <c r="F2110" s="31" t="s">
        <v>10148</v>
      </c>
      <c r="G2110" s="31" t="n">
        <v>86</v>
      </c>
      <c r="H2110" s="31" t="s">
        <v>7168</v>
      </c>
      <c r="I2110" s="44" t="s">
        <v>10090</v>
      </c>
      <c r="J2110" s="45" t="s">
        <v>10150</v>
      </c>
      <c r="K2110" s="45" t="s">
        <v>10152</v>
      </c>
      <c r="L2110" s="31" t="n">
        <f aca="false">COUNTIF($B$3:$B$2205,$B2110)</f>
        <v>1</v>
      </c>
      <c r="M2110" s="44" t="str">
        <f aca="false">IFERROR(INDEX(SENTENCES!$T$3:$T$1802,MATCH($F2110,SENTENCES!$A$3:$A$1802,0)),"")</f>
        <v>• Chưa tới</v>
      </c>
    </row>
    <row r="2111" customFormat="false" ht="15" hidden="false" customHeight="false" outlineLevel="0" collapsed="false">
      <c r="A2111" s="31" t="n">
        <v>2109</v>
      </c>
      <c r="B2111" s="43" t="s">
        <v>14082</v>
      </c>
      <c r="C2111" s="34" t="s">
        <v>14083</v>
      </c>
      <c r="D2111" s="44" t="s">
        <v>10677</v>
      </c>
      <c r="E2111" s="31" t="s">
        <v>10707</v>
      </c>
      <c r="F2111" s="31" t="s">
        <v>10154</v>
      </c>
      <c r="G2111" s="31" t="n">
        <v>86</v>
      </c>
      <c r="H2111" s="31" t="s">
        <v>7168</v>
      </c>
      <c r="I2111" s="44" t="s">
        <v>10090</v>
      </c>
      <c r="J2111" s="45" t="s">
        <v>10156</v>
      </c>
      <c r="K2111" s="45" t="s">
        <v>10158</v>
      </c>
      <c r="L2111" s="31" t="n">
        <f aca="false">COUNTIF($B$3:$B$2205,$B2111)</f>
        <v>1</v>
      </c>
      <c r="M2111" s="44" t="str">
        <f aca="false">IFERROR(INDEX(SENTENCES!$T$3:$T$1802,MATCH($F2111,SENTENCES!$A$3:$A$1802,0)),"")</f>
        <v>• Chưa tới</v>
      </c>
    </row>
    <row r="2112" customFormat="false" ht="15" hidden="false" customHeight="false" outlineLevel="0" collapsed="false">
      <c r="A2112" s="31" t="n">
        <v>2110</v>
      </c>
      <c r="B2112" s="43" t="s">
        <v>14084</v>
      </c>
      <c r="C2112" s="34" t="s">
        <v>14085</v>
      </c>
      <c r="D2112" s="44" t="s">
        <v>10677</v>
      </c>
      <c r="E2112" s="31" t="s">
        <v>10678</v>
      </c>
      <c r="F2112" s="31" t="s">
        <v>10160</v>
      </c>
      <c r="G2112" s="31" t="n">
        <v>86</v>
      </c>
      <c r="H2112" s="31" t="s">
        <v>7168</v>
      </c>
      <c r="I2112" s="44" t="s">
        <v>10090</v>
      </c>
      <c r="J2112" s="45" t="s">
        <v>10162</v>
      </c>
      <c r="K2112" s="45" t="s">
        <v>10164</v>
      </c>
      <c r="L2112" s="31" t="n">
        <f aca="false">COUNTIF($B$3:$B$2205,$B2112)</f>
        <v>1</v>
      </c>
      <c r="M2112" s="44" t="str">
        <f aca="false">IFERROR(INDEX(SENTENCES!$T$3:$T$1802,MATCH($F2112,SENTENCES!$A$3:$A$1802,0)),"")</f>
        <v>• Chưa tới</v>
      </c>
    </row>
    <row r="2113" customFormat="false" ht="15" hidden="false" customHeight="false" outlineLevel="0" collapsed="false">
      <c r="A2113" s="31" t="n">
        <v>2111</v>
      </c>
      <c r="B2113" s="43" t="s">
        <v>12477</v>
      </c>
      <c r="C2113" s="34" t="s">
        <v>12341</v>
      </c>
      <c r="D2113" s="44" t="s">
        <v>10686</v>
      </c>
      <c r="E2113" s="31"/>
      <c r="F2113" s="31" t="s">
        <v>10166</v>
      </c>
      <c r="G2113" s="31" t="n">
        <v>86</v>
      </c>
      <c r="H2113" s="31" t="s">
        <v>7168</v>
      </c>
      <c r="I2113" s="44" t="s">
        <v>10090</v>
      </c>
      <c r="J2113" s="45" t="s">
        <v>10168</v>
      </c>
      <c r="K2113" s="45" t="s">
        <v>10170</v>
      </c>
      <c r="L2113" s="31" t="n">
        <f aca="false">COUNTIF($B$3:$B$2205,$B2113)</f>
        <v>2</v>
      </c>
      <c r="M2113" s="44" t="str">
        <f aca="false">IFERROR(INDEX(SENTENCES!$T$3:$T$1802,MATCH($F2113,SENTENCES!$A$3:$A$1802,0)),"")</f>
        <v>• Chưa tới</v>
      </c>
    </row>
    <row r="2114" customFormat="false" ht="15" hidden="false" customHeight="false" outlineLevel="0" collapsed="false">
      <c r="A2114" s="31" t="n">
        <v>2112</v>
      </c>
      <c r="B2114" s="43" t="s">
        <v>14086</v>
      </c>
      <c r="C2114" s="34" t="s">
        <v>14087</v>
      </c>
      <c r="D2114" s="44" t="s">
        <v>10686</v>
      </c>
      <c r="E2114" s="31"/>
      <c r="F2114" s="31" t="s">
        <v>10171</v>
      </c>
      <c r="G2114" s="31" t="n">
        <v>86</v>
      </c>
      <c r="H2114" s="31" t="s">
        <v>7168</v>
      </c>
      <c r="I2114" s="44" t="s">
        <v>10090</v>
      </c>
      <c r="J2114" s="45" t="s">
        <v>10173</v>
      </c>
      <c r="K2114" s="45" t="s">
        <v>10175</v>
      </c>
      <c r="L2114" s="31" t="n">
        <f aca="false">COUNTIF($B$3:$B$2205,$B2114)</f>
        <v>1</v>
      </c>
      <c r="M2114" s="44" t="str">
        <f aca="false">IFERROR(INDEX(SENTENCES!$T$3:$T$1802,MATCH($F2114,SENTENCES!$A$3:$A$1802,0)),"")</f>
        <v>• Chưa tới</v>
      </c>
    </row>
    <row r="2115" customFormat="false" ht="15" hidden="false" customHeight="false" outlineLevel="0" collapsed="false">
      <c r="A2115" s="31" t="n">
        <v>2113</v>
      </c>
      <c r="B2115" s="43" t="s">
        <v>14088</v>
      </c>
      <c r="C2115" s="34" t="s">
        <v>14089</v>
      </c>
      <c r="D2115" s="44" t="s">
        <v>10677</v>
      </c>
      <c r="E2115" s="31" t="s">
        <v>10747</v>
      </c>
      <c r="F2115" s="31" t="s">
        <v>10177</v>
      </c>
      <c r="G2115" s="31" t="n">
        <v>86</v>
      </c>
      <c r="H2115" s="31" t="s">
        <v>7168</v>
      </c>
      <c r="I2115" s="44" t="s">
        <v>10090</v>
      </c>
      <c r="J2115" s="45" t="s">
        <v>10179</v>
      </c>
      <c r="K2115" s="45" t="s">
        <v>10181</v>
      </c>
      <c r="L2115" s="31" t="n">
        <f aca="false">COUNTIF($B$3:$B$2205,$B2115)</f>
        <v>1</v>
      </c>
      <c r="M2115" s="44" t="str">
        <f aca="false">IFERROR(INDEX(SENTENCES!$T$3:$T$1802,MATCH($F2115,SENTENCES!$A$3:$A$1802,0)),"")</f>
        <v>• Chưa tới</v>
      </c>
    </row>
    <row r="2116" customFormat="false" ht="15" hidden="false" customHeight="false" outlineLevel="0" collapsed="false">
      <c r="A2116" s="31" t="n">
        <v>2114</v>
      </c>
      <c r="B2116" s="43" t="s">
        <v>13753</v>
      </c>
      <c r="C2116" s="34" t="s">
        <v>13754</v>
      </c>
      <c r="D2116" s="44" t="s">
        <v>10677</v>
      </c>
      <c r="E2116" s="31" t="s">
        <v>10678</v>
      </c>
      <c r="F2116" s="31" t="s">
        <v>10183</v>
      </c>
      <c r="G2116" s="31" t="n">
        <v>86</v>
      </c>
      <c r="H2116" s="31" t="s">
        <v>7168</v>
      </c>
      <c r="I2116" s="44" t="s">
        <v>10090</v>
      </c>
      <c r="J2116" s="45" t="s">
        <v>10184</v>
      </c>
      <c r="K2116" s="45" t="s">
        <v>10186</v>
      </c>
      <c r="L2116" s="31" t="n">
        <f aca="false">COUNTIF($B$3:$B$2205,$B2116)</f>
        <v>2</v>
      </c>
      <c r="M2116" s="44" t="str">
        <f aca="false">IFERROR(INDEX(SENTENCES!$T$3:$T$1802,MATCH($F2116,SENTENCES!$A$3:$A$1802,0)),"")</f>
        <v>• Chưa tới</v>
      </c>
    </row>
    <row r="2117" customFormat="false" ht="15" hidden="false" customHeight="false" outlineLevel="0" collapsed="false">
      <c r="A2117" s="31" t="n">
        <v>2115</v>
      </c>
      <c r="B2117" s="43" t="s">
        <v>14090</v>
      </c>
      <c r="C2117" s="34" t="s">
        <v>14091</v>
      </c>
      <c r="D2117" s="44" t="s">
        <v>10677</v>
      </c>
      <c r="E2117" s="31" t="s">
        <v>10707</v>
      </c>
      <c r="F2117" s="31" t="s">
        <v>10187</v>
      </c>
      <c r="G2117" s="31" t="n">
        <v>86</v>
      </c>
      <c r="H2117" s="31" t="s">
        <v>7168</v>
      </c>
      <c r="I2117" s="44" t="s">
        <v>10090</v>
      </c>
      <c r="J2117" s="45" t="s">
        <v>10189</v>
      </c>
      <c r="K2117" s="45" t="s">
        <v>10191</v>
      </c>
      <c r="L2117" s="31" t="n">
        <f aca="false">COUNTIF($B$3:$B$2205,$B2117)</f>
        <v>1</v>
      </c>
      <c r="M2117" s="44" t="str">
        <f aca="false">IFERROR(INDEX(SENTENCES!$T$3:$T$1802,MATCH($F2117,SENTENCES!$A$3:$A$1802,0)),"")</f>
        <v>• Chưa tới</v>
      </c>
    </row>
    <row r="2118" customFormat="false" ht="15" hidden="false" customHeight="false" outlineLevel="0" collapsed="false">
      <c r="A2118" s="31" t="n">
        <v>2116</v>
      </c>
      <c r="B2118" s="43" t="s">
        <v>14092</v>
      </c>
      <c r="C2118" s="34" t="s">
        <v>14093</v>
      </c>
      <c r="D2118" s="44" t="s">
        <v>10677</v>
      </c>
      <c r="E2118" s="31" t="s">
        <v>10707</v>
      </c>
      <c r="F2118" s="31" t="s">
        <v>10193</v>
      </c>
      <c r="G2118" s="31" t="n">
        <v>86</v>
      </c>
      <c r="H2118" s="31" t="s">
        <v>7168</v>
      </c>
      <c r="I2118" s="44" t="s">
        <v>10090</v>
      </c>
      <c r="J2118" s="45" t="s">
        <v>10195</v>
      </c>
      <c r="K2118" s="45" t="s">
        <v>10197</v>
      </c>
      <c r="L2118" s="31" t="n">
        <f aca="false">COUNTIF($B$3:$B$2205,$B2118)</f>
        <v>1</v>
      </c>
      <c r="M2118" s="44" t="str">
        <f aca="false">IFERROR(INDEX(SENTENCES!$T$3:$T$1802,MATCH($F2118,SENTENCES!$A$3:$A$1802,0)),"")</f>
        <v>• Chưa tới</v>
      </c>
    </row>
    <row r="2119" customFormat="false" ht="15" hidden="false" customHeight="false" outlineLevel="0" collapsed="false">
      <c r="A2119" s="31" t="n">
        <v>2117</v>
      </c>
      <c r="B2119" s="43" t="s">
        <v>10200</v>
      </c>
      <c r="C2119" s="34" t="s">
        <v>13145</v>
      </c>
      <c r="D2119" s="44" t="s">
        <v>10681</v>
      </c>
      <c r="E2119" s="31"/>
      <c r="F2119" s="31" t="s">
        <v>10199</v>
      </c>
      <c r="G2119" s="31" t="n">
        <v>86</v>
      </c>
      <c r="H2119" s="31" t="s">
        <v>7168</v>
      </c>
      <c r="I2119" s="44" t="s">
        <v>10090</v>
      </c>
      <c r="J2119" s="45" t="s">
        <v>10201</v>
      </c>
      <c r="K2119" s="45" t="s">
        <v>10203</v>
      </c>
      <c r="L2119" s="31" t="n">
        <f aca="false">COUNTIF($B$3:$B$2205,$B2119)</f>
        <v>2</v>
      </c>
      <c r="M2119" s="44" t="str">
        <f aca="false">IFERROR(INDEX(SENTENCES!$T$3:$T$1802,MATCH($F2119,SENTENCES!$A$3:$A$1802,0)),"")</f>
        <v>• Chưa tới</v>
      </c>
    </row>
    <row r="2120" customFormat="false" ht="15" hidden="false" customHeight="false" outlineLevel="0" collapsed="false">
      <c r="A2120" s="31" t="n">
        <v>2118</v>
      </c>
      <c r="B2120" s="43" t="s">
        <v>14094</v>
      </c>
      <c r="C2120" s="34" t="s">
        <v>14095</v>
      </c>
      <c r="D2120" s="44" t="s">
        <v>10794</v>
      </c>
      <c r="E2120" s="31"/>
      <c r="F2120" s="31" t="s">
        <v>10204</v>
      </c>
      <c r="G2120" s="31" t="n">
        <v>87</v>
      </c>
      <c r="H2120" s="31" t="s">
        <v>7168</v>
      </c>
      <c r="I2120" s="44" t="s">
        <v>10205</v>
      </c>
      <c r="J2120" s="45" t="s">
        <v>10208</v>
      </c>
      <c r="K2120" s="45" t="s">
        <v>10210</v>
      </c>
      <c r="L2120" s="31" t="n">
        <f aca="false">COUNTIF($B$3:$B$2205,$B2120)</f>
        <v>1</v>
      </c>
      <c r="M2120" s="44" t="str">
        <f aca="false">IFERROR(INDEX(SENTENCES!$T$3:$T$1802,MATCH($F2120,SENTENCES!$A$3:$A$1802,0)),"")</f>
        <v>• Chưa tới</v>
      </c>
    </row>
    <row r="2121" customFormat="false" ht="15" hidden="false" customHeight="false" outlineLevel="0" collapsed="false">
      <c r="A2121" s="31" t="n">
        <v>2119</v>
      </c>
      <c r="B2121" s="43" t="s">
        <v>14096</v>
      </c>
      <c r="C2121" s="34" t="s">
        <v>14097</v>
      </c>
      <c r="D2121" s="44" t="s">
        <v>10677</v>
      </c>
      <c r="E2121" s="31" t="s">
        <v>10678</v>
      </c>
      <c r="F2121" s="31" t="s">
        <v>10212</v>
      </c>
      <c r="G2121" s="31" t="n">
        <v>87</v>
      </c>
      <c r="H2121" s="31" t="s">
        <v>7168</v>
      </c>
      <c r="I2121" s="44" t="s">
        <v>10205</v>
      </c>
      <c r="J2121" s="45" t="s">
        <v>10214</v>
      </c>
      <c r="K2121" s="45" t="s">
        <v>10216</v>
      </c>
      <c r="L2121" s="31" t="n">
        <f aca="false">COUNTIF($B$3:$B$2205,$B2121)</f>
        <v>1</v>
      </c>
      <c r="M2121" s="44" t="str">
        <f aca="false">IFERROR(INDEX(SENTENCES!$T$3:$T$1802,MATCH($F2121,SENTENCES!$A$3:$A$1802,0)),"")</f>
        <v>• Chưa tới</v>
      </c>
    </row>
    <row r="2122" customFormat="false" ht="15" hidden="false" customHeight="false" outlineLevel="0" collapsed="false">
      <c r="A2122" s="31" t="n">
        <v>2120</v>
      </c>
      <c r="B2122" s="43" t="s">
        <v>14098</v>
      </c>
      <c r="C2122" s="34" t="s">
        <v>14099</v>
      </c>
      <c r="D2122" s="44" t="s">
        <v>10677</v>
      </c>
      <c r="E2122" s="31" t="s">
        <v>10678</v>
      </c>
      <c r="F2122" s="31" t="s">
        <v>10218</v>
      </c>
      <c r="G2122" s="31" t="n">
        <v>87</v>
      </c>
      <c r="H2122" s="31" t="s">
        <v>7168</v>
      </c>
      <c r="I2122" s="44" t="s">
        <v>10205</v>
      </c>
      <c r="J2122" s="45" t="s">
        <v>10220</v>
      </c>
      <c r="K2122" s="45" t="s">
        <v>10222</v>
      </c>
      <c r="L2122" s="31" t="n">
        <f aca="false">COUNTIF($B$3:$B$2205,$B2122)</f>
        <v>1</v>
      </c>
      <c r="M2122" s="44" t="str">
        <f aca="false">IFERROR(INDEX(SENTENCES!$T$3:$T$1802,MATCH($F2122,SENTENCES!$A$3:$A$1802,0)),"")</f>
        <v>• Chưa tới</v>
      </c>
    </row>
    <row r="2123" customFormat="false" ht="15" hidden="false" customHeight="false" outlineLevel="0" collapsed="false">
      <c r="A2123" s="31" t="n">
        <v>2121</v>
      </c>
      <c r="B2123" s="43" t="s">
        <v>14100</v>
      </c>
      <c r="C2123" s="34" t="s">
        <v>14101</v>
      </c>
      <c r="D2123" s="44" t="s">
        <v>10677</v>
      </c>
      <c r="E2123" s="31" t="s">
        <v>10707</v>
      </c>
      <c r="F2123" s="31" t="s">
        <v>10224</v>
      </c>
      <c r="G2123" s="31" t="n">
        <v>87</v>
      </c>
      <c r="H2123" s="31" t="s">
        <v>7168</v>
      </c>
      <c r="I2123" s="44" t="s">
        <v>10205</v>
      </c>
      <c r="J2123" s="45" t="s">
        <v>10226</v>
      </c>
      <c r="K2123" s="45" t="s">
        <v>10228</v>
      </c>
      <c r="L2123" s="31" t="n">
        <f aca="false">COUNTIF($B$3:$B$2205,$B2123)</f>
        <v>1</v>
      </c>
      <c r="M2123" s="44" t="str">
        <f aca="false">IFERROR(INDEX(SENTENCES!$T$3:$T$1802,MATCH($F2123,SENTENCES!$A$3:$A$1802,0)),"")</f>
        <v>• Chưa tới</v>
      </c>
    </row>
    <row r="2124" customFormat="false" ht="15" hidden="false" customHeight="false" outlineLevel="0" collapsed="false">
      <c r="A2124" s="31" t="n">
        <v>2122</v>
      </c>
      <c r="B2124" s="43" t="s">
        <v>14102</v>
      </c>
      <c r="C2124" s="34" t="s">
        <v>14103</v>
      </c>
      <c r="D2124" s="44" t="s">
        <v>10677</v>
      </c>
      <c r="E2124" s="31" t="s">
        <v>10707</v>
      </c>
      <c r="F2124" s="31" t="s">
        <v>10230</v>
      </c>
      <c r="G2124" s="31" t="n">
        <v>87</v>
      </c>
      <c r="H2124" s="31" t="s">
        <v>7168</v>
      </c>
      <c r="I2124" s="44" t="s">
        <v>10205</v>
      </c>
      <c r="J2124" s="45" t="s">
        <v>10232</v>
      </c>
      <c r="K2124" s="45" t="s">
        <v>10234</v>
      </c>
      <c r="L2124" s="31" t="n">
        <f aca="false">COUNTIF($B$3:$B$2205,$B2124)</f>
        <v>1</v>
      </c>
      <c r="M2124" s="44" t="str">
        <f aca="false">IFERROR(INDEX(SENTENCES!$T$3:$T$1802,MATCH($F2124,SENTENCES!$A$3:$A$1802,0)),"")</f>
        <v>• Chưa tới</v>
      </c>
    </row>
    <row r="2125" customFormat="false" ht="15" hidden="false" customHeight="false" outlineLevel="0" collapsed="false">
      <c r="A2125" s="31" t="n">
        <v>2123</v>
      </c>
      <c r="B2125" s="43" t="s">
        <v>14104</v>
      </c>
      <c r="C2125" s="34" t="s">
        <v>14105</v>
      </c>
      <c r="D2125" s="44" t="s">
        <v>10677</v>
      </c>
      <c r="E2125" s="31" t="s">
        <v>10678</v>
      </c>
      <c r="F2125" s="31" t="s">
        <v>10230</v>
      </c>
      <c r="G2125" s="31" t="n">
        <v>87</v>
      </c>
      <c r="H2125" s="31" t="s">
        <v>7168</v>
      </c>
      <c r="I2125" s="44" t="s">
        <v>10205</v>
      </c>
      <c r="J2125" s="45" t="s">
        <v>10232</v>
      </c>
      <c r="K2125" s="45" t="s">
        <v>10234</v>
      </c>
      <c r="L2125" s="31" t="n">
        <f aca="false">COUNTIF($B$3:$B$2205,$B2125)</f>
        <v>1</v>
      </c>
      <c r="M2125" s="44" t="str">
        <f aca="false">IFERROR(INDEX(SENTENCES!$T$3:$T$1802,MATCH($F2125,SENTENCES!$A$3:$A$1802,0)),"")</f>
        <v>• Chưa tới</v>
      </c>
    </row>
    <row r="2126" customFormat="false" ht="15" hidden="false" customHeight="false" outlineLevel="0" collapsed="false">
      <c r="A2126" s="31" t="n">
        <v>2124</v>
      </c>
      <c r="B2126" s="43" t="s">
        <v>14106</v>
      </c>
      <c r="C2126" s="34" t="s">
        <v>14107</v>
      </c>
      <c r="D2126" s="44" t="s">
        <v>10686</v>
      </c>
      <c r="E2126" s="31"/>
      <c r="F2126" s="31" t="s">
        <v>10236</v>
      </c>
      <c r="G2126" s="31" t="n">
        <v>87</v>
      </c>
      <c r="H2126" s="31" t="s">
        <v>7168</v>
      </c>
      <c r="I2126" s="44" t="s">
        <v>10205</v>
      </c>
      <c r="J2126" s="45" t="s">
        <v>10238</v>
      </c>
      <c r="K2126" s="45" t="s">
        <v>10240</v>
      </c>
      <c r="L2126" s="31" t="n">
        <f aca="false">COUNTIF($B$3:$B$2205,$B2126)</f>
        <v>1</v>
      </c>
      <c r="M2126" s="44" t="str">
        <f aca="false">IFERROR(INDEX(SENTENCES!$T$3:$T$1802,MATCH($F2126,SENTENCES!$A$3:$A$1802,0)),"")</f>
        <v>• Chưa tới</v>
      </c>
    </row>
    <row r="2127" customFormat="false" ht="15" hidden="false" customHeight="false" outlineLevel="0" collapsed="false">
      <c r="A2127" s="31" t="n">
        <v>2125</v>
      </c>
      <c r="B2127" s="43" t="s">
        <v>14108</v>
      </c>
      <c r="C2127" s="34" t="s">
        <v>14109</v>
      </c>
      <c r="D2127" s="44" t="s">
        <v>10677</v>
      </c>
      <c r="E2127" s="31" t="s">
        <v>10707</v>
      </c>
      <c r="F2127" s="31" t="s">
        <v>10242</v>
      </c>
      <c r="G2127" s="31" t="n">
        <v>87</v>
      </c>
      <c r="H2127" s="31" t="s">
        <v>7168</v>
      </c>
      <c r="I2127" s="44" t="s">
        <v>10205</v>
      </c>
      <c r="J2127" s="45" t="s">
        <v>10244</v>
      </c>
      <c r="K2127" s="45" t="s">
        <v>10246</v>
      </c>
      <c r="L2127" s="31" t="n">
        <f aca="false">COUNTIF($B$3:$B$2205,$B2127)</f>
        <v>1</v>
      </c>
      <c r="M2127" s="44" t="str">
        <f aca="false">IFERROR(INDEX(SENTENCES!$T$3:$T$1802,MATCH($F2127,SENTENCES!$A$3:$A$1802,0)),"")</f>
        <v>• Chưa tới</v>
      </c>
    </row>
    <row r="2128" customFormat="false" ht="15" hidden="false" customHeight="false" outlineLevel="0" collapsed="false">
      <c r="A2128" s="31" t="n">
        <v>2126</v>
      </c>
      <c r="B2128" s="43" t="s">
        <v>14110</v>
      </c>
      <c r="C2128" s="34" t="s">
        <v>14111</v>
      </c>
      <c r="D2128" s="44" t="s">
        <v>10794</v>
      </c>
      <c r="E2128" s="31"/>
      <c r="F2128" s="31" t="s">
        <v>10248</v>
      </c>
      <c r="G2128" s="31" t="n">
        <v>87</v>
      </c>
      <c r="H2128" s="31" t="s">
        <v>7168</v>
      </c>
      <c r="I2128" s="44" t="s">
        <v>10205</v>
      </c>
      <c r="J2128" s="45" t="s">
        <v>10250</v>
      </c>
      <c r="K2128" s="45" t="s">
        <v>10252</v>
      </c>
      <c r="L2128" s="31" t="n">
        <f aca="false">COUNTIF($B$3:$B$2205,$B2128)</f>
        <v>1</v>
      </c>
      <c r="M2128" s="44" t="str">
        <f aca="false">IFERROR(INDEX(SENTENCES!$T$3:$T$1802,MATCH($F2128,SENTENCES!$A$3:$A$1802,0)),"")</f>
        <v>• Chưa tới</v>
      </c>
    </row>
    <row r="2129" customFormat="false" ht="15" hidden="false" customHeight="false" outlineLevel="0" collapsed="false">
      <c r="A2129" s="31" t="n">
        <v>2127</v>
      </c>
      <c r="B2129" s="43" t="s">
        <v>14112</v>
      </c>
      <c r="C2129" s="34" t="s">
        <v>14113</v>
      </c>
      <c r="D2129" s="44" t="s">
        <v>10794</v>
      </c>
      <c r="E2129" s="31"/>
      <c r="F2129" s="31" t="s">
        <v>10254</v>
      </c>
      <c r="G2129" s="31" t="n">
        <v>87</v>
      </c>
      <c r="H2129" s="31" t="s">
        <v>7168</v>
      </c>
      <c r="I2129" s="44" t="s">
        <v>10205</v>
      </c>
      <c r="J2129" s="45" t="s">
        <v>10256</v>
      </c>
      <c r="K2129" s="45" t="s">
        <v>10258</v>
      </c>
      <c r="L2129" s="31" t="n">
        <f aca="false">COUNTIF($B$3:$B$2205,$B2129)</f>
        <v>1</v>
      </c>
      <c r="M2129" s="44" t="str">
        <f aca="false">IFERROR(INDEX(SENTENCES!$T$3:$T$1802,MATCH($F2129,SENTENCES!$A$3:$A$1802,0)),"")</f>
        <v>• Chưa tới</v>
      </c>
    </row>
    <row r="2130" customFormat="false" ht="15" hidden="false" customHeight="false" outlineLevel="0" collapsed="false">
      <c r="A2130" s="31" t="n">
        <v>2128</v>
      </c>
      <c r="B2130" s="43" t="s">
        <v>14114</v>
      </c>
      <c r="C2130" s="34" t="s">
        <v>14115</v>
      </c>
      <c r="D2130" s="44" t="s">
        <v>10677</v>
      </c>
      <c r="E2130" s="31" t="s">
        <v>10707</v>
      </c>
      <c r="F2130" s="31" t="s">
        <v>10260</v>
      </c>
      <c r="G2130" s="31" t="n">
        <v>87</v>
      </c>
      <c r="H2130" s="31" t="s">
        <v>7168</v>
      </c>
      <c r="I2130" s="44" t="s">
        <v>10205</v>
      </c>
      <c r="J2130" s="45" t="s">
        <v>10262</v>
      </c>
      <c r="K2130" s="45" t="s">
        <v>10264</v>
      </c>
      <c r="L2130" s="31" t="n">
        <f aca="false">COUNTIF($B$3:$B$2205,$B2130)</f>
        <v>1</v>
      </c>
      <c r="M2130" s="44" t="str">
        <f aca="false">IFERROR(INDEX(SENTENCES!$T$3:$T$1802,MATCH($F2130,SENTENCES!$A$3:$A$1802,0)),"")</f>
        <v>• Chưa tới</v>
      </c>
    </row>
    <row r="2131" customFormat="false" ht="15" hidden="false" customHeight="false" outlineLevel="0" collapsed="false">
      <c r="A2131" s="31" t="n">
        <v>2129</v>
      </c>
      <c r="B2131" s="43" t="s">
        <v>14116</v>
      </c>
      <c r="C2131" s="34" t="s">
        <v>14117</v>
      </c>
      <c r="D2131" s="44" t="s">
        <v>10677</v>
      </c>
      <c r="E2131" s="31" t="s">
        <v>10678</v>
      </c>
      <c r="F2131" s="31" t="s">
        <v>10266</v>
      </c>
      <c r="G2131" s="31" t="n">
        <v>87</v>
      </c>
      <c r="H2131" s="31" t="s">
        <v>7168</v>
      </c>
      <c r="I2131" s="44" t="s">
        <v>10205</v>
      </c>
      <c r="J2131" s="45" t="s">
        <v>10268</v>
      </c>
      <c r="K2131" s="45" t="s">
        <v>10270</v>
      </c>
      <c r="L2131" s="31" t="n">
        <f aca="false">COUNTIF($B$3:$B$2205,$B2131)</f>
        <v>1</v>
      </c>
      <c r="M2131" s="44" t="str">
        <f aca="false">IFERROR(INDEX(SENTENCES!$T$3:$T$1802,MATCH($F2131,SENTENCES!$A$3:$A$1802,0)),"")</f>
        <v>• Chưa tới</v>
      </c>
    </row>
    <row r="2132" customFormat="false" ht="15" hidden="false" customHeight="false" outlineLevel="0" collapsed="false">
      <c r="A2132" s="31" t="n">
        <v>2130</v>
      </c>
      <c r="B2132" s="43" t="s">
        <v>14118</v>
      </c>
      <c r="C2132" s="34" t="s">
        <v>10876</v>
      </c>
      <c r="D2132" s="44" t="s">
        <v>10677</v>
      </c>
      <c r="E2132" s="31" t="s">
        <v>10707</v>
      </c>
      <c r="F2132" s="31" t="s">
        <v>10272</v>
      </c>
      <c r="G2132" s="31" t="n">
        <v>87</v>
      </c>
      <c r="H2132" s="31" t="s">
        <v>7168</v>
      </c>
      <c r="I2132" s="44" t="s">
        <v>10205</v>
      </c>
      <c r="J2132" s="45" t="s">
        <v>10274</v>
      </c>
      <c r="K2132" s="45" t="s">
        <v>10276</v>
      </c>
      <c r="L2132" s="31" t="n">
        <f aca="false">COUNTIF($B$3:$B$2205,$B2132)</f>
        <v>1</v>
      </c>
      <c r="M2132" s="44" t="str">
        <f aca="false">IFERROR(INDEX(SENTENCES!$T$3:$T$1802,MATCH($F2132,SENTENCES!$A$3:$A$1802,0)),"")</f>
        <v>• Chưa tới</v>
      </c>
    </row>
    <row r="2133" customFormat="false" ht="15" hidden="false" customHeight="false" outlineLevel="0" collapsed="false">
      <c r="A2133" s="31" t="n">
        <v>2131</v>
      </c>
      <c r="B2133" s="43" t="s">
        <v>14119</v>
      </c>
      <c r="C2133" s="34" t="s">
        <v>14120</v>
      </c>
      <c r="D2133" s="44" t="s">
        <v>10677</v>
      </c>
      <c r="E2133" s="31" t="s">
        <v>10678</v>
      </c>
      <c r="F2133" s="31" t="s">
        <v>10272</v>
      </c>
      <c r="G2133" s="31" t="n">
        <v>87</v>
      </c>
      <c r="H2133" s="31" t="s">
        <v>7168</v>
      </c>
      <c r="I2133" s="44" t="s">
        <v>10205</v>
      </c>
      <c r="J2133" s="45" t="s">
        <v>10274</v>
      </c>
      <c r="K2133" s="45" t="s">
        <v>10276</v>
      </c>
      <c r="L2133" s="31" t="n">
        <f aca="false">COUNTIF($B$3:$B$2205,$B2133)</f>
        <v>1</v>
      </c>
      <c r="M2133" s="44" t="str">
        <f aca="false">IFERROR(INDEX(SENTENCES!$T$3:$T$1802,MATCH($F2133,SENTENCES!$A$3:$A$1802,0)),"")</f>
        <v>• Chưa tới</v>
      </c>
    </row>
    <row r="2134" customFormat="false" ht="15" hidden="false" customHeight="false" outlineLevel="0" collapsed="false">
      <c r="A2134" s="31" t="n">
        <v>2132</v>
      </c>
      <c r="B2134" s="43" t="s">
        <v>14121</v>
      </c>
      <c r="C2134" s="34" t="s">
        <v>14122</v>
      </c>
      <c r="D2134" s="44" t="s">
        <v>10677</v>
      </c>
      <c r="E2134" s="31" t="s">
        <v>10678</v>
      </c>
      <c r="F2134" s="31" t="s">
        <v>10278</v>
      </c>
      <c r="G2134" s="31" t="n">
        <v>87</v>
      </c>
      <c r="H2134" s="31" t="s">
        <v>7168</v>
      </c>
      <c r="I2134" s="44" t="s">
        <v>10205</v>
      </c>
      <c r="J2134" s="45" t="s">
        <v>10280</v>
      </c>
      <c r="K2134" s="45" t="s">
        <v>10282</v>
      </c>
      <c r="L2134" s="31" t="n">
        <f aca="false">COUNTIF($B$3:$B$2205,$B2134)</f>
        <v>1</v>
      </c>
      <c r="M2134" s="44" t="str">
        <f aca="false">IFERROR(INDEX(SENTENCES!$T$3:$T$1802,MATCH($F2134,SENTENCES!$A$3:$A$1802,0)),"")</f>
        <v>• Chưa tới</v>
      </c>
    </row>
    <row r="2135" customFormat="false" ht="15" hidden="false" customHeight="false" outlineLevel="0" collapsed="false">
      <c r="A2135" s="31" t="n">
        <v>2133</v>
      </c>
      <c r="B2135" s="43" t="s">
        <v>14123</v>
      </c>
      <c r="C2135" s="34" t="s">
        <v>14124</v>
      </c>
      <c r="D2135" s="44" t="s">
        <v>10677</v>
      </c>
      <c r="E2135" s="31" t="s">
        <v>10678</v>
      </c>
      <c r="F2135" s="31" t="s">
        <v>10284</v>
      </c>
      <c r="G2135" s="31" t="n">
        <v>87</v>
      </c>
      <c r="H2135" s="31" t="s">
        <v>7168</v>
      </c>
      <c r="I2135" s="44" t="s">
        <v>10205</v>
      </c>
      <c r="J2135" s="45" t="s">
        <v>10285</v>
      </c>
      <c r="K2135" s="45" t="s">
        <v>10287</v>
      </c>
      <c r="L2135" s="31" t="n">
        <f aca="false">COUNTIF($B$3:$B$2205,$B2135)</f>
        <v>1</v>
      </c>
      <c r="M2135" s="44" t="str">
        <f aca="false">IFERROR(INDEX(SENTENCES!$T$3:$T$1802,MATCH($F2135,SENTENCES!$A$3:$A$1802,0)),"")</f>
        <v>• Chưa tới</v>
      </c>
    </row>
    <row r="2136" customFormat="false" ht="15" hidden="false" customHeight="false" outlineLevel="0" collapsed="false">
      <c r="A2136" s="31" t="n">
        <v>2134</v>
      </c>
      <c r="B2136" s="43" t="s">
        <v>14125</v>
      </c>
      <c r="C2136" s="34" t="s">
        <v>14126</v>
      </c>
      <c r="D2136" s="44" t="s">
        <v>10677</v>
      </c>
      <c r="E2136" s="31" t="s">
        <v>10678</v>
      </c>
      <c r="F2136" s="31" t="s">
        <v>10284</v>
      </c>
      <c r="G2136" s="31" t="n">
        <v>87</v>
      </c>
      <c r="H2136" s="31" t="s">
        <v>7168</v>
      </c>
      <c r="I2136" s="44" t="s">
        <v>10205</v>
      </c>
      <c r="J2136" s="45" t="s">
        <v>10285</v>
      </c>
      <c r="K2136" s="45" t="s">
        <v>10287</v>
      </c>
      <c r="L2136" s="31" t="n">
        <f aca="false">COUNTIF($B$3:$B$2205,$B2136)</f>
        <v>1</v>
      </c>
      <c r="M2136" s="44" t="str">
        <f aca="false">IFERROR(INDEX(SENTENCES!$T$3:$T$1802,MATCH($F2136,SENTENCES!$A$3:$A$1802,0)),"")</f>
        <v>• Chưa tới</v>
      </c>
    </row>
    <row r="2137" customFormat="false" ht="15" hidden="false" customHeight="false" outlineLevel="0" collapsed="false">
      <c r="A2137" s="31" t="n">
        <v>2135</v>
      </c>
      <c r="B2137" s="43" t="s">
        <v>14127</v>
      </c>
      <c r="C2137" s="34" t="s">
        <v>14128</v>
      </c>
      <c r="D2137" s="44" t="s">
        <v>10677</v>
      </c>
      <c r="E2137" s="31" t="s">
        <v>10747</v>
      </c>
      <c r="F2137" s="31" t="s">
        <v>10289</v>
      </c>
      <c r="G2137" s="31" t="n">
        <v>87</v>
      </c>
      <c r="H2137" s="31" t="s">
        <v>7168</v>
      </c>
      <c r="I2137" s="44" t="s">
        <v>10205</v>
      </c>
      <c r="J2137" s="45" t="s">
        <v>10291</v>
      </c>
      <c r="K2137" s="45" t="s">
        <v>10293</v>
      </c>
      <c r="L2137" s="31" t="n">
        <f aca="false">COUNTIF($B$3:$B$2205,$B2137)</f>
        <v>1</v>
      </c>
      <c r="M2137" s="44" t="str">
        <f aca="false">IFERROR(INDEX(SENTENCES!$T$3:$T$1802,MATCH($F2137,SENTENCES!$A$3:$A$1802,0)),"")</f>
        <v>• Chưa tới</v>
      </c>
    </row>
    <row r="2138" customFormat="false" ht="15" hidden="false" customHeight="false" outlineLevel="0" collapsed="false">
      <c r="A2138" s="31" t="n">
        <v>2136</v>
      </c>
      <c r="B2138" s="43" t="s">
        <v>10925</v>
      </c>
      <c r="C2138" s="34" t="s">
        <v>10926</v>
      </c>
      <c r="D2138" s="44" t="s">
        <v>10681</v>
      </c>
      <c r="E2138" s="31"/>
      <c r="F2138" s="31" t="s">
        <v>10295</v>
      </c>
      <c r="G2138" s="31" t="n">
        <v>87</v>
      </c>
      <c r="H2138" s="31" t="s">
        <v>7168</v>
      </c>
      <c r="I2138" s="44" t="s">
        <v>10205</v>
      </c>
      <c r="J2138" s="45" t="s">
        <v>10297</v>
      </c>
      <c r="K2138" s="45" t="s">
        <v>10299</v>
      </c>
      <c r="L2138" s="31" t="n">
        <f aca="false">COUNTIF($B$3:$B$2205,$B2138)</f>
        <v>2</v>
      </c>
      <c r="M2138" s="44" t="str">
        <f aca="false">IFERROR(INDEX(SENTENCES!$T$3:$T$1802,MATCH($F2138,SENTENCES!$A$3:$A$1802,0)),"")</f>
        <v>• Chưa tới</v>
      </c>
    </row>
    <row r="2139" customFormat="false" ht="15" hidden="false" customHeight="false" outlineLevel="0" collapsed="false">
      <c r="A2139" s="31" t="n">
        <v>2137</v>
      </c>
      <c r="B2139" s="43" t="s">
        <v>14129</v>
      </c>
      <c r="C2139" s="34" t="s">
        <v>14130</v>
      </c>
      <c r="D2139" s="44" t="s">
        <v>10681</v>
      </c>
      <c r="E2139" s="31"/>
      <c r="F2139" s="31" t="s">
        <v>10295</v>
      </c>
      <c r="G2139" s="31" t="n">
        <v>87</v>
      </c>
      <c r="H2139" s="31" t="s">
        <v>7168</v>
      </c>
      <c r="I2139" s="44" t="s">
        <v>10205</v>
      </c>
      <c r="J2139" s="45" t="s">
        <v>10297</v>
      </c>
      <c r="K2139" s="45" t="s">
        <v>10299</v>
      </c>
      <c r="L2139" s="31" t="n">
        <f aca="false">COUNTIF($B$3:$B$2205,$B2139)</f>
        <v>1</v>
      </c>
      <c r="M2139" s="44" t="str">
        <f aca="false">IFERROR(INDEX(SENTENCES!$T$3:$T$1802,MATCH($F2139,SENTENCES!$A$3:$A$1802,0)),"")</f>
        <v>• Chưa tới</v>
      </c>
    </row>
    <row r="2140" customFormat="false" ht="15" hidden="false" customHeight="false" outlineLevel="0" collapsed="false">
      <c r="A2140" s="31" t="n">
        <v>2138</v>
      </c>
      <c r="B2140" s="43" t="s">
        <v>14131</v>
      </c>
      <c r="C2140" s="34" t="s">
        <v>14132</v>
      </c>
      <c r="D2140" s="44" t="s">
        <v>10677</v>
      </c>
      <c r="E2140" s="31" t="s">
        <v>10747</v>
      </c>
      <c r="F2140" s="31" t="s">
        <v>10301</v>
      </c>
      <c r="G2140" s="31" t="n">
        <v>87</v>
      </c>
      <c r="H2140" s="31" t="s">
        <v>7168</v>
      </c>
      <c r="I2140" s="44" t="s">
        <v>10205</v>
      </c>
      <c r="J2140" s="45" t="s">
        <v>10303</v>
      </c>
      <c r="K2140" s="45" t="s">
        <v>10305</v>
      </c>
      <c r="L2140" s="31" t="n">
        <f aca="false">COUNTIF($B$3:$B$2205,$B2140)</f>
        <v>1</v>
      </c>
      <c r="M2140" s="44" t="str">
        <f aca="false">IFERROR(INDEX(SENTENCES!$T$3:$T$1802,MATCH($F2140,SENTENCES!$A$3:$A$1802,0)),"")</f>
        <v>• Chưa tới</v>
      </c>
    </row>
    <row r="2141" customFormat="false" ht="15" hidden="false" customHeight="false" outlineLevel="0" collapsed="false">
      <c r="A2141" s="31" t="n">
        <v>2139</v>
      </c>
      <c r="B2141" s="43" t="s">
        <v>14133</v>
      </c>
      <c r="C2141" s="34" t="s">
        <v>14134</v>
      </c>
      <c r="D2141" s="44" t="s">
        <v>10677</v>
      </c>
      <c r="E2141" s="31" t="s">
        <v>10678</v>
      </c>
      <c r="F2141" s="31" t="s">
        <v>10301</v>
      </c>
      <c r="G2141" s="31" t="n">
        <v>87</v>
      </c>
      <c r="H2141" s="31" t="s">
        <v>7168</v>
      </c>
      <c r="I2141" s="44" t="s">
        <v>10205</v>
      </c>
      <c r="J2141" s="45" t="s">
        <v>10303</v>
      </c>
      <c r="K2141" s="45" t="s">
        <v>10305</v>
      </c>
      <c r="L2141" s="31" t="n">
        <f aca="false">COUNTIF($B$3:$B$2205,$B2141)</f>
        <v>1</v>
      </c>
      <c r="M2141" s="44" t="str">
        <f aca="false">IFERROR(INDEX(SENTENCES!$T$3:$T$1802,MATCH($F2141,SENTENCES!$A$3:$A$1802,0)),"")</f>
        <v>• Chưa tới</v>
      </c>
    </row>
    <row r="2142" customFormat="false" ht="15" hidden="false" customHeight="false" outlineLevel="0" collapsed="false">
      <c r="A2142" s="31" t="n">
        <v>2140</v>
      </c>
      <c r="B2142" s="43" t="s">
        <v>10308</v>
      </c>
      <c r="C2142" s="34" t="s">
        <v>14135</v>
      </c>
      <c r="D2142" s="44" t="s">
        <v>10754</v>
      </c>
      <c r="E2142" s="31"/>
      <c r="F2142" s="31" t="s">
        <v>10307</v>
      </c>
      <c r="G2142" s="31" t="n">
        <v>87</v>
      </c>
      <c r="H2142" s="31" t="s">
        <v>7168</v>
      </c>
      <c r="I2142" s="44" t="s">
        <v>10205</v>
      </c>
      <c r="J2142" s="45" t="s">
        <v>10309</v>
      </c>
      <c r="K2142" s="45" t="s">
        <v>10311</v>
      </c>
      <c r="L2142" s="31" t="n">
        <f aca="false">COUNTIF($B$3:$B$2205,$B2142)</f>
        <v>1</v>
      </c>
      <c r="M2142" s="44" t="str">
        <f aca="false">IFERROR(INDEX(SENTENCES!$T$3:$T$1802,MATCH($F2142,SENTENCES!$A$3:$A$1802,0)),"")</f>
        <v>• Chưa tới</v>
      </c>
    </row>
    <row r="2143" customFormat="false" ht="15" hidden="false" customHeight="false" outlineLevel="0" collapsed="false">
      <c r="A2143" s="31" t="n">
        <v>2141</v>
      </c>
      <c r="B2143" s="43" t="s">
        <v>12576</v>
      </c>
      <c r="C2143" s="34" t="s">
        <v>12577</v>
      </c>
      <c r="D2143" s="44" t="s">
        <v>10677</v>
      </c>
      <c r="E2143" s="31" t="s">
        <v>10678</v>
      </c>
      <c r="F2143" s="31" t="s">
        <v>10313</v>
      </c>
      <c r="G2143" s="31" t="n">
        <v>87</v>
      </c>
      <c r="H2143" s="31" t="s">
        <v>7168</v>
      </c>
      <c r="I2143" s="44" t="s">
        <v>10205</v>
      </c>
      <c r="J2143" s="45" t="s">
        <v>10314</v>
      </c>
      <c r="K2143" s="45" t="s">
        <v>10316</v>
      </c>
      <c r="L2143" s="31" t="n">
        <f aca="false">COUNTIF($B$3:$B$2205,$B2143)</f>
        <v>2</v>
      </c>
      <c r="M2143" s="44" t="str">
        <f aca="false">IFERROR(INDEX(SENTENCES!$T$3:$T$1802,MATCH($F2143,SENTENCES!$A$3:$A$1802,0)),"")</f>
        <v>• Chưa tới</v>
      </c>
    </row>
    <row r="2144" customFormat="false" ht="15" hidden="false" customHeight="false" outlineLevel="0" collapsed="false">
      <c r="A2144" s="31" t="n">
        <v>2142</v>
      </c>
      <c r="B2144" s="43" t="s">
        <v>14136</v>
      </c>
      <c r="C2144" s="34" t="s">
        <v>14137</v>
      </c>
      <c r="D2144" s="44" t="s">
        <v>10677</v>
      </c>
      <c r="E2144" s="31" t="s">
        <v>10707</v>
      </c>
      <c r="F2144" s="31" t="s">
        <v>10317</v>
      </c>
      <c r="G2144" s="31" t="n">
        <v>87</v>
      </c>
      <c r="H2144" s="31" t="s">
        <v>7168</v>
      </c>
      <c r="I2144" s="44" t="s">
        <v>10205</v>
      </c>
      <c r="J2144" s="45" t="s">
        <v>10319</v>
      </c>
      <c r="K2144" s="45" t="s">
        <v>10321</v>
      </c>
      <c r="L2144" s="31" t="n">
        <f aca="false">COUNTIF($B$3:$B$2205,$B2144)</f>
        <v>1</v>
      </c>
      <c r="M2144" s="44" t="str">
        <f aca="false">IFERROR(INDEX(SENTENCES!$T$3:$T$1802,MATCH($F2144,SENTENCES!$A$3:$A$1802,0)),"")</f>
        <v>• Chưa tới</v>
      </c>
    </row>
    <row r="2145" customFormat="false" ht="15" hidden="false" customHeight="false" outlineLevel="0" collapsed="false">
      <c r="A2145" s="31" t="n">
        <v>2143</v>
      </c>
      <c r="B2145" s="43" t="s">
        <v>14138</v>
      </c>
      <c r="C2145" s="34" t="s">
        <v>14139</v>
      </c>
      <c r="D2145" s="44" t="s">
        <v>10686</v>
      </c>
      <c r="E2145" s="31"/>
      <c r="F2145" s="31" t="s">
        <v>10317</v>
      </c>
      <c r="G2145" s="31" t="n">
        <v>87</v>
      </c>
      <c r="H2145" s="31" t="s">
        <v>7168</v>
      </c>
      <c r="I2145" s="44" t="s">
        <v>10205</v>
      </c>
      <c r="J2145" s="45" t="s">
        <v>10319</v>
      </c>
      <c r="K2145" s="45" t="s">
        <v>10321</v>
      </c>
      <c r="L2145" s="31" t="n">
        <f aca="false">COUNTIF($B$3:$B$2205,$B2145)</f>
        <v>1</v>
      </c>
      <c r="M2145" s="44" t="str">
        <f aca="false">IFERROR(INDEX(SENTENCES!$T$3:$T$1802,MATCH($F2145,SENTENCES!$A$3:$A$1802,0)),"")</f>
        <v>• Chưa tới</v>
      </c>
    </row>
    <row r="2146" customFormat="false" ht="15" hidden="false" customHeight="false" outlineLevel="0" collapsed="false">
      <c r="A2146" s="31" t="n">
        <v>2144</v>
      </c>
      <c r="B2146" s="43" t="s">
        <v>14140</v>
      </c>
      <c r="C2146" s="34" t="s">
        <v>14141</v>
      </c>
      <c r="D2146" s="44" t="s">
        <v>10794</v>
      </c>
      <c r="E2146" s="31"/>
      <c r="F2146" s="31" t="s">
        <v>10323</v>
      </c>
      <c r="G2146" s="31" t="n">
        <v>88</v>
      </c>
      <c r="H2146" s="31" t="s">
        <v>7168</v>
      </c>
      <c r="I2146" s="44" t="s">
        <v>10324</v>
      </c>
      <c r="J2146" s="45" t="s">
        <v>10327</v>
      </c>
      <c r="K2146" s="45" t="s">
        <v>10329</v>
      </c>
      <c r="L2146" s="31" t="n">
        <f aca="false">COUNTIF($B$3:$B$2205,$B2146)</f>
        <v>1</v>
      </c>
      <c r="M2146" s="44" t="str">
        <f aca="false">IFERROR(INDEX(SENTENCES!$T$3:$T$1802,MATCH($F2146,SENTENCES!$A$3:$A$1802,0)),"")</f>
        <v>• Chưa tới</v>
      </c>
    </row>
    <row r="2147" customFormat="false" ht="15" hidden="false" customHeight="false" outlineLevel="0" collapsed="false">
      <c r="A2147" s="31" t="n">
        <v>2145</v>
      </c>
      <c r="B2147" s="43" t="s">
        <v>14142</v>
      </c>
      <c r="C2147" s="34" t="s">
        <v>11420</v>
      </c>
      <c r="D2147" s="44" t="s">
        <v>10681</v>
      </c>
      <c r="E2147" s="31"/>
      <c r="F2147" s="31" t="s">
        <v>10331</v>
      </c>
      <c r="G2147" s="31" t="n">
        <v>88</v>
      </c>
      <c r="H2147" s="31" t="s">
        <v>7168</v>
      </c>
      <c r="I2147" s="44" t="s">
        <v>10324</v>
      </c>
      <c r="J2147" s="45" t="s">
        <v>10333</v>
      </c>
      <c r="K2147" s="45" t="s">
        <v>10335</v>
      </c>
      <c r="L2147" s="31" t="n">
        <f aca="false">COUNTIF($B$3:$B$2205,$B2147)</f>
        <v>1</v>
      </c>
      <c r="M2147" s="44" t="str">
        <f aca="false">IFERROR(INDEX(SENTENCES!$T$3:$T$1802,MATCH($F2147,SENTENCES!$A$3:$A$1802,0)),"")</f>
        <v>• Chưa tới</v>
      </c>
    </row>
    <row r="2148" customFormat="false" ht="15" hidden="false" customHeight="false" outlineLevel="0" collapsed="false">
      <c r="A2148" s="31" t="n">
        <v>2146</v>
      </c>
      <c r="B2148" s="43" t="s">
        <v>14143</v>
      </c>
      <c r="C2148" s="34" t="s">
        <v>14144</v>
      </c>
      <c r="D2148" s="44" t="s">
        <v>10686</v>
      </c>
      <c r="E2148" s="31"/>
      <c r="F2148" s="31" t="s">
        <v>10337</v>
      </c>
      <c r="G2148" s="31" t="n">
        <v>88</v>
      </c>
      <c r="H2148" s="31" t="s">
        <v>7168</v>
      </c>
      <c r="I2148" s="44" t="s">
        <v>10324</v>
      </c>
      <c r="J2148" s="45" t="s">
        <v>10339</v>
      </c>
      <c r="K2148" s="45" t="s">
        <v>10341</v>
      </c>
      <c r="L2148" s="31" t="n">
        <f aca="false">COUNTIF($B$3:$B$2205,$B2148)</f>
        <v>1</v>
      </c>
      <c r="M2148" s="44" t="str">
        <f aca="false">IFERROR(INDEX(SENTENCES!$T$3:$T$1802,MATCH($F2148,SENTENCES!$A$3:$A$1802,0)),"")</f>
        <v>• Chưa tới</v>
      </c>
    </row>
    <row r="2149" customFormat="false" ht="15" hidden="false" customHeight="false" outlineLevel="0" collapsed="false">
      <c r="A2149" s="31" t="n">
        <v>2147</v>
      </c>
      <c r="B2149" s="43" t="s">
        <v>14145</v>
      </c>
      <c r="C2149" s="34" t="s">
        <v>14146</v>
      </c>
      <c r="D2149" s="44" t="s">
        <v>10681</v>
      </c>
      <c r="E2149" s="31"/>
      <c r="F2149" s="31" t="s">
        <v>10343</v>
      </c>
      <c r="G2149" s="31" t="n">
        <v>88</v>
      </c>
      <c r="H2149" s="31" t="s">
        <v>7168</v>
      </c>
      <c r="I2149" s="44" t="s">
        <v>10324</v>
      </c>
      <c r="J2149" s="45" t="s">
        <v>10345</v>
      </c>
      <c r="K2149" s="45" t="s">
        <v>10347</v>
      </c>
      <c r="L2149" s="31" t="n">
        <f aca="false">COUNTIF($B$3:$B$2205,$B2149)</f>
        <v>1</v>
      </c>
      <c r="M2149" s="44" t="str">
        <f aca="false">IFERROR(INDEX(SENTENCES!$T$3:$T$1802,MATCH($F2149,SENTENCES!$A$3:$A$1802,0)),"")</f>
        <v>• Chưa tới</v>
      </c>
    </row>
    <row r="2150" customFormat="false" ht="15" hidden="false" customHeight="false" outlineLevel="0" collapsed="false">
      <c r="A2150" s="31" t="n">
        <v>2148</v>
      </c>
      <c r="B2150" s="43" t="s">
        <v>14147</v>
      </c>
      <c r="C2150" s="34" t="s">
        <v>14148</v>
      </c>
      <c r="D2150" s="44" t="s">
        <v>10681</v>
      </c>
      <c r="E2150" s="31"/>
      <c r="F2150" s="31" t="s">
        <v>10349</v>
      </c>
      <c r="G2150" s="31" t="n">
        <v>88</v>
      </c>
      <c r="H2150" s="31" t="s">
        <v>7168</v>
      </c>
      <c r="I2150" s="44" t="s">
        <v>10324</v>
      </c>
      <c r="J2150" s="45" t="s">
        <v>10351</v>
      </c>
      <c r="K2150" s="45" t="s">
        <v>10353</v>
      </c>
      <c r="L2150" s="31" t="n">
        <f aca="false">COUNTIF($B$3:$B$2205,$B2150)</f>
        <v>1</v>
      </c>
      <c r="M2150" s="44" t="str">
        <f aca="false">IFERROR(INDEX(SENTENCES!$T$3:$T$1802,MATCH($F2150,SENTENCES!$A$3:$A$1802,0)),"")</f>
        <v>• Chưa tới</v>
      </c>
    </row>
    <row r="2151" customFormat="false" ht="22.35" hidden="false" customHeight="false" outlineLevel="0" collapsed="false">
      <c r="A2151" s="31" t="n">
        <v>2149</v>
      </c>
      <c r="B2151" s="43" t="s">
        <v>14149</v>
      </c>
      <c r="C2151" s="34" t="s">
        <v>14150</v>
      </c>
      <c r="D2151" s="44" t="s">
        <v>10794</v>
      </c>
      <c r="E2151" s="31"/>
      <c r="F2151" s="31" t="s">
        <v>10355</v>
      </c>
      <c r="G2151" s="31" t="n">
        <v>88</v>
      </c>
      <c r="H2151" s="31" t="s">
        <v>7168</v>
      </c>
      <c r="I2151" s="44" t="s">
        <v>10324</v>
      </c>
      <c r="J2151" s="45" t="s">
        <v>10358</v>
      </c>
      <c r="K2151" s="45" t="s">
        <v>10360</v>
      </c>
      <c r="L2151" s="31" t="n">
        <f aca="false">COUNTIF($B$3:$B$2205,$B2151)</f>
        <v>1</v>
      </c>
      <c r="M2151" s="44" t="str">
        <f aca="false">IFERROR(INDEX(SENTENCES!$T$3:$T$1802,MATCH($F2151,SENTENCES!$A$3:$A$1802,0)),"")</f>
        <v>• Chưa tới</v>
      </c>
    </row>
    <row r="2152" customFormat="false" ht="15" hidden="false" customHeight="false" outlineLevel="0" collapsed="false">
      <c r="A2152" s="31" t="n">
        <v>2150</v>
      </c>
      <c r="B2152" s="43" t="s">
        <v>10363</v>
      </c>
      <c r="C2152" s="34" t="s">
        <v>11030</v>
      </c>
      <c r="D2152" s="44" t="s">
        <v>10754</v>
      </c>
      <c r="E2152" s="31"/>
      <c r="F2152" s="31" t="s">
        <v>10362</v>
      </c>
      <c r="G2152" s="31" t="n">
        <v>88</v>
      </c>
      <c r="H2152" s="31" t="s">
        <v>7168</v>
      </c>
      <c r="I2152" s="44" t="s">
        <v>10324</v>
      </c>
      <c r="J2152" s="45" t="s">
        <v>10364</v>
      </c>
      <c r="K2152" s="45" t="s">
        <v>10366</v>
      </c>
      <c r="L2152" s="31" t="n">
        <f aca="false">COUNTIF($B$3:$B$2205,$B2152)</f>
        <v>2</v>
      </c>
      <c r="M2152" s="44" t="str">
        <f aca="false">IFERROR(INDEX(SENTENCES!$T$3:$T$1802,MATCH($F2152,SENTENCES!$A$3:$A$1802,0)),"")</f>
        <v>• Chưa tới</v>
      </c>
    </row>
    <row r="2153" customFormat="false" ht="15" hidden="false" customHeight="false" outlineLevel="0" collapsed="false">
      <c r="A2153" s="31" t="n">
        <v>2151</v>
      </c>
      <c r="B2153" s="43" t="s">
        <v>14151</v>
      </c>
      <c r="C2153" s="34" t="s">
        <v>14152</v>
      </c>
      <c r="D2153" s="44" t="s">
        <v>10686</v>
      </c>
      <c r="E2153" s="31"/>
      <c r="F2153" s="31" t="s">
        <v>10367</v>
      </c>
      <c r="G2153" s="31" t="n">
        <v>88</v>
      </c>
      <c r="H2153" s="31" t="s">
        <v>7168</v>
      </c>
      <c r="I2153" s="44" t="s">
        <v>10324</v>
      </c>
      <c r="J2153" s="45" t="s">
        <v>10369</v>
      </c>
      <c r="K2153" s="45" t="s">
        <v>10371</v>
      </c>
      <c r="L2153" s="31" t="n">
        <f aca="false">COUNTIF($B$3:$B$2205,$B2153)</f>
        <v>1</v>
      </c>
      <c r="M2153" s="44" t="str">
        <f aca="false">IFERROR(INDEX(SENTENCES!$T$3:$T$1802,MATCH($F2153,SENTENCES!$A$3:$A$1802,0)),"")</f>
        <v>• Chưa tới</v>
      </c>
    </row>
    <row r="2154" customFormat="false" ht="15" hidden="false" customHeight="false" outlineLevel="0" collapsed="false">
      <c r="A2154" s="31" t="n">
        <v>2152</v>
      </c>
      <c r="B2154" s="43" t="s">
        <v>14153</v>
      </c>
      <c r="C2154" s="34" t="s">
        <v>14154</v>
      </c>
      <c r="D2154" s="44" t="s">
        <v>10677</v>
      </c>
      <c r="E2154" s="31" t="s">
        <v>10707</v>
      </c>
      <c r="F2154" s="31" t="s">
        <v>10373</v>
      </c>
      <c r="G2154" s="31" t="n">
        <v>88</v>
      </c>
      <c r="H2154" s="31" t="s">
        <v>7168</v>
      </c>
      <c r="I2154" s="44" t="s">
        <v>10324</v>
      </c>
      <c r="J2154" s="45" t="s">
        <v>10375</v>
      </c>
      <c r="K2154" s="45" t="s">
        <v>10377</v>
      </c>
      <c r="L2154" s="31" t="n">
        <f aca="false">COUNTIF($B$3:$B$2205,$B2154)</f>
        <v>1</v>
      </c>
      <c r="M2154" s="44" t="str">
        <f aca="false">IFERROR(INDEX(SENTENCES!$T$3:$T$1802,MATCH($F2154,SENTENCES!$A$3:$A$1802,0)),"")</f>
        <v>• Chưa tới</v>
      </c>
    </row>
    <row r="2155" customFormat="false" ht="15" hidden="false" customHeight="false" outlineLevel="0" collapsed="false">
      <c r="A2155" s="31" t="n">
        <v>2153</v>
      </c>
      <c r="B2155" s="43" t="s">
        <v>11922</v>
      </c>
      <c r="C2155" s="34" t="s">
        <v>12466</v>
      </c>
      <c r="D2155" s="44" t="s">
        <v>10686</v>
      </c>
      <c r="E2155" s="31"/>
      <c r="F2155" s="31" t="s">
        <v>10379</v>
      </c>
      <c r="G2155" s="31" t="n">
        <v>88</v>
      </c>
      <c r="H2155" s="31" t="s">
        <v>7168</v>
      </c>
      <c r="I2155" s="44" t="s">
        <v>10324</v>
      </c>
      <c r="J2155" s="45" t="s">
        <v>10381</v>
      </c>
      <c r="K2155" s="45" t="s">
        <v>10383</v>
      </c>
      <c r="L2155" s="31" t="n">
        <f aca="false">COUNTIF($B$3:$B$2205,$B2155)</f>
        <v>3</v>
      </c>
      <c r="M2155" s="44" t="str">
        <f aca="false">IFERROR(INDEX(SENTENCES!$T$3:$T$1802,MATCH($F2155,SENTENCES!$A$3:$A$1802,0)),"")</f>
        <v>• Chưa tới</v>
      </c>
    </row>
    <row r="2156" customFormat="false" ht="15" hidden="false" customHeight="false" outlineLevel="0" collapsed="false">
      <c r="A2156" s="31" t="n">
        <v>2154</v>
      </c>
      <c r="B2156" s="43" t="s">
        <v>12198</v>
      </c>
      <c r="C2156" s="34" t="s">
        <v>14155</v>
      </c>
      <c r="D2156" s="44" t="s">
        <v>10681</v>
      </c>
      <c r="E2156" s="31"/>
      <c r="F2156" s="31" t="s">
        <v>10384</v>
      </c>
      <c r="G2156" s="31" t="n">
        <v>88</v>
      </c>
      <c r="H2156" s="31" t="s">
        <v>7168</v>
      </c>
      <c r="I2156" s="44" t="s">
        <v>10324</v>
      </c>
      <c r="J2156" s="45" t="s">
        <v>10386</v>
      </c>
      <c r="K2156" s="45" t="s">
        <v>10388</v>
      </c>
      <c r="L2156" s="31" t="n">
        <f aca="false">COUNTIF($B$3:$B$2205,$B2156)</f>
        <v>2</v>
      </c>
      <c r="M2156" s="44" t="str">
        <f aca="false">IFERROR(INDEX(SENTENCES!$T$3:$T$1802,MATCH($F2156,SENTENCES!$A$3:$A$1802,0)),"")</f>
        <v>• Chưa tới</v>
      </c>
    </row>
    <row r="2157" customFormat="false" ht="15" hidden="false" customHeight="false" outlineLevel="0" collapsed="false">
      <c r="A2157" s="31" t="n">
        <v>2155</v>
      </c>
      <c r="B2157" s="43" t="s">
        <v>14156</v>
      </c>
      <c r="C2157" s="34" t="s">
        <v>14157</v>
      </c>
      <c r="D2157" s="44" t="s">
        <v>10677</v>
      </c>
      <c r="E2157" s="31" t="s">
        <v>10747</v>
      </c>
      <c r="F2157" s="31" t="s">
        <v>10390</v>
      </c>
      <c r="G2157" s="31" t="n">
        <v>88</v>
      </c>
      <c r="H2157" s="31" t="s">
        <v>7168</v>
      </c>
      <c r="I2157" s="44" t="s">
        <v>10324</v>
      </c>
      <c r="J2157" s="45" t="s">
        <v>10391</v>
      </c>
      <c r="K2157" s="45" t="s">
        <v>10393</v>
      </c>
      <c r="L2157" s="31" t="n">
        <f aca="false">COUNTIF($B$3:$B$2205,$B2157)</f>
        <v>1</v>
      </c>
      <c r="M2157" s="44" t="str">
        <f aca="false">IFERROR(INDEX(SENTENCES!$T$3:$T$1802,MATCH($F2157,SENTENCES!$A$3:$A$1802,0)),"")</f>
        <v>• Chưa tới</v>
      </c>
    </row>
    <row r="2158" customFormat="false" ht="15" hidden="false" customHeight="false" outlineLevel="0" collapsed="false">
      <c r="A2158" s="31" t="n">
        <v>2156</v>
      </c>
      <c r="B2158" s="43" t="s">
        <v>14158</v>
      </c>
      <c r="C2158" s="34" t="s">
        <v>14159</v>
      </c>
      <c r="D2158" s="44" t="s">
        <v>10677</v>
      </c>
      <c r="E2158" s="31" t="s">
        <v>10707</v>
      </c>
      <c r="F2158" s="31" t="s">
        <v>10395</v>
      </c>
      <c r="G2158" s="31" t="n">
        <v>88</v>
      </c>
      <c r="H2158" s="31" t="s">
        <v>7168</v>
      </c>
      <c r="I2158" s="44" t="s">
        <v>10324</v>
      </c>
      <c r="J2158" s="45" t="s">
        <v>10397</v>
      </c>
      <c r="K2158" s="45" t="s">
        <v>10399</v>
      </c>
      <c r="L2158" s="31" t="n">
        <f aca="false">COUNTIF($B$3:$B$2205,$B2158)</f>
        <v>1</v>
      </c>
      <c r="M2158" s="44" t="str">
        <f aca="false">IFERROR(INDEX(SENTENCES!$T$3:$T$1802,MATCH($F2158,SENTENCES!$A$3:$A$1802,0)),"")</f>
        <v>• Chưa tới</v>
      </c>
    </row>
    <row r="2159" customFormat="false" ht="15" hidden="false" customHeight="false" outlineLevel="0" collapsed="false">
      <c r="A2159" s="31" t="n">
        <v>2157</v>
      </c>
      <c r="B2159" s="43" t="s">
        <v>14160</v>
      </c>
      <c r="C2159" s="34" t="s">
        <v>13302</v>
      </c>
      <c r="D2159" s="44" t="s">
        <v>10686</v>
      </c>
      <c r="E2159" s="31"/>
      <c r="F2159" s="31" t="s">
        <v>10401</v>
      </c>
      <c r="G2159" s="31" t="n">
        <v>88</v>
      </c>
      <c r="H2159" s="31" t="s">
        <v>7168</v>
      </c>
      <c r="I2159" s="44" t="s">
        <v>10324</v>
      </c>
      <c r="J2159" s="45" t="s">
        <v>10403</v>
      </c>
      <c r="K2159" s="45" t="s">
        <v>10405</v>
      </c>
      <c r="L2159" s="31" t="n">
        <f aca="false">COUNTIF($B$3:$B$2205,$B2159)</f>
        <v>1</v>
      </c>
      <c r="M2159" s="44" t="str">
        <f aca="false">IFERROR(INDEX(SENTENCES!$T$3:$T$1802,MATCH($F2159,SENTENCES!$A$3:$A$1802,0)),"")</f>
        <v>• Chưa tới</v>
      </c>
    </row>
    <row r="2160" customFormat="false" ht="15" hidden="false" customHeight="false" outlineLevel="0" collapsed="false">
      <c r="A2160" s="31" t="n">
        <v>2158</v>
      </c>
      <c r="B2160" s="43" t="s">
        <v>13152</v>
      </c>
      <c r="C2160" s="34" t="s">
        <v>13153</v>
      </c>
      <c r="D2160" s="44" t="s">
        <v>10686</v>
      </c>
      <c r="E2160" s="31"/>
      <c r="F2160" s="31" t="s">
        <v>10407</v>
      </c>
      <c r="G2160" s="31" t="n">
        <v>88</v>
      </c>
      <c r="H2160" s="31" t="s">
        <v>7168</v>
      </c>
      <c r="I2160" s="44" t="s">
        <v>10324</v>
      </c>
      <c r="J2160" s="45" t="s">
        <v>10409</v>
      </c>
      <c r="K2160" s="45" t="s">
        <v>10411</v>
      </c>
      <c r="L2160" s="31" t="n">
        <f aca="false">COUNTIF($B$3:$B$2205,$B2160)</f>
        <v>2</v>
      </c>
      <c r="M2160" s="44" t="str">
        <f aca="false">IFERROR(INDEX(SENTENCES!$T$3:$T$1802,MATCH($F2160,SENTENCES!$A$3:$A$1802,0)),"")</f>
        <v>• Chưa tới</v>
      </c>
    </row>
    <row r="2161" customFormat="false" ht="15" hidden="false" customHeight="false" outlineLevel="0" collapsed="false">
      <c r="A2161" s="31" t="n">
        <v>2159</v>
      </c>
      <c r="B2161" s="43" t="s">
        <v>14161</v>
      </c>
      <c r="C2161" s="34" t="s">
        <v>11130</v>
      </c>
      <c r="D2161" s="44" t="s">
        <v>10681</v>
      </c>
      <c r="E2161" s="31"/>
      <c r="F2161" s="31" t="s">
        <v>10412</v>
      </c>
      <c r="G2161" s="31" t="n">
        <v>88</v>
      </c>
      <c r="H2161" s="31" t="s">
        <v>7168</v>
      </c>
      <c r="I2161" s="44" t="s">
        <v>10324</v>
      </c>
      <c r="J2161" s="45" t="s">
        <v>10414</v>
      </c>
      <c r="K2161" s="45" t="s">
        <v>10416</v>
      </c>
      <c r="L2161" s="31" t="n">
        <f aca="false">COUNTIF($B$3:$B$2205,$B2161)</f>
        <v>1</v>
      </c>
      <c r="M2161" s="44" t="str">
        <f aca="false">IFERROR(INDEX(SENTENCES!$T$3:$T$1802,MATCH($F2161,SENTENCES!$A$3:$A$1802,0)),"")</f>
        <v>• Chưa tới</v>
      </c>
    </row>
    <row r="2162" customFormat="false" ht="15" hidden="false" customHeight="false" outlineLevel="0" collapsed="false">
      <c r="A2162" s="31" t="n">
        <v>2160</v>
      </c>
      <c r="B2162" s="43" t="s">
        <v>14162</v>
      </c>
      <c r="C2162" s="34" t="s">
        <v>11602</v>
      </c>
      <c r="D2162" s="44" t="s">
        <v>10686</v>
      </c>
      <c r="E2162" s="31"/>
      <c r="F2162" s="31" t="s">
        <v>10418</v>
      </c>
      <c r="G2162" s="31" t="n">
        <v>88</v>
      </c>
      <c r="H2162" s="31" t="s">
        <v>7168</v>
      </c>
      <c r="I2162" s="44" t="s">
        <v>10324</v>
      </c>
      <c r="J2162" s="45" t="s">
        <v>10420</v>
      </c>
      <c r="K2162" s="45" t="s">
        <v>10422</v>
      </c>
      <c r="L2162" s="31" t="n">
        <f aca="false">COUNTIF($B$3:$B$2205,$B2162)</f>
        <v>1</v>
      </c>
      <c r="M2162" s="44" t="str">
        <f aca="false">IFERROR(INDEX(SENTENCES!$T$3:$T$1802,MATCH($F2162,SENTENCES!$A$3:$A$1802,0)),"")</f>
        <v>• Chưa tới</v>
      </c>
    </row>
    <row r="2163" customFormat="false" ht="15" hidden="false" customHeight="false" outlineLevel="0" collapsed="false">
      <c r="A2163" s="31" t="n">
        <v>2161</v>
      </c>
      <c r="B2163" s="43" t="s">
        <v>14163</v>
      </c>
      <c r="C2163" s="34" t="s">
        <v>14164</v>
      </c>
      <c r="D2163" s="44" t="s">
        <v>10677</v>
      </c>
      <c r="E2163" s="31" t="s">
        <v>10707</v>
      </c>
      <c r="F2163" s="31" t="s">
        <v>10424</v>
      </c>
      <c r="G2163" s="31" t="n">
        <v>88</v>
      </c>
      <c r="H2163" s="31" t="s">
        <v>7168</v>
      </c>
      <c r="I2163" s="44" t="s">
        <v>10324</v>
      </c>
      <c r="J2163" s="45" t="s">
        <v>10426</v>
      </c>
      <c r="K2163" s="45" t="s">
        <v>10428</v>
      </c>
      <c r="L2163" s="31" t="n">
        <f aca="false">COUNTIF($B$3:$B$2205,$B2163)</f>
        <v>1</v>
      </c>
      <c r="M2163" s="44" t="str">
        <f aca="false">IFERROR(INDEX(SENTENCES!$T$3:$T$1802,MATCH($F2163,SENTENCES!$A$3:$A$1802,0)),"")</f>
        <v>• Chưa tới</v>
      </c>
    </row>
    <row r="2164" customFormat="false" ht="15" hidden="false" customHeight="false" outlineLevel="0" collapsed="false">
      <c r="A2164" s="31" t="n">
        <v>2162</v>
      </c>
      <c r="B2164" s="43" t="s">
        <v>14165</v>
      </c>
      <c r="C2164" s="34" t="s">
        <v>14166</v>
      </c>
      <c r="D2164" s="44" t="s">
        <v>10677</v>
      </c>
      <c r="E2164" s="31" t="s">
        <v>10678</v>
      </c>
      <c r="F2164" s="31" t="s">
        <v>10430</v>
      </c>
      <c r="G2164" s="31" t="n">
        <v>88</v>
      </c>
      <c r="H2164" s="31" t="s">
        <v>7168</v>
      </c>
      <c r="I2164" s="44" t="s">
        <v>10324</v>
      </c>
      <c r="J2164" s="45" t="s">
        <v>10432</v>
      </c>
      <c r="K2164" s="45" t="s">
        <v>10434</v>
      </c>
      <c r="L2164" s="31" t="n">
        <f aca="false">COUNTIF($B$3:$B$2205,$B2164)</f>
        <v>1</v>
      </c>
      <c r="M2164" s="44" t="str">
        <f aca="false">IFERROR(INDEX(SENTENCES!$T$3:$T$1802,MATCH($F2164,SENTENCES!$A$3:$A$1802,0)),"")</f>
        <v>• Chưa tới</v>
      </c>
    </row>
    <row r="2165" customFormat="false" ht="15" hidden="false" customHeight="false" outlineLevel="0" collapsed="false">
      <c r="A2165" s="31" t="n">
        <v>2163</v>
      </c>
      <c r="B2165" s="43" t="s">
        <v>14167</v>
      </c>
      <c r="C2165" s="34" t="s">
        <v>14168</v>
      </c>
      <c r="D2165" s="44" t="s">
        <v>10677</v>
      </c>
      <c r="E2165" s="31" t="s">
        <v>10678</v>
      </c>
      <c r="F2165" s="31" t="s">
        <v>10436</v>
      </c>
      <c r="G2165" s="31" t="n">
        <v>88</v>
      </c>
      <c r="H2165" s="31" t="s">
        <v>7168</v>
      </c>
      <c r="I2165" s="44" t="s">
        <v>10324</v>
      </c>
      <c r="J2165" s="45" t="s">
        <v>10438</v>
      </c>
      <c r="K2165" s="45" t="s">
        <v>10440</v>
      </c>
      <c r="L2165" s="31" t="n">
        <f aca="false">COUNTIF($B$3:$B$2205,$B2165)</f>
        <v>1</v>
      </c>
      <c r="M2165" s="44" t="str">
        <f aca="false">IFERROR(INDEX(SENTENCES!$T$3:$T$1802,MATCH($F2165,SENTENCES!$A$3:$A$1802,0)),"")</f>
        <v>• Chưa tới</v>
      </c>
    </row>
    <row r="2166" customFormat="false" ht="15" hidden="false" customHeight="false" outlineLevel="0" collapsed="false">
      <c r="A2166" s="31" t="n">
        <v>2164</v>
      </c>
      <c r="B2166" s="43" t="s">
        <v>14169</v>
      </c>
      <c r="C2166" s="34" t="s">
        <v>14170</v>
      </c>
      <c r="D2166" s="44" t="s">
        <v>10681</v>
      </c>
      <c r="E2166" s="31"/>
      <c r="F2166" s="31" t="s">
        <v>10436</v>
      </c>
      <c r="G2166" s="31" t="n">
        <v>88</v>
      </c>
      <c r="H2166" s="31" t="s">
        <v>7168</v>
      </c>
      <c r="I2166" s="44" t="s">
        <v>10324</v>
      </c>
      <c r="J2166" s="45" t="s">
        <v>10438</v>
      </c>
      <c r="K2166" s="45" t="s">
        <v>10440</v>
      </c>
      <c r="L2166" s="31" t="n">
        <f aca="false">COUNTIF($B$3:$B$2205,$B2166)</f>
        <v>1</v>
      </c>
      <c r="M2166" s="44" t="str">
        <f aca="false">IFERROR(INDEX(SENTENCES!$T$3:$T$1802,MATCH($F2166,SENTENCES!$A$3:$A$1802,0)),"")</f>
        <v>• Chưa tới</v>
      </c>
    </row>
    <row r="2167" customFormat="false" ht="15" hidden="false" customHeight="false" outlineLevel="0" collapsed="false">
      <c r="A2167" s="31" t="n">
        <v>2165</v>
      </c>
      <c r="B2167" s="43" t="s">
        <v>14171</v>
      </c>
      <c r="C2167" s="34" t="s">
        <v>10886</v>
      </c>
      <c r="D2167" s="44" t="s">
        <v>10794</v>
      </c>
      <c r="E2167" s="31"/>
      <c r="F2167" s="31" t="s">
        <v>10450</v>
      </c>
      <c r="G2167" s="31" t="n">
        <v>89</v>
      </c>
      <c r="H2167" s="31" t="s">
        <v>7168</v>
      </c>
      <c r="I2167" s="44" t="s">
        <v>10443</v>
      </c>
      <c r="J2167" s="45" t="s">
        <v>10451</v>
      </c>
      <c r="K2167" s="45" t="s">
        <v>10453</v>
      </c>
      <c r="L2167" s="31" t="n">
        <f aca="false">COUNTIF($B$3:$B$2205,$B2167)</f>
        <v>1</v>
      </c>
      <c r="M2167" s="44" t="str">
        <f aca="false">IFERROR(INDEX(SENTENCES!$T$3:$T$1802,MATCH($F2167,SENTENCES!$A$3:$A$1802,0)),"")</f>
        <v>• Chưa tới</v>
      </c>
    </row>
    <row r="2168" customFormat="false" ht="15" hidden="false" customHeight="false" outlineLevel="0" collapsed="false">
      <c r="A2168" s="31" t="n">
        <v>2166</v>
      </c>
      <c r="B2168" s="43" t="s">
        <v>13154</v>
      </c>
      <c r="C2168" s="34" t="s">
        <v>12727</v>
      </c>
      <c r="D2168" s="44" t="s">
        <v>10686</v>
      </c>
      <c r="E2168" s="31"/>
      <c r="F2168" s="31" t="s">
        <v>10455</v>
      </c>
      <c r="G2168" s="31" t="n">
        <v>89</v>
      </c>
      <c r="H2168" s="31" t="s">
        <v>7168</v>
      </c>
      <c r="I2168" s="44" t="s">
        <v>10443</v>
      </c>
      <c r="J2168" s="45" t="s">
        <v>10457</v>
      </c>
      <c r="K2168" s="45" t="s">
        <v>10459</v>
      </c>
      <c r="L2168" s="31" t="n">
        <f aca="false">COUNTIF($B$3:$B$2205,$B2168)</f>
        <v>2</v>
      </c>
      <c r="M2168" s="44" t="str">
        <f aca="false">IFERROR(INDEX(SENTENCES!$T$3:$T$1802,MATCH($F2168,SENTENCES!$A$3:$A$1802,0)),"")</f>
        <v>• Chưa tới</v>
      </c>
    </row>
    <row r="2169" customFormat="false" ht="15" hidden="false" customHeight="false" outlineLevel="0" collapsed="false">
      <c r="A2169" s="31" t="n">
        <v>2167</v>
      </c>
      <c r="B2169" s="43" t="s">
        <v>10806</v>
      </c>
      <c r="C2169" s="34" t="s">
        <v>10807</v>
      </c>
      <c r="D2169" s="44" t="s">
        <v>10681</v>
      </c>
      <c r="E2169" s="31"/>
      <c r="F2169" s="31" t="s">
        <v>10460</v>
      </c>
      <c r="G2169" s="31" t="n">
        <v>89</v>
      </c>
      <c r="H2169" s="31" t="s">
        <v>7168</v>
      </c>
      <c r="I2169" s="44" t="s">
        <v>10443</v>
      </c>
      <c r="J2169" s="45" t="s">
        <v>10462</v>
      </c>
      <c r="K2169" s="45" t="s">
        <v>10464</v>
      </c>
      <c r="L2169" s="31" t="n">
        <f aca="false">COUNTIF($B$3:$B$2205,$B2169)</f>
        <v>4</v>
      </c>
      <c r="M2169" s="44" t="str">
        <f aca="false">IFERROR(INDEX(SENTENCES!$T$3:$T$1802,MATCH($F2169,SENTENCES!$A$3:$A$1802,0)),"")</f>
        <v>• Chưa tới</v>
      </c>
    </row>
    <row r="2170" customFormat="false" ht="15" hidden="false" customHeight="false" outlineLevel="0" collapsed="false">
      <c r="A2170" s="31" t="n">
        <v>2168</v>
      </c>
      <c r="B2170" s="43" t="s">
        <v>10959</v>
      </c>
      <c r="C2170" s="34" t="s">
        <v>10960</v>
      </c>
      <c r="D2170" s="44" t="s">
        <v>10677</v>
      </c>
      <c r="E2170" s="31" t="s">
        <v>10678</v>
      </c>
      <c r="F2170" s="31" t="s">
        <v>10465</v>
      </c>
      <c r="G2170" s="31" t="n">
        <v>89</v>
      </c>
      <c r="H2170" s="31" t="s">
        <v>7168</v>
      </c>
      <c r="I2170" s="44" t="s">
        <v>10443</v>
      </c>
      <c r="J2170" s="45" t="s">
        <v>10467</v>
      </c>
      <c r="K2170" s="45" t="s">
        <v>10469</v>
      </c>
      <c r="L2170" s="31" t="n">
        <f aca="false">COUNTIF($B$3:$B$2205,$B2170)</f>
        <v>2</v>
      </c>
      <c r="M2170" s="44" t="str">
        <f aca="false">IFERROR(INDEX(SENTENCES!$T$3:$T$1802,MATCH($F2170,SENTENCES!$A$3:$A$1802,0)),"")</f>
        <v>• Chưa tới</v>
      </c>
    </row>
    <row r="2171" customFormat="false" ht="15" hidden="false" customHeight="false" outlineLevel="0" collapsed="false">
      <c r="A2171" s="31" t="n">
        <v>2169</v>
      </c>
      <c r="B2171" s="43" t="s">
        <v>10974</v>
      </c>
      <c r="C2171" s="34" t="s">
        <v>10975</v>
      </c>
      <c r="D2171" s="44" t="s">
        <v>10681</v>
      </c>
      <c r="E2171" s="31"/>
      <c r="F2171" s="31" t="s">
        <v>10470</v>
      </c>
      <c r="G2171" s="31" t="n">
        <v>89</v>
      </c>
      <c r="H2171" s="31" t="s">
        <v>7168</v>
      </c>
      <c r="I2171" s="44" t="s">
        <v>10443</v>
      </c>
      <c r="J2171" s="45" t="s">
        <v>10472</v>
      </c>
      <c r="K2171" s="45" t="s">
        <v>10474</v>
      </c>
      <c r="L2171" s="31" t="n">
        <f aca="false">COUNTIF($B$3:$B$2205,$B2171)</f>
        <v>3</v>
      </c>
      <c r="M2171" s="44" t="str">
        <f aca="false">IFERROR(INDEX(SENTENCES!$T$3:$T$1802,MATCH($F2171,SENTENCES!$A$3:$A$1802,0)),"")</f>
        <v>• Chưa tới</v>
      </c>
    </row>
    <row r="2172" customFormat="false" ht="15" hidden="false" customHeight="false" outlineLevel="0" collapsed="false">
      <c r="A2172" s="31" t="n">
        <v>2170</v>
      </c>
      <c r="B2172" s="43" t="s">
        <v>11599</v>
      </c>
      <c r="C2172" s="34" t="s">
        <v>14172</v>
      </c>
      <c r="D2172" s="44" t="s">
        <v>10681</v>
      </c>
      <c r="E2172" s="31"/>
      <c r="F2172" s="31" t="s">
        <v>10475</v>
      </c>
      <c r="G2172" s="31" t="n">
        <v>89</v>
      </c>
      <c r="H2172" s="31" t="s">
        <v>7168</v>
      </c>
      <c r="I2172" s="44" t="s">
        <v>10443</v>
      </c>
      <c r="J2172" s="45" t="s">
        <v>10477</v>
      </c>
      <c r="K2172" s="45" t="s">
        <v>10479</v>
      </c>
      <c r="L2172" s="31" t="n">
        <f aca="false">COUNTIF($B$3:$B$2205,$B2172)</f>
        <v>3</v>
      </c>
      <c r="M2172" s="44" t="str">
        <f aca="false">IFERROR(INDEX(SENTENCES!$T$3:$T$1802,MATCH($F2172,SENTENCES!$A$3:$A$1802,0)),"")</f>
        <v>• Chưa tới</v>
      </c>
    </row>
    <row r="2173" customFormat="false" ht="15" hidden="false" customHeight="false" outlineLevel="0" collapsed="false">
      <c r="A2173" s="31" t="n">
        <v>2171</v>
      </c>
      <c r="B2173" s="43" t="s">
        <v>14173</v>
      </c>
      <c r="C2173" s="34" t="s">
        <v>14174</v>
      </c>
      <c r="D2173" s="44" t="s">
        <v>10677</v>
      </c>
      <c r="E2173" s="31" t="s">
        <v>10747</v>
      </c>
      <c r="F2173" s="31" t="s">
        <v>10480</v>
      </c>
      <c r="G2173" s="31" t="n">
        <v>89</v>
      </c>
      <c r="H2173" s="31" t="s">
        <v>7168</v>
      </c>
      <c r="I2173" s="44" t="s">
        <v>10443</v>
      </c>
      <c r="J2173" s="45" t="s">
        <v>10482</v>
      </c>
      <c r="K2173" s="45" t="s">
        <v>10484</v>
      </c>
      <c r="L2173" s="31" t="n">
        <f aca="false">COUNTIF($B$3:$B$2205,$B2173)</f>
        <v>1</v>
      </c>
      <c r="M2173" s="44" t="str">
        <f aca="false">IFERROR(INDEX(SENTENCES!$T$3:$T$1802,MATCH($F2173,SENTENCES!$A$3:$A$1802,0)),"")</f>
        <v>• Chưa tới</v>
      </c>
    </row>
    <row r="2174" customFormat="false" ht="15" hidden="false" customHeight="false" outlineLevel="0" collapsed="false">
      <c r="A2174" s="31" t="n">
        <v>2172</v>
      </c>
      <c r="B2174" s="43" t="s">
        <v>10729</v>
      </c>
      <c r="C2174" s="34" t="s">
        <v>14175</v>
      </c>
      <c r="D2174" s="44" t="s">
        <v>10681</v>
      </c>
      <c r="E2174" s="31"/>
      <c r="F2174" s="31" t="s">
        <v>10486</v>
      </c>
      <c r="G2174" s="31" t="n">
        <v>89</v>
      </c>
      <c r="H2174" s="31" t="s">
        <v>7168</v>
      </c>
      <c r="I2174" s="44" t="s">
        <v>10443</v>
      </c>
      <c r="J2174" s="45" t="s">
        <v>10488</v>
      </c>
      <c r="K2174" s="45" t="s">
        <v>10490</v>
      </c>
      <c r="L2174" s="31" t="n">
        <f aca="false">COUNTIF($B$3:$B$2205,$B2174)</f>
        <v>3</v>
      </c>
      <c r="M2174" s="44" t="str">
        <f aca="false">IFERROR(INDEX(SENTENCES!$T$3:$T$1802,MATCH($F2174,SENTENCES!$A$3:$A$1802,0)),"")</f>
        <v>• Chưa tới</v>
      </c>
    </row>
    <row r="2175" customFormat="false" ht="15" hidden="false" customHeight="false" outlineLevel="0" collapsed="false">
      <c r="A2175" s="31" t="n">
        <v>2173</v>
      </c>
      <c r="B2175" s="43" t="s">
        <v>11095</v>
      </c>
      <c r="C2175" s="34" t="s">
        <v>11096</v>
      </c>
      <c r="D2175" s="44" t="s">
        <v>10681</v>
      </c>
      <c r="E2175" s="31"/>
      <c r="F2175" s="31" t="s">
        <v>10492</v>
      </c>
      <c r="G2175" s="31" t="n">
        <v>89</v>
      </c>
      <c r="H2175" s="31" t="s">
        <v>7168</v>
      </c>
      <c r="I2175" s="44" t="s">
        <v>10443</v>
      </c>
      <c r="J2175" s="45" t="s">
        <v>10494</v>
      </c>
      <c r="K2175" s="45" t="s">
        <v>10496</v>
      </c>
      <c r="L2175" s="31" t="n">
        <f aca="false">COUNTIF($B$3:$B$2205,$B2175)</f>
        <v>3</v>
      </c>
      <c r="M2175" s="44" t="str">
        <f aca="false">IFERROR(INDEX(SENTENCES!$T$3:$T$1802,MATCH($F2175,SENTENCES!$A$3:$A$1802,0)),"")</f>
        <v>• Chưa tới</v>
      </c>
    </row>
    <row r="2176" customFormat="false" ht="22.35" hidden="false" customHeight="false" outlineLevel="0" collapsed="false">
      <c r="A2176" s="31" t="n">
        <v>2174</v>
      </c>
      <c r="B2176" s="43" t="s">
        <v>12096</v>
      </c>
      <c r="C2176" s="34" t="s">
        <v>12097</v>
      </c>
      <c r="D2176" s="44" t="s">
        <v>10794</v>
      </c>
      <c r="E2176" s="31"/>
      <c r="F2176" s="31" t="s">
        <v>10502</v>
      </c>
      <c r="G2176" s="31" t="n">
        <v>89</v>
      </c>
      <c r="H2176" s="31" t="s">
        <v>7168</v>
      </c>
      <c r="I2176" s="44" t="s">
        <v>10443</v>
      </c>
      <c r="J2176" s="45" t="s">
        <v>10504</v>
      </c>
      <c r="K2176" s="45" t="s">
        <v>10506</v>
      </c>
      <c r="L2176" s="31" t="n">
        <f aca="false">COUNTIF($B$3:$B$2205,$B2176)</f>
        <v>2</v>
      </c>
      <c r="M2176" s="44" t="str">
        <f aca="false">IFERROR(INDEX(SENTENCES!$T$3:$T$1802,MATCH($F2176,SENTENCES!$A$3:$A$1802,0)),"")</f>
        <v>• Chưa tới</v>
      </c>
    </row>
    <row r="2177" customFormat="false" ht="15" hidden="false" customHeight="false" outlineLevel="0" collapsed="false">
      <c r="A2177" s="31" t="n">
        <v>2175</v>
      </c>
      <c r="B2177" s="43" t="s">
        <v>11074</v>
      </c>
      <c r="C2177" s="34" t="s">
        <v>11075</v>
      </c>
      <c r="D2177" s="44" t="s">
        <v>10686</v>
      </c>
      <c r="E2177" s="31"/>
      <c r="F2177" s="31" t="s">
        <v>10507</v>
      </c>
      <c r="G2177" s="31" t="n">
        <v>89</v>
      </c>
      <c r="H2177" s="31" t="s">
        <v>7168</v>
      </c>
      <c r="I2177" s="44" t="s">
        <v>10443</v>
      </c>
      <c r="J2177" s="45" t="s">
        <v>10509</v>
      </c>
      <c r="K2177" s="45" t="s">
        <v>10511</v>
      </c>
      <c r="L2177" s="31" t="n">
        <f aca="false">COUNTIF($B$3:$B$2205,$B2177)</f>
        <v>2</v>
      </c>
      <c r="M2177" s="44" t="str">
        <f aca="false">IFERROR(INDEX(SENTENCES!$T$3:$T$1802,MATCH($F2177,SENTENCES!$A$3:$A$1802,0)),"")</f>
        <v>• Chưa tới</v>
      </c>
    </row>
    <row r="2178" customFormat="false" ht="15" hidden="false" customHeight="false" outlineLevel="0" collapsed="false">
      <c r="A2178" s="31" t="n">
        <v>2176</v>
      </c>
      <c r="B2178" s="43" t="s">
        <v>11656</v>
      </c>
      <c r="C2178" s="34" t="s">
        <v>14176</v>
      </c>
      <c r="D2178" s="44" t="s">
        <v>10681</v>
      </c>
      <c r="E2178" s="31"/>
      <c r="F2178" s="31" t="s">
        <v>10513</v>
      </c>
      <c r="G2178" s="31" t="n">
        <v>89</v>
      </c>
      <c r="H2178" s="31" t="s">
        <v>7168</v>
      </c>
      <c r="I2178" s="44" t="s">
        <v>10443</v>
      </c>
      <c r="J2178" s="45" t="s">
        <v>10515</v>
      </c>
      <c r="K2178" s="45" t="s">
        <v>10517</v>
      </c>
      <c r="L2178" s="31" t="n">
        <f aca="false">COUNTIF($B$3:$B$2205,$B2178)</f>
        <v>3</v>
      </c>
      <c r="M2178" s="44" t="str">
        <f aca="false">IFERROR(INDEX(SENTENCES!$T$3:$T$1802,MATCH($F2178,SENTENCES!$A$3:$A$1802,0)),"")</f>
        <v>• Chưa tới</v>
      </c>
    </row>
    <row r="2179" customFormat="false" ht="15" hidden="false" customHeight="false" outlineLevel="0" collapsed="false">
      <c r="A2179" s="31" t="n">
        <v>2177</v>
      </c>
      <c r="B2179" s="43" t="s">
        <v>10520</v>
      </c>
      <c r="C2179" s="34" t="s">
        <v>11175</v>
      </c>
      <c r="D2179" s="44" t="s">
        <v>10794</v>
      </c>
      <c r="E2179" s="31"/>
      <c r="F2179" s="31" t="s">
        <v>10519</v>
      </c>
      <c r="G2179" s="31" t="n">
        <v>89</v>
      </c>
      <c r="H2179" s="31" t="s">
        <v>7168</v>
      </c>
      <c r="I2179" s="44" t="s">
        <v>10443</v>
      </c>
      <c r="J2179" s="45" t="s">
        <v>10521</v>
      </c>
      <c r="K2179" s="45" t="s">
        <v>10523</v>
      </c>
      <c r="L2179" s="31" t="n">
        <f aca="false">COUNTIF($B$3:$B$2205,$B2179)</f>
        <v>3</v>
      </c>
      <c r="M2179" s="44" t="str">
        <f aca="false">IFERROR(INDEX(SENTENCES!$T$3:$T$1802,MATCH($F2179,SENTENCES!$A$3:$A$1802,0)),"")</f>
        <v>• Chưa tới</v>
      </c>
    </row>
    <row r="2180" customFormat="false" ht="15" hidden="false" customHeight="false" outlineLevel="0" collapsed="false">
      <c r="A2180" s="31" t="n">
        <v>2178</v>
      </c>
      <c r="B2180" s="43" t="s">
        <v>11069</v>
      </c>
      <c r="C2180" s="34" t="s">
        <v>11070</v>
      </c>
      <c r="D2180" s="44" t="s">
        <v>10794</v>
      </c>
      <c r="E2180" s="31"/>
      <c r="F2180" s="31" t="s">
        <v>10524</v>
      </c>
      <c r="G2180" s="31" t="n">
        <v>89</v>
      </c>
      <c r="H2180" s="31" t="s">
        <v>7168</v>
      </c>
      <c r="I2180" s="44" t="s">
        <v>10443</v>
      </c>
      <c r="J2180" s="45" t="s">
        <v>10526</v>
      </c>
      <c r="K2180" s="45" t="s">
        <v>10528</v>
      </c>
      <c r="L2180" s="31" t="n">
        <f aca="false">COUNTIF($B$3:$B$2205,$B2180)</f>
        <v>2</v>
      </c>
      <c r="M2180" s="44" t="str">
        <f aca="false">IFERROR(INDEX(SENTENCES!$T$3:$T$1802,MATCH($F2180,SENTENCES!$A$3:$A$1802,0)),"")</f>
        <v>• Chưa tới</v>
      </c>
    </row>
    <row r="2181" customFormat="false" ht="15" hidden="false" customHeight="false" outlineLevel="0" collapsed="false">
      <c r="A2181" s="31" t="n">
        <v>2179</v>
      </c>
      <c r="B2181" s="43" t="s">
        <v>11727</v>
      </c>
      <c r="C2181" s="34" t="s">
        <v>11728</v>
      </c>
      <c r="D2181" s="44" t="s">
        <v>10677</v>
      </c>
      <c r="E2181" s="31" t="s">
        <v>10747</v>
      </c>
      <c r="F2181" s="31" t="s">
        <v>10530</v>
      </c>
      <c r="G2181" s="31" t="n">
        <v>89</v>
      </c>
      <c r="H2181" s="31" t="s">
        <v>7168</v>
      </c>
      <c r="I2181" s="44" t="s">
        <v>10443</v>
      </c>
      <c r="J2181" s="45" t="s">
        <v>10532</v>
      </c>
      <c r="K2181" s="45" t="s">
        <v>10534</v>
      </c>
      <c r="L2181" s="31" t="n">
        <f aca="false">COUNTIF($B$3:$B$2205,$B2181)</f>
        <v>3</v>
      </c>
      <c r="M2181" s="44" t="str">
        <f aca="false">IFERROR(INDEX(SENTENCES!$T$3:$T$1802,MATCH($F2181,SENTENCES!$A$3:$A$1802,0)),"")</f>
        <v>• Chưa tới</v>
      </c>
    </row>
    <row r="2182" customFormat="false" ht="15" hidden="false" customHeight="false" outlineLevel="0" collapsed="false">
      <c r="A2182" s="31" t="n">
        <v>2180</v>
      </c>
      <c r="B2182" s="43" t="s">
        <v>11324</v>
      </c>
      <c r="C2182" s="34" t="s">
        <v>14177</v>
      </c>
      <c r="D2182" s="44" t="s">
        <v>10686</v>
      </c>
      <c r="E2182" s="31"/>
      <c r="F2182" s="31" t="s">
        <v>10535</v>
      </c>
      <c r="G2182" s="31" t="n">
        <v>89</v>
      </c>
      <c r="H2182" s="31" t="s">
        <v>7168</v>
      </c>
      <c r="I2182" s="44" t="s">
        <v>10443</v>
      </c>
      <c r="J2182" s="45" t="s">
        <v>10537</v>
      </c>
      <c r="K2182" s="45" t="s">
        <v>10539</v>
      </c>
      <c r="L2182" s="31" t="n">
        <f aca="false">COUNTIF($B$3:$B$2205,$B2182)</f>
        <v>2</v>
      </c>
      <c r="M2182" s="44" t="str">
        <f aca="false">IFERROR(INDEX(SENTENCES!$T$3:$T$1802,MATCH($F2182,SENTENCES!$A$3:$A$1802,0)),"")</f>
        <v>• Chưa tới</v>
      </c>
    </row>
    <row r="2183" customFormat="false" ht="15" hidden="false" customHeight="false" outlineLevel="0" collapsed="false">
      <c r="A2183" s="31" t="n">
        <v>2181</v>
      </c>
      <c r="B2183" s="43" t="s">
        <v>11084</v>
      </c>
      <c r="C2183" s="34" t="s">
        <v>11085</v>
      </c>
      <c r="D2183" s="44" t="s">
        <v>10686</v>
      </c>
      <c r="E2183" s="31"/>
      <c r="F2183" s="31" t="s">
        <v>10535</v>
      </c>
      <c r="G2183" s="31" t="n">
        <v>89</v>
      </c>
      <c r="H2183" s="31" t="s">
        <v>7168</v>
      </c>
      <c r="I2183" s="44" t="s">
        <v>10443</v>
      </c>
      <c r="J2183" s="45" t="s">
        <v>10537</v>
      </c>
      <c r="K2183" s="45" t="s">
        <v>10539</v>
      </c>
      <c r="L2183" s="31" t="n">
        <f aca="false">COUNTIF($B$3:$B$2205,$B2183)</f>
        <v>4</v>
      </c>
      <c r="M2183" s="44" t="str">
        <f aca="false">IFERROR(INDEX(SENTENCES!$T$3:$T$1802,MATCH($F2183,SENTENCES!$A$3:$A$1802,0)),"")</f>
        <v>• Chưa tới</v>
      </c>
    </row>
    <row r="2184" customFormat="false" ht="15" hidden="false" customHeight="false" outlineLevel="0" collapsed="false">
      <c r="A2184" s="31" t="n">
        <v>2182</v>
      </c>
      <c r="B2184" s="43" t="s">
        <v>10765</v>
      </c>
      <c r="C2184" s="34" t="s">
        <v>14178</v>
      </c>
      <c r="D2184" s="44" t="s">
        <v>10681</v>
      </c>
      <c r="E2184" s="31"/>
      <c r="F2184" s="31" t="s">
        <v>10541</v>
      </c>
      <c r="G2184" s="31" t="n">
        <v>89</v>
      </c>
      <c r="H2184" s="31" t="s">
        <v>7168</v>
      </c>
      <c r="I2184" s="44" t="s">
        <v>10443</v>
      </c>
      <c r="J2184" s="45" t="s">
        <v>10543</v>
      </c>
      <c r="K2184" s="45" t="s">
        <v>10545</v>
      </c>
      <c r="L2184" s="31" t="n">
        <f aca="false">COUNTIF($B$3:$B$2205,$B2184)</f>
        <v>2</v>
      </c>
      <c r="M2184" s="44" t="str">
        <f aca="false">IFERROR(INDEX(SENTENCES!$T$3:$T$1802,MATCH($F2184,SENTENCES!$A$3:$A$1802,0)),"")</f>
        <v>• Chưa tới</v>
      </c>
    </row>
    <row r="2185" customFormat="false" ht="15" hidden="false" customHeight="false" outlineLevel="0" collapsed="false">
      <c r="A2185" s="31" t="n">
        <v>2183</v>
      </c>
      <c r="B2185" s="43" t="s">
        <v>11536</v>
      </c>
      <c r="C2185" s="34" t="s">
        <v>11537</v>
      </c>
      <c r="D2185" s="44" t="s">
        <v>10686</v>
      </c>
      <c r="E2185" s="31"/>
      <c r="F2185" s="31" t="s">
        <v>10547</v>
      </c>
      <c r="G2185" s="31" t="n">
        <v>89</v>
      </c>
      <c r="H2185" s="31" t="s">
        <v>7168</v>
      </c>
      <c r="I2185" s="44" t="s">
        <v>10443</v>
      </c>
      <c r="J2185" s="45" t="s">
        <v>10548</v>
      </c>
      <c r="K2185" s="45" t="s">
        <v>10550</v>
      </c>
      <c r="L2185" s="31" t="n">
        <f aca="false">COUNTIF($B$3:$B$2205,$B2185)</f>
        <v>5</v>
      </c>
      <c r="M2185" s="44" t="str">
        <f aca="false">IFERROR(INDEX(SENTENCES!$T$3:$T$1802,MATCH($F2185,SENTENCES!$A$3:$A$1802,0)),"")</f>
        <v>• Chưa tới</v>
      </c>
    </row>
    <row r="2186" customFormat="false" ht="15" hidden="false" customHeight="false" outlineLevel="0" collapsed="false">
      <c r="A2186" s="31" t="n">
        <v>2184</v>
      </c>
      <c r="B2186" s="43" t="s">
        <v>14179</v>
      </c>
      <c r="C2186" s="34" t="s">
        <v>12636</v>
      </c>
      <c r="D2186" s="44" t="s">
        <v>10794</v>
      </c>
      <c r="E2186" s="31"/>
      <c r="F2186" s="31" t="s">
        <v>10551</v>
      </c>
      <c r="G2186" s="31" t="n">
        <v>90</v>
      </c>
      <c r="H2186" s="31" t="s">
        <v>7168</v>
      </c>
      <c r="I2186" s="44" t="s">
        <v>10552</v>
      </c>
      <c r="J2186" s="45" t="s">
        <v>10555</v>
      </c>
      <c r="K2186" s="45" t="s">
        <v>10557</v>
      </c>
      <c r="L2186" s="31" t="n">
        <f aca="false">COUNTIF($B$3:$B$2205,$B2186)</f>
        <v>1</v>
      </c>
      <c r="M2186" s="44" t="str">
        <f aca="false">IFERROR(INDEX(SENTENCES!$T$3:$T$1802,MATCH($F2186,SENTENCES!$A$3:$A$1802,0)),"")</f>
        <v>• Chưa tới</v>
      </c>
    </row>
    <row r="2187" customFormat="false" ht="15" hidden="false" customHeight="false" outlineLevel="0" collapsed="false">
      <c r="A2187" s="31" t="n">
        <v>2185</v>
      </c>
      <c r="B2187" s="43" t="s">
        <v>14049</v>
      </c>
      <c r="C2187" s="34" t="s">
        <v>14050</v>
      </c>
      <c r="D2187" s="44" t="s">
        <v>10794</v>
      </c>
      <c r="E2187" s="31"/>
      <c r="F2187" s="31" t="s">
        <v>10559</v>
      </c>
      <c r="G2187" s="31" t="n">
        <v>90</v>
      </c>
      <c r="H2187" s="31" t="s">
        <v>7168</v>
      </c>
      <c r="I2187" s="44" t="s">
        <v>10552</v>
      </c>
      <c r="J2187" s="45" t="s">
        <v>10560</v>
      </c>
      <c r="K2187" s="45" t="s">
        <v>10562</v>
      </c>
      <c r="L2187" s="31" t="n">
        <f aca="false">COUNTIF($B$3:$B$2205,$B2187)</f>
        <v>2</v>
      </c>
      <c r="M2187" s="44" t="str">
        <f aca="false">IFERROR(INDEX(SENTENCES!$T$3:$T$1802,MATCH($F2187,SENTENCES!$A$3:$A$1802,0)),"")</f>
        <v>• Chưa tới</v>
      </c>
    </row>
    <row r="2188" customFormat="false" ht="15" hidden="false" customHeight="false" outlineLevel="0" collapsed="false">
      <c r="A2188" s="31" t="n">
        <v>2186</v>
      </c>
      <c r="B2188" s="43" t="s">
        <v>12591</v>
      </c>
      <c r="C2188" s="34" t="s">
        <v>12592</v>
      </c>
      <c r="D2188" s="44" t="s">
        <v>10677</v>
      </c>
      <c r="E2188" s="31" t="s">
        <v>10707</v>
      </c>
      <c r="F2188" s="31" t="s">
        <v>10563</v>
      </c>
      <c r="G2188" s="31" t="n">
        <v>90</v>
      </c>
      <c r="H2188" s="31" t="s">
        <v>7168</v>
      </c>
      <c r="I2188" s="44" t="s">
        <v>10552</v>
      </c>
      <c r="J2188" s="45" t="s">
        <v>10565</v>
      </c>
      <c r="K2188" s="45" t="s">
        <v>10567</v>
      </c>
      <c r="L2188" s="31" t="n">
        <f aca="false">COUNTIF($B$3:$B$2205,$B2188)</f>
        <v>2</v>
      </c>
      <c r="M2188" s="44" t="str">
        <f aca="false">IFERROR(INDEX(SENTENCES!$T$3:$T$1802,MATCH($F2188,SENTENCES!$A$3:$A$1802,0)),"")</f>
        <v>• Chưa tới</v>
      </c>
    </row>
    <row r="2189" customFormat="false" ht="15" hidden="false" customHeight="false" outlineLevel="0" collapsed="false">
      <c r="A2189" s="31" t="n">
        <v>2187</v>
      </c>
      <c r="B2189" s="43" t="s">
        <v>14180</v>
      </c>
      <c r="C2189" s="34" t="s">
        <v>12634</v>
      </c>
      <c r="D2189" s="44" t="s">
        <v>10677</v>
      </c>
      <c r="E2189" s="31" t="s">
        <v>10747</v>
      </c>
      <c r="F2189" s="31" t="s">
        <v>10569</v>
      </c>
      <c r="G2189" s="31" t="n">
        <v>90</v>
      </c>
      <c r="H2189" s="31" t="s">
        <v>7168</v>
      </c>
      <c r="I2189" s="44" t="s">
        <v>10552</v>
      </c>
      <c r="J2189" s="45" t="s">
        <v>10571</v>
      </c>
      <c r="K2189" s="45" t="s">
        <v>10573</v>
      </c>
      <c r="L2189" s="31" t="n">
        <f aca="false">COUNTIF($B$3:$B$2205,$B2189)</f>
        <v>1</v>
      </c>
      <c r="M2189" s="44" t="str">
        <f aca="false">IFERROR(INDEX(SENTENCES!$T$3:$T$1802,MATCH($F2189,SENTENCES!$A$3:$A$1802,0)),"")</f>
        <v>• Chưa tới</v>
      </c>
    </row>
    <row r="2190" customFormat="false" ht="15" hidden="false" customHeight="false" outlineLevel="0" collapsed="false">
      <c r="A2190" s="31" t="n">
        <v>2188</v>
      </c>
      <c r="B2190" s="43" t="s">
        <v>13199</v>
      </c>
      <c r="C2190" s="34" t="s">
        <v>13200</v>
      </c>
      <c r="D2190" s="44" t="s">
        <v>10677</v>
      </c>
      <c r="E2190" s="31" t="s">
        <v>10678</v>
      </c>
      <c r="F2190" s="31" t="s">
        <v>10575</v>
      </c>
      <c r="G2190" s="31" t="n">
        <v>90</v>
      </c>
      <c r="H2190" s="31" t="s">
        <v>7168</v>
      </c>
      <c r="I2190" s="44" t="s">
        <v>10552</v>
      </c>
      <c r="J2190" s="45" t="s">
        <v>10577</v>
      </c>
      <c r="K2190" s="45" t="s">
        <v>10579</v>
      </c>
      <c r="L2190" s="31" t="n">
        <f aca="false">COUNTIF($B$3:$B$2205,$B2190)</f>
        <v>2</v>
      </c>
      <c r="M2190" s="44" t="str">
        <f aca="false">IFERROR(INDEX(SENTENCES!$T$3:$T$1802,MATCH($F2190,SENTENCES!$A$3:$A$1802,0)),"")</f>
        <v>• Chưa tới</v>
      </c>
    </row>
    <row r="2191" customFormat="false" ht="15" hidden="false" customHeight="false" outlineLevel="0" collapsed="false">
      <c r="A2191" s="31" t="n">
        <v>2189</v>
      </c>
      <c r="B2191" s="43" t="s">
        <v>14181</v>
      </c>
      <c r="C2191" s="34" t="s">
        <v>14182</v>
      </c>
      <c r="D2191" s="44" t="s">
        <v>10677</v>
      </c>
      <c r="E2191" s="31" t="s">
        <v>10707</v>
      </c>
      <c r="F2191" s="31" t="s">
        <v>10581</v>
      </c>
      <c r="G2191" s="31" t="n">
        <v>90</v>
      </c>
      <c r="H2191" s="31" t="s">
        <v>7168</v>
      </c>
      <c r="I2191" s="44" t="s">
        <v>10552</v>
      </c>
      <c r="J2191" s="45" t="s">
        <v>10583</v>
      </c>
      <c r="K2191" s="45" t="s">
        <v>10585</v>
      </c>
      <c r="L2191" s="31" t="n">
        <f aca="false">COUNTIF($B$3:$B$2205,$B2191)</f>
        <v>1</v>
      </c>
      <c r="M2191" s="44" t="str">
        <f aca="false">IFERROR(INDEX(SENTENCES!$T$3:$T$1802,MATCH($F2191,SENTENCES!$A$3:$A$1802,0)),"")</f>
        <v>• Chưa tới</v>
      </c>
    </row>
    <row r="2192" customFormat="false" ht="22.35" hidden="false" customHeight="false" outlineLevel="0" collapsed="false">
      <c r="A2192" s="31" t="n">
        <v>2190</v>
      </c>
      <c r="B2192" s="43" t="s">
        <v>14027</v>
      </c>
      <c r="C2192" s="34" t="s">
        <v>14028</v>
      </c>
      <c r="D2192" s="44" t="s">
        <v>10686</v>
      </c>
      <c r="E2192" s="31"/>
      <c r="F2192" s="31" t="s">
        <v>10587</v>
      </c>
      <c r="G2192" s="31" t="n">
        <v>90</v>
      </c>
      <c r="H2192" s="31" t="s">
        <v>7168</v>
      </c>
      <c r="I2192" s="44" t="s">
        <v>10552</v>
      </c>
      <c r="J2192" s="45" t="s">
        <v>10589</v>
      </c>
      <c r="K2192" s="45" t="s">
        <v>10591</v>
      </c>
      <c r="L2192" s="31" t="n">
        <f aca="false">COUNTIF($B$3:$B$2205,$B2192)</f>
        <v>2</v>
      </c>
      <c r="M2192" s="44" t="str">
        <f aca="false">IFERROR(INDEX(SENTENCES!$T$3:$T$1802,MATCH($F2192,SENTENCES!$A$3:$A$1802,0)),"")</f>
        <v>• Chưa tới</v>
      </c>
    </row>
    <row r="2193" customFormat="false" ht="15" hidden="false" customHeight="false" outlineLevel="0" collapsed="false">
      <c r="A2193" s="31" t="n">
        <v>2191</v>
      </c>
      <c r="B2193" s="43" t="s">
        <v>11739</v>
      </c>
      <c r="C2193" s="34" t="s">
        <v>14183</v>
      </c>
      <c r="D2193" s="44" t="s">
        <v>10677</v>
      </c>
      <c r="E2193" s="31" t="s">
        <v>10678</v>
      </c>
      <c r="F2193" s="31" t="s">
        <v>10592</v>
      </c>
      <c r="G2193" s="31" t="n">
        <v>90</v>
      </c>
      <c r="H2193" s="31" t="s">
        <v>7168</v>
      </c>
      <c r="I2193" s="44" t="s">
        <v>10552</v>
      </c>
      <c r="J2193" s="45" t="s">
        <v>10593</v>
      </c>
      <c r="K2193" s="45" t="s">
        <v>10595</v>
      </c>
      <c r="L2193" s="31" t="n">
        <f aca="false">COUNTIF($B$3:$B$2205,$B2193)</f>
        <v>2</v>
      </c>
      <c r="M2193" s="44" t="str">
        <f aca="false">IFERROR(INDEX(SENTENCES!$T$3:$T$1802,MATCH($F2193,SENTENCES!$A$3:$A$1802,0)),"")</f>
        <v>• Chưa tới</v>
      </c>
    </row>
    <row r="2194" customFormat="false" ht="15" hidden="false" customHeight="false" outlineLevel="0" collapsed="false">
      <c r="A2194" s="31" t="n">
        <v>2192</v>
      </c>
      <c r="B2194" s="43" t="s">
        <v>11642</v>
      </c>
      <c r="C2194" s="34" t="s">
        <v>11643</v>
      </c>
      <c r="D2194" s="44" t="s">
        <v>10686</v>
      </c>
      <c r="E2194" s="31"/>
      <c r="F2194" s="31" t="s">
        <v>10597</v>
      </c>
      <c r="G2194" s="31" t="n">
        <v>90</v>
      </c>
      <c r="H2194" s="31" t="s">
        <v>7168</v>
      </c>
      <c r="I2194" s="44" t="s">
        <v>10552</v>
      </c>
      <c r="J2194" s="45" t="s">
        <v>10599</v>
      </c>
      <c r="K2194" s="45" t="s">
        <v>10601</v>
      </c>
      <c r="L2194" s="31" t="n">
        <f aca="false">COUNTIF($B$3:$B$2205,$B2194)</f>
        <v>2</v>
      </c>
      <c r="M2194" s="44" t="str">
        <f aca="false">IFERROR(INDEX(SENTENCES!$T$3:$T$1802,MATCH($F2194,SENTENCES!$A$3:$A$1802,0)),"")</f>
        <v>• Chưa tới</v>
      </c>
    </row>
    <row r="2195" customFormat="false" ht="15" hidden="false" customHeight="false" outlineLevel="0" collapsed="false">
      <c r="A2195" s="31" t="n">
        <v>2193</v>
      </c>
      <c r="B2195" s="43" t="s">
        <v>12109</v>
      </c>
      <c r="C2195" s="34" t="s">
        <v>14184</v>
      </c>
      <c r="D2195" s="44" t="s">
        <v>10686</v>
      </c>
      <c r="E2195" s="31"/>
      <c r="F2195" s="31" t="s">
        <v>10602</v>
      </c>
      <c r="G2195" s="31" t="n">
        <v>90</v>
      </c>
      <c r="H2195" s="31" t="s">
        <v>7168</v>
      </c>
      <c r="I2195" s="44" t="s">
        <v>10552</v>
      </c>
      <c r="J2195" s="45" t="s">
        <v>10604</v>
      </c>
      <c r="K2195" s="45" t="s">
        <v>10606</v>
      </c>
      <c r="L2195" s="31" t="n">
        <f aca="false">COUNTIF($B$3:$B$2205,$B2195)</f>
        <v>3</v>
      </c>
      <c r="M2195" s="44" t="str">
        <f aca="false">IFERROR(INDEX(SENTENCES!$T$3:$T$1802,MATCH($F2195,SENTENCES!$A$3:$A$1802,0)),"")</f>
        <v>• Chưa tới</v>
      </c>
    </row>
    <row r="2196" customFormat="false" ht="15" hidden="false" customHeight="false" outlineLevel="0" collapsed="false">
      <c r="A2196" s="31" t="n">
        <v>2194</v>
      </c>
      <c r="B2196" s="43" t="s">
        <v>13201</v>
      </c>
      <c r="C2196" s="34" t="s">
        <v>13202</v>
      </c>
      <c r="D2196" s="44" t="s">
        <v>10686</v>
      </c>
      <c r="E2196" s="31"/>
      <c r="F2196" s="31" t="s">
        <v>10608</v>
      </c>
      <c r="G2196" s="31" t="n">
        <v>90</v>
      </c>
      <c r="H2196" s="31" t="s">
        <v>7168</v>
      </c>
      <c r="I2196" s="44" t="s">
        <v>10552</v>
      </c>
      <c r="J2196" s="45" t="s">
        <v>10609</v>
      </c>
      <c r="K2196" s="45" t="s">
        <v>10611</v>
      </c>
      <c r="L2196" s="31" t="n">
        <f aca="false">COUNTIF($B$3:$B$2205,$B2196)</f>
        <v>2</v>
      </c>
      <c r="M2196" s="44" t="str">
        <f aca="false">IFERROR(INDEX(SENTENCES!$T$3:$T$1802,MATCH($F2196,SENTENCES!$A$3:$A$1802,0)),"")</f>
        <v>• Chưa tới</v>
      </c>
    </row>
    <row r="2197" customFormat="false" ht="15" hidden="false" customHeight="false" outlineLevel="0" collapsed="false">
      <c r="A2197" s="31" t="n">
        <v>2195</v>
      </c>
      <c r="B2197" s="43" t="s">
        <v>12136</v>
      </c>
      <c r="C2197" s="34" t="s">
        <v>12137</v>
      </c>
      <c r="D2197" s="44" t="s">
        <v>10686</v>
      </c>
      <c r="E2197" s="31"/>
      <c r="F2197" s="31" t="s">
        <v>10612</v>
      </c>
      <c r="G2197" s="31" t="n">
        <v>90</v>
      </c>
      <c r="H2197" s="31" t="s">
        <v>7168</v>
      </c>
      <c r="I2197" s="44" t="s">
        <v>10552</v>
      </c>
      <c r="J2197" s="45" t="s">
        <v>10614</v>
      </c>
      <c r="K2197" s="45" t="s">
        <v>10616</v>
      </c>
      <c r="L2197" s="31" t="n">
        <f aca="false">COUNTIF($B$3:$B$2205,$B2197)</f>
        <v>2</v>
      </c>
      <c r="M2197" s="44" t="str">
        <f aca="false">IFERROR(INDEX(SENTENCES!$T$3:$T$1802,MATCH($F2197,SENTENCES!$A$3:$A$1802,0)),"")</f>
        <v>• Chưa tới</v>
      </c>
    </row>
    <row r="2198" customFormat="false" ht="15" hidden="false" customHeight="false" outlineLevel="0" collapsed="false">
      <c r="A2198" s="31" t="n">
        <v>2196</v>
      </c>
      <c r="B2198" s="43" t="s">
        <v>14185</v>
      </c>
      <c r="C2198" s="34" t="s">
        <v>14024</v>
      </c>
      <c r="D2198" s="44" t="s">
        <v>10754</v>
      </c>
      <c r="E2198" s="31"/>
      <c r="F2198" s="31" t="s">
        <v>10617</v>
      </c>
      <c r="G2198" s="31" t="n">
        <v>90</v>
      </c>
      <c r="H2198" s="31" t="s">
        <v>7168</v>
      </c>
      <c r="I2198" s="44" t="s">
        <v>10552</v>
      </c>
      <c r="J2198" s="45" t="s">
        <v>10619</v>
      </c>
      <c r="K2198" s="45" t="s">
        <v>10621</v>
      </c>
      <c r="L2198" s="31" t="n">
        <f aca="false">COUNTIF($B$3:$B$2205,$B2198)</f>
        <v>1</v>
      </c>
      <c r="M2198" s="44" t="str">
        <f aca="false">IFERROR(INDEX(SENTENCES!$T$3:$T$1802,MATCH($F2198,SENTENCES!$A$3:$A$1802,0)),"")</f>
        <v>• Chưa tới</v>
      </c>
    </row>
    <row r="2199" customFormat="false" ht="15" hidden="false" customHeight="false" outlineLevel="0" collapsed="false">
      <c r="A2199" s="31" t="n">
        <v>2197</v>
      </c>
      <c r="B2199" s="43" t="s">
        <v>14186</v>
      </c>
      <c r="C2199" s="34" t="s">
        <v>12877</v>
      </c>
      <c r="D2199" s="44" t="s">
        <v>10677</v>
      </c>
      <c r="E2199" s="31" t="s">
        <v>10678</v>
      </c>
      <c r="F2199" s="31" t="s">
        <v>10623</v>
      </c>
      <c r="G2199" s="31" t="n">
        <v>90</v>
      </c>
      <c r="H2199" s="31" t="s">
        <v>7168</v>
      </c>
      <c r="I2199" s="44" t="s">
        <v>10552</v>
      </c>
      <c r="J2199" s="45" t="s">
        <v>10625</v>
      </c>
      <c r="K2199" s="45" t="s">
        <v>10627</v>
      </c>
      <c r="L2199" s="31" t="n">
        <f aca="false">COUNTIF($B$3:$B$2205,$B2199)</f>
        <v>1</v>
      </c>
      <c r="M2199" s="44" t="str">
        <f aca="false">IFERROR(INDEX(SENTENCES!$T$3:$T$1802,MATCH($F2199,SENTENCES!$A$3:$A$1802,0)),"")</f>
        <v>• Chưa tới</v>
      </c>
    </row>
    <row r="2200" customFormat="false" ht="15" hidden="false" customHeight="false" outlineLevel="0" collapsed="false">
      <c r="A2200" s="31" t="n">
        <v>2198</v>
      </c>
      <c r="B2200" s="43" t="s">
        <v>14187</v>
      </c>
      <c r="C2200" s="34" t="s">
        <v>14188</v>
      </c>
      <c r="D2200" s="44" t="s">
        <v>10686</v>
      </c>
      <c r="E2200" s="31"/>
      <c r="F2200" s="31" t="s">
        <v>10629</v>
      </c>
      <c r="G2200" s="31" t="n">
        <v>90</v>
      </c>
      <c r="H2200" s="31" t="s">
        <v>7168</v>
      </c>
      <c r="I2200" s="44" t="s">
        <v>10552</v>
      </c>
      <c r="J2200" s="45" t="s">
        <v>10631</v>
      </c>
      <c r="K2200" s="45" t="s">
        <v>10633</v>
      </c>
      <c r="L2200" s="31" t="n">
        <f aca="false">COUNTIF($B$3:$B$2205,$B2200)</f>
        <v>1</v>
      </c>
      <c r="M2200" s="44" t="str">
        <f aca="false">IFERROR(INDEX(SENTENCES!$T$3:$T$1802,MATCH($F2200,SENTENCES!$A$3:$A$1802,0)),"")</f>
        <v>• Chưa tới</v>
      </c>
    </row>
    <row r="2201" customFormat="false" ht="15" hidden="false" customHeight="false" outlineLevel="0" collapsed="false">
      <c r="A2201" s="31" t="n">
        <v>2199</v>
      </c>
      <c r="B2201" s="43" t="s">
        <v>14189</v>
      </c>
      <c r="C2201" s="34" t="s">
        <v>14190</v>
      </c>
      <c r="D2201" s="44" t="s">
        <v>10686</v>
      </c>
      <c r="E2201" s="31"/>
      <c r="F2201" s="31" t="s">
        <v>10635</v>
      </c>
      <c r="G2201" s="31" t="n">
        <v>90</v>
      </c>
      <c r="H2201" s="31" t="s">
        <v>7168</v>
      </c>
      <c r="I2201" s="44" t="s">
        <v>10552</v>
      </c>
      <c r="J2201" s="45" t="s">
        <v>10637</v>
      </c>
      <c r="K2201" s="45" t="s">
        <v>10639</v>
      </c>
      <c r="L2201" s="31" t="n">
        <f aca="false">COUNTIF($B$3:$B$2205,$B2201)</f>
        <v>1</v>
      </c>
      <c r="M2201" s="44" t="str">
        <f aca="false">IFERROR(INDEX(SENTENCES!$T$3:$T$1802,MATCH($F2201,SENTENCES!$A$3:$A$1802,0)),"")</f>
        <v>• Chưa tới</v>
      </c>
    </row>
    <row r="2202" customFormat="false" ht="15" hidden="false" customHeight="false" outlineLevel="0" collapsed="false">
      <c r="A2202" s="31" t="n">
        <v>2200</v>
      </c>
      <c r="B2202" s="43" t="s">
        <v>14191</v>
      </c>
      <c r="C2202" s="34" t="s">
        <v>14192</v>
      </c>
      <c r="D2202" s="44" t="s">
        <v>10681</v>
      </c>
      <c r="E2202" s="31"/>
      <c r="F2202" s="31" t="s">
        <v>10641</v>
      </c>
      <c r="G2202" s="31" t="n">
        <v>90</v>
      </c>
      <c r="H2202" s="31" t="s">
        <v>7168</v>
      </c>
      <c r="I2202" s="44" t="s">
        <v>10552</v>
      </c>
      <c r="J2202" s="45" t="s">
        <v>10643</v>
      </c>
      <c r="K2202" s="45" t="s">
        <v>10645</v>
      </c>
      <c r="L2202" s="31" t="n">
        <f aca="false">COUNTIF($B$3:$B$2205,$B2202)</f>
        <v>1</v>
      </c>
      <c r="M2202" s="44" t="str">
        <f aca="false">IFERROR(INDEX(SENTENCES!$T$3:$T$1802,MATCH($F2202,SENTENCES!$A$3:$A$1802,0)),"")</f>
        <v>• Chưa tới</v>
      </c>
    </row>
    <row r="2203" customFormat="false" ht="15" hidden="false" customHeight="false" outlineLevel="0" collapsed="false">
      <c r="A2203" s="31" t="n">
        <v>2201</v>
      </c>
      <c r="B2203" s="43" t="s">
        <v>14193</v>
      </c>
      <c r="C2203" s="34" t="s">
        <v>14194</v>
      </c>
      <c r="D2203" s="44" t="s">
        <v>10686</v>
      </c>
      <c r="E2203" s="31"/>
      <c r="F2203" s="31" t="s">
        <v>10647</v>
      </c>
      <c r="G2203" s="31" t="n">
        <v>90</v>
      </c>
      <c r="H2203" s="31" t="s">
        <v>7168</v>
      </c>
      <c r="I2203" s="44" t="s">
        <v>10552</v>
      </c>
      <c r="J2203" s="45" t="s">
        <v>10649</v>
      </c>
      <c r="K2203" s="45" t="s">
        <v>10651</v>
      </c>
      <c r="L2203" s="31" t="n">
        <f aca="false">COUNTIF($B$3:$B$2205,$B2203)</f>
        <v>1</v>
      </c>
      <c r="M2203" s="44" t="str">
        <f aca="false">IFERROR(INDEX(SENTENCES!$T$3:$T$1802,MATCH($F2203,SENTENCES!$A$3:$A$1802,0)),"")</f>
        <v>• Chưa tới</v>
      </c>
    </row>
    <row r="2204" customFormat="false" ht="15" hidden="false" customHeight="false" outlineLevel="0" collapsed="false">
      <c r="A2204" s="31" t="n">
        <v>2202</v>
      </c>
      <c r="B2204" s="43" t="s">
        <v>14195</v>
      </c>
      <c r="C2204" s="34" t="s">
        <v>13145</v>
      </c>
      <c r="D2204" s="44" t="s">
        <v>10681</v>
      </c>
      <c r="E2204" s="31"/>
      <c r="F2204" s="31" t="s">
        <v>10653</v>
      </c>
      <c r="G2204" s="31" t="n">
        <v>90</v>
      </c>
      <c r="H2204" s="31" t="s">
        <v>7168</v>
      </c>
      <c r="I2204" s="44" t="s">
        <v>10552</v>
      </c>
      <c r="J2204" s="45" t="s">
        <v>10655</v>
      </c>
      <c r="K2204" s="45" t="s">
        <v>10657</v>
      </c>
      <c r="L2204" s="31" t="n">
        <f aca="false">COUNTIF($B$3:$B$2205,$B2204)</f>
        <v>1</v>
      </c>
      <c r="M2204" s="44" t="str">
        <f aca="false">IFERROR(INDEX(SENTENCES!$T$3:$T$1802,MATCH($F2204,SENTENCES!$A$3:$A$1802,0)),"")</f>
        <v>• Chưa tới</v>
      </c>
    </row>
    <row r="2205" customFormat="false" ht="15" hidden="false" customHeight="false" outlineLevel="0" collapsed="false">
      <c r="A2205" s="31" t="n">
        <v>2203</v>
      </c>
      <c r="B2205" s="43" t="s">
        <v>14196</v>
      </c>
      <c r="C2205" s="34" t="s">
        <v>14197</v>
      </c>
      <c r="D2205" s="44" t="s">
        <v>10681</v>
      </c>
      <c r="E2205" s="31"/>
      <c r="F2205" s="31" t="s">
        <v>10659</v>
      </c>
      <c r="G2205" s="31" t="n">
        <v>90</v>
      </c>
      <c r="H2205" s="31" t="s">
        <v>7168</v>
      </c>
      <c r="I2205" s="44" t="s">
        <v>10552</v>
      </c>
      <c r="J2205" s="45" t="s">
        <v>10661</v>
      </c>
      <c r="K2205" s="45" t="s">
        <v>10663</v>
      </c>
      <c r="L2205" s="31" t="n">
        <f aca="false">COUNTIF($B$3:$B$2205,$B2205)</f>
        <v>1</v>
      </c>
      <c r="M2205" s="44" t="str">
        <f aca="false">IFERROR(INDEX(SENTENCES!$T$3:$T$1802,MATCH($F2205,SENTENCES!$A$3:$A$1802,0)),"")</f>
        <v>• Chưa tới</v>
      </c>
    </row>
  </sheetData>
  <autoFilter ref="A2:M22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9"/>
    <col collapsed="false" customWidth="true" hidden="false" outlineLevel="0" max="4" min="4" style="0" width="15"/>
    <col collapsed="false" customWidth="true" hidden="false" outlineLevel="0" max="5" min="5" style="0" width="17"/>
    <col collapsed="false" customWidth="true" hidden="false" outlineLevel="0" max="6" min="6" style="0" width="15"/>
    <col collapsed="false" customWidth="true" hidden="false" outlineLevel="0" max="7" min="7" style="0" width="14"/>
    <col collapsed="false" customWidth="true" hidden="false" outlineLevel="0" max="8" min="8" style="0" width="15"/>
    <col collapsed="false" customWidth="true" hidden="false" outlineLevel="0" max="10" min="9" style="0" width="12"/>
    <col collapsed="false" customWidth="true" hidden="false" outlineLevel="0" max="11" min="11" style="0" width="20"/>
    <col collapsed="false" customWidth="true" hidden="false" outlineLevel="0" max="12" min="12" style="0" width="22"/>
  </cols>
  <sheetData>
    <row r="1" customFormat="false" ht="15" hidden="false" customHeight="false" outlineLevel="0" collapsed="false">
      <c r="A1" s="29" t="s">
        <v>14198</v>
      </c>
    </row>
    <row r="2" customFormat="false" ht="31.5" hidden="false" customHeight="true" outlineLevel="0" collapsed="false">
      <c r="A2" s="46" t="s">
        <v>134</v>
      </c>
      <c r="B2" s="46" t="s">
        <v>14199</v>
      </c>
      <c r="C2" s="46" t="s">
        <v>14200</v>
      </c>
      <c r="D2" s="46" t="s">
        <v>14201</v>
      </c>
      <c r="E2" s="46" t="s">
        <v>14202</v>
      </c>
      <c r="F2" s="46" t="s">
        <v>14203</v>
      </c>
      <c r="G2" s="46" t="s">
        <v>14204</v>
      </c>
      <c r="H2" s="46" t="s">
        <v>14205</v>
      </c>
      <c r="I2" s="46" t="s">
        <v>14206</v>
      </c>
      <c r="J2" s="46" t="s">
        <v>14207</v>
      </c>
      <c r="K2" s="46" t="s">
        <v>14208</v>
      </c>
      <c r="L2" s="46" t="s">
        <v>14209</v>
      </c>
    </row>
    <row r="3" customFormat="false" ht="15" hidden="false" customHeight="false" outlineLevel="0" collapsed="false">
      <c r="A3" s="31" t="n">
        <v>1</v>
      </c>
      <c r="B3" s="32" t="n">
        <f aca="false">SETTINGS!$C$3+$A3-1</f>
        <v>46300</v>
      </c>
      <c r="C3" s="31" t="str">
        <f aca="false">CHOOSE(WEEKDAY($B3,2),"Thứ 2","Thứ 3","Thứ 4","Thứ 5","Thứ 6","Thứ 7","CN")</f>
        <v>Thứ 2</v>
      </c>
      <c r="D3" s="31" t="n">
        <f aca="false">MIN($A3*SETTINGS!$C$4,SETTINGS!$C$6)</f>
        <v>20</v>
      </c>
      <c r="E3" s="31" t="n">
        <f aca="false">COUNTIF(SENTENCES!$L$3:$L$1802,$B3)</f>
        <v>0</v>
      </c>
      <c r="F3" s="31" t="n">
        <f aca="false">COUNTIF(SENTENCES!$M$3:$Q$1802,$B3)</f>
        <v>0</v>
      </c>
      <c r="G3" s="31" t="n">
        <f aca="false">$E3+$F3</f>
        <v>0</v>
      </c>
      <c r="H3" s="31" t="n">
        <f aca="false">COUNTIFS(SENTENCES!$L$3:$L$1802,"&lt;="&amp;$B3,SENTENCES!$L$3:$L$1802,"&gt;0")</f>
        <v>0</v>
      </c>
      <c r="I3" s="31" t="n">
        <f aca="true">IF($B3&gt;TODAY(),"",MAX(0,$D3-$H3))</f>
        <v>20</v>
      </c>
      <c r="J3" s="31" t="n">
        <f aca="false">IF($I3="","",ROUND($I3/SETTINGS!$C$4,1))</f>
        <v>1</v>
      </c>
      <c r="K3" s="31" t="str">
        <f aca="true">IF($B3&gt;TODAY(),"",IF($E3&gt;=SETTINGS!$C$4,"✔ Đủ chỉ tiêu",IF($E3&gt;0,"⚠ Thiếu",IF($F3&gt;0,"◆ Chỉ ôn","✖ Nghỉ / Miss"))))</f>
        <v>✖ Nghỉ / Miss</v>
      </c>
      <c r="L3" s="31" t="str">
        <f aca="false">IF($J3="","",IF($J3&gt;SETTINGS!$C$7,"🔴 VƯỢT NGƯỠNG ĐỆM",IF($J3&gt;3,"🟡 Cần học bù","🟢 Đang ổn")))</f>
        <v>🟢 Đang ổn</v>
      </c>
    </row>
    <row r="4" customFormat="false" ht="15" hidden="false" customHeight="false" outlineLevel="0" collapsed="false">
      <c r="A4" s="31" t="n">
        <v>2</v>
      </c>
      <c r="B4" s="32" t="n">
        <f aca="false">SETTINGS!$C$3+$A4-1</f>
        <v>46301</v>
      </c>
      <c r="C4" s="31" t="str">
        <f aca="false">CHOOSE(WEEKDAY($B4,2),"Thứ 2","Thứ 3","Thứ 4","Thứ 5","Thứ 6","Thứ 7","CN")</f>
        <v>Thứ 3</v>
      </c>
      <c r="D4" s="31" t="n">
        <f aca="false">MIN($A4*SETTINGS!$C$4,SETTINGS!$C$6)</f>
        <v>40</v>
      </c>
      <c r="E4" s="31" t="n">
        <f aca="false">COUNTIF(SENTENCES!$L$3:$L$1802,$B4)</f>
        <v>0</v>
      </c>
      <c r="F4" s="31" t="n">
        <f aca="false">COUNTIF(SENTENCES!$M$3:$Q$1802,$B4)</f>
        <v>0</v>
      </c>
      <c r="G4" s="31" t="n">
        <f aca="false">$E4+$F4</f>
        <v>0</v>
      </c>
      <c r="H4" s="31" t="n">
        <f aca="false">COUNTIFS(SENTENCES!$L$3:$L$1802,"&lt;="&amp;$B4,SENTENCES!$L$3:$L$1802,"&gt;0")</f>
        <v>0</v>
      </c>
      <c r="I4" s="31" t="n">
        <f aca="true">IF($B4&gt;TODAY(),"",MAX(0,$D4-$H4))</f>
        <v>40</v>
      </c>
      <c r="J4" s="31" t="n">
        <f aca="false">IF($I4="","",ROUND($I4/SETTINGS!$C$4,1))</f>
        <v>2</v>
      </c>
      <c r="K4" s="31" t="str">
        <f aca="true">IF($B4&gt;TODAY(),"",IF($E4&gt;=SETTINGS!$C$4,"✔ Đủ chỉ tiêu",IF($E4&gt;0,"⚠ Thiếu",IF($F4&gt;0,"◆ Chỉ ôn","✖ Nghỉ / Miss"))))</f>
        <v>✖ Nghỉ / Miss</v>
      </c>
      <c r="L4" s="31" t="str">
        <f aca="false">IF($J4="","",IF($J4&gt;SETTINGS!$C$7,"🔴 VƯỢT NGƯỠNG ĐỆM",IF($J4&gt;3,"🟡 Cần học bù","🟢 Đang ổn")))</f>
        <v>🟢 Đang ổn</v>
      </c>
    </row>
    <row r="5" customFormat="false" ht="15" hidden="false" customHeight="false" outlineLevel="0" collapsed="false">
      <c r="A5" s="31" t="n">
        <v>3</v>
      </c>
      <c r="B5" s="32" t="n">
        <f aca="false">SETTINGS!$C$3+$A5-1</f>
        <v>46302</v>
      </c>
      <c r="C5" s="31" t="str">
        <f aca="false">CHOOSE(WEEKDAY($B5,2),"Thứ 2","Thứ 3","Thứ 4","Thứ 5","Thứ 6","Thứ 7","CN")</f>
        <v>Thứ 4</v>
      </c>
      <c r="D5" s="31" t="n">
        <f aca="false">MIN($A5*SETTINGS!$C$4,SETTINGS!$C$6)</f>
        <v>60</v>
      </c>
      <c r="E5" s="31" t="n">
        <f aca="false">COUNTIF(SENTENCES!$L$3:$L$1802,$B5)</f>
        <v>0</v>
      </c>
      <c r="F5" s="31" t="n">
        <f aca="false">COUNTIF(SENTENCES!$M$3:$Q$1802,$B5)</f>
        <v>0</v>
      </c>
      <c r="G5" s="31" t="n">
        <f aca="false">$E5+$F5</f>
        <v>0</v>
      </c>
      <c r="H5" s="31" t="n">
        <f aca="false">COUNTIFS(SENTENCES!$L$3:$L$1802,"&lt;="&amp;$B5,SENTENCES!$L$3:$L$1802,"&gt;0")</f>
        <v>0</v>
      </c>
      <c r="I5" s="31" t="str">
        <f aca="true">IF($B5&gt;TODAY(),"",MAX(0,$D5-$H5))</f>
        <v/>
      </c>
      <c r="J5" s="31" t="str">
        <f aca="false">IF($I5="","",ROUND($I5/SETTINGS!$C$4,1))</f>
        <v/>
      </c>
      <c r="K5" s="31" t="str">
        <f aca="true">IF($B5&gt;TODAY(),"",IF($E5&gt;=SETTINGS!$C$4,"✔ Đủ chỉ tiêu",IF($E5&gt;0,"⚠ Thiếu",IF($F5&gt;0,"◆ Chỉ ôn","✖ Nghỉ / Miss"))))</f>
        <v/>
      </c>
      <c r="L5" s="31" t="str">
        <f aca="false">IF($J5="","",IF($J5&gt;SETTINGS!$C$7,"🔴 VƯỢT NGƯỠNG ĐỆM",IF($J5&gt;3,"🟡 Cần học bù","🟢 Đang ổn")))</f>
        <v/>
      </c>
    </row>
    <row r="6" customFormat="false" ht="15" hidden="false" customHeight="false" outlineLevel="0" collapsed="false">
      <c r="A6" s="31" t="n">
        <v>4</v>
      </c>
      <c r="B6" s="32" t="n">
        <f aca="false">SETTINGS!$C$3+$A6-1</f>
        <v>46303</v>
      </c>
      <c r="C6" s="31" t="str">
        <f aca="false">CHOOSE(WEEKDAY($B6,2),"Thứ 2","Thứ 3","Thứ 4","Thứ 5","Thứ 6","Thứ 7","CN")</f>
        <v>Thứ 5</v>
      </c>
      <c r="D6" s="31" t="n">
        <f aca="false">MIN($A6*SETTINGS!$C$4,SETTINGS!$C$6)</f>
        <v>80</v>
      </c>
      <c r="E6" s="31" t="n">
        <f aca="false">COUNTIF(SENTENCES!$L$3:$L$1802,$B6)</f>
        <v>0</v>
      </c>
      <c r="F6" s="31" t="n">
        <f aca="false">COUNTIF(SENTENCES!$M$3:$Q$1802,$B6)</f>
        <v>0</v>
      </c>
      <c r="G6" s="31" t="n">
        <f aca="false">$E6+$F6</f>
        <v>0</v>
      </c>
      <c r="H6" s="31" t="n">
        <f aca="false">COUNTIFS(SENTENCES!$L$3:$L$1802,"&lt;="&amp;$B6,SENTENCES!$L$3:$L$1802,"&gt;0")</f>
        <v>0</v>
      </c>
      <c r="I6" s="31" t="str">
        <f aca="true">IF($B6&gt;TODAY(),"",MAX(0,$D6-$H6))</f>
        <v/>
      </c>
      <c r="J6" s="31" t="str">
        <f aca="false">IF($I6="","",ROUND($I6/SETTINGS!$C$4,1))</f>
        <v/>
      </c>
      <c r="K6" s="31" t="str">
        <f aca="true">IF($B6&gt;TODAY(),"",IF($E6&gt;=SETTINGS!$C$4,"✔ Đủ chỉ tiêu",IF($E6&gt;0,"⚠ Thiếu",IF($F6&gt;0,"◆ Chỉ ôn","✖ Nghỉ / Miss"))))</f>
        <v/>
      </c>
      <c r="L6" s="31" t="str">
        <f aca="false">IF($J6="","",IF($J6&gt;SETTINGS!$C$7,"🔴 VƯỢT NGƯỠNG ĐỆM",IF($J6&gt;3,"🟡 Cần học bù","🟢 Đang ổn")))</f>
        <v/>
      </c>
    </row>
    <row r="7" customFormat="false" ht="15" hidden="false" customHeight="false" outlineLevel="0" collapsed="false">
      <c r="A7" s="31" t="n">
        <v>5</v>
      </c>
      <c r="B7" s="32" t="n">
        <f aca="false">SETTINGS!$C$3+$A7-1</f>
        <v>46304</v>
      </c>
      <c r="C7" s="31" t="str">
        <f aca="false">CHOOSE(WEEKDAY($B7,2),"Thứ 2","Thứ 3","Thứ 4","Thứ 5","Thứ 6","Thứ 7","CN")</f>
        <v>Thứ 6</v>
      </c>
      <c r="D7" s="31" t="n">
        <f aca="false">MIN($A7*SETTINGS!$C$4,SETTINGS!$C$6)</f>
        <v>100</v>
      </c>
      <c r="E7" s="31" t="n">
        <f aca="false">COUNTIF(SENTENCES!$L$3:$L$1802,$B7)</f>
        <v>0</v>
      </c>
      <c r="F7" s="31" t="n">
        <f aca="false">COUNTIF(SENTENCES!$M$3:$Q$1802,$B7)</f>
        <v>0</v>
      </c>
      <c r="G7" s="31" t="n">
        <f aca="false">$E7+$F7</f>
        <v>0</v>
      </c>
      <c r="H7" s="31" t="n">
        <f aca="false">COUNTIFS(SENTENCES!$L$3:$L$1802,"&lt;="&amp;$B7,SENTENCES!$L$3:$L$1802,"&gt;0")</f>
        <v>0</v>
      </c>
      <c r="I7" s="31" t="str">
        <f aca="true">IF($B7&gt;TODAY(),"",MAX(0,$D7-$H7))</f>
        <v/>
      </c>
      <c r="J7" s="31" t="str">
        <f aca="false">IF($I7="","",ROUND($I7/SETTINGS!$C$4,1))</f>
        <v/>
      </c>
      <c r="K7" s="31" t="str">
        <f aca="true">IF($B7&gt;TODAY(),"",IF($E7&gt;=SETTINGS!$C$4,"✔ Đủ chỉ tiêu",IF($E7&gt;0,"⚠ Thiếu",IF($F7&gt;0,"◆ Chỉ ôn","✖ Nghỉ / Miss"))))</f>
        <v/>
      </c>
      <c r="L7" s="31" t="str">
        <f aca="false">IF($J7="","",IF($J7&gt;SETTINGS!$C$7,"🔴 VƯỢT NGƯỠNG ĐỆM",IF($J7&gt;3,"🟡 Cần học bù","🟢 Đang ổn")))</f>
        <v/>
      </c>
    </row>
    <row r="8" customFormat="false" ht="15" hidden="false" customHeight="false" outlineLevel="0" collapsed="false">
      <c r="A8" s="31" t="n">
        <v>6</v>
      </c>
      <c r="B8" s="32" t="n">
        <f aca="false">SETTINGS!$C$3+$A8-1</f>
        <v>46305</v>
      </c>
      <c r="C8" s="31" t="str">
        <f aca="false">CHOOSE(WEEKDAY($B8,2),"Thứ 2","Thứ 3","Thứ 4","Thứ 5","Thứ 6","Thứ 7","CN")</f>
        <v>Thứ 7</v>
      </c>
      <c r="D8" s="31" t="n">
        <f aca="false">MIN($A8*SETTINGS!$C$4,SETTINGS!$C$6)</f>
        <v>120</v>
      </c>
      <c r="E8" s="31" t="n">
        <f aca="false">COUNTIF(SENTENCES!$L$3:$L$1802,$B8)</f>
        <v>0</v>
      </c>
      <c r="F8" s="31" t="n">
        <f aca="false">COUNTIF(SENTENCES!$M$3:$Q$1802,$B8)</f>
        <v>0</v>
      </c>
      <c r="G8" s="31" t="n">
        <f aca="false">$E8+$F8</f>
        <v>0</v>
      </c>
      <c r="H8" s="31" t="n">
        <f aca="false">COUNTIFS(SENTENCES!$L$3:$L$1802,"&lt;="&amp;$B8,SENTENCES!$L$3:$L$1802,"&gt;0")</f>
        <v>0</v>
      </c>
      <c r="I8" s="31" t="str">
        <f aca="true">IF($B8&gt;TODAY(),"",MAX(0,$D8-$H8))</f>
        <v/>
      </c>
      <c r="J8" s="31" t="str">
        <f aca="false">IF($I8="","",ROUND($I8/SETTINGS!$C$4,1))</f>
        <v/>
      </c>
      <c r="K8" s="31" t="str">
        <f aca="true">IF($B8&gt;TODAY(),"",IF($E8&gt;=SETTINGS!$C$4,"✔ Đủ chỉ tiêu",IF($E8&gt;0,"⚠ Thiếu",IF($F8&gt;0,"◆ Chỉ ôn","✖ Nghỉ / Miss"))))</f>
        <v/>
      </c>
      <c r="L8" s="31" t="str">
        <f aca="false">IF($J8="","",IF($J8&gt;SETTINGS!$C$7,"🔴 VƯỢT NGƯỠNG ĐỆM",IF($J8&gt;3,"🟡 Cần học bù","🟢 Đang ổn")))</f>
        <v/>
      </c>
    </row>
    <row r="9" customFormat="false" ht="15" hidden="false" customHeight="false" outlineLevel="0" collapsed="false">
      <c r="A9" s="31" t="n">
        <v>7</v>
      </c>
      <c r="B9" s="32" t="n">
        <f aca="false">SETTINGS!$C$3+$A9-1</f>
        <v>46306</v>
      </c>
      <c r="C9" s="31" t="str">
        <f aca="false">CHOOSE(WEEKDAY($B9,2),"Thứ 2","Thứ 3","Thứ 4","Thứ 5","Thứ 6","Thứ 7","CN")</f>
        <v>CN</v>
      </c>
      <c r="D9" s="31" t="n">
        <f aca="false">MIN($A9*SETTINGS!$C$4,SETTINGS!$C$6)</f>
        <v>140</v>
      </c>
      <c r="E9" s="31" t="n">
        <f aca="false">COUNTIF(SENTENCES!$L$3:$L$1802,$B9)</f>
        <v>0</v>
      </c>
      <c r="F9" s="31" t="n">
        <f aca="false">COUNTIF(SENTENCES!$M$3:$Q$1802,$B9)</f>
        <v>0</v>
      </c>
      <c r="G9" s="31" t="n">
        <f aca="false">$E9+$F9</f>
        <v>0</v>
      </c>
      <c r="H9" s="31" t="n">
        <f aca="false">COUNTIFS(SENTENCES!$L$3:$L$1802,"&lt;="&amp;$B9,SENTENCES!$L$3:$L$1802,"&gt;0")</f>
        <v>0</v>
      </c>
      <c r="I9" s="31" t="str">
        <f aca="true">IF($B9&gt;TODAY(),"",MAX(0,$D9-$H9))</f>
        <v/>
      </c>
      <c r="J9" s="31" t="str">
        <f aca="false">IF($I9="","",ROUND($I9/SETTINGS!$C$4,1))</f>
        <v/>
      </c>
      <c r="K9" s="31" t="str">
        <f aca="true">IF($B9&gt;TODAY(),"",IF($E9&gt;=SETTINGS!$C$4,"✔ Đủ chỉ tiêu",IF($E9&gt;0,"⚠ Thiếu",IF($F9&gt;0,"◆ Chỉ ôn","✖ Nghỉ / Miss"))))</f>
        <v/>
      </c>
      <c r="L9" s="31" t="str">
        <f aca="false">IF($J9="","",IF($J9&gt;SETTINGS!$C$7,"🔴 VƯỢT NGƯỠNG ĐỆM",IF($J9&gt;3,"🟡 Cần học bù","🟢 Đang ổn")))</f>
        <v/>
      </c>
    </row>
    <row r="10" customFormat="false" ht="15" hidden="false" customHeight="false" outlineLevel="0" collapsed="false">
      <c r="A10" s="31" t="n">
        <v>8</v>
      </c>
      <c r="B10" s="32" t="n">
        <f aca="false">SETTINGS!$C$3+$A10-1</f>
        <v>46307</v>
      </c>
      <c r="C10" s="31" t="str">
        <f aca="false">CHOOSE(WEEKDAY($B10,2),"Thứ 2","Thứ 3","Thứ 4","Thứ 5","Thứ 6","Thứ 7","CN")</f>
        <v>Thứ 2</v>
      </c>
      <c r="D10" s="31" t="n">
        <f aca="false">MIN($A10*SETTINGS!$C$4,SETTINGS!$C$6)</f>
        <v>160</v>
      </c>
      <c r="E10" s="31" t="n">
        <f aca="false">COUNTIF(SENTENCES!$L$3:$L$1802,$B10)</f>
        <v>0</v>
      </c>
      <c r="F10" s="31" t="n">
        <f aca="false">COUNTIF(SENTENCES!$M$3:$Q$1802,$B10)</f>
        <v>0</v>
      </c>
      <c r="G10" s="31" t="n">
        <f aca="false">$E10+$F10</f>
        <v>0</v>
      </c>
      <c r="H10" s="31" t="n">
        <f aca="false">COUNTIFS(SENTENCES!$L$3:$L$1802,"&lt;="&amp;$B10,SENTENCES!$L$3:$L$1802,"&gt;0")</f>
        <v>0</v>
      </c>
      <c r="I10" s="31" t="str">
        <f aca="true">IF($B10&gt;TODAY(),"",MAX(0,$D10-$H10))</f>
        <v/>
      </c>
      <c r="J10" s="31" t="str">
        <f aca="false">IF($I10="","",ROUND($I10/SETTINGS!$C$4,1))</f>
        <v/>
      </c>
      <c r="K10" s="31" t="str">
        <f aca="true">IF($B10&gt;TODAY(),"",IF($E10&gt;=SETTINGS!$C$4,"✔ Đủ chỉ tiêu",IF($E10&gt;0,"⚠ Thiếu",IF($F10&gt;0,"◆ Chỉ ôn","✖ Nghỉ / Miss"))))</f>
        <v/>
      </c>
      <c r="L10" s="31" t="str">
        <f aca="false">IF($J10="","",IF($J10&gt;SETTINGS!$C$7,"🔴 VƯỢT NGƯỠNG ĐỆM",IF($J10&gt;3,"🟡 Cần học bù","🟢 Đang ổn")))</f>
        <v/>
      </c>
    </row>
    <row r="11" customFormat="false" ht="15" hidden="false" customHeight="false" outlineLevel="0" collapsed="false">
      <c r="A11" s="31" t="n">
        <v>9</v>
      </c>
      <c r="B11" s="32" t="n">
        <f aca="false">SETTINGS!$C$3+$A11-1</f>
        <v>46308</v>
      </c>
      <c r="C11" s="31" t="str">
        <f aca="false">CHOOSE(WEEKDAY($B11,2),"Thứ 2","Thứ 3","Thứ 4","Thứ 5","Thứ 6","Thứ 7","CN")</f>
        <v>Thứ 3</v>
      </c>
      <c r="D11" s="31" t="n">
        <f aca="false">MIN($A11*SETTINGS!$C$4,SETTINGS!$C$6)</f>
        <v>180</v>
      </c>
      <c r="E11" s="31" t="n">
        <f aca="false">COUNTIF(SENTENCES!$L$3:$L$1802,$B11)</f>
        <v>0</v>
      </c>
      <c r="F11" s="31" t="n">
        <f aca="false">COUNTIF(SENTENCES!$M$3:$Q$1802,$B11)</f>
        <v>0</v>
      </c>
      <c r="G11" s="31" t="n">
        <f aca="false">$E11+$F11</f>
        <v>0</v>
      </c>
      <c r="H11" s="31" t="n">
        <f aca="false">COUNTIFS(SENTENCES!$L$3:$L$1802,"&lt;="&amp;$B11,SENTENCES!$L$3:$L$1802,"&gt;0")</f>
        <v>0</v>
      </c>
      <c r="I11" s="31" t="str">
        <f aca="true">IF($B11&gt;TODAY(),"",MAX(0,$D11-$H11))</f>
        <v/>
      </c>
      <c r="J11" s="31" t="str">
        <f aca="false">IF($I11="","",ROUND($I11/SETTINGS!$C$4,1))</f>
        <v/>
      </c>
      <c r="K11" s="31" t="str">
        <f aca="true">IF($B11&gt;TODAY(),"",IF($E11&gt;=SETTINGS!$C$4,"✔ Đủ chỉ tiêu",IF($E11&gt;0,"⚠ Thiếu",IF($F11&gt;0,"◆ Chỉ ôn","✖ Nghỉ / Miss"))))</f>
        <v/>
      </c>
      <c r="L11" s="31" t="str">
        <f aca="false">IF($J11="","",IF($J11&gt;SETTINGS!$C$7,"🔴 VƯỢT NGƯỠNG ĐỆM",IF($J11&gt;3,"🟡 Cần học bù","🟢 Đang ổn")))</f>
        <v/>
      </c>
    </row>
    <row r="12" customFormat="false" ht="15" hidden="false" customHeight="false" outlineLevel="0" collapsed="false">
      <c r="A12" s="31" t="n">
        <v>10</v>
      </c>
      <c r="B12" s="32" t="n">
        <f aca="false">SETTINGS!$C$3+$A12-1</f>
        <v>46309</v>
      </c>
      <c r="C12" s="31" t="str">
        <f aca="false">CHOOSE(WEEKDAY($B12,2),"Thứ 2","Thứ 3","Thứ 4","Thứ 5","Thứ 6","Thứ 7","CN")</f>
        <v>Thứ 4</v>
      </c>
      <c r="D12" s="31" t="n">
        <f aca="false">MIN($A12*SETTINGS!$C$4,SETTINGS!$C$6)</f>
        <v>200</v>
      </c>
      <c r="E12" s="31" t="n">
        <f aca="false">COUNTIF(SENTENCES!$L$3:$L$1802,$B12)</f>
        <v>0</v>
      </c>
      <c r="F12" s="31" t="n">
        <f aca="false">COUNTIF(SENTENCES!$M$3:$Q$1802,$B12)</f>
        <v>0</v>
      </c>
      <c r="G12" s="31" t="n">
        <f aca="false">$E12+$F12</f>
        <v>0</v>
      </c>
      <c r="H12" s="31" t="n">
        <f aca="false">COUNTIFS(SENTENCES!$L$3:$L$1802,"&lt;="&amp;$B12,SENTENCES!$L$3:$L$1802,"&gt;0")</f>
        <v>0</v>
      </c>
      <c r="I12" s="31" t="str">
        <f aca="true">IF($B12&gt;TODAY(),"",MAX(0,$D12-$H12))</f>
        <v/>
      </c>
      <c r="J12" s="31" t="str">
        <f aca="false">IF($I12="","",ROUND($I12/SETTINGS!$C$4,1))</f>
        <v/>
      </c>
      <c r="K12" s="31" t="str">
        <f aca="true">IF($B12&gt;TODAY(),"",IF($E12&gt;=SETTINGS!$C$4,"✔ Đủ chỉ tiêu",IF($E12&gt;0,"⚠ Thiếu",IF($F12&gt;0,"◆ Chỉ ôn","✖ Nghỉ / Miss"))))</f>
        <v/>
      </c>
      <c r="L12" s="31" t="str">
        <f aca="false">IF($J12="","",IF($J12&gt;SETTINGS!$C$7,"🔴 VƯỢT NGƯỠNG ĐỆM",IF($J12&gt;3,"🟡 Cần học bù","🟢 Đang ổn")))</f>
        <v/>
      </c>
    </row>
    <row r="13" customFormat="false" ht="15" hidden="false" customHeight="false" outlineLevel="0" collapsed="false">
      <c r="A13" s="31" t="n">
        <v>11</v>
      </c>
      <c r="B13" s="32" t="n">
        <f aca="false">SETTINGS!$C$3+$A13-1</f>
        <v>46310</v>
      </c>
      <c r="C13" s="31" t="str">
        <f aca="false">CHOOSE(WEEKDAY($B13,2),"Thứ 2","Thứ 3","Thứ 4","Thứ 5","Thứ 6","Thứ 7","CN")</f>
        <v>Thứ 5</v>
      </c>
      <c r="D13" s="31" t="n">
        <f aca="false">MIN($A13*SETTINGS!$C$4,SETTINGS!$C$6)</f>
        <v>220</v>
      </c>
      <c r="E13" s="31" t="n">
        <f aca="false">COUNTIF(SENTENCES!$L$3:$L$1802,$B13)</f>
        <v>0</v>
      </c>
      <c r="F13" s="31" t="n">
        <f aca="false">COUNTIF(SENTENCES!$M$3:$Q$1802,$B13)</f>
        <v>0</v>
      </c>
      <c r="G13" s="31" t="n">
        <f aca="false">$E13+$F13</f>
        <v>0</v>
      </c>
      <c r="H13" s="31" t="n">
        <f aca="false">COUNTIFS(SENTENCES!$L$3:$L$1802,"&lt;="&amp;$B13,SENTENCES!$L$3:$L$1802,"&gt;0")</f>
        <v>0</v>
      </c>
      <c r="I13" s="31" t="str">
        <f aca="true">IF($B13&gt;TODAY(),"",MAX(0,$D13-$H13))</f>
        <v/>
      </c>
      <c r="J13" s="31" t="str">
        <f aca="false">IF($I13="","",ROUND($I13/SETTINGS!$C$4,1))</f>
        <v/>
      </c>
      <c r="K13" s="31" t="str">
        <f aca="true">IF($B13&gt;TODAY(),"",IF($E13&gt;=SETTINGS!$C$4,"✔ Đủ chỉ tiêu",IF($E13&gt;0,"⚠ Thiếu",IF($F13&gt;0,"◆ Chỉ ôn","✖ Nghỉ / Miss"))))</f>
        <v/>
      </c>
      <c r="L13" s="31" t="str">
        <f aca="false">IF($J13="","",IF($J13&gt;SETTINGS!$C$7,"🔴 VƯỢT NGƯỠNG ĐỆM",IF($J13&gt;3,"🟡 Cần học bù","🟢 Đang ổn")))</f>
        <v/>
      </c>
    </row>
    <row r="14" customFormat="false" ht="15" hidden="false" customHeight="false" outlineLevel="0" collapsed="false">
      <c r="A14" s="31" t="n">
        <v>12</v>
      </c>
      <c r="B14" s="32" t="n">
        <f aca="false">SETTINGS!$C$3+$A14-1</f>
        <v>46311</v>
      </c>
      <c r="C14" s="31" t="str">
        <f aca="false">CHOOSE(WEEKDAY($B14,2),"Thứ 2","Thứ 3","Thứ 4","Thứ 5","Thứ 6","Thứ 7","CN")</f>
        <v>Thứ 6</v>
      </c>
      <c r="D14" s="31" t="n">
        <f aca="false">MIN($A14*SETTINGS!$C$4,SETTINGS!$C$6)</f>
        <v>240</v>
      </c>
      <c r="E14" s="31" t="n">
        <f aca="false">COUNTIF(SENTENCES!$L$3:$L$1802,$B14)</f>
        <v>0</v>
      </c>
      <c r="F14" s="31" t="n">
        <f aca="false">COUNTIF(SENTENCES!$M$3:$Q$1802,$B14)</f>
        <v>0</v>
      </c>
      <c r="G14" s="31" t="n">
        <f aca="false">$E14+$F14</f>
        <v>0</v>
      </c>
      <c r="H14" s="31" t="n">
        <f aca="false">COUNTIFS(SENTENCES!$L$3:$L$1802,"&lt;="&amp;$B14,SENTENCES!$L$3:$L$1802,"&gt;0")</f>
        <v>0</v>
      </c>
      <c r="I14" s="31" t="str">
        <f aca="true">IF($B14&gt;TODAY(),"",MAX(0,$D14-$H14))</f>
        <v/>
      </c>
      <c r="J14" s="31" t="str">
        <f aca="false">IF($I14="","",ROUND($I14/SETTINGS!$C$4,1))</f>
        <v/>
      </c>
      <c r="K14" s="31" t="str">
        <f aca="true">IF($B14&gt;TODAY(),"",IF($E14&gt;=SETTINGS!$C$4,"✔ Đủ chỉ tiêu",IF($E14&gt;0,"⚠ Thiếu",IF($F14&gt;0,"◆ Chỉ ôn","✖ Nghỉ / Miss"))))</f>
        <v/>
      </c>
      <c r="L14" s="31" t="str">
        <f aca="false">IF($J14="","",IF($J14&gt;SETTINGS!$C$7,"🔴 VƯỢT NGƯỠNG ĐỆM",IF($J14&gt;3,"🟡 Cần học bù","🟢 Đang ổn")))</f>
        <v/>
      </c>
    </row>
    <row r="15" customFormat="false" ht="15" hidden="false" customHeight="false" outlineLevel="0" collapsed="false">
      <c r="A15" s="31" t="n">
        <v>13</v>
      </c>
      <c r="B15" s="32" t="n">
        <f aca="false">SETTINGS!$C$3+$A15-1</f>
        <v>46312</v>
      </c>
      <c r="C15" s="31" t="str">
        <f aca="false">CHOOSE(WEEKDAY($B15,2),"Thứ 2","Thứ 3","Thứ 4","Thứ 5","Thứ 6","Thứ 7","CN")</f>
        <v>Thứ 7</v>
      </c>
      <c r="D15" s="31" t="n">
        <f aca="false">MIN($A15*SETTINGS!$C$4,SETTINGS!$C$6)</f>
        <v>260</v>
      </c>
      <c r="E15" s="31" t="n">
        <f aca="false">COUNTIF(SENTENCES!$L$3:$L$1802,$B15)</f>
        <v>0</v>
      </c>
      <c r="F15" s="31" t="n">
        <f aca="false">COUNTIF(SENTENCES!$M$3:$Q$1802,$B15)</f>
        <v>0</v>
      </c>
      <c r="G15" s="31" t="n">
        <f aca="false">$E15+$F15</f>
        <v>0</v>
      </c>
      <c r="H15" s="31" t="n">
        <f aca="false">COUNTIFS(SENTENCES!$L$3:$L$1802,"&lt;="&amp;$B15,SENTENCES!$L$3:$L$1802,"&gt;0")</f>
        <v>0</v>
      </c>
      <c r="I15" s="31" t="str">
        <f aca="true">IF($B15&gt;TODAY(),"",MAX(0,$D15-$H15))</f>
        <v/>
      </c>
      <c r="J15" s="31" t="str">
        <f aca="false">IF($I15="","",ROUND($I15/SETTINGS!$C$4,1))</f>
        <v/>
      </c>
      <c r="K15" s="31" t="str">
        <f aca="true">IF($B15&gt;TODAY(),"",IF($E15&gt;=SETTINGS!$C$4,"✔ Đủ chỉ tiêu",IF($E15&gt;0,"⚠ Thiếu",IF($F15&gt;0,"◆ Chỉ ôn","✖ Nghỉ / Miss"))))</f>
        <v/>
      </c>
      <c r="L15" s="31" t="str">
        <f aca="false">IF($J15="","",IF($J15&gt;SETTINGS!$C$7,"🔴 VƯỢT NGƯỠNG ĐỆM",IF($J15&gt;3,"🟡 Cần học bù","🟢 Đang ổn")))</f>
        <v/>
      </c>
    </row>
    <row r="16" customFormat="false" ht="15" hidden="false" customHeight="false" outlineLevel="0" collapsed="false">
      <c r="A16" s="31" t="n">
        <v>14</v>
      </c>
      <c r="B16" s="32" t="n">
        <f aca="false">SETTINGS!$C$3+$A16-1</f>
        <v>46313</v>
      </c>
      <c r="C16" s="31" t="str">
        <f aca="false">CHOOSE(WEEKDAY($B16,2),"Thứ 2","Thứ 3","Thứ 4","Thứ 5","Thứ 6","Thứ 7","CN")</f>
        <v>CN</v>
      </c>
      <c r="D16" s="31" t="n">
        <f aca="false">MIN($A16*SETTINGS!$C$4,SETTINGS!$C$6)</f>
        <v>280</v>
      </c>
      <c r="E16" s="31" t="n">
        <f aca="false">COUNTIF(SENTENCES!$L$3:$L$1802,$B16)</f>
        <v>0</v>
      </c>
      <c r="F16" s="31" t="n">
        <f aca="false">COUNTIF(SENTENCES!$M$3:$Q$1802,$B16)</f>
        <v>0</v>
      </c>
      <c r="G16" s="31" t="n">
        <f aca="false">$E16+$F16</f>
        <v>0</v>
      </c>
      <c r="H16" s="31" t="n">
        <f aca="false">COUNTIFS(SENTENCES!$L$3:$L$1802,"&lt;="&amp;$B16,SENTENCES!$L$3:$L$1802,"&gt;0")</f>
        <v>0</v>
      </c>
      <c r="I16" s="31" t="str">
        <f aca="true">IF($B16&gt;TODAY(),"",MAX(0,$D16-$H16))</f>
        <v/>
      </c>
      <c r="J16" s="31" t="str">
        <f aca="false">IF($I16="","",ROUND($I16/SETTINGS!$C$4,1))</f>
        <v/>
      </c>
      <c r="K16" s="31" t="str">
        <f aca="true">IF($B16&gt;TODAY(),"",IF($E16&gt;=SETTINGS!$C$4,"✔ Đủ chỉ tiêu",IF($E16&gt;0,"⚠ Thiếu",IF($F16&gt;0,"◆ Chỉ ôn","✖ Nghỉ / Miss"))))</f>
        <v/>
      </c>
      <c r="L16" s="31" t="str">
        <f aca="false">IF($J16="","",IF($J16&gt;SETTINGS!$C$7,"🔴 VƯỢT NGƯỠNG ĐỆM",IF($J16&gt;3,"🟡 Cần học bù","🟢 Đang ổn")))</f>
        <v/>
      </c>
    </row>
    <row r="17" customFormat="false" ht="15" hidden="false" customHeight="false" outlineLevel="0" collapsed="false">
      <c r="A17" s="31" t="n">
        <v>15</v>
      </c>
      <c r="B17" s="32" t="n">
        <f aca="false">SETTINGS!$C$3+$A17-1</f>
        <v>46314</v>
      </c>
      <c r="C17" s="31" t="str">
        <f aca="false">CHOOSE(WEEKDAY($B17,2),"Thứ 2","Thứ 3","Thứ 4","Thứ 5","Thứ 6","Thứ 7","CN")</f>
        <v>Thứ 2</v>
      </c>
      <c r="D17" s="31" t="n">
        <f aca="false">MIN($A17*SETTINGS!$C$4,SETTINGS!$C$6)</f>
        <v>300</v>
      </c>
      <c r="E17" s="31" t="n">
        <f aca="false">COUNTIF(SENTENCES!$L$3:$L$1802,$B17)</f>
        <v>0</v>
      </c>
      <c r="F17" s="31" t="n">
        <f aca="false">COUNTIF(SENTENCES!$M$3:$Q$1802,$B17)</f>
        <v>0</v>
      </c>
      <c r="G17" s="31" t="n">
        <f aca="false">$E17+$F17</f>
        <v>0</v>
      </c>
      <c r="H17" s="31" t="n">
        <f aca="false">COUNTIFS(SENTENCES!$L$3:$L$1802,"&lt;="&amp;$B17,SENTENCES!$L$3:$L$1802,"&gt;0")</f>
        <v>0</v>
      </c>
      <c r="I17" s="31" t="str">
        <f aca="true">IF($B17&gt;TODAY(),"",MAX(0,$D17-$H17))</f>
        <v/>
      </c>
      <c r="J17" s="31" t="str">
        <f aca="false">IF($I17="","",ROUND($I17/SETTINGS!$C$4,1))</f>
        <v/>
      </c>
      <c r="K17" s="31" t="str">
        <f aca="true">IF($B17&gt;TODAY(),"",IF($E17&gt;=SETTINGS!$C$4,"✔ Đủ chỉ tiêu",IF($E17&gt;0,"⚠ Thiếu",IF($F17&gt;0,"◆ Chỉ ôn","✖ Nghỉ / Miss"))))</f>
        <v/>
      </c>
      <c r="L17" s="31" t="str">
        <f aca="false">IF($J17="","",IF($J17&gt;SETTINGS!$C$7,"🔴 VƯỢT NGƯỠNG ĐỆM",IF($J17&gt;3,"🟡 Cần học bù","🟢 Đang ổn")))</f>
        <v/>
      </c>
    </row>
    <row r="18" customFormat="false" ht="15" hidden="false" customHeight="false" outlineLevel="0" collapsed="false">
      <c r="A18" s="31" t="n">
        <v>16</v>
      </c>
      <c r="B18" s="32" t="n">
        <f aca="false">SETTINGS!$C$3+$A18-1</f>
        <v>46315</v>
      </c>
      <c r="C18" s="31" t="str">
        <f aca="false">CHOOSE(WEEKDAY($B18,2),"Thứ 2","Thứ 3","Thứ 4","Thứ 5","Thứ 6","Thứ 7","CN")</f>
        <v>Thứ 3</v>
      </c>
      <c r="D18" s="31" t="n">
        <f aca="false">MIN($A18*SETTINGS!$C$4,SETTINGS!$C$6)</f>
        <v>320</v>
      </c>
      <c r="E18" s="31" t="n">
        <f aca="false">COUNTIF(SENTENCES!$L$3:$L$1802,$B18)</f>
        <v>0</v>
      </c>
      <c r="F18" s="31" t="n">
        <f aca="false">COUNTIF(SENTENCES!$M$3:$Q$1802,$B18)</f>
        <v>0</v>
      </c>
      <c r="G18" s="31" t="n">
        <f aca="false">$E18+$F18</f>
        <v>0</v>
      </c>
      <c r="H18" s="31" t="n">
        <f aca="false">COUNTIFS(SENTENCES!$L$3:$L$1802,"&lt;="&amp;$B18,SENTENCES!$L$3:$L$1802,"&gt;0")</f>
        <v>0</v>
      </c>
      <c r="I18" s="31" t="str">
        <f aca="true">IF($B18&gt;TODAY(),"",MAX(0,$D18-$H18))</f>
        <v/>
      </c>
      <c r="J18" s="31" t="str">
        <f aca="false">IF($I18="","",ROUND($I18/SETTINGS!$C$4,1))</f>
        <v/>
      </c>
      <c r="K18" s="31" t="str">
        <f aca="true">IF($B18&gt;TODAY(),"",IF($E18&gt;=SETTINGS!$C$4,"✔ Đủ chỉ tiêu",IF($E18&gt;0,"⚠ Thiếu",IF($F18&gt;0,"◆ Chỉ ôn","✖ Nghỉ / Miss"))))</f>
        <v/>
      </c>
      <c r="L18" s="31" t="str">
        <f aca="false">IF($J18="","",IF($J18&gt;SETTINGS!$C$7,"🔴 VƯỢT NGƯỠNG ĐỆM",IF($J18&gt;3,"🟡 Cần học bù","🟢 Đang ổn")))</f>
        <v/>
      </c>
    </row>
    <row r="19" customFormat="false" ht="15" hidden="false" customHeight="false" outlineLevel="0" collapsed="false">
      <c r="A19" s="31" t="n">
        <v>17</v>
      </c>
      <c r="B19" s="32" t="n">
        <f aca="false">SETTINGS!$C$3+$A19-1</f>
        <v>46316</v>
      </c>
      <c r="C19" s="31" t="str">
        <f aca="false">CHOOSE(WEEKDAY($B19,2),"Thứ 2","Thứ 3","Thứ 4","Thứ 5","Thứ 6","Thứ 7","CN")</f>
        <v>Thứ 4</v>
      </c>
      <c r="D19" s="31" t="n">
        <f aca="false">MIN($A19*SETTINGS!$C$4,SETTINGS!$C$6)</f>
        <v>340</v>
      </c>
      <c r="E19" s="31" t="n">
        <f aca="false">COUNTIF(SENTENCES!$L$3:$L$1802,$B19)</f>
        <v>0</v>
      </c>
      <c r="F19" s="31" t="n">
        <f aca="false">COUNTIF(SENTENCES!$M$3:$Q$1802,$B19)</f>
        <v>0</v>
      </c>
      <c r="G19" s="31" t="n">
        <f aca="false">$E19+$F19</f>
        <v>0</v>
      </c>
      <c r="H19" s="31" t="n">
        <f aca="false">COUNTIFS(SENTENCES!$L$3:$L$1802,"&lt;="&amp;$B19,SENTENCES!$L$3:$L$1802,"&gt;0")</f>
        <v>0</v>
      </c>
      <c r="I19" s="31" t="str">
        <f aca="true">IF($B19&gt;TODAY(),"",MAX(0,$D19-$H19))</f>
        <v/>
      </c>
      <c r="J19" s="31" t="str">
        <f aca="false">IF($I19="","",ROUND($I19/SETTINGS!$C$4,1))</f>
        <v/>
      </c>
      <c r="K19" s="31" t="str">
        <f aca="true">IF($B19&gt;TODAY(),"",IF($E19&gt;=SETTINGS!$C$4,"✔ Đủ chỉ tiêu",IF($E19&gt;0,"⚠ Thiếu",IF($F19&gt;0,"◆ Chỉ ôn","✖ Nghỉ / Miss"))))</f>
        <v/>
      </c>
      <c r="L19" s="31" t="str">
        <f aca="false">IF($J19="","",IF($J19&gt;SETTINGS!$C$7,"🔴 VƯỢT NGƯỠNG ĐỆM",IF($J19&gt;3,"🟡 Cần học bù","🟢 Đang ổn")))</f>
        <v/>
      </c>
    </row>
    <row r="20" customFormat="false" ht="15" hidden="false" customHeight="false" outlineLevel="0" collapsed="false">
      <c r="A20" s="31" t="n">
        <v>18</v>
      </c>
      <c r="B20" s="32" t="n">
        <f aca="false">SETTINGS!$C$3+$A20-1</f>
        <v>46317</v>
      </c>
      <c r="C20" s="31" t="str">
        <f aca="false">CHOOSE(WEEKDAY($B20,2),"Thứ 2","Thứ 3","Thứ 4","Thứ 5","Thứ 6","Thứ 7","CN")</f>
        <v>Thứ 5</v>
      </c>
      <c r="D20" s="31" t="n">
        <f aca="false">MIN($A20*SETTINGS!$C$4,SETTINGS!$C$6)</f>
        <v>360</v>
      </c>
      <c r="E20" s="31" t="n">
        <f aca="false">COUNTIF(SENTENCES!$L$3:$L$1802,$B20)</f>
        <v>0</v>
      </c>
      <c r="F20" s="31" t="n">
        <f aca="false">COUNTIF(SENTENCES!$M$3:$Q$1802,$B20)</f>
        <v>0</v>
      </c>
      <c r="G20" s="31" t="n">
        <f aca="false">$E20+$F20</f>
        <v>0</v>
      </c>
      <c r="H20" s="31" t="n">
        <f aca="false">COUNTIFS(SENTENCES!$L$3:$L$1802,"&lt;="&amp;$B20,SENTENCES!$L$3:$L$1802,"&gt;0")</f>
        <v>0</v>
      </c>
      <c r="I20" s="31" t="str">
        <f aca="true">IF($B20&gt;TODAY(),"",MAX(0,$D20-$H20))</f>
        <v/>
      </c>
      <c r="J20" s="31" t="str">
        <f aca="false">IF($I20="","",ROUND($I20/SETTINGS!$C$4,1))</f>
        <v/>
      </c>
      <c r="K20" s="31" t="str">
        <f aca="true">IF($B20&gt;TODAY(),"",IF($E20&gt;=SETTINGS!$C$4,"✔ Đủ chỉ tiêu",IF($E20&gt;0,"⚠ Thiếu",IF($F20&gt;0,"◆ Chỉ ôn","✖ Nghỉ / Miss"))))</f>
        <v/>
      </c>
      <c r="L20" s="31" t="str">
        <f aca="false">IF($J20="","",IF($J20&gt;SETTINGS!$C$7,"🔴 VƯỢT NGƯỠNG ĐỆM",IF($J20&gt;3,"🟡 Cần học bù","🟢 Đang ổn")))</f>
        <v/>
      </c>
    </row>
    <row r="21" customFormat="false" ht="15" hidden="false" customHeight="false" outlineLevel="0" collapsed="false">
      <c r="A21" s="31" t="n">
        <v>19</v>
      </c>
      <c r="B21" s="32" t="n">
        <f aca="false">SETTINGS!$C$3+$A21-1</f>
        <v>46318</v>
      </c>
      <c r="C21" s="31" t="str">
        <f aca="false">CHOOSE(WEEKDAY($B21,2),"Thứ 2","Thứ 3","Thứ 4","Thứ 5","Thứ 6","Thứ 7","CN")</f>
        <v>Thứ 6</v>
      </c>
      <c r="D21" s="31" t="n">
        <f aca="false">MIN($A21*SETTINGS!$C$4,SETTINGS!$C$6)</f>
        <v>380</v>
      </c>
      <c r="E21" s="31" t="n">
        <f aca="false">COUNTIF(SENTENCES!$L$3:$L$1802,$B21)</f>
        <v>0</v>
      </c>
      <c r="F21" s="31" t="n">
        <f aca="false">COUNTIF(SENTENCES!$M$3:$Q$1802,$B21)</f>
        <v>0</v>
      </c>
      <c r="G21" s="31" t="n">
        <f aca="false">$E21+$F21</f>
        <v>0</v>
      </c>
      <c r="H21" s="31" t="n">
        <f aca="false">COUNTIFS(SENTENCES!$L$3:$L$1802,"&lt;="&amp;$B21,SENTENCES!$L$3:$L$1802,"&gt;0")</f>
        <v>0</v>
      </c>
      <c r="I21" s="31" t="str">
        <f aca="true">IF($B21&gt;TODAY(),"",MAX(0,$D21-$H21))</f>
        <v/>
      </c>
      <c r="J21" s="31" t="str">
        <f aca="false">IF($I21="","",ROUND($I21/SETTINGS!$C$4,1))</f>
        <v/>
      </c>
      <c r="K21" s="31" t="str">
        <f aca="true">IF($B21&gt;TODAY(),"",IF($E21&gt;=SETTINGS!$C$4,"✔ Đủ chỉ tiêu",IF($E21&gt;0,"⚠ Thiếu",IF($F21&gt;0,"◆ Chỉ ôn","✖ Nghỉ / Miss"))))</f>
        <v/>
      </c>
      <c r="L21" s="31" t="str">
        <f aca="false">IF($J21="","",IF($J21&gt;SETTINGS!$C$7,"🔴 VƯỢT NGƯỠNG ĐỆM",IF($J21&gt;3,"🟡 Cần học bù","🟢 Đang ổn")))</f>
        <v/>
      </c>
    </row>
    <row r="22" customFormat="false" ht="15" hidden="false" customHeight="false" outlineLevel="0" collapsed="false">
      <c r="A22" s="31" t="n">
        <v>20</v>
      </c>
      <c r="B22" s="32" t="n">
        <f aca="false">SETTINGS!$C$3+$A22-1</f>
        <v>46319</v>
      </c>
      <c r="C22" s="31" t="str">
        <f aca="false">CHOOSE(WEEKDAY($B22,2),"Thứ 2","Thứ 3","Thứ 4","Thứ 5","Thứ 6","Thứ 7","CN")</f>
        <v>Thứ 7</v>
      </c>
      <c r="D22" s="31" t="n">
        <f aca="false">MIN($A22*SETTINGS!$C$4,SETTINGS!$C$6)</f>
        <v>400</v>
      </c>
      <c r="E22" s="31" t="n">
        <f aca="false">COUNTIF(SENTENCES!$L$3:$L$1802,$B22)</f>
        <v>0</v>
      </c>
      <c r="F22" s="31" t="n">
        <f aca="false">COUNTIF(SENTENCES!$M$3:$Q$1802,$B22)</f>
        <v>0</v>
      </c>
      <c r="G22" s="31" t="n">
        <f aca="false">$E22+$F22</f>
        <v>0</v>
      </c>
      <c r="H22" s="31" t="n">
        <f aca="false">COUNTIFS(SENTENCES!$L$3:$L$1802,"&lt;="&amp;$B22,SENTENCES!$L$3:$L$1802,"&gt;0")</f>
        <v>0</v>
      </c>
      <c r="I22" s="31" t="str">
        <f aca="true">IF($B22&gt;TODAY(),"",MAX(0,$D22-$H22))</f>
        <v/>
      </c>
      <c r="J22" s="31" t="str">
        <f aca="false">IF($I22="","",ROUND($I22/SETTINGS!$C$4,1))</f>
        <v/>
      </c>
      <c r="K22" s="31" t="str">
        <f aca="true">IF($B22&gt;TODAY(),"",IF($E22&gt;=SETTINGS!$C$4,"✔ Đủ chỉ tiêu",IF($E22&gt;0,"⚠ Thiếu",IF($F22&gt;0,"◆ Chỉ ôn","✖ Nghỉ / Miss"))))</f>
        <v/>
      </c>
      <c r="L22" s="31" t="str">
        <f aca="false">IF($J22="","",IF($J22&gt;SETTINGS!$C$7,"🔴 VƯỢT NGƯỠNG ĐỆM",IF($J22&gt;3,"🟡 Cần học bù","🟢 Đang ổn")))</f>
        <v/>
      </c>
    </row>
    <row r="23" customFormat="false" ht="15" hidden="false" customHeight="false" outlineLevel="0" collapsed="false">
      <c r="A23" s="31" t="n">
        <v>21</v>
      </c>
      <c r="B23" s="32" t="n">
        <f aca="false">SETTINGS!$C$3+$A23-1</f>
        <v>46320</v>
      </c>
      <c r="C23" s="31" t="str">
        <f aca="false">CHOOSE(WEEKDAY($B23,2),"Thứ 2","Thứ 3","Thứ 4","Thứ 5","Thứ 6","Thứ 7","CN")</f>
        <v>CN</v>
      </c>
      <c r="D23" s="31" t="n">
        <f aca="false">MIN($A23*SETTINGS!$C$4,SETTINGS!$C$6)</f>
        <v>420</v>
      </c>
      <c r="E23" s="31" t="n">
        <f aca="false">COUNTIF(SENTENCES!$L$3:$L$1802,$B23)</f>
        <v>0</v>
      </c>
      <c r="F23" s="31" t="n">
        <f aca="false">COUNTIF(SENTENCES!$M$3:$Q$1802,$B23)</f>
        <v>0</v>
      </c>
      <c r="G23" s="31" t="n">
        <f aca="false">$E23+$F23</f>
        <v>0</v>
      </c>
      <c r="H23" s="31" t="n">
        <f aca="false">COUNTIFS(SENTENCES!$L$3:$L$1802,"&lt;="&amp;$B23,SENTENCES!$L$3:$L$1802,"&gt;0")</f>
        <v>0</v>
      </c>
      <c r="I23" s="31" t="str">
        <f aca="true">IF($B23&gt;TODAY(),"",MAX(0,$D23-$H23))</f>
        <v/>
      </c>
      <c r="J23" s="31" t="str">
        <f aca="false">IF($I23="","",ROUND($I23/SETTINGS!$C$4,1))</f>
        <v/>
      </c>
      <c r="K23" s="31" t="str">
        <f aca="true">IF($B23&gt;TODAY(),"",IF($E23&gt;=SETTINGS!$C$4,"✔ Đủ chỉ tiêu",IF($E23&gt;0,"⚠ Thiếu",IF($F23&gt;0,"◆ Chỉ ôn","✖ Nghỉ / Miss"))))</f>
        <v/>
      </c>
      <c r="L23" s="31" t="str">
        <f aca="false">IF($J23="","",IF($J23&gt;SETTINGS!$C$7,"🔴 VƯỢT NGƯỠNG ĐỆM",IF($J23&gt;3,"🟡 Cần học bù","🟢 Đang ổn")))</f>
        <v/>
      </c>
    </row>
    <row r="24" customFormat="false" ht="15" hidden="false" customHeight="false" outlineLevel="0" collapsed="false">
      <c r="A24" s="31" t="n">
        <v>22</v>
      </c>
      <c r="B24" s="32" t="n">
        <f aca="false">SETTINGS!$C$3+$A24-1</f>
        <v>46321</v>
      </c>
      <c r="C24" s="31" t="str">
        <f aca="false">CHOOSE(WEEKDAY($B24,2),"Thứ 2","Thứ 3","Thứ 4","Thứ 5","Thứ 6","Thứ 7","CN")</f>
        <v>Thứ 2</v>
      </c>
      <c r="D24" s="31" t="n">
        <f aca="false">MIN($A24*SETTINGS!$C$4,SETTINGS!$C$6)</f>
        <v>440</v>
      </c>
      <c r="E24" s="31" t="n">
        <f aca="false">COUNTIF(SENTENCES!$L$3:$L$1802,$B24)</f>
        <v>0</v>
      </c>
      <c r="F24" s="31" t="n">
        <f aca="false">COUNTIF(SENTENCES!$M$3:$Q$1802,$B24)</f>
        <v>0</v>
      </c>
      <c r="G24" s="31" t="n">
        <f aca="false">$E24+$F24</f>
        <v>0</v>
      </c>
      <c r="H24" s="31" t="n">
        <f aca="false">COUNTIFS(SENTENCES!$L$3:$L$1802,"&lt;="&amp;$B24,SENTENCES!$L$3:$L$1802,"&gt;0")</f>
        <v>0</v>
      </c>
      <c r="I24" s="31" t="str">
        <f aca="true">IF($B24&gt;TODAY(),"",MAX(0,$D24-$H24))</f>
        <v/>
      </c>
      <c r="J24" s="31" t="str">
        <f aca="false">IF($I24="","",ROUND($I24/SETTINGS!$C$4,1))</f>
        <v/>
      </c>
      <c r="K24" s="31" t="str">
        <f aca="true">IF($B24&gt;TODAY(),"",IF($E24&gt;=SETTINGS!$C$4,"✔ Đủ chỉ tiêu",IF($E24&gt;0,"⚠ Thiếu",IF($F24&gt;0,"◆ Chỉ ôn","✖ Nghỉ / Miss"))))</f>
        <v/>
      </c>
      <c r="L24" s="31" t="str">
        <f aca="false">IF($J24="","",IF($J24&gt;SETTINGS!$C$7,"🔴 VƯỢT NGƯỠNG ĐỆM",IF($J24&gt;3,"🟡 Cần học bù","🟢 Đang ổn")))</f>
        <v/>
      </c>
    </row>
    <row r="25" customFormat="false" ht="15" hidden="false" customHeight="false" outlineLevel="0" collapsed="false">
      <c r="A25" s="31" t="n">
        <v>23</v>
      </c>
      <c r="B25" s="32" t="n">
        <f aca="false">SETTINGS!$C$3+$A25-1</f>
        <v>46322</v>
      </c>
      <c r="C25" s="31" t="str">
        <f aca="false">CHOOSE(WEEKDAY($B25,2),"Thứ 2","Thứ 3","Thứ 4","Thứ 5","Thứ 6","Thứ 7","CN")</f>
        <v>Thứ 3</v>
      </c>
      <c r="D25" s="31" t="n">
        <f aca="false">MIN($A25*SETTINGS!$C$4,SETTINGS!$C$6)</f>
        <v>460</v>
      </c>
      <c r="E25" s="31" t="n">
        <f aca="false">COUNTIF(SENTENCES!$L$3:$L$1802,$B25)</f>
        <v>0</v>
      </c>
      <c r="F25" s="31" t="n">
        <f aca="false">COUNTIF(SENTENCES!$M$3:$Q$1802,$B25)</f>
        <v>0</v>
      </c>
      <c r="G25" s="31" t="n">
        <f aca="false">$E25+$F25</f>
        <v>0</v>
      </c>
      <c r="H25" s="31" t="n">
        <f aca="false">COUNTIFS(SENTENCES!$L$3:$L$1802,"&lt;="&amp;$B25,SENTENCES!$L$3:$L$1802,"&gt;0")</f>
        <v>0</v>
      </c>
      <c r="I25" s="31" t="str">
        <f aca="true">IF($B25&gt;TODAY(),"",MAX(0,$D25-$H25))</f>
        <v/>
      </c>
      <c r="J25" s="31" t="str">
        <f aca="false">IF($I25="","",ROUND($I25/SETTINGS!$C$4,1))</f>
        <v/>
      </c>
      <c r="K25" s="31" t="str">
        <f aca="true">IF($B25&gt;TODAY(),"",IF($E25&gt;=SETTINGS!$C$4,"✔ Đủ chỉ tiêu",IF($E25&gt;0,"⚠ Thiếu",IF($F25&gt;0,"◆ Chỉ ôn","✖ Nghỉ / Miss"))))</f>
        <v/>
      </c>
      <c r="L25" s="31" t="str">
        <f aca="false">IF($J25="","",IF($J25&gt;SETTINGS!$C$7,"🔴 VƯỢT NGƯỠNG ĐỆM",IF($J25&gt;3,"🟡 Cần học bù","🟢 Đang ổn")))</f>
        <v/>
      </c>
    </row>
    <row r="26" customFormat="false" ht="15" hidden="false" customHeight="false" outlineLevel="0" collapsed="false">
      <c r="A26" s="31" t="n">
        <v>24</v>
      </c>
      <c r="B26" s="32" t="n">
        <f aca="false">SETTINGS!$C$3+$A26-1</f>
        <v>46323</v>
      </c>
      <c r="C26" s="31" t="str">
        <f aca="false">CHOOSE(WEEKDAY($B26,2),"Thứ 2","Thứ 3","Thứ 4","Thứ 5","Thứ 6","Thứ 7","CN")</f>
        <v>Thứ 4</v>
      </c>
      <c r="D26" s="31" t="n">
        <f aca="false">MIN($A26*SETTINGS!$C$4,SETTINGS!$C$6)</f>
        <v>480</v>
      </c>
      <c r="E26" s="31" t="n">
        <f aca="false">COUNTIF(SENTENCES!$L$3:$L$1802,$B26)</f>
        <v>0</v>
      </c>
      <c r="F26" s="31" t="n">
        <f aca="false">COUNTIF(SENTENCES!$M$3:$Q$1802,$B26)</f>
        <v>0</v>
      </c>
      <c r="G26" s="31" t="n">
        <f aca="false">$E26+$F26</f>
        <v>0</v>
      </c>
      <c r="H26" s="31" t="n">
        <f aca="false">COUNTIFS(SENTENCES!$L$3:$L$1802,"&lt;="&amp;$B26,SENTENCES!$L$3:$L$1802,"&gt;0")</f>
        <v>0</v>
      </c>
      <c r="I26" s="31" t="str">
        <f aca="true">IF($B26&gt;TODAY(),"",MAX(0,$D26-$H26))</f>
        <v/>
      </c>
      <c r="J26" s="31" t="str">
        <f aca="false">IF($I26="","",ROUND($I26/SETTINGS!$C$4,1))</f>
        <v/>
      </c>
      <c r="K26" s="31" t="str">
        <f aca="true">IF($B26&gt;TODAY(),"",IF($E26&gt;=SETTINGS!$C$4,"✔ Đủ chỉ tiêu",IF($E26&gt;0,"⚠ Thiếu",IF($F26&gt;0,"◆ Chỉ ôn","✖ Nghỉ / Miss"))))</f>
        <v/>
      </c>
      <c r="L26" s="31" t="str">
        <f aca="false">IF($J26="","",IF($J26&gt;SETTINGS!$C$7,"🔴 VƯỢT NGƯỠNG ĐỆM",IF($J26&gt;3,"🟡 Cần học bù","🟢 Đang ổn")))</f>
        <v/>
      </c>
    </row>
    <row r="27" customFormat="false" ht="15" hidden="false" customHeight="false" outlineLevel="0" collapsed="false">
      <c r="A27" s="31" t="n">
        <v>25</v>
      </c>
      <c r="B27" s="32" t="n">
        <f aca="false">SETTINGS!$C$3+$A27-1</f>
        <v>46324</v>
      </c>
      <c r="C27" s="31" t="str">
        <f aca="false">CHOOSE(WEEKDAY($B27,2),"Thứ 2","Thứ 3","Thứ 4","Thứ 5","Thứ 6","Thứ 7","CN")</f>
        <v>Thứ 5</v>
      </c>
      <c r="D27" s="31" t="n">
        <f aca="false">MIN($A27*SETTINGS!$C$4,SETTINGS!$C$6)</f>
        <v>500</v>
      </c>
      <c r="E27" s="31" t="n">
        <f aca="false">COUNTIF(SENTENCES!$L$3:$L$1802,$B27)</f>
        <v>0</v>
      </c>
      <c r="F27" s="31" t="n">
        <f aca="false">COUNTIF(SENTENCES!$M$3:$Q$1802,$B27)</f>
        <v>0</v>
      </c>
      <c r="G27" s="31" t="n">
        <f aca="false">$E27+$F27</f>
        <v>0</v>
      </c>
      <c r="H27" s="31" t="n">
        <f aca="false">COUNTIFS(SENTENCES!$L$3:$L$1802,"&lt;="&amp;$B27,SENTENCES!$L$3:$L$1802,"&gt;0")</f>
        <v>0</v>
      </c>
      <c r="I27" s="31" t="str">
        <f aca="true">IF($B27&gt;TODAY(),"",MAX(0,$D27-$H27))</f>
        <v/>
      </c>
      <c r="J27" s="31" t="str">
        <f aca="false">IF($I27="","",ROUND($I27/SETTINGS!$C$4,1))</f>
        <v/>
      </c>
      <c r="K27" s="31" t="str">
        <f aca="true">IF($B27&gt;TODAY(),"",IF($E27&gt;=SETTINGS!$C$4,"✔ Đủ chỉ tiêu",IF($E27&gt;0,"⚠ Thiếu",IF($F27&gt;0,"◆ Chỉ ôn","✖ Nghỉ / Miss"))))</f>
        <v/>
      </c>
      <c r="L27" s="31" t="str">
        <f aca="false">IF($J27="","",IF($J27&gt;SETTINGS!$C$7,"🔴 VƯỢT NGƯỠNG ĐỆM",IF($J27&gt;3,"🟡 Cần học bù","🟢 Đang ổn")))</f>
        <v/>
      </c>
    </row>
    <row r="28" customFormat="false" ht="15" hidden="false" customHeight="false" outlineLevel="0" collapsed="false">
      <c r="A28" s="31" t="n">
        <v>26</v>
      </c>
      <c r="B28" s="32" t="n">
        <f aca="false">SETTINGS!$C$3+$A28-1</f>
        <v>46325</v>
      </c>
      <c r="C28" s="31" t="str">
        <f aca="false">CHOOSE(WEEKDAY($B28,2),"Thứ 2","Thứ 3","Thứ 4","Thứ 5","Thứ 6","Thứ 7","CN")</f>
        <v>Thứ 6</v>
      </c>
      <c r="D28" s="31" t="n">
        <f aca="false">MIN($A28*SETTINGS!$C$4,SETTINGS!$C$6)</f>
        <v>520</v>
      </c>
      <c r="E28" s="31" t="n">
        <f aca="false">COUNTIF(SENTENCES!$L$3:$L$1802,$B28)</f>
        <v>0</v>
      </c>
      <c r="F28" s="31" t="n">
        <f aca="false">COUNTIF(SENTENCES!$M$3:$Q$1802,$B28)</f>
        <v>0</v>
      </c>
      <c r="G28" s="31" t="n">
        <f aca="false">$E28+$F28</f>
        <v>0</v>
      </c>
      <c r="H28" s="31" t="n">
        <f aca="false">COUNTIFS(SENTENCES!$L$3:$L$1802,"&lt;="&amp;$B28,SENTENCES!$L$3:$L$1802,"&gt;0")</f>
        <v>0</v>
      </c>
      <c r="I28" s="31" t="str">
        <f aca="true">IF($B28&gt;TODAY(),"",MAX(0,$D28-$H28))</f>
        <v/>
      </c>
      <c r="J28" s="31" t="str">
        <f aca="false">IF($I28="","",ROUND($I28/SETTINGS!$C$4,1))</f>
        <v/>
      </c>
      <c r="K28" s="31" t="str">
        <f aca="true">IF($B28&gt;TODAY(),"",IF($E28&gt;=SETTINGS!$C$4,"✔ Đủ chỉ tiêu",IF($E28&gt;0,"⚠ Thiếu",IF($F28&gt;0,"◆ Chỉ ôn","✖ Nghỉ / Miss"))))</f>
        <v/>
      </c>
      <c r="L28" s="31" t="str">
        <f aca="false">IF($J28="","",IF($J28&gt;SETTINGS!$C$7,"🔴 VƯỢT NGƯỠNG ĐỆM",IF($J28&gt;3,"🟡 Cần học bù","🟢 Đang ổn")))</f>
        <v/>
      </c>
    </row>
    <row r="29" customFormat="false" ht="15" hidden="false" customHeight="false" outlineLevel="0" collapsed="false">
      <c r="A29" s="31" t="n">
        <v>27</v>
      </c>
      <c r="B29" s="32" t="n">
        <f aca="false">SETTINGS!$C$3+$A29-1</f>
        <v>46326</v>
      </c>
      <c r="C29" s="31" t="str">
        <f aca="false">CHOOSE(WEEKDAY($B29,2),"Thứ 2","Thứ 3","Thứ 4","Thứ 5","Thứ 6","Thứ 7","CN")</f>
        <v>Thứ 7</v>
      </c>
      <c r="D29" s="31" t="n">
        <f aca="false">MIN($A29*SETTINGS!$C$4,SETTINGS!$C$6)</f>
        <v>540</v>
      </c>
      <c r="E29" s="31" t="n">
        <f aca="false">COUNTIF(SENTENCES!$L$3:$L$1802,$B29)</f>
        <v>0</v>
      </c>
      <c r="F29" s="31" t="n">
        <f aca="false">COUNTIF(SENTENCES!$M$3:$Q$1802,$B29)</f>
        <v>0</v>
      </c>
      <c r="G29" s="31" t="n">
        <f aca="false">$E29+$F29</f>
        <v>0</v>
      </c>
      <c r="H29" s="31" t="n">
        <f aca="false">COUNTIFS(SENTENCES!$L$3:$L$1802,"&lt;="&amp;$B29,SENTENCES!$L$3:$L$1802,"&gt;0")</f>
        <v>0</v>
      </c>
      <c r="I29" s="31" t="str">
        <f aca="true">IF($B29&gt;TODAY(),"",MAX(0,$D29-$H29))</f>
        <v/>
      </c>
      <c r="J29" s="31" t="str">
        <f aca="false">IF($I29="","",ROUND($I29/SETTINGS!$C$4,1))</f>
        <v/>
      </c>
      <c r="K29" s="31" t="str">
        <f aca="true">IF($B29&gt;TODAY(),"",IF($E29&gt;=SETTINGS!$C$4,"✔ Đủ chỉ tiêu",IF($E29&gt;0,"⚠ Thiếu",IF($F29&gt;0,"◆ Chỉ ôn","✖ Nghỉ / Miss"))))</f>
        <v/>
      </c>
      <c r="L29" s="31" t="str">
        <f aca="false">IF($J29="","",IF($J29&gt;SETTINGS!$C$7,"🔴 VƯỢT NGƯỠNG ĐỆM",IF($J29&gt;3,"🟡 Cần học bù","🟢 Đang ổn")))</f>
        <v/>
      </c>
    </row>
    <row r="30" customFormat="false" ht="15" hidden="false" customHeight="false" outlineLevel="0" collapsed="false">
      <c r="A30" s="31" t="n">
        <v>28</v>
      </c>
      <c r="B30" s="32" t="n">
        <f aca="false">SETTINGS!$C$3+$A30-1</f>
        <v>46327</v>
      </c>
      <c r="C30" s="31" t="str">
        <f aca="false">CHOOSE(WEEKDAY($B30,2),"Thứ 2","Thứ 3","Thứ 4","Thứ 5","Thứ 6","Thứ 7","CN")</f>
        <v>CN</v>
      </c>
      <c r="D30" s="31" t="n">
        <f aca="false">MIN($A30*SETTINGS!$C$4,SETTINGS!$C$6)</f>
        <v>560</v>
      </c>
      <c r="E30" s="31" t="n">
        <f aca="false">COUNTIF(SENTENCES!$L$3:$L$1802,$B30)</f>
        <v>0</v>
      </c>
      <c r="F30" s="31" t="n">
        <f aca="false">COUNTIF(SENTENCES!$M$3:$Q$1802,$B30)</f>
        <v>0</v>
      </c>
      <c r="G30" s="31" t="n">
        <f aca="false">$E30+$F30</f>
        <v>0</v>
      </c>
      <c r="H30" s="31" t="n">
        <f aca="false">COUNTIFS(SENTENCES!$L$3:$L$1802,"&lt;="&amp;$B30,SENTENCES!$L$3:$L$1802,"&gt;0")</f>
        <v>0</v>
      </c>
      <c r="I30" s="31" t="str">
        <f aca="true">IF($B30&gt;TODAY(),"",MAX(0,$D30-$H30))</f>
        <v/>
      </c>
      <c r="J30" s="31" t="str">
        <f aca="false">IF($I30="","",ROUND($I30/SETTINGS!$C$4,1))</f>
        <v/>
      </c>
      <c r="K30" s="31" t="str">
        <f aca="true">IF($B30&gt;TODAY(),"",IF($E30&gt;=SETTINGS!$C$4,"✔ Đủ chỉ tiêu",IF($E30&gt;0,"⚠ Thiếu",IF($F30&gt;0,"◆ Chỉ ôn","✖ Nghỉ / Miss"))))</f>
        <v/>
      </c>
      <c r="L30" s="31" t="str">
        <f aca="false">IF($J30="","",IF($J30&gt;SETTINGS!$C$7,"🔴 VƯỢT NGƯỠNG ĐỆM",IF($J30&gt;3,"🟡 Cần học bù","🟢 Đang ổn")))</f>
        <v/>
      </c>
    </row>
    <row r="31" customFormat="false" ht="15" hidden="false" customHeight="false" outlineLevel="0" collapsed="false">
      <c r="A31" s="31" t="n">
        <v>29</v>
      </c>
      <c r="B31" s="32" t="n">
        <f aca="false">SETTINGS!$C$3+$A31-1</f>
        <v>46328</v>
      </c>
      <c r="C31" s="31" t="str">
        <f aca="false">CHOOSE(WEEKDAY($B31,2),"Thứ 2","Thứ 3","Thứ 4","Thứ 5","Thứ 6","Thứ 7","CN")</f>
        <v>Thứ 2</v>
      </c>
      <c r="D31" s="31" t="n">
        <f aca="false">MIN($A31*SETTINGS!$C$4,SETTINGS!$C$6)</f>
        <v>580</v>
      </c>
      <c r="E31" s="31" t="n">
        <f aca="false">COUNTIF(SENTENCES!$L$3:$L$1802,$B31)</f>
        <v>0</v>
      </c>
      <c r="F31" s="31" t="n">
        <f aca="false">COUNTIF(SENTENCES!$M$3:$Q$1802,$B31)</f>
        <v>0</v>
      </c>
      <c r="G31" s="31" t="n">
        <f aca="false">$E31+$F31</f>
        <v>0</v>
      </c>
      <c r="H31" s="31" t="n">
        <f aca="false">COUNTIFS(SENTENCES!$L$3:$L$1802,"&lt;="&amp;$B31,SENTENCES!$L$3:$L$1802,"&gt;0")</f>
        <v>0</v>
      </c>
      <c r="I31" s="31" t="str">
        <f aca="true">IF($B31&gt;TODAY(),"",MAX(0,$D31-$H31))</f>
        <v/>
      </c>
      <c r="J31" s="31" t="str">
        <f aca="false">IF($I31="","",ROUND($I31/SETTINGS!$C$4,1))</f>
        <v/>
      </c>
      <c r="K31" s="31" t="str">
        <f aca="true">IF($B31&gt;TODAY(),"",IF($E31&gt;=SETTINGS!$C$4,"✔ Đủ chỉ tiêu",IF($E31&gt;0,"⚠ Thiếu",IF($F31&gt;0,"◆ Chỉ ôn","✖ Nghỉ / Miss"))))</f>
        <v/>
      </c>
      <c r="L31" s="31" t="str">
        <f aca="false">IF($J31="","",IF($J31&gt;SETTINGS!$C$7,"🔴 VƯỢT NGƯỠNG ĐỆM",IF($J31&gt;3,"🟡 Cần học bù","🟢 Đang ổn")))</f>
        <v/>
      </c>
    </row>
    <row r="32" customFormat="false" ht="15" hidden="false" customHeight="false" outlineLevel="0" collapsed="false">
      <c r="A32" s="31" t="n">
        <v>30</v>
      </c>
      <c r="B32" s="32" t="n">
        <f aca="false">SETTINGS!$C$3+$A32-1</f>
        <v>46329</v>
      </c>
      <c r="C32" s="31" t="str">
        <f aca="false">CHOOSE(WEEKDAY($B32,2),"Thứ 2","Thứ 3","Thứ 4","Thứ 5","Thứ 6","Thứ 7","CN")</f>
        <v>Thứ 3</v>
      </c>
      <c r="D32" s="31" t="n">
        <f aca="false">MIN($A32*SETTINGS!$C$4,SETTINGS!$C$6)</f>
        <v>600</v>
      </c>
      <c r="E32" s="31" t="n">
        <f aca="false">COUNTIF(SENTENCES!$L$3:$L$1802,$B32)</f>
        <v>0</v>
      </c>
      <c r="F32" s="31" t="n">
        <f aca="false">COUNTIF(SENTENCES!$M$3:$Q$1802,$B32)</f>
        <v>0</v>
      </c>
      <c r="G32" s="31" t="n">
        <f aca="false">$E32+$F32</f>
        <v>0</v>
      </c>
      <c r="H32" s="31" t="n">
        <f aca="false">COUNTIFS(SENTENCES!$L$3:$L$1802,"&lt;="&amp;$B32,SENTENCES!$L$3:$L$1802,"&gt;0")</f>
        <v>0</v>
      </c>
      <c r="I32" s="31" t="str">
        <f aca="true">IF($B32&gt;TODAY(),"",MAX(0,$D32-$H32))</f>
        <v/>
      </c>
      <c r="J32" s="31" t="str">
        <f aca="false">IF($I32="","",ROUND($I32/SETTINGS!$C$4,1))</f>
        <v/>
      </c>
      <c r="K32" s="31" t="str">
        <f aca="true">IF($B32&gt;TODAY(),"",IF($E32&gt;=SETTINGS!$C$4,"✔ Đủ chỉ tiêu",IF($E32&gt;0,"⚠ Thiếu",IF($F32&gt;0,"◆ Chỉ ôn","✖ Nghỉ / Miss"))))</f>
        <v/>
      </c>
      <c r="L32" s="31" t="str">
        <f aca="false">IF($J32="","",IF($J32&gt;SETTINGS!$C$7,"🔴 VƯỢT NGƯỠNG ĐỆM",IF($J32&gt;3,"🟡 Cần học bù","🟢 Đang ổn")))</f>
        <v/>
      </c>
    </row>
    <row r="33" customFormat="false" ht="15" hidden="false" customHeight="false" outlineLevel="0" collapsed="false">
      <c r="A33" s="31" t="n">
        <v>31</v>
      </c>
      <c r="B33" s="32" t="n">
        <f aca="false">SETTINGS!$C$3+$A33-1</f>
        <v>46330</v>
      </c>
      <c r="C33" s="31" t="str">
        <f aca="false">CHOOSE(WEEKDAY($B33,2),"Thứ 2","Thứ 3","Thứ 4","Thứ 5","Thứ 6","Thứ 7","CN")</f>
        <v>Thứ 4</v>
      </c>
      <c r="D33" s="31" t="n">
        <f aca="false">MIN($A33*SETTINGS!$C$4,SETTINGS!$C$6)</f>
        <v>620</v>
      </c>
      <c r="E33" s="31" t="n">
        <f aca="false">COUNTIF(SENTENCES!$L$3:$L$1802,$B33)</f>
        <v>0</v>
      </c>
      <c r="F33" s="31" t="n">
        <f aca="false">COUNTIF(SENTENCES!$M$3:$Q$1802,$B33)</f>
        <v>0</v>
      </c>
      <c r="G33" s="31" t="n">
        <f aca="false">$E33+$F33</f>
        <v>0</v>
      </c>
      <c r="H33" s="31" t="n">
        <f aca="false">COUNTIFS(SENTENCES!$L$3:$L$1802,"&lt;="&amp;$B33,SENTENCES!$L$3:$L$1802,"&gt;0")</f>
        <v>0</v>
      </c>
      <c r="I33" s="31" t="str">
        <f aca="true">IF($B33&gt;TODAY(),"",MAX(0,$D33-$H33))</f>
        <v/>
      </c>
      <c r="J33" s="31" t="str">
        <f aca="false">IF($I33="","",ROUND($I33/SETTINGS!$C$4,1))</f>
        <v/>
      </c>
      <c r="K33" s="31" t="str">
        <f aca="true">IF($B33&gt;TODAY(),"",IF($E33&gt;=SETTINGS!$C$4,"✔ Đủ chỉ tiêu",IF($E33&gt;0,"⚠ Thiếu",IF($F33&gt;0,"◆ Chỉ ôn","✖ Nghỉ / Miss"))))</f>
        <v/>
      </c>
      <c r="L33" s="31" t="str">
        <f aca="false">IF($J33="","",IF($J33&gt;SETTINGS!$C$7,"🔴 VƯỢT NGƯỠNG ĐỆM",IF($J33&gt;3,"🟡 Cần học bù","🟢 Đang ổn")))</f>
        <v/>
      </c>
    </row>
    <row r="34" customFormat="false" ht="15" hidden="false" customHeight="false" outlineLevel="0" collapsed="false">
      <c r="A34" s="31" t="n">
        <v>32</v>
      </c>
      <c r="B34" s="32" t="n">
        <f aca="false">SETTINGS!$C$3+$A34-1</f>
        <v>46331</v>
      </c>
      <c r="C34" s="31" t="str">
        <f aca="false">CHOOSE(WEEKDAY($B34,2),"Thứ 2","Thứ 3","Thứ 4","Thứ 5","Thứ 6","Thứ 7","CN")</f>
        <v>Thứ 5</v>
      </c>
      <c r="D34" s="31" t="n">
        <f aca="false">MIN($A34*SETTINGS!$C$4,SETTINGS!$C$6)</f>
        <v>640</v>
      </c>
      <c r="E34" s="31" t="n">
        <f aca="false">COUNTIF(SENTENCES!$L$3:$L$1802,$B34)</f>
        <v>0</v>
      </c>
      <c r="F34" s="31" t="n">
        <f aca="false">COUNTIF(SENTENCES!$M$3:$Q$1802,$B34)</f>
        <v>0</v>
      </c>
      <c r="G34" s="31" t="n">
        <f aca="false">$E34+$F34</f>
        <v>0</v>
      </c>
      <c r="H34" s="31" t="n">
        <f aca="false">COUNTIFS(SENTENCES!$L$3:$L$1802,"&lt;="&amp;$B34,SENTENCES!$L$3:$L$1802,"&gt;0")</f>
        <v>0</v>
      </c>
      <c r="I34" s="31" t="str">
        <f aca="true">IF($B34&gt;TODAY(),"",MAX(0,$D34-$H34))</f>
        <v/>
      </c>
      <c r="J34" s="31" t="str">
        <f aca="false">IF($I34="","",ROUND($I34/SETTINGS!$C$4,1))</f>
        <v/>
      </c>
      <c r="K34" s="31" t="str">
        <f aca="true">IF($B34&gt;TODAY(),"",IF($E34&gt;=SETTINGS!$C$4,"✔ Đủ chỉ tiêu",IF($E34&gt;0,"⚠ Thiếu",IF($F34&gt;0,"◆ Chỉ ôn","✖ Nghỉ / Miss"))))</f>
        <v/>
      </c>
      <c r="L34" s="31" t="str">
        <f aca="false">IF($J34="","",IF($J34&gt;SETTINGS!$C$7,"🔴 VƯỢT NGƯỠNG ĐỆM",IF($J34&gt;3,"🟡 Cần học bù","🟢 Đang ổn")))</f>
        <v/>
      </c>
    </row>
    <row r="35" customFormat="false" ht="15" hidden="false" customHeight="false" outlineLevel="0" collapsed="false">
      <c r="A35" s="31" t="n">
        <v>33</v>
      </c>
      <c r="B35" s="32" t="n">
        <f aca="false">SETTINGS!$C$3+$A35-1</f>
        <v>46332</v>
      </c>
      <c r="C35" s="31" t="str">
        <f aca="false">CHOOSE(WEEKDAY($B35,2),"Thứ 2","Thứ 3","Thứ 4","Thứ 5","Thứ 6","Thứ 7","CN")</f>
        <v>Thứ 6</v>
      </c>
      <c r="D35" s="31" t="n">
        <f aca="false">MIN($A35*SETTINGS!$C$4,SETTINGS!$C$6)</f>
        <v>660</v>
      </c>
      <c r="E35" s="31" t="n">
        <f aca="false">COUNTIF(SENTENCES!$L$3:$L$1802,$B35)</f>
        <v>0</v>
      </c>
      <c r="F35" s="31" t="n">
        <f aca="false">COUNTIF(SENTENCES!$M$3:$Q$1802,$B35)</f>
        <v>0</v>
      </c>
      <c r="G35" s="31" t="n">
        <f aca="false">$E35+$F35</f>
        <v>0</v>
      </c>
      <c r="H35" s="31" t="n">
        <f aca="false">COUNTIFS(SENTENCES!$L$3:$L$1802,"&lt;="&amp;$B35,SENTENCES!$L$3:$L$1802,"&gt;0")</f>
        <v>0</v>
      </c>
      <c r="I35" s="31" t="str">
        <f aca="true">IF($B35&gt;TODAY(),"",MAX(0,$D35-$H35))</f>
        <v/>
      </c>
      <c r="J35" s="31" t="str">
        <f aca="false">IF($I35="","",ROUND($I35/SETTINGS!$C$4,1))</f>
        <v/>
      </c>
      <c r="K35" s="31" t="str">
        <f aca="true">IF($B35&gt;TODAY(),"",IF($E35&gt;=SETTINGS!$C$4,"✔ Đủ chỉ tiêu",IF($E35&gt;0,"⚠ Thiếu",IF($F35&gt;0,"◆ Chỉ ôn","✖ Nghỉ / Miss"))))</f>
        <v/>
      </c>
      <c r="L35" s="31" t="str">
        <f aca="false">IF($J35="","",IF($J35&gt;SETTINGS!$C$7,"🔴 VƯỢT NGƯỠNG ĐỆM",IF($J35&gt;3,"🟡 Cần học bù","🟢 Đang ổn")))</f>
        <v/>
      </c>
    </row>
    <row r="36" customFormat="false" ht="15" hidden="false" customHeight="false" outlineLevel="0" collapsed="false">
      <c r="A36" s="31" t="n">
        <v>34</v>
      </c>
      <c r="B36" s="32" t="n">
        <f aca="false">SETTINGS!$C$3+$A36-1</f>
        <v>46333</v>
      </c>
      <c r="C36" s="31" t="str">
        <f aca="false">CHOOSE(WEEKDAY($B36,2),"Thứ 2","Thứ 3","Thứ 4","Thứ 5","Thứ 6","Thứ 7","CN")</f>
        <v>Thứ 7</v>
      </c>
      <c r="D36" s="31" t="n">
        <f aca="false">MIN($A36*SETTINGS!$C$4,SETTINGS!$C$6)</f>
        <v>680</v>
      </c>
      <c r="E36" s="31" t="n">
        <f aca="false">COUNTIF(SENTENCES!$L$3:$L$1802,$B36)</f>
        <v>0</v>
      </c>
      <c r="F36" s="31" t="n">
        <f aca="false">COUNTIF(SENTENCES!$M$3:$Q$1802,$B36)</f>
        <v>0</v>
      </c>
      <c r="G36" s="31" t="n">
        <f aca="false">$E36+$F36</f>
        <v>0</v>
      </c>
      <c r="H36" s="31" t="n">
        <f aca="false">COUNTIFS(SENTENCES!$L$3:$L$1802,"&lt;="&amp;$B36,SENTENCES!$L$3:$L$1802,"&gt;0")</f>
        <v>0</v>
      </c>
      <c r="I36" s="31" t="str">
        <f aca="true">IF($B36&gt;TODAY(),"",MAX(0,$D36-$H36))</f>
        <v/>
      </c>
      <c r="J36" s="31" t="str">
        <f aca="false">IF($I36="","",ROUND($I36/SETTINGS!$C$4,1))</f>
        <v/>
      </c>
      <c r="K36" s="31" t="str">
        <f aca="true">IF($B36&gt;TODAY(),"",IF($E36&gt;=SETTINGS!$C$4,"✔ Đủ chỉ tiêu",IF($E36&gt;0,"⚠ Thiếu",IF($F36&gt;0,"◆ Chỉ ôn","✖ Nghỉ / Miss"))))</f>
        <v/>
      </c>
      <c r="L36" s="31" t="str">
        <f aca="false">IF($J36="","",IF($J36&gt;SETTINGS!$C$7,"🔴 VƯỢT NGƯỠNG ĐỆM",IF($J36&gt;3,"🟡 Cần học bù","🟢 Đang ổn")))</f>
        <v/>
      </c>
    </row>
    <row r="37" customFormat="false" ht="15" hidden="false" customHeight="false" outlineLevel="0" collapsed="false">
      <c r="A37" s="31" t="n">
        <v>35</v>
      </c>
      <c r="B37" s="32" t="n">
        <f aca="false">SETTINGS!$C$3+$A37-1</f>
        <v>46334</v>
      </c>
      <c r="C37" s="31" t="str">
        <f aca="false">CHOOSE(WEEKDAY($B37,2),"Thứ 2","Thứ 3","Thứ 4","Thứ 5","Thứ 6","Thứ 7","CN")</f>
        <v>CN</v>
      </c>
      <c r="D37" s="31" t="n">
        <f aca="false">MIN($A37*SETTINGS!$C$4,SETTINGS!$C$6)</f>
        <v>700</v>
      </c>
      <c r="E37" s="31" t="n">
        <f aca="false">COUNTIF(SENTENCES!$L$3:$L$1802,$B37)</f>
        <v>0</v>
      </c>
      <c r="F37" s="31" t="n">
        <f aca="false">COUNTIF(SENTENCES!$M$3:$Q$1802,$B37)</f>
        <v>0</v>
      </c>
      <c r="G37" s="31" t="n">
        <f aca="false">$E37+$F37</f>
        <v>0</v>
      </c>
      <c r="H37" s="31" t="n">
        <f aca="false">COUNTIFS(SENTENCES!$L$3:$L$1802,"&lt;="&amp;$B37,SENTENCES!$L$3:$L$1802,"&gt;0")</f>
        <v>0</v>
      </c>
      <c r="I37" s="31" t="str">
        <f aca="true">IF($B37&gt;TODAY(),"",MAX(0,$D37-$H37))</f>
        <v/>
      </c>
      <c r="J37" s="31" t="str">
        <f aca="false">IF($I37="","",ROUND($I37/SETTINGS!$C$4,1))</f>
        <v/>
      </c>
      <c r="K37" s="31" t="str">
        <f aca="true">IF($B37&gt;TODAY(),"",IF($E37&gt;=SETTINGS!$C$4,"✔ Đủ chỉ tiêu",IF($E37&gt;0,"⚠ Thiếu",IF($F37&gt;0,"◆ Chỉ ôn","✖ Nghỉ / Miss"))))</f>
        <v/>
      </c>
      <c r="L37" s="31" t="str">
        <f aca="false">IF($J37="","",IF($J37&gt;SETTINGS!$C$7,"🔴 VƯỢT NGƯỠNG ĐỆM",IF($J37&gt;3,"🟡 Cần học bù","🟢 Đang ổn")))</f>
        <v/>
      </c>
    </row>
    <row r="38" customFormat="false" ht="15" hidden="false" customHeight="false" outlineLevel="0" collapsed="false">
      <c r="A38" s="31" t="n">
        <v>36</v>
      </c>
      <c r="B38" s="32" t="n">
        <f aca="false">SETTINGS!$C$3+$A38-1</f>
        <v>46335</v>
      </c>
      <c r="C38" s="31" t="str">
        <f aca="false">CHOOSE(WEEKDAY($B38,2),"Thứ 2","Thứ 3","Thứ 4","Thứ 5","Thứ 6","Thứ 7","CN")</f>
        <v>Thứ 2</v>
      </c>
      <c r="D38" s="31" t="n">
        <f aca="false">MIN($A38*SETTINGS!$C$4,SETTINGS!$C$6)</f>
        <v>720</v>
      </c>
      <c r="E38" s="31" t="n">
        <f aca="false">COUNTIF(SENTENCES!$L$3:$L$1802,$B38)</f>
        <v>0</v>
      </c>
      <c r="F38" s="31" t="n">
        <f aca="false">COUNTIF(SENTENCES!$M$3:$Q$1802,$B38)</f>
        <v>0</v>
      </c>
      <c r="G38" s="31" t="n">
        <f aca="false">$E38+$F38</f>
        <v>0</v>
      </c>
      <c r="H38" s="31" t="n">
        <f aca="false">COUNTIFS(SENTENCES!$L$3:$L$1802,"&lt;="&amp;$B38,SENTENCES!$L$3:$L$1802,"&gt;0")</f>
        <v>0</v>
      </c>
      <c r="I38" s="31" t="str">
        <f aca="true">IF($B38&gt;TODAY(),"",MAX(0,$D38-$H38))</f>
        <v/>
      </c>
      <c r="J38" s="31" t="str">
        <f aca="false">IF($I38="","",ROUND($I38/SETTINGS!$C$4,1))</f>
        <v/>
      </c>
      <c r="K38" s="31" t="str">
        <f aca="true">IF($B38&gt;TODAY(),"",IF($E38&gt;=SETTINGS!$C$4,"✔ Đủ chỉ tiêu",IF($E38&gt;0,"⚠ Thiếu",IF($F38&gt;0,"◆ Chỉ ôn","✖ Nghỉ / Miss"))))</f>
        <v/>
      </c>
      <c r="L38" s="31" t="str">
        <f aca="false">IF($J38="","",IF($J38&gt;SETTINGS!$C$7,"🔴 VƯỢT NGƯỠNG ĐỆM",IF($J38&gt;3,"🟡 Cần học bù","🟢 Đang ổn")))</f>
        <v/>
      </c>
    </row>
    <row r="39" customFormat="false" ht="15" hidden="false" customHeight="false" outlineLevel="0" collapsed="false">
      <c r="A39" s="31" t="n">
        <v>37</v>
      </c>
      <c r="B39" s="32" t="n">
        <f aca="false">SETTINGS!$C$3+$A39-1</f>
        <v>46336</v>
      </c>
      <c r="C39" s="31" t="str">
        <f aca="false">CHOOSE(WEEKDAY($B39,2),"Thứ 2","Thứ 3","Thứ 4","Thứ 5","Thứ 6","Thứ 7","CN")</f>
        <v>Thứ 3</v>
      </c>
      <c r="D39" s="31" t="n">
        <f aca="false">MIN($A39*SETTINGS!$C$4,SETTINGS!$C$6)</f>
        <v>740</v>
      </c>
      <c r="E39" s="31" t="n">
        <f aca="false">COUNTIF(SENTENCES!$L$3:$L$1802,$B39)</f>
        <v>0</v>
      </c>
      <c r="F39" s="31" t="n">
        <f aca="false">COUNTIF(SENTENCES!$M$3:$Q$1802,$B39)</f>
        <v>0</v>
      </c>
      <c r="G39" s="31" t="n">
        <f aca="false">$E39+$F39</f>
        <v>0</v>
      </c>
      <c r="H39" s="31" t="n">
        <f aca="false">COUNTIFS(SENTENCES!$L$3:$L$1802,"&lt;="&amp;$B39,SENTENCES!$L$3:$L$1802,"&gt;0")</f>
        <v>0</v>
      </c>
      <c r="I39" s="31" t="str">
        <f aca="true">IF($B39&gt;TODAY(),"",MAX(0,$D39-$H39))</f>
        <v/>
      </c>
      <c r="J39" s="31" t="str">
        <f aca="false">IF($I39="","",ROUND($I39/SETTINGS!$C$4,1))</f>
        <v/>
      </c>
      <c r="K39" s="31" t="str">
        <f aca="true">IF($B39&gt;TODAY(),"",IF($E39&gt;=SETTINGS!$C$4,"✔ Đủ chỉ tiêu",IF($E39&gt;0,"⚠ Thiếu",IF($F39&gt;0,"◆ Chỉ ôn","✖ Nghỉ / Miss"))))</f>
        <v/>
      </c>
      <c r="L39" s="31" t="str">
        <f aca="false">IF($J39="","",IF($J39&gt;SETTINGS!$C$7,"🔴 VƯỢT NGƯỠNG ĐỆM",IF($J39&gt;3,"🟡 Cần học bù","🟢 Đang ổn")))</f>
        <v/>
      </c>
    </row>
    <row r="40" customFormat="false" ht="15" hidden="false" customHeight="false" outlineLevel="0" collapsed="false">
      <c r="A40" s="31" t="n">
        <v>38</v>
      </c>
      <c r="B40" s="32" t="n">
        <f aca="false">SETTINGS!$C$3+$A40-1</f>
        <v>46337</v>
      </c>
      <c r="C40" s="31" t="str">
        <f aca="false">CHOOSE(WEEKDAY($B40,2),"Thứ 2","Thứ 3","Thứ 4","Thứ 5","Thứ 6","Thứ 7","CN")</f>
        <v>Thứ 4</v>
      </c>
      <c r="D40" s="31" t="n">
        <f aca="false">MIN($A40*SETTINGS!$C$4,SETTINGS!$C$6)</f>
        <v>760</v>
      </c>
      <c r="E40" s="31" t="n">
        <f aca="false">COUNTIF(SENTENCES!$L$3:$L$1802,$B40)</f>
        <v>0</v>
      </c>
      <c r="F40" s="31" t="n">
        <f aca="false">COUNTIF(SENTENCES!$M$3:$Q$1802,$B40)</f>
        <v>0</v>
      </c>
      <c r="G40" s="31" t="n">
        <f aca="false">$E40+$F40</f>
        <v>0</v>
      </c>
      <c r="H40" s="31" t="n">
        <f aca="false">COUNTIFS(SENTENCES!$L$3:$L$1802,"&lt;="&amp;$B40,SENTENCES!$L$3:$L$1802,"&gt;0")</f>
        <v>0</v>
      </c>
      <c r="I40" s="31" t="str">
        <f aca="true">IF($B40&gt;TODAY(),"",MAX(0,$D40-$H40))</f>
        <v/>
      </c>
      <c r="J40" s="31" t="str">
        <f aca="false">IF($I40="","",ROUND($I40/SETTINGS!$C$4,1))</f>
        <v/>
      </c>
      <c r="K40" s="31" t="str">
        <f aca="true">IF($B40&gt;TODAY(),"",IF($E40&gt;=SETTINGS!$C$4,"✔ Đủ chỉ tiêu",IF($E40&gt;0,"⚠ Thiếu",IF($F40&gt;0,"◆ Chỉ ôn","✖ Nghỉ / Miss"))))</f>
        <v/>
      </c>
      <c r="L40" s="31" t="str">
        <f aca="false">IF($J40="","",IF($J40&gt;SETTINGS!$C$7,"🔴 VƯỢT NGƯỠNG ĐỆM",IF($J40&gt;3,"🟡 Cần học bù","🟢 Đang ổn")))</f>
        <v/>
      </c>
    </row>
    <row r="41" customFormat="false" ht="15" hidden="false" customHeight="false" outlineLevel="0" collapsed="false">
      <c r="A41" s="31" t="n">
        <v>39</v>
      </c>
      <c r="B41" s="32" t="n">
        <f aca="false">SETTINGS!$C$3+$A41-1</f>
        <v>46338</v>
      </c>
      <c r="C41" s="31" t="str">
        <f aca="false">CHOOSE(WEEKDAY($B41,2),"Thứ 2","Thứ 3","Thứ 4","Thứ 5","Thứ 6","Thứ 7","CN")</f>
        <v>Thứ 5</v>
      </c>
      <c r="D41" s="31" t="n">
        <f aca="false">MIN($A41*SETTINGS!$C$4,SETTINGS!$C$6)</f>
        <v>780</v>
      </c>
      <c r="E41" s="31" t="n">
        <f aca="false">COUNTIF(SENTENCES!$L$3:$L$1802,$B41)</f>
        <v>0</v>
      </c>
      <c r="F41" s="31" t="n">
        <f aca="false">COUNTIF(SENTENCES!$M$3:$Q$1802,$B41)</f>
        <v>0</v>
      </c>
      <c r="G41" s="31" t="n">
        <f aca="false">$E41+$F41</f>
        <v>0</v>
      </c>
      <c r="H41" s="31" t="n">
        <f aca="false">COUNTIFS(SENTENCES!$L$3:$L$1802,"&lt;="&amp;$B41,SENTENCES!$L$3:$L$1802,"&gt;0")</f>
        <v>0</v>
      </c>
      <c r="I41" s="31" t="str">
        <f aca="true">IF($B41&gt;TODAY(),"",MAX(0,$D41-$H41))</f>
        <v/>
      </c>
      <c r="J41" s="31" t="str">
        <f aca="false">IF($I41="","",ROUND($I41/SETTINGS!$C$4,1))</f>
        <v/>
      </c>
      <c r="K41" s="31" t="str">
        <f aca="true">IF($B41&gt;TODAY(),"",IF($E41&gt;=SETTINGS!$C$4,"✔ Đủ chỉ tiêu",IF($E41&gt;0,"⚠ Thiếu",IF($F41&gt;0,"◆ Chỉ ôn","✖ Nghỉ / Miss"))))</f>
        <v/>
      </c>
      <c r="L41" s="31" t="str">
        <f aca="false">IF($J41="","",IF($J41&gt;SETTINGS!$C$7,"🔴 VƯỢT NGƯỠNG ĐỆM",IF($J41&gt;3,"🟡 Cần học bù","🟢 Đang ổn")))</f>
        <v/>
      </c>
    </row>
    <row r="42" customFormat="false" ht="15" hidden="false" customHeight="false" outlineLevel="0" collapsed="false">
      <c r="A42" s="31" t="n">
        <v>40</v>
      </c>
      <c r="B42" s="32" t="n">
        <f aca="false">SETTINGS!$C$3+$A42-1</f>
        <v>46339</v>
      </c>
      <c r="C42" s="31" t="str">
        <f aca="false">CHOOSE(WEEKDAY($B42,2),"Thứ 2","Thứ 3","Thứ 4","Thứ 5","Thứ 6","Thứ 7","CN")</f>
        <v>Thứ 6</v>
      </c>
      <c r="D42" s="31" t="n">
        <f aca="false">MIN($A42*SETTINGS!$C$4,SETTINGS!$C$6)</f>
        <v>800</v>
      </c>
      <c r="E42" s="31" t="n">
        <f aca="false">COUNTIF(SENTENCES!$L$3:$L$1802,$B42)</f>
        <v>0</v>
      </c>
      <c r="F42" s="31" t="n">
        <f aca="false">COUNTIF(SENTENCES!$M$3:$Q$1802,$B42)</f>
        <v>0</v>
      </c>
      <c r="G42" s="31" t="n">
        <f aca="false">$E42+$F42</f>
        <v>0</v>
      </c>
      <c r="H42" s="31" t="n">
        <f aca="false">COUNTIFS(SENTENCES!$L$3:$L$1802,"&lt;="&amp;$B42,SENTENCES!$L$3:$L$1802,"&gt;0")</f>
        <v>0</v>
      </c>
      <c r="I42" s="31" t="str">
        <f aca="true">IF($B42&gt;TODAY(),"",MAX(0,$D42-$H42))</f>
        <v/>
      </c>
      <c r="J42" s="31" t="str">
        <f aca="false">IF($I42="","",ROUND($I42/SETTINGS!$C$4,1))</f>
        <v/>
      </c>
      <c r="K42" s="31" t="str">
        <f aca="true">IF($B42&gt;TODAY(),"",IF($E42&gt;=SETTINGS!$C$4,"✔ Đủ chỉ tiêu",IF($E42&gt;0,"⚠ Thiếu",IF($F42&gt;0,"◆ Chỉ ôn","✖ Nghỉ / Miss"))))</f>
        <v/>
      </c>
      <c r="L42" s="31" t="str">
        <f aca="false">IF($J42="","",IF($J42&gt;SETTINGS!$C$7,"🔴 VƯỢT NGƯỠNG ĐỆM",IF($J42&gt;3,"🟡 Cần học bù","🟢 Đang ổn")))</f>
        <v/>
      </c>
    </row>
    <row r="43" customFormat="false" ht="15" hidden="false" customHeight="false" outlineLevel="0" collapsed="false">
      <c r="A43" s="31" t="n">
        <v>41</v>
      </c>
      <c r="B43" s="32" t="n">
        <f aca="false">SETTINGS!$C$3+$A43-1</f>
        <v>46340</v>
      </c>
      <c r="C43" s="31" t="str">
        <f aca="false">CHOOSE(WEEKDAY($B43,2),"Thứ 2","Thứ 3","Thứ 4","Thứ 5","Thứ 6","Thứ 7","CN")</f>
        <v>Thứ 7</v>
      </c>
      <c r="D43" s="31" t="n">
        <f aca="false">MIN($A43*SETTINGS!$C$4,SETTINGS!$C$6)</f>
        <v>820</v>
      </c>
      <c r="E43" s="31" t="n">
        <f aca="false">COUNTIF(SENTENCES!$L$3:$L$1802,$B43)</f>
        <v>0</v>
      </c>
      <c r="F43" s="31" t="n">
        <f aca="false">COUNTIF(SENTENCES!$M$3:$Q$1802,$B43)</f>
        <v>0</v>
      </c>
      <c r="G43" s="31" t="n">
        <f aca="false">$E43+$F43</f>
        <v>0</v>
      </c>
      <c r="H43" s="31" t="n">
        <f aca="false">COUNTIFS(SENTENCES!$L$3:$L$1802,"&lt;="&amp;$B43,SENTENCES!$L$3:$L$1802,"&gt;0")</f>
        <v>0</v>
      </c>
      <c r="I43" s="31" t="str">
        <f aca="true">IF($B43&gt;TODAY(),"",MAX(0,$D43-$H43))</f>
        <v/>
      </c>
      <c r="J43" s="31" t="str">
        <f aca="false">IF($I43="","",ROUND($I43/SETTINGS!$C$4,1))</f>
        <v/>
      </c>
      <c r="K43" s="31" t="str">
        <f aca="true">IF($B43&gt;TODAY(),"",IF($E43&gt;=SETTINGS!$C$4,"✔ Đủ chỉ tiêu",IF($E43&gt;0,"⚠ Thiếu",IF($F43&gt;0,"◆ Chỉ ôn","✖ Nghỉ / Miss"))))</f>
        <v/>
      </c>
      <c r="L43" s="31" t="str">
        <f aca="false">IF($J43="","",IF($J43&gt;SETTINGS!$C$7,"🔴 VƯỢT NGƯỠNG ĐỆM",IF($J43&gt;3,"🟡 Cần học bù","🟢 Đang ổn")))</f>
        <v/>
      </c>
    </row>
    <row r="44" customFormat="false" ht="15" hidden="false" customHeight="false" outlineLevel="0" collapsed="false">
      <c r="A44" s="31" t="n">
        <v>42</v>
      </c>
      <c r="B44" s="32" t="n">
        <f aca="false">SETTINGS!$C$3+$A44-1</f>
        <v>46341</v>
      </c>
      <c r="C44" s="31" t="str">
        <f aca="false">CHOOSE(WEEKDAY($B44,2),"Thứ 2","Thứ 3","Thứ 4","Thứ 5","Thứ 6","Thứ 7","CN")</f>
        <v>CN</v>
      </c>
      <c r="D44" s="31" t="n">
        <f aca="false">MIN($A44*SETTINGS!$C$4,SETTINGS!$C$6)</f>
        <v>840</v>
      </c>
      <c r="E44" s="31" t="n">
        <f aca="false">COUNTIF(SENTENCES!$L$3:$L$1802,$B44)</f>
        <v>0</v>
      </c>
      <c r="F44" s="31" t="n">
        <f aca="false">COUNTIF(SENTENCES!$M$3:$Q$1802,$B44)</f>
        <v>0</v>
      </c>
      <c r="G44" s="31" t="n">
        <f aca="false">$E44+$F44</f>
        <v>0</v>
      </c>
      <c r="H44" s="31" t="n">
        <f aca="false">COUNTIFS(SENTENCES!$L$3:$L$1802,"&lt;="&amp;$B44,SENTENCES!$L$3:$L$1802,"&gt;0")</f>
        <v>0</v>
      </c>
      <c r="I44" s="31" t="str">
        <f aca="true">IF($B44&gt;TODAY(),"",MAX(0,$D44-$H44))</f>
        <v/>
      </c>
      <c r="J44" s="31" t="str">
        <f aca="false">IF($I44="","",ROUND($I44/SETTINGS!$C$4,1))</f>
        <v/>
      </c>
      <c r="K44" s="31" t="str">
        <f aca="true">IF($B44&gt;TODAY(),"",IF($E44&gt;=SETTINGS!$C$4,"✔ Đủ chỉ tiêu",IF($E44&gt;0,"⚠ Thiếu",IF($F44&gt;0,"◆ Chỉ ôn","✖ Nghỉ / Miss"))))</f>
        <v/>
      </c>
      <c r="L44" s="31" t="str">
        <f aca="false">IF($J44="","",IF($J44&gt;SETTINGS!$C$7,"🔴 VƯỢT NGƯỠNG ĐỆM",IF($J44&gt;3,"🟡 Cần học bù","🟢 Đang ổn")))</f>
        <v/>
      </c>
    </row>
    <row r="45" customFormat="false" ht="15" hidden="false" customHeight="false" outlineLevel="0" collapsed="false">
      <c r="A45" s="31" t="n">
        <v>43</v>
      </c>
      <c r="B45" s="32" t="n">
        <f aca="false">SETTINGS!$C$3+$A45-1</f>
        <v>46342</v>
      </c>
      <c r="C45" s="31" t="str">
        <f aca="false">CHOOSE(WEEKDAY($B45,2),"Thứ 2","Thứ 3","Thứ 4","Thứ 5","Thứ 6","Thứ 7","CN")</f>
        <v>Thứ 2</v>
      </c>
      <c r="D45" s="31" t="n">
        <f aca="false">MIN($A45*SETTINGS!$C$4,SETTINGS!$C$6)</f>
        <v>860</v>
      </c>
      <c r="E45" s="31" t="n">
        <f aca="false">COUNTIF(SENTENCES!$L$3:$L$1802,$B45)</f>
        <v>0</v>
      </c>
      <c r="F45" s="31" t="n">
        <f aca="false">COUNTIF(SENTENCES!$M$3:$Q$1802,$B45)</f>
        <v>0</v>
      </c>
      <c r="G45" s="31" t="n">
        <f aca="false">$E45+$F45</f>
        <v>0</v>
      </c>
      <c r="H45" s="31" t="n">
        <f aca="false">COUNTIFS(SENTENCES!$L$3:$L$1802,"&lt;="&amp;$B45,SENTENCES!$L$3:$L$1802,"&gt;0")</f>
        <v>0</v>
      </c>
      <c r="I45" s="31" t="str">
        <f aca="true">IF($B45&gt;TODAY(),"",MAX(0,$D45-$H45))</f>
        <v/>
      </c>
      <c r="J45" s="31" t="str">
        <f aca="false">IF($I45="","",ROUND($I45/SETTINGS!$C$4,1))</f>
        <v/>
      </c>
      <c r="K45" s="31" t="str">
        <f aca="true">IF($B45&gt;TODAY(),"",IF($E45&gt;=SETTINGS!$C$4,"✔ Đủ chỉ tiêu",IF($E45&gt;0,"⚠ Thiếu",IF($F45&gt;0,"◆ Chỉ ôn","✖ Nghỉ / Miss"))))</f>
        <v/>
      </c>
      <c r="L45" s="31" t="str">
        <f aca="false">IF($J45="","",IF($J45&gt;SETTINGS!$C$7,"🔴 VƯỢT NGƯỠNG ĐỆM",IF($J45&gt;3,"🟡 Cần học bù","🟢 Đang ổn")))</f>
        <v/>
      </c>
    </row>
    <row r="46" customFormat="false" ht="15" hidden="false" customHeight="false" outlineLevel="0" collapsed="false">
      <c r="A46" s="31" t="n">
        <v>44</v>
      </c>
      <c r="B46" s="32" t="n">
        <f aca="false">SETTINGS!$C$3+$A46-1</f>
        <v>46343</v>
      </c>
      <c r="C46" s="31" t="str">
        <f aca="false">CHOOSE(WEEKDAY($B46,2),"Thứ 2","Thứ 3","Thứ 4","Thứ 5","Thứ 6","Thứ 7","CN")</f>
        <v>Thứ 3</v>
      </c>
      <c r="D46" s="31" t="n">
        <f aca="false">MIN($A46*SETTINGS!$C$4,SETTINGS!$C$6)</f>
        <v>880</v>
      </c>
      <c r="E46" s="31" t="n">
        <f aca="false">COUNTIF(SENTENCES!$L$3:$L$1802,$B46)</f>
        <v>0</v>
      </c>
      <c r="F46" s="31" t="n">
        <f aca="false">COUNTIF(SENTENCES!$M$3:$Q$1802,$B46)</f>
        <v>0</v>
      </c>
      <c r="G46" s="31" t="n">
        <f aca="false">$E46+$F46</f>
        <v>0</v>
      </c>
      <c r="H46" s="31" t="n">
        <f aca="false">COUNTIFS(SENTENCES!$L$3:$L$1802,"&lt;="&amp;$B46,SENTENCES!$L$3:$L$1802,"&gt;0")</f>
        <v>0</v>
      </c>
      <c r="I46" s="31" t="str">
        <f aca="true">IF($B46&gt;TODAY(),"",MAX(0,$D46-$H46))</f>
        <v/>
      </c>
      <c r="J46" s="31" t="str">
        <f aca="false">IF($I46="","",ROUND($I46/SETTINGS!$C$4,1))</f>
        <v/>
      </c>
      <c r="K46" s="31" t="str">
        <f aca="true">IF($B46&gt;TODAY(),"",IF($E46&gt;=SETTINGS!$C$4,"✔ Đủ chỉ tiêu",IF($E46&gt;0,"⚠ Thiếu",IF($F46&gt;0,"◆ Chỉ ôn","✖ Nghỉ / Miss"))))</f>
        <v/>
      </c>
      <c r="L46" s="31" t="str">
        <f aca="false">IF($J46="","",IF($J46&gt;SETTINGS!$C$7,"🔴 VƯỢT NGƯỠNG ĐỆM",IF($J46&gt;3,"🟡 Cần học bù","🟢 Đang ổn")))</f>
        <v/>
      </c>
    </row>
    <row r="47" customFormat="false" ht="15" hidden="false" customHeight="false" outlineLevel="0" collapsed="false">
      <c r="A47" s="31" t="n">
        <v>45</v>
      </c>
      <c r="B47" s="32" t="n">
        <f aca="false">SETTINGS!$C$3+$A47-1</f>
        <v>46344</v>
      </c>
      <c r="C47" s="31" t="str">
        <f aca="false">CHOOSE(WEEKDAY($B47,2),"Thứ 2","Thứ 3","Thứ 4","Thứ 5","Thứ 6","Thứ 7","CN")</f>
        <v>Thứ 4</v>
      </c>
      <c r="D47" s="31" t="n">
        <f aca="false">MIN($A47*SETTINGS!$C$4,SETTINGS!$C$6)</f>
        <v>900</v>
      </c>
      <c r="E47" s="31" t="n">
        <f aca="false">COUNTIF(SENTENCES!$L$3:$L$1802,$B47)</f>
        <v>0</v>
      </c>
      <c r="F47" s="31" t="n">
        <f aca="false">COUNTIF(SENTENCES!$M$3:$Q$1802,$B47)</f>
        <v>0</v>
      </c>
      <c r="G47" s="31" t="n">
        <f aca="false">$E47+$F47</f>
        <v>0</v>
      </c>
      <c r="H47" s="31" t="n">
        <f aca="false">COUNTIFS(SENTENCES!$L$3:$L$1802,"&lt;="&amp;$B47,SENTENCES!$L$3:$L$1802,"&gt;0")</f>
        <v>0</v>
      </c>
      <c r="I47" s="31" t="str">
        <f aca="true">IF($B47&gt;TODAY(),"",MAX(0,$D47-$H47))</f>
        <v/>
      </c>
      <c r="J47" s="31" t="str">
        <f aca="false">IF($I47="","",ROUND($I47/SETTINGS!$C$4,1))</f>
        <v/>
      </c>
      <c r="K47" s="31" t="str">
        <f aca="true">IF($B47&gt;TODAY(),"",IF($E47&gt;=SETTINGS!$C$4,"✔ Đủ chỉ tiêu",IF($E47&gt;0,"⚠ Thiếu",IF($F47&gt;0,"◆ Chỉ ôn","✖ Nghỉ / Miss"))))</f>
        <v/>
      </c>
      <c r="L47" s="31" t="str">
        <f aca="false">IF($J47="","",IF($J47&gt;SETTINGS!$C$7,"🔴 VƯỢT NGƯỠNG ĐỆM",IF($J47&gt;3,"🟡 Cần học bù","🟢 Đang ổn")))</f>
        <v/>
      </c>
    </row>
    <row r="48" customFormat="false" ht="15" hidden="false" customHeight="false" outlineLevel="0" collapsed="false">
      <c r="A48" s="31" t="n">
        <v>46</v>
      </c>
      <c r="B48" s="32" t="n">
        <f aca="false">SETTINGS!$C$3+$A48-1</f>
        <v>46345</v>
      </c>
      <c r="C48" s="31" t="str">
        <f aca="false">CHOOSE(WEEKDAY($B48,2),"Thứ 2","Thứ 3","Thứ 4","Thứ 5","Thứ 6","Thứ 7","CN")</f>
        <v>Thứ 5</v>
      </c>
      <c r="D48" s="31" t="n">
        <f aca="false">MIN($A48*SETTINGS!$C$4,SETTINGS!$C$6)</f>
        <v>920</v>
      </c>
      <c r="E48" s="31" t="n">
        <f aca="false">COUNTIF(SENTENCES!$L$3:$L$1802,$B48)</f>
        <v>0</v>
      </c>
      <c r="F48" s="31" t="n">
        <f aca="false">COUNTIF(SENTENCES!$M$3:$Q$1802,$B48)</f>
        <v>0</v>
      </c>
      <c r="G48" s="31" t="n">
        <f aca="false">$E48+$F48</f>
        <v>0</v>
      </c>
      <c r="H48" s="31" t="n">
        <f aca="false">COUNTIFS(SENTENCES!$L$3:$L$1802,"&lt;="&amp;$B48,SENTENCES!$L$3:$L$1802,"&gt;0")</f>
        <v>0</v>
      </c>
      <c r="I48" s="31" t="str">
        <f aca="true">IF($B48&gt;TODAY(),"",MAX(0,$D48-$H48))</f>
        <v/>
      </c>
      <c r="J48" s="31" t="str">
        <f aca="false">IF($I48="","",ROUND($I48/SETTINGS!$C$4,1))</f>
        <v/>
      </c>
      <c r="K48" s="31" t="str">
        <f aca="true">IF($B48&gt;TODAY(),"",IF($E48&gt;=SETTINGS!$C$4,"✔ Đủ chỉ tiêu",IF($E48&gt;0,"⚠ Thiếu",IF($F48&gt;0,"◆ Chỉ ôn","✖ Nghỉ / Miss"))))</f>
        <v/>
      </c>
      <c r="L48" s="31" t="str">
        <f aca="false">IF($J48="","",IF($J48&gt;SETTINGS!$C$7,"🔴 VƯỢT NGƯỠNG ĐỆM",IF($J48&gt;3,"🟡 Cần học bù","🟢 Đang ổn")))</f>
        <v/>
      </c>
    </row>
    <row r="49" customFormat="false" ht="15" hidden="false" customHeight="false" outlineLevel="0" collapsed="false">
      <c r="A49" s="31" t="n">
        <v>47</v>
      </c>
      <c r="B49" s="32" t="n">
        <f aca="false">SETTINGS!$C$3+$A49-1</f>
        <v>46346</v>
      </c>
      <c r="C49" s="31" t="str">
        <f aca="false">CHOOSE(WEEKDAY($B49,2),"Thứ 2","Thứ 3","Thứ 4","Thứ 5","Thứ 6","Thứ 7","CN")</f>
        <v>Thứ 6</v>
      </c>
      <c r="D49" s="31" t="n">
        <f aca="false">MIN($A49*SETTINGS!$C$4,SETTINGS!$C$6)</f>
        <v>940</v>
      </c>
      <c r="E49" s="31" t="n">
        <f aca="false">COUNTIF(SENTENCES!$L$3:$L$1802,$B49)</f>
        <v>0</v>
      </c>
      <c r="F49" s="31" t="n">
        <f aca="false">COUNTIF(SENTENCES!$M$3:$Q$1802,$B49)</f>
        <v>0</v>
      </c>
      <c r="G49" s="31" t="n">
        <f aca="false">$E49+$F49</f>
        <v>0</v>
      </c>
      <c r="H49" s="31" t="n">
        <f aca="false">COUNTIFS(SENTENCES!$L$3:$L$1802,"&lt;="&amp;$B49,SENTENCES!$L$3:$L$1802,"&gt;0")</f>
        <v>0</v>
      </c>
      <c r="I49" s="31" t="str">
        <f aca="true">IF($B49&gt;TODAY(),"",MAX(0,$D49-$H49))</f>
        <v/>
      </c>
      <c r="J49" s="31" t="str">
        <f aca="false">IF($I49="","",ROUND($I49/SETTINGS!$C$4,1))</f>
        <v/>
      </c>
      <c r="K49" s="31" t="str">
        <f aca="true">IF($B49&gt;TODAY(),"",IF($E49&gt;=SETTINGS!$C$4,"✔ Đủ chỉ tiêu",IF($E49&gt;0,"⚠ Thiếu",IF($F49&gt;0,"◆ Chỉ ôn","✖ Nghỉ / Miss"))))</f>
        <v/>
      </c>
      <c r="L49" s="31" t="str">
        <f aca="false">IF($J49="","",IF($J49&gt;SETTINGS!$C$7,"🔴 VƯỢT NGƯỠNG ĐỆM",IF($J49&gt;3,"🟡 Cần học bù","🟢 Đang ổn")))</f>
        <v/>
      </c>
    </row>
    <row r="50" customFormat="false" ht="15" hidden="false" customHeight="false" outlineLevel="0" collapsed="false">
      <c r="A50" s="31" t="n">
        <v>48</v>
      </c>
      <c r="B50" s="32" t="n">
        <f aca="false">SETTINGS!$C$3+$A50-1</f>
        <v>46347</v>
      </c>
      <c r="C50" s="31" t="str">
        <f aca="false">CHOOSE(WEEKDAY($B50,2),"Thứ 2","Thứ 3","Thứ 4","Thứ 5","Thứ 6","Thứ 7","CN")</f>
        <v>Thứ 7</v>
      </c>
      <c r="D50" s="31" t="n">
        <f aca="false">MIN($A50*SETTINGS!$C$4,SETTINGS!$C$6)</f>
        <v>960</v>
      </c>
      <c r="E50" s="31" t="n">
        <f aca="false">COUNTIF(SENTENCES!$L$3:$L$1802,$B50)</f>
        <v>0</v>
      </c>
      <c r="F50" s="31" t="n">
        <f aca="false">COUNTIF(SENTENCES!$M$3:$Q$1802,$B50)</f>
        <v>0</v>
      </c>
      <c r="G50" s="31" t="n">
        <f aca="false">$E50+$F50</f>
        <v>0</v>
      </c>
      <c r="H50" s="31" t="n">
        <f aca="false">COUNTIFS(SENTENCES!$L$3:$L$1802,"&lt;="&amp;$B50,SENTENCES!$L$3:$L$1802,"&gt;0")</f>
        <v>0</v>
      </c>
      <c r="I50" s="31" t="str">
        <f aca="true">IF($B50&gt;TODAY(),"",MAX(0,$D50-$H50))</f>
        <v/>
      </c>
      <c r="J50" s="31" t="str">
        <f aca="false">IF($I50="","",ROUND($I50/SETTINGS!$C$4,1))</f>
        <v/>
      </c>
      <c r="K50" s="31" t="str">
        <f aca="true">IF($B50&gt;TODAY(),"",IF($E50&gt;=SETTINGS!$C$4,"✔ Đủ chỉ tiêu",IF($E50&gt;0,"⚠ Thiếu",IF($F50&gt;0,"◆ Chỉ ôn","✖ Nghỉ / Miss"))))</f>
        <v/>
      </c>
      <c r="L50" s="31" t="str">
        <f aca="false">IF($J50="","",IF($J50&gt;SETTINGS!$C$7,"🔴 VƯỢT NGƯỠNG ĐỆM",IF($J50&gt;3,"🟡 Cần học bù","🟢 Đang ổn")))</f>
        <v/>
      </c>
    </row>
    <row r="51" customFormat="false" ht="15" hidden="false" customHeight="false" outlineLevel="0" collapsed="false">
      <c r="A51" s="31" t="n">
        <v>49</v>
      </c>
      <c r="B51" s="32" t="n">
        <f aca="false">SETTINGS!$C$3+$A51-1</f>
        <v>46348</v>
      </c>
      <c r="C51" s="31" t="str">
        <f aca="false">CHOOSE(WEEKDAY($B51,2),"Thứ 2","Thứ 3","Thứ 4","Thứ 5","Thứ 6","Thứ 7","CN")</f>
        <v>CN</v>
      </c>
      <c r="D51" s="31" t="n">
        <f aca="false">MIN($A51*SETTINGS!$C$4,SETTINGS!$C$6)</f>
        <v>980</v>
      </c>
      <c r="E51" s="31" t="n">
        <f aca="false">COUNTIF(SENTENCES!$L$3:$L$1802,$B51)</f>
        <v>0</v>
      </c>
      <c r="F51" s="31" t="n">
        <f aca="false">COUNTIF(SENTENCES!$M$3:$Q$1802,$B51)</f>
        <v>0</v>
      </c>
      <c r="G51" s="31" t="n">
        <f aca="false">$E51+$F51</f>
        <v>0</v>
      </c>
      <c r="H51" s="31" t="n">
        <f aca="false">COUNTIFS(SENTENCES!$L$3:$L$1802,"&lt;="&amp;$B51,SENTENCES!$L$3:$L$1802,"&gt;0")</f>
        <v>0</v>
      </c>
      <c r="I51" s="31" t="str">
        <f aca="true">IF($B51&gt;TODAY(),"",MAX(0,$D51-$H51))</f>
        <v/>
      </c>
      <c r="J51" s="31" t="str">
        <f aca="false">IF($I51="","",ROUND($I51/SETTINGS!$C$4,1))</f>
        <v/>
      </c>
      <c r="K51" s="31" t="str">
        <f aca="true">IF($B51&gt;TODAY(),"",IF($E51&gt;=SETTINGS!$C$4,"✔ Đủ chỉ tiêu",IF($E51&gt;0,"⚠ Thiếu",IF($F51&gt;0,"◆ Chỉ ôn","✖ Nghỉ / Miss"))))</f>
        <v/>
      </c>
      <c r="L51" s="31" t="str">
        <f aca="false">IF($J51="","",IF($J51&gt;SETTINGS!$C$7,"🔴 VƯỢT NGƯỠNG ĐỆM",IF($J51&gt;3,"🟡 Cần học bù","🟢 Đang ổn")))</f>
        <v/>
      </c>
    </row>
    <row r="52" customFormat="false" ht="15" hidden="false" customHeight="false" outlineLevel="0" collapsed="false">
      <c r="A52" s="31" t="n">
        <v>50</v>
      </c>
      <c r="B52" s="32" t="n">
        <f aca="false">SETTINGS!$C$3+$A52-1</f>
        <v>46349</v>
      </c>
      <c r="C52" s="31" t="str">
        <f aca="false">CHOOSE(WEEKDAY($B52,2),"Thứ 2","Thứ 3","Thứ 4","Thứ 5","Thứ 6","Thứ 7","CN")</f>
        <v>Thứ 2</v>
      </c>
      <c r="D52" s="31" t="n">
        <f aca="false">MIN($A52*SETTINGS!$C$4,SETTINGS!$C$6)</f>
        <v>1000</v>
      </c>
      <c r="E52" s="31" t="n">
        <f aca="false">COUNTIF(SENTENCES!$L$3:$L$1802,$B52)</f>
        <v>0</v>
      </c>
      <c r="F52" s="31" t="n">
        <f aca="false">COUNTIF(SENTENCES!$M$3:$Q$1802,$B52)</f>
        <v>0</v>
      </c>
      <c r="G52" s="31" t="n">
        <f aca="false">$E52+$F52</f>
        <v>0</v>
      </c>
      <c r="H52" s="31" t="n">
        <f aca="false">COUNTIFS(SENTENCES!$L$3:$L$1802,"&lt;="&amp;$B52,SENTENCES!$L$3:$L$1802,"&gt;0")</f>
        <v>0</v>
      </c>
      <c r="I52" s="31" t="str">
        <f aca="true">IF($B52&gt;TODAY(),"",MAX(0,$D52-$H52))</f>
        <v/>
      </c>
      <c r="J52" s="31" t="str">
        <f aca="false">IF($I52="","",ROUND($I52/SETTINGS!$C$4,1))</f>
        <v/>
      </c>
      <c r="K52" s="31" t="str">
        <f aca="true">IF($B52&gt;TODAY(),"",IF($E52&gt;=SETTINGS!$C$4,"✔ Đủ chỉ tiêu",IF($E52&gt;0,"⚠ Thiếu",IF($F52&gt;0,"◆ Chỉ ôn","✖ Nghỉ / Miss"))))</f>
        <v/>
      </c>
      <c r="L52" s="31" t="str">
        <f aca="false">IF($J52="","",IF($J52&gt;SETTINGS!$C$7,"🔴 VƯỢT NGƯỠNG ĐỆM",IF($J52&gt;3,"🟡 Cần học bù","🟢 Đang ổn")))</f>
        <v/>
      </c>
    </row>
    <row r="53" customFormat="false" ht="15" hidden="false" customHeight="false" outlineLevel="0" collapsed="false">
      <c r="A53" s="31" t="n">
        <v>51</v>
      </c>
      <c r="B53" s="32" t="n">
        <f aca="false">SETTINGS!$C$3+$A53-1</f>
        <v>46350</v>
      </c>
      <c r="C53" s="31" t="str">
        <f aca="false">CHOOSE(WEEKDAY($B53,2),"Thứ 2","Thứ 3","Thứ 4","Thứ 5","Thứ 6","Thứ 7","CN")</f>
        <v>Thứ 3</v>
      </c>
      <c r="D53" s="31" t="n">
        <f aca="false">MIN($A53*SETTINGS!$C$4,SETTINGS!$C$6)</f>
        <v>1020</v>
      </c>
      <c r="E53" s="31" t="n">
        <f aca="false">COUNTIF(SENTENCES!$L$3:$L$1802,$B53)</f>
        <v>0</v>
      </c>
      <c r="F53" s="31" t="n">
        <f aca="false">COUNTIF(SENTENCES!$M$3:$Q$1802,$B53)</f>
        <v>0</v>
      </c>
      <c r="G53" s="31" t="n">
        <f aca="false">$E53+$F53</f>
        <v>0</v>
      </c>
      <c r="H53" s="31" t="n">
        <f aca="false">COUNTIFS(SENTENCES!$L$3:$L$1802,"&lt;="&amp;$B53,SENTENCES!$L$3:$L$1802,"&gt;0")</f>
        <v>0</v>
      </c>
      <c r="I53" s="31" t="str">
        <f aca="true">IF($B53&gt;TODAY(),"",MAX(0,$D53-$H53))</f>
        <v/>
      </c>
      <c r="J53" s="31" t="str">
        <f aca="false">IF($I53="","",ROUND($I53/SETTINGS!$C$4,1))</f>
        <v/>
      </c>
      <c r="K53" s="31" t="str">
        <f aca="true">IF($B53&gt;TODAY(),"",IF($E53&gt;=SETTINGS!$C$4,"✔ Đủ chỉ tiêu",IF($E53&gt;0,"⚠ Thiếu",IF($F53&gt;0,"◆ Chỉ ôn","✖ Nghỉ / Miss"))))</f>
        <v/>
      </c>
      <c r="L53" s="31" t="str">
        <f aca="false">IF($J53="","",IF($J53&gt;SETTINGS!$C$7,"🔴 VƯỢT NGƯỠNG ĐỆM",IF($J53&gt;3,"🟡 Cần học bù","🟢 Đang ổn")))</f>
        <v/>
      </c>
    </row>
    <row r="54" customFormat="false" ht="15" hidden="false" customHeight="false" outlineLevel="0" collapsed="false">
      <c r="A54" s="31" t="n">
        <v>52</v>
      </c>
      <c r="B54" s="32" t="n">
        <f aca="false">SETTINGS!$C$3+$A54-1</f>
        <v>46351</v>
      </c>
      <c r="C54" s="31" t="str">
        <f aca="false">CHOOSE(WEEKDAY($B54,2),"Thứ 2","Thứ 3","Thứ 4","Thứ 5","Thứ 6","Thứ 7","CN")</f>
        <v>Thứ 4</v>
      </c>
      <c r="D54" s="31" t="n">
        <f aca="false">MIN($A54*SETTINGS!$C$4,SETTINGS!$C$6)</f>
        <v>1040</v>
      </c>
      <c r="E54" s="31" t="n">
        <f aca="false">COUNTIF(SENTENCES!$L$3:$L$1802,$B54)</f>
        <v>0</v>
      </c>
      <c r="F54" s="31" t="n">
        <f aca="false">COUNTIF(SENTENCES!$M$3:$Q$1802,$B54)</f>
        <v>0</v>
      </c>
      <c r="G54" s="31" t="n">
        <f aca="false">$E54+$F54</f>
        <v>0</v>
      </c>
      <c r="H54" s="31" t="n">
        <f aca="false">COUNTIFS(SENTENCES!$L$3:$L$1802,"&lt;="&amp;$B54,SENTENCES!$L$3:$L$1802,"&gt;0")</f>
        <v>0</v>
      </c>
      <c r="I54" s="31" t="str">
        <f aca="true">IF($B54&gt;TODAY(),"",MAX(0,$D54-$H54))</f>
        <v/>
      </c>
      <c r="J54" s="31" t="str">
        <f aca="false">IF($I54="","",ROUND($I54/SETTINGS!$C$4,1))</f>
        <v/>
      </c>
      <c r="K54" s="31" t="str">
        <f aca="true">IF($B54&gt;TODAY(),"",IF($E54&gt;=SETTINGS!$C$4,"✔ Đủ chỉ tiêu",IF($E54&gt;0,"⚠ Thiếu",IF($F54&gt;0,"◆ Chỉ ôn","✖ Nghỉ / Miss"))))</f>
        <v/>
      </c>
      <c r="L54" s="31" t="str">
        <f aca="false">IF($J54="","",IF($J54&gt;SETTINGS!$C$7,"🔴 VƯỢT NGƯỠNG ĐỆM",IF($J54&gt;3,"🟡 Cần học bù","🟢 Đang ổn")))</f>
        <v/>
      </c>
    </row>
    <row r="55" customFormat="false" ht="15" hidden="false" customHeight="false" outlineLevel="0" collapsed="false">
      <c r="A55" s="31" t="n">
        <v>53</v>
      </c>
      <c r="B55" s="32" t="n">
        <f aca="false">SETTINGS!$C$3+$A55-1</f>
        <v>46352</v>
      </c>
      <c r="C55" s="31" t="str">
        <f aca="false">CHOOSE(WEEKDAY($B55,2),"Thứ 2","Thứ 3","Thứ 4","Thứ 5","Thứ 6","Thứ 7","CN")</f>
        <v>Thứ 5</v>
      </c>
      <c r="D55" s="31" t="n">
        <f aca="false">MIN($A55*SETTINGS!$C$4,SETTINGS!$C$6)</f>
        <v>1060</v>
      </c>
      <c r="E55" s="31" t="n">
        <f aca="false">COUNTIF(SENTENCES!$L$3:$L$1802,$B55)</f>
        <v>0</v>
      </c>
      <c r="F55" s="31" t="n">
        <f aca="false">COUNTIF(SENTENCES!$M$3:$Q$1802,$B55)</f>
        <v>0</v>
      </c>
      <c r="G55" s="31" t="n">
        <f aca="false">$E55+$F55</f>
        <v>0</v>
      </c>
      <c r="H55" s="31" t="n">
        <f aca="false">COUNTIFS(SENTENCES!$L$3:$L$1802,"&lt;="&amp;$B55,SENTENCES!$L$3:$L$1802,"&gt;0")</f>
        <v>0</v>
      </c>
      <c r="I55" s="31" t="str">
        <f aca="true">IF($B55&gt;TODAY(),"",MAX(0,$D55-$H55))</f>
        <v/>
      </c>
      <c r="J55" s="31" t="str">
        <f aca="false">IF($I55="","",ROUND($I55/SETTINGS!$C$4,1))</f>
        <v/>
      </c>
      <c r="K55" s="31" t="str">
        <f aca="true">IF($B55&gt;TODAY(),"",IF($E55&gt;=SETTINGS!$C$4,"✔ Đủ chỉ tiêu",IF($E55&gt;0,"⚠ Thiếu",IF($F55&gt;0,"◆ Chỉ ôn","✖ Nghỉ / Miss"))))</f>
        <v/>
      </c>
      <c r="L55" s="31" t="str">
        <f aca="false">IF($J55="","",IF($J55&gt;SETTINGS!$C$7,"🔴 VƯỢT NGƯỠNG ĐỆM",IF($J55&gt;3,"🟡 Cần học bù","🟢 Đang ổn")))</f>
        <v/>
      </c>
    </row>
    <row r="56" customFormat="false" ht="15" hidden="false" customHeight="false" outlineLevel="0" collapsed="false">
      <c r="A56" s="31" t="n">
        <v>54</v>
      </c>
      <c r="B56" s="32" t="n">
        <f aca="false">SETTINGS!$C$3+$A56-1</f>
        <v>46353</v>
      </c>
      <c r="C56" s="31" t="str">
        <f aca="false">CHOOSE(WEEKDAY($B56,2),"Thứ 2","Thứ 3","Thứ 4","Thứ 5","Thứ 6","Thứ 7","CN")</f>
        <v>Thứ 6</v>
      </c>
      <c r="D56" s="31" t="n">
        <f aca="false">MIN($A56*SETTINGS!$C$4,SETTINGS!$C$6)</f>
        <v>1080</v>
      </c>
      <c r="E56" s="31" t="n">
        <f aca="false">COUNTIF(SENTENCES!$L$3:$L$1802,$B56)</f>
        <v>0</v>
      </c>
      <c r="F56" s="31" t="n">
        <f aca="false">COUNTIF(SENTENCES!$M$3:$Q$1802,$B56)</f>
        <v>0</v>
      </c>
      <c r="G56" s="31" t="n">
        <f aca="false">$E56+$F56</f>
        <v>0</v>
      </c>
      <c r="H56" s="31" t="n">
        <f aca="false">COUNTIFS(SENTENCES!$L$3:$L$1802,"&lt;="&amp;$B56,SENTENCES!$L$3:$L$1802,"&gt;0")</f>
        <v>0</v>
      </c>
      <c r="I56" s="31" t="str">
        <f aca="true">IF($B56&gt;TODAY(),"",MAX(0,$D56-$H56))</f>
        <v/>
      </c>
      <c r="J56" s="31" t="str">
        <f aca="false">IF($I56="","",ROUND($I56/SETTINGS!$C$4,1))</f>
        <v/>
      </c>
      <c r="K56" s="31" t="str">
        <f aca="true">IF($B56&gt;TODAY(),"",IF($E56&gt;=SETTINGS!$C$4,"✔ Đủ chỉ tiêu",IF($E56&gt;0,"⚠ Thiếu",IF($F56&gt;0,"◆ Chỉ ôn","✖ Nghỉ / Miss"))))</f>
        <v/>
      </c>
      <c r="L56" s="31" t="str">
        <f aca="false">IF($J56="","",IF($J56&gt;SETTINGS!$C$7,"🔴 VƯỢT NGƯỠNG ĐỆM",IF($J56&gt;3,"🟡 Cần học bù","🟢 Đang ổn")))</f>
        <v/>
      </c>
    </row>
    <row r="57" customFormat="false" ht="15" hidden="false" customHeight="false" outlineLevel="0" collapsed="false">
      <c r="A57" s="31" t="n">
        <v>55</v>
      </c>
      <c r="B57" s="32" t="n">
        <f aca="false">SETTINGS!$C$3+$A57-1</f>
        <v>46354</v>
      </c>
      <c r="C57" s="31" t="str">
        <f aca="false">CHOOSE(WEEKDAY($B57,2),"Thứ 2","Thứ 3","Thứ 4","Thứ 5","Thứ 6","Thứ 7","CN")</f>
        <v>Thứ 7</v>
      </c>
      <c r="D57" s="31" t="n">
        <f aca="false">MIN($A57*SETTINGS!$C$4,SETTINGS!$C$6)</f>
        <v>1100</v>
      </c>
      <c r="E57" s="31" t="n">
        <f aca="false">COUNTIF(SENTENCES!$L$3:$L$1802,$B57)</f>
        <v>0</v>
      </c>
      <c r="F57" s="31" t="n">
        <f aca="false">COUNTIF(SENTENCES!$M$3:$Q$1802,$B57)</f>
        <v>0</v>
      </c>
      <c r="G57" s="31" t="n">
        <f aca="false">$E57+$F57</f>
        <v>0</v>
      </c>
      <c r="H57" s="31" t="n">
        <f aca="false">COUNTIFS(SENTENCES!$L$3:$L$1802,"&lt;="&amp;$B57,SENTENCES!$L$3:$L$1802,"&gt;0")</f>
        <v>0</v>
      </c>
      <c r="I57" s="31" t="str">
        <f aca="true">IF($B57&gt;TODAY(),"",MAX(0,$D57-$H57))</f>
        <v/>
      </c>
      <c r="J57" s="31" t="str">
        <f aca="false">IF($I57="","",ROUND($I57/SETTINGS!$C$4,1))</f>
        <v/>
      </c>
      <c r="K57" s="31" t="str">
        <f aca="true">IF($B57&gt;TODAY(),"",IF($E57&gt;=SETTINGS!$C$4,"✔ Đủ chỉ tiêu",IF($E57&gt;0,"⚠ Thiếu",IF($F57&gt;0,"◆ Chỉ ôn","✖ Nghỉ / Miss"))))</f>
        <v/>
      </c>
      <c r="L57" s="31" t="str">
        <f aca="false">IF($J57="","",IF($J57&gt;SETTINGS!$C$7,"🔴 VƯỢT NGƯỠNG ĐỆM",IF($J57&gt;3,"🟡 Cần học bù","🟢 Đang ổn")))</f>
        <v/>
      </c>
    </row>
    <row r="58" customFormat="false" ht="15" hidden="false" customHeight="false" outlineLevel="0" collapsed="false">
      <c r="A58" s="31" t="n">
        <v>56</v>
      </c>
      <c r="B58" s="32" t="n">
        <f aca="false">SETTINGS!$C$3+$A58-1</f>
        <v>46355</v>
      </c>
      <c r="C58" s="31" t="str">
        <f aca="false">CHOOSE(WEEKDAY($B58,2),"Thứ 2","Thứ 3","Thứ 4","Thứ 5","Thứ 6","Thứ 7","CN")</f>
        <v>CN</v>
      </c>
      <c r="D58" s="31" t="n">
        <f aca="false">MIN($A58*SETTINGS!$C$4,SETTINGS!$C$6)</f>
        <v>1120</v>
      </c>
      <c r="E58" s="31" t="n">
        <f aca="false">COUNTIF(SENTENCES!$L$3:$L$1802,$B58)</f>
        <v>0</v>
      </c>
      <c r="F58" s="31" t="n">
        <f aca="false">COUNTIF(SENTENCES!$M$3:$Q$1802,$B58)</f>
        <v>0</v>
      </c>
      <c r="G58" s="31" t="n">
        <f aca="false">$E58+$F58</f>
        <v>0</v>
      </c>
      <c r="H58" s="31" t="n">
        <f aca="false">COUNTIFS(SENTENCES!$L$3:$L$1802,"&lt;="&amp;$B58,SENTENCES!$L$3:$L$1802,"&gt;0")</f>
        <v>0</v>
      </c>
      <c r="I58" s="31" t="str">
        <f aca="true">IF($B58&gt;TODAY(),"",MAX(0,$D58-$H58))</f>
        <v/>
      </c>
      <c r="J58" s="31" t="str">
        <f aca="false">IF($I58="","",ROUND($I58/SETTINGS!$C$4,1))</f>
        <v/>
      </c>
      <c r="K58" s="31" t="str">
        <f aca="true">IF($B58&gt;TODAY(),"",IF($E58&gt;=SETTINGS!$C$4,"✔ Đủ chỉ tiêu",IF($E58&gt;0,"⚠ Thiếu",IF($F58&gt;0,"◆ Chỉ ôn","✖ Nghỉ / Miss"))))</f>
        <v/>
      </c>
      <c r="L58" s="31" t="str">
        <f aca="false">IF($J58="","",IF($J58&gt;SETTINGS!$C$7,"🔴 VƯỢT NGƯỠNG ĐỆM",IF($J58&gt;3,"🟡 Cần học bù","🟢 Đang ổn")))</f>
        <v/>
      </c>
    </row>
    <row r="59" customFormat="false" ht="15" hidden="false" customHeight="false" outlineLevel="0" collapsed="false">
      <c r="A59" s="31" t="n">
        <v>57</v>
      </c>
      <c r="B59" s="32" t="n">
        <f aca="false">SETTINGS!$C$3+$A59-1</f>
        <v>46356</v>
      </c>
      <c r="C59" s="31" t="str">
        <f aca="false">CHOOSE(WEEKDAY($B59,2),"Thứ 2","Thứ 3","Thứ 4","Thứ 5","Thứ 6","Thứ 7","CN")</f>
        <v>Thứ 2</v>
      </c>
      <c r="D59" s="31" t="n">
        <f aca="false">MIN($A59*SETTINGS!$C$4,SETTINGS!$C$6)</f>
        <v>1140</v>
      </c>
      <c r="E59" s="31" t="n">
        <f aca="false">COUNTIF(SENTENCES!$L$3:$L$1802,$B59)</f>
        <v>0</v>
      </c>
      <c r="F59" s="31" t="n">
        <f aca="false">COUNTIF(SENTENCES!$M$3:$Q$1802,$B59)</f>
        <v>0</v>
      </c>
      <c r="G59" s="31" t="n">
        <f aca="false">$E59+$F59</f>
        <v>0</v>
      </c>
      <c r="H59" s="31" t="n">
        <f aca="false">COUNTIFS(SENTENCES!$L$3:$L$1802,"&lt;="&amp;$B59,SENTENCES!$L$3:$L$1802,"&gt;0")</f>
        <v>0</v>
      </c>
      <c r="I59" s="31" t="str">
        <f aca="true">IF($B59&gt;TODAY(),"",MAX(0,$D59-$H59))</f>
        <v/>
      </c>
      <c r="J59" s="31" t="str">
        <f aca="false">IF($I59="","",ROUND($I59/SETTINGS!$C$4,1))</f>
        <v/>
      </c>
      <c r="K59" s="31" t="str">
        <f aca="true">IF($B59&gt;TODAY(),"",IF($E59&gt;=SETTINGS!$C$4,"✔ Đủ chỉ tiêu",IF($E59&gt;0,"⚠ Thiếu",IF($F59&gt;0,"◆ Chỉ ôn","✖ Nghỉ / Miss"))))</f>
        <v/>
      </c>
      <c r="L59" s="31" t="str">
        <f aca="false">IF($J59="","",IF($J59&gt;SETTINGS!$C$7,"🔴 VƯỢT NGƯỠNG ĐỆM",IF($J59&gt;3,"🟡 Cần học bù","🟢 Đang ổn")))</f>
        <v/>
      </c>
    </row>
    <row r="60" customFormat="false" ht="15" hidden="false" customHeight="false" outlineLevel="0" collapsed="false">
      <c r="A60" s="31" t="n">
        <v>58</v>
      </c>
      <c r="B60" s="32" t="n">
        <f aca="false">SETTINGS!$C$3+$A60-1</f>
        <v>46357</v>
      </c>
      <c r="C60" s="31" t="str">
        <f aca="false">CHOOSE(WEEKDAY($B60,2),"Thứ 2","Thứ 3","Thứ 4","Thứ 5","Thứ 6","Thứ 7","CN")</f>
        <v>Thứ 3</v>
      </c>
      <c r="D60" s="31" t="n">
        <f aca="false">MIN($A60*SETTINGS!$C$4,SETTINGS!$C$6)</f>
        <v>1160</v>
      </c>
      <c r="E60" s="31" t="n">
        <f aca="false">COUNTIF(SENTENCES!$L$3:$L$1802,$B60)</f>
        <v>0</v>
      </c>
      <c r="F60" s="31" t="n">
        <f aca="false">COUNTIF(SENTENCES!$M$3:$Q$1802,$B60)</f>
        <v>0</v>
      </c>
      <c r="G60" s="31" t="n">
        <f aca="false">$E60+$F60</f>
        <v>0</v>
      </c>
      <c r="H60" s="31" t="n">
        <f aca="false">COUNTIFS(SENTENCES!$L$3:$L$1802,"&lt;="&amp;$B60,SENTENCES!$L$3:$L$1802,"&gt;0")</f>
        <v>0</v>
      </c>
      <c r="I60" s="31" t="str">
        <f aca="true">IF($B60&gt;TODAY(),"",MAX(0,$D60-$H60))</f>
        <v/>
      </c>
      <c r="J60" s="31" t="str">
        <f aca="false">IF($I60="","",ROUND($I60/SETTINGS!$C$4,1))</f>
        <v/>
      </c>
      <c r="K60" s="31" t="str">
        <f aca="true">IF($B60&gt;TODAY(),"",IF($E60&gt;=SETTINGS!$C$4,"✔ Đủ chỉ tiêu",IF($E60&gt;0,"⚠ Thiếu",IF($F60&gt;0,"◆ Chỉ ôn","✖ Nghỉ / Miss"))))</f>
        <v/>
      </c>
      <c r="L60" s="31" t="str">
        <f aca="false">IF($J60="","",IF($J60&gt;SETTINGS!$C$7,"🔴 VƯỢT NGƯỠNG ĐỆM",IF($J60&gt;3,"🟡 Cần học bù","🟢 Đang ổn")))</f>
        <v/>
      </c>
    </row>
    <row r="61" customFormat="false" ht="15" hidden="false" customHeight="false" outlineLevel="0" collapsed="false">
      <c r="A61" s="31" t="n">
        <v>59</v>
      </c>
      <c r="B61" s="32" t="n">
        <f aca="false">SETTINGS!$C$3+$A61-1</f>
        <v>46358</v>
      </c>
      <c r="C61" s="31" t="str">
        <f aca="false">CHOOSE(WEEKDAY($B61,2),"Thứ 2","Thứ 3","Thứ 4","Thứ 5","Thứ 6","Thứ 7","CN")</f>
        <v>Thứ 4</v>
      </c>
      <c r="D61" s="31" t="n">
        <f aca="false">MIN($A61*SETTINGS!$C$4,SETTINGS!$C$6)</f>
        <v>1180</v>
      </c>
      <c r="E61" s="31" t="n">
        <f aca="false">COUNTIF(SENTENCES!$L$3:$L$1802,$B61)</f>
        <v>0</v>
      </c>
      <c r="F61" s="31" t="n">
        <f aca="false">COUNTIF(SENTENCES!$M$3:$Q$1802,$B61)</f>
        <v>0</v>
      </c>
      <c r="G61" s="31" t="n">
        <f aca="false">$E61+$F61</f>
        <v>0</v>
      </c>
      <c r="H61" s="31" t="n">
        <f aca="false">COUNTIFS(SENTENCES!$L$3:$L$1802,"&lt;="&amp;$B61,SENTENCES!$L$3:$L$1802,"&gt;0")</f>
        <v>0</v>
      </c>
      <c r="I61" s="31" t="str">
        <f aca="true">IF($B61&gt;TODAY(),"",MAX(0,$D61-$H61))</f>
        <v/>
      </c>
      <c r="J61" s="31" t="str">
        <f aca="false">IF($I61="","",ROUND($I61/SETTINGS!$C$4,1))</f>
        <v/>
      </c>
      <c r="K61" s="31" t="str">
        <f aca="true">IF($B61&gt;TODAY(),"",IF($E61&gt;=SETTINGS!$C$4,"✔ Đủ chỉ tiêu",IF($E61&gt;0,"⚠ Thiếu",IF($F61&gt;0,"◆ Chỉ ôn","✖ Nghỉ / Miss"))))</f>
        <v/>
      </c>
      <c r="L61" s="31" t="str">
        <f aca="false">IF($J61="","",IF($J61&gt;SETTINGS!$C$7,"🔴 VƯỢT NGƯỠNG ĐỆM",IF($J61&gt;3,"🟡 Cần học bù","🟢 Đang ổn")))</f>
        <v/>
      </c>
    </row>
    <row r="62" customFormat="false" ht="15" hidden="false" customHeight="false" outlineLevel="0" collapsed="false">
      <c r="A62" s="31" t="n">
        <v>60</v>
      </c>
      <c r="B62" s="32" t="n">
        <f aca="false">SETTINGS!$C$3+$A62-1</f>
        <v>46359</v>
      </c>
      <c r="C62" s="31" t="str">
        <f aca="false">CHOOSE(WEEKDAY($B62,2),"Thứ 2","Thứ 3","Thứ 4","Thứ 5","Thứ 6","Thứ 7","CN")</f>
        <v>Thứ 5</v>
      </c>
      <c r="D62" s="31" t="n">
        <f aca="false">MIN($A62*SETTINGS!$C$4,SETTINGS!$C$6)</f>
        <v>1200</v>
      </c>
      <c r="E62" s="31" t="n">
        <f aca="false">COUNTIF(SENTENCES!$L$3:$L$1802,$B62)</f>
        <v>0</v>
      </c>
      <c r="F62" s="31" t="n">
        <f aca="false">COUNTIF(SENTENCES!$M$3:$Q$1802,$B62)</f>
        <v>0</v>
      </c>
      <c r="G62" s="31" t="n">
        <f aca="false">$E62+$F62</f>
        <v>0</v>
      </c>
      <c r="H62" s="31" t="n">
        <f aca="false">COUNTIFS(SENTENCES!$L$3:$L$1802,"&lt;="&amp;$B62,SENTENCES!$L$3:$L$1802,"&gt;0")</f>
        <v>0</v>
      </c>
      <c r="I62" s="31" t="str">
        <f aca="true">IF($B62&gt;TODAY(),"",MAX(0,$D62-$H62))</f>
        <v/>
      </c>
      <c r="J62" s="31" t="str">
        <f aca="false">IF($I62="","",ROUND($I62/SETTINGS!$C$4,1))</f>
        <v/>
      </c>
      <c r="K62" s="31" t="str">
        <f aca="true">IF($B62&gt;TODAY(),"",IF($E62&gt;=SETTINGS!$C$4,"✔ Đủ chỉ tiêu",IF($E62&gt;0,"⚠ Thiếu",IF($F62&gt;0,"◆ Chỉ ôn","✖ Nghỉ / Miss"))))</f>
        <v/>
      </c>
      <c r="L62" s="31" t="str">
        <f aca="false">IF($J62="","",IF($J62&gt;SETTINGS!$C$7,"🔴 VƯỢT NGƯỠNG ĐỆM",IF($J62&gt;3,"🟡 Cần học bù","🟢 Đang ổn")))</f>
        <v/>
      </c>
    </row>
    <row r="63" customFormat="false" ht="15" hidden="false" customHeight="false" outlineLevel="0" collapsed="false">
      <c r="A63" s="31" t="n">
        <v>61</v>
      </c>
      <c r="B63" s="32" t="n">
        <f aca="false">SETTINGS!$C$3+$A63-1</f>
        <v>46360</v>
      </c>
      <c r="C63" s="31" t="str">
        <f aca="false">CHOOSE(WEEKDAY($B63,2),"Thứ 2","Thứ 3","Thứ 4","Thứ 5","Thứ 6","Thứ 7","CN")</f>
        <v>Thứ 6</v>
      </c>
      <c r="D63" s="31" t="n">
        <f aca="false">MIN($A63*SETTINGS!$C$4,SETTINGS!$C$6)</f>
        <v>1220</v>
      </c>
      <c r="E63" s="31" t="n">
        <f aca="false">COUNTIF(SENTENCES!$L$3:$L$1802,$B63)</f>
        <v>0</v>
      </c>
      <c r="F63" s="31" t="n">
        <f aca="false">COUNTIF(SENTENCES!$M$3:$Q$1802,$B63)</f>
        <v>0</v>
      </c>
      <c r="G63" s="31" t="n">
        <f aca="false">$E63+$F63</f>
        <v>0</v>
      </c>
      <c r="H63" s="31" t="n">
        <f aca="false">COUNTIFS(SENTENCES!$L$3:$L$1802,"&lt;="&amp;$B63,SENTENCES!$L$3:$L$1802,"&gt;0")</f>
        <v>0</v>
      </c>
      <c r="I63" s="31" t="str">
        <f aca="true">IF($B63&gt;TODAY(),"",MAX(0,$D63-$H63))</f>
        <v/>
      </c>
      <c r="J63" s="31" t="str">
        <f aca="false">IF($I63="","",ROUND($I63/SETTINGS!$C$4,1))</f>
        <v/>
      </c>
      <c r="K63" s="31" t="str">
        <f aca="true">IF($B63&gt;TODAY(),"",IF($E63&gt;=SETTINGS!$C$4,"✔ Đủ chỉ tiêu",IF($E63&gt;0,"⚠ Thiếu",IF($F63&gt;0,"◆ Chỉ ôn","✖ Nghỉ / Miss"))))</f>
        <v/>
      </c>
      <c r="L63" s="31" t="str">
        <f aca="false">IF($J63="","",IF($J63&gt;SETTINGS!$C$7,"🔴 VƯỢT NGƯỠNG ĐỆM",IF($J63&gt;3,"🟡 Cần học bù","🟢 Đang ổn")))</f>
        <v/>
      </c>
    </row>
    <row r="64" customFormat="false" ht="15" hidden="false" customHeight="false" outlineLevel="0" collapsed="false">
      <c r="A64" s="31" t="n">
        <v>62</v>
      </c>
      <c r="B64" s="32" t="n">
        <f aca="false">SETTINGS!$C$3+$A64-1</f>
        <v>46361</v>
      </c>
      <c r="C64" s="31" t="str">
        <f aca="false">CHOOSE(WEEKDAY($B64,2),"Thứ 2","Thứ 3","Thứ 4","Thứ 5","Thứ 6","Thứ 7","CN")</f>
        <v>Thứ 7</v>
      </c>
      <c r="D64" s="31" t="n">
        <f aca="false">MIN($A64*SETTINGS!$C$4,SETTINGS!$C$6)</f>
        <v>1240</v>
      </c>
      <c r="E64" s="31" t="n">
        <f aca="false">COUNTIF(SENTENCES!$L$3:$L$1802,$B64)</f>
        <v>0</v>
      </c>
      <c r="F64" s="31" t="n">
        <f aca="false">COUNTIF(SENTENCES!$M$3:$Q$1802,$B64)</f>
        <v>0</v>
      </c>
      <c r="G64" s="31" t="n">
        <f aca="false">$E64+$F64</f>
        <v>0</v>
      </c>
      <c r="H64" s="31" t="n">
        <f aca="false">COUNTIFS(SENTENCES!$L$3:$L$1802,"&lt;="&amp;$B64,SENTENCES!$L$3:$L$1802,"&gt;0")</f>
        <v>0</v>
      </c>
      <c r="I64" s="31" t="str">
        <f aca="true">IF($B64&gt;TODAY(),"",MAX(0,$D64-$H64))</f>
        <v/>
      </c>
      <c r="J64" s="31" t="str">
        <f aca="false">IF($I64="","",ROUND($I64/SETTINGS!$C$4,1))</f>
        <v/>
      </c>
      <c r="K64" s="31" t="str">
        <f aca="true">IF($B64&gt;TODAY(),"",IF($E64&gt;=SETTINGS!$C$4,"✔ Đủ chỉ tiêu",IF($E64&gt;0,"⚠ Thiếu",IF($F64&gt;0,"◆ Chỉ ôn","✖ Nghỉ / Miss"))))</f>
        <v/>
      </c>
      <c r="L64" s="31" t="str">
        <f aca="false">IF($J64="","",IF($J64&gt;SETTINGS!$C$7,"🔴 VƯỢT NGƯỠNG ĐỆM",IF($J64&gt;3,"🟡 Cần học bù","🟢 Đang ổn")))</f>
        <v/>
      </c>
    </row>
    <row r="65" customFormat="false" ht="15" hidden="false" customHeight="false" outlineLevel="0" collapsed="false">
      <c r="A65" s="31" t="n">
        <v>63</v>
      </c>
      <c r="B65" s="32" t="n">
        <f aca="false">SETTINGS!$C$3+$A65-1</f>
        <v>46362</v>
      </c>
      <c r="C65" s="31" t="str">
        <f aca="false">CHOOSE(WEEKDAY($B65,2),"Thứ 2","Thứ 3","Thứ 4","Thứ 5","Thứ 6","Thứ 7","CN")</f>
        <v>CN</v>
      </c>
      <c r="D65" s="31" t="n">
        <f aca="false">MIN($A65*SETTINGS!$C$4,SETTINGS!$C$6)</f>
        <v>1260</v>
      </c>
      <c r="E65" s="31" t="n">
        <f aca="false">COUNTIF(SENTENCES!$L$3:$L$1802,$B65)</f>
        <v>0</v>
      </c>
      <c r="F65" s="31" t="n">
        <f aca="false">COUNTIF(SENTENCES!$M$3:$Q$1802,$B65)</f>
        <v>0</v>
      </c>
      <c r="G65" s="31" t="n">
        <f aca="false">$E65+$F65</f>
        <v>0</v>
      </c>
      <c r="H65" s="31" t="n">
        <f aca="false">COUNTIFS(SENTENCES!$L$3:$L$1802,"&lt;="&amp;$B65,SENTENCES!$L$3:$L$1802,"&gt;0")</f>
        <v>0</v>
      </c>
      <c r="I65" s="31" t="str">
        <f aca="true">IF($B65&gt;TODAY(),"",MAX(0,$D65-$H65))</f>
        <v/>
      </c>
      <c r="J65" s="31" t="str">
        <f aca="false">IF($I65="","",ROUND($I65/SETTINGS!$C$4,1))</f>
        <v/>
      </c>
      <c r="K65" s="31" t="str">
        <f aca="true">IF($B65&gt;TODAY(),"",IF($E65&gt;=SETTINGS!$C$4,"✔ Đủ chỉ tiêu",IF($E65&gt;0,"⚠ Thiếu",IF($F65&gt;0,"◆ Chỉ ôn","✖ Nghỉ / Miss"))))</f>
        <v/>
      </c>
      <c r="L65" s="31" t="str">
        <f aca="false">IF($J65="","",IF($J65&gt;SETTINGS!$C$7,"🔴 VƯỢT NGƯỠNG ĐỆM",IF($J65&gt;3,"🟡 Cần học bù","🟢 Đang ổn")))</f>
        <v/>
      </c>
    </row>
    <row r="66" customFormat="false" ht="15" hidden="false" customHeight="false" outlineLevel="0" collapsed="false">
      <c r="A66" s="31" t="n">
        <v>64</v>
      </c>
      <c r="B66" s="32" t="n">
        <f aca="false">SETTINGS!$C$3+$A66-1</f>
        <v>46363</v>
      </c>
      <c r="C66" s="31" t="str">
        <f aca="false">CHOOSE(WEEKDAY($B66,2),"Thứ 2","Thứ 3","Thứ 4","Thứ 5","Thứ 6","Thứ 7","CN")</f>
        <v>Thứ 2</v>
      </c>
      <c r="D66" s="31" t="n">
        <f aca="false">MIN($A66*SETTINGS!$C$4,SETTINGS!$C$6)</f>
        <v>1280</v>
      </c>
      <c r="E66" s="31" t="n">
        <f aca="false">COUNTIF(SENTENCES!$L$3:$L$1802,$B66)</f>
        <v>0</v>
      </c>
      <c r="F66" s="31" t="n">
        <f aca="false">COUNTIF(SENTENCES!$M$3:$Q$1802,$B66)</f>
        <v>0</v>
      </c>
      <c r="G66" s="31" t="n">
        <f aca="false">$E66+$F66</f>
        <v>0</v>
      </c>
      <c r="H66" s="31" t="n">
        <f aca="false">COUNTIFS(SENTENCES!$L$3:$L$1802,"&lt;="&amp;$B66,SENTENCES!$L$3:$L$1802,"&gt;0")</f>
        <v>0</v>
      </c>
      <c r="I66" s="31" t="str">
        <f aca="true">IF($B66&gt;TODAY(),"",MAX(0,$D66-$H66))</f>
        <v/>
      </c>
      <c r="J66" s="31" t="str">
        <f aca="false">IF($I66="","",ROUND($I66/SETTINGS!$C$4,1))</f>
        <v/>
      </c>
      <c r="K66" s="31" t="str">
        <f aca="true">IF($B66&gt;TODAY(),"",IF($E66&gt;=SETTINGS!$C$4,"✔ Đủ chỉ tiêu",IF($E66&gt;0,"⚠ Thiếu",IF($F66&gt;0,"◆ Chỉ ôn","✖ Nghỉ / Miss"))))</f>
        <v/>
      </c>
      <c r="L66" s="31" t="str">
        <f aca="false">IF($J66="","",IF($J66&gt;SETTINGS!$C$7,"🔴 VƯỢT NGƯỠNG ĐỆM",IF($J66&gt;3,"🟡 Cần học bù","🟢 Đang ổn")))</f>
        <v/>
      </c>
    </row>
    <row r="67" customFormat="false" ht="15" hidden="false" customHeight="false" outlineLevel="0" collapsed="false">
      <c r="A67" s="31" t="n">
        <v>65</v>
      </c>
      <c r="B67" s="32" t="n">
        <f aca="false">SETTINGS!$C$3+$A67-1</f>
        <v>46364</v>
      </c>
      <c r="C67" s="31" t="str">
        <f aca="false">CHOOSE(WEEKDAY($B67,2),"Thứ 2","Thứ 3","Thứ 4","Thứ 5","Thứ 6","Thứ 7","CN")</f>
        <v>Thứ 3</v>
      </c>
      <c r="D67" s="31" t="n">
        <f aca="false">MIN($A67*SETTINGS!$C$4,SETTINGS!$C$6)</f>
        <v>1300</v>
      </c>
      <c r="E67" s="31" t="n">
        <f aca="false">COUNTIF(SENTENCES!$L$3:$L$1802,$B67)</f>
        <v>0</v>
      </c>
      <c r="F67" s="31" t="n">
        <f aca="false">COUNTIF(SENTENCES!$M$3:$Q$1802,$B67)</f>
        <v>0</v>
      </c>
      <c r="G67" s="31" t="n">
        <f aca="false">$E67+$F67</f>
        <v>0</v>
      </c>
      <c r="H67" s="31" t="n">
        <f aca="false">COUNTIFS(SENTENCES!$L$3:$L$1802,"&lt;="&amp;$B67,SENTENCES!$L$3:$L$1802,"&gt;0")</f>
        <v>0</v>
      </c>
      <c r="I67" s="31" t="str">
        <f aca="true">IF($B67&gt;TODAY(),"",MAX(0,$D67-$H67))</f>
        <v/>
      </c>
      <c r="J67" s="31" t="str">
        <f aca="false">IF($I67="","",ROUND($I67/SETTINGS!$C$4,1))</f>
        <v/>
      </c>
      <c r="K67" s="31" t="str">
        <f aca="true">IF($B67&gt;TODAY(),"",IF($E67&gt;=SETTINGS!$C$4,"✔ Đủ chỉ tiêu",IF($E67&gt;0,"⚠ Thiếu",IF($F67&gt;0,"◆ Chỉ ôn","✖ Nghỉ / Miss"))))</f>
        <v/>
      </c>
      <c r="L67" s="31" t="str">
        <f aca="false">IF($J67="","",IF($J67&gt;SETTINGS!$C$7,"🔴 VƯỢT NGƯỠNG ĐỆM",IF($J67&gt;3,"🟡 Cần học bù","🟢 Đang ổn")))</f>
        <v/>
      </c>
    </row>
    <row r="68" customFormat="false" ht="15" hidden="false" customHeight="false" outlineLevel="0" collapsed="false">
      <c r="A68" s="31" t="n">
        <v>66</v>
      </c>
      <c r="B68" s="32" t="n">
        <f aca="false">SETTINGS!$C$3+$A68-1</f>
        <v>46365</v>
      </c>
      <c r="C68" s="31" t="str">
        <f aca="false">CHOOSE(WEEKDAY($B68,2),"Thứ 2","Thứ 3","Thứ 4","Thứ 5","Thứ 6","Thứ 7","CN")</f>
        <v>Thứ 4</v>
      </c>
      <c r="D68" s="31" t="n">
        <f aca="false">MIN($A68*SETTINGS!$C$4,SETTINGS!$C$6)</f>
        <v>1320</v>
      </c>
      <c r="E68" s="31" t="n">
        <f aca="false">COUNTIF(SENTENCES!$L$3:$L$1802,$B68)</f>
        <v>0</v>
      </c>
      <c r="F68" s="31" t="n">
        <f aca="false">COUNTIF(SENTENCES!$M$3:$Q$1802,$B68)</f>
        <v>0</v>
      </c>
      <c r="G68" s="31" t="n">
        <f aca="false">$E68+$F68</f>
        <v>0</v>
      </c>
      <c r="H68" s="31" t="n">
        <f aca="false">COUNTIFS(SENTENCES!$L$3:$L$1802,"&lt;="&amp;$B68,SENTENCES!$L$3:$L$1802,"&gt;0")</f>
        <v>0</v>
      </c>
      <c r="I68" s="31" t="str">
        <f aca="true">IF($B68&gt;TODAY(),"",MAX(0,$D68-$H68))</f>
        <v/>
      </c>
      <c r="J68" s="31" t="str">
        <f aca="false">IF($I68="","",ROUND($I68/SETTINGS!$C$4,1))</f>
        <v/>
      </c>
      <c r="K68" s="31" t="str">
        <f aca="true">IF($B68&gt;TODAY(),"",IF($E68&gt;=SETTINGS!$C$4,"✔ Đủ chỉ tiêu",IF($E68&gt;0,"⚠ Thiếu",IF($F68&gt;0,"◆ Chỉ ôn","✖ Nghỉ / Miss"))))</f>
        <v/>
      </c>
      <c r="L68" s="31" t="str">
        <f aca="false">IF($J68="","",IF($J68&gt;SETTINGS!$C$7,"🔴 VƯỢT NGƯỠNG ĐỆM",IF($J68&gt;3,"🟡 Cần học bù","🟢 Đang ổn")))</f>
        <v/>
      </c>
    </row>
    <row r="69" customFormat="false" ht="15" hidden="false" customHeight="false" outlineLevel="0" collapsed="false">
      <c r="A69" s="31" t="n">
        <v>67</v>
      </c>
      <c r="B69" s="32" t="n">
        <f aca="false">SETTINGS!$C$3+$A69-1</f>
        <v>46366</v>
      </c>
      <c r="C69" s="31" t="str">
        <f aca="false">CHOOSE(WEEKDAY($B69,2),"Thứ 2","Thứ 3","Thứ 4","Thứ 5","Thứ 6","Thứ 7","CN")</f>
        <v>Thứ 5</v>
      </c>
      <c r="D69" s="31" t="n">
        <f aca="false">MIN($A69*SETTINGS!$C$4,SETTINGS!$C$6)</f>
        <v>1340</v>
      </c>
      <c r="E69" s="31" t="n">
        <f aca="false">COUNTIF(SENTENCES!$L$3:$L$1802,$B69)</f>
        <v>0</v>
      </c>
      <c r="F69" s="31" t="n">
        <f aca="false">COUNTIF(SENTENCES!$M$3:$Q$1802,$B69)</f>
        <v>0</v>
      </c>
      <c r="G69" s="31" t="n">
        <f aca="false">$E69+$F69</f>
        <v>0</v>
      </c>
      <c r="H69" s="31" t="n">
        <f aca="false">COUNTIFS(SENTENCES!$L$3:$L$1802,"&lt;="&amp;$B69,SENTENCES!$L$3:$L$1802,"&gt;0")</f>
        <v>0</v>
      </c>
      <c r="I69" s="31" t="str">
        <f aca="true">IF($B69&gt;TODAY(),"",MAX(0,$D69-$H69))</f>
        <v/>
      </c>
      <c r="J69" s="31" t="str">
        <f aca="false">IF($I69="","",ROUND($I69/SETTINGS!$C$4,1))</f>
        <v/>
      </c>
      <c r="K69" s="31" t="str">
        <f aca="true">IF($B69&gt;TODAY(),"",IF($E69&gt;=SETTINGS!$C$4,"✔ Đủ chỉ tiêu",IF($E69&gt;0,"⚠ Thiếu",IF($F69&gt;0,"◆ Chỉ ôn","✖ Nghỉ / Miss"))))</f>
        <v/>
      </c>
      <c r="L69" s="31" t="str">
        <f aca="false">IF($J69="","",IF($J69&gt;SETTINGS!$C$7,"🔴 VƯỢT NGƯỠNG ĐỆM",IF($J69&gt;3,"🟡 Cần học bù","🟢 Đang ổn")))</f>
        <v/>
      </c>
    </row>
    <row r="70" customFormat="false" ht="15" hidden="false" customHeight="false" outlineLevel="0" collapsed="false">
      <c r="A70" s="31" t="n">
        <v>68</v>
      </c>
      <c r="B70" s="32" t="n">
        <f aca="false">SETTINGS!$C$3+$A70-1</f>
        <v>46367</v>
      </c>
      <c r="C70" s="31" t="str">
        <f aca="false">CHOOSE(WEEKDAY($B70,2),"Thứ 2","Thứ 3","Thứ 4","Thứ 5","Thứ 6","Thứ 7","CN")</f>
        <v>Thứ 6</v>
      </c>
      <c r="D70" s="31" t="n">
        <f aca="false">MIN($A70*SETTINGS!$C$4,SETTINGS!$C$6)</f>
        <v>1360</v>
      </c>
      <c r="E70" s="31" t="n">
        <f aca="false">COUNTIF(SENTENCES!$L$3:$L$1802,$B70)</f>
        <v>0</v>
      </c>
      <c r="F70" s="31" t="n">
        <f aca="false">COUNTIF(SENTENCES!$M$3:$Q$1802,$B70)</f>
        <v>0</v>
      </c>
      <c r="G70" s="31" t="n">
        <f aca="false">$E70+$F70</f>
        <v>0</v>
      </c>
      <c r="H70" s="31" t="n">
        <f aca="false">COUNTIFS(SENTENCES!$L$3:$L$1802,"&lt;="&amp;$B70,SENTENCES!$L$3:$L$1802,"&gt;0")</f>
        <v>0</v>
      </c>
      <c r="I70" s="31" t="str">
        <f aca="true">IF($B70&gt;TODAY(),"",MAX(0,$D70-$H70))</f>
        <v/>
      </c>
      <c r="J70" s="31" t="str">
        <f aca="false">IF($I70="","",ROUND($I70/SETTINGS!$C$4,1))</f>
        <v/>
      </c>
      <c r="K70" s="31" t="str">
        <f aca="true">IF($B70&gt;TODAY(),"",IF($E70&gt;=SETTINGS!$C$4,"✔ Đủ chỉ tiêu",IF($E70&gt;0,"⚠ Thiếu",IF($F70&gt;0,"◆ Chỉ ôn","✖ Nghỉ / Miss"))))</f>
        <v/>
      </c>
      <c r="L70" s="31" t="str">
        <f aca="false">IF($J70="","",IF($J70&gt;SETTINGS!$C$7,"🔴 VƯỢT NGƯỠNG ĐỆM",IF($J70&gt;3,"🟡 Cần học bù","🟢 Đang ổn")))</f>
        <v/>
      </c>
    </row>
    <row r="71" customFormat="false" ht="15" hidden="false" customHeight="false" outlineLevel="0" collapsed="false">
      <c r="A71" s="31" t="n">
        <v>69</v>
      </c>
      <c r="B71" s="32" t="n">
        <f aca="false">SETTINGS!$C$3+$A71-1</f>
        <v>46368</v>
      </c>
      <c r="C71" s="31" t="str">
        <f aca="false">CHOOSE(WEEKDAY($B71,2),"Thứ 2","Thứ 3","Thứ 4","Thứ 5","Thứ 6","Thứ 7","CN")</f>
        <v>Thứ 7</v>
      </c>
      <c r="D71" s="31" t="n">
        <f aca="false">MIN($A71*SETTINGS!$C$4,SETTINGS!$C$6)</f>
        <v>1380</v>
      </c>
      <c r="E71" s="31" t="n">
        <f aca="false">COUNTIF(SENTENCES!$L$3:$L$1802,$B71)</f>
        <v>0</v>
      </c>
      <c r="F71" s="31" t="n">
        <f aca="false">COUNTIF(SENTENCES!$M$3:$Q$1802,$B71)</f>
        <v>0</v>
      </c>
      <c r="G71" s="31" t="n">
        <f aca="false">$E71+$F71</f>
        <v>0</v>
      </c>
      <c r="H71" s="31" t="n">
        <f aca="false">COUNTIFS(SENTENCES!$L$3:$L$1802,"&lt;="&amp;$B71,SENTENCES!$L$3:$L$1802,"&gt;0")</f>
        <v>0</v>
      </c>
      <c r="I71" s="31" t="str">
        <f aca="true">IF($B71&gt;TODAY(),"",MAX(0,$D71-$H71))</f>
        <v/>
      </c>
      <c r="J71" s="31" t="str">
        <f aca="false">IF($I71="","",ROUND($I71/SETTINGS!$C$4,1))</f>
        <v/>
      </c>
      <c r="K71" s="31" t="str">
        <f aca="true">IF($B71&gt;TODAY(),"",IF($E71&gt;=SETTINGS!$C$4,"✔ Đủ chỉ tiêu",IF($E71&gt;0,"⚠ Thiếu",IF($F71&gt;0,"◆ Chỉ ôn","✖ Nghỉ / Miss"))))</f>
        <v/>
      </c>
      <c r="L71" s="31" t="str">
        <f aca="false">IF($J71="","",IF($J71&gt;SETTINGS!$C$7,"🔴 VƯỢT NGƯỠNG ĐỆM",IF($J71&gt;3,"🟡 Cần học bù","🟢 Đang ổn")))</f>
        <v/>
      </c>
    </row>
    <row r="72" customFormat="false" ht="15" hidden="false" customHeight="false" outlineLevel="0" collapsed="false">
      <c r="A72" s="31" t="n">
        <v>70</v>
      </c>
      <c r="B72" s="32" t="n">
        <f aca="false">SETTINGS!$C$3+$A72-1</f>
        <v>46369</v>
      </c>
      <c r="C72" s="31" t="str">
        <f aca="false">CHOOSE(WEEKDAY($B72,2),"Thứ 2","Thứ 3","Thứ 4","Thứ 5","Thứ 6","Thứ 7","CN")</f>
        <v>CN</v>
      </c>
      <c r="D72" s="31" t="n">
        <f aca="false">MIN($A72*SETTINGS!$C$4,SETTINGS!$C$6)</f>
        <v>1400</v>
      </c>
      <c r="E72" s="31" t="n">
        <f aca="false">COUNTIF(SENTENCES!$L$3:$L$1802,$B72)</f>
        <v>0</v>
      </c>
      <c r="F72" s="31" t="n">
        <f aca="false">COUNTIF(SENTENCES!$M$3:$Q$1802,$B72)</f>
        <v>0</v>
      </c>
      <c r="G72" s="31" t="n">
        <f aca="false">$E72+$F72</f>
        <v>0</v>
      </c>
      <c r="H72" s="31" t="n">
        <f aca="false">COUNTIFS(SENTENCES!$L$3:$L$1802,"&lt;="&amp;$B72,SENTENCES!$L$3:$L$1802,"&gt;0")</f>
        <v>0</v>
      </c>
      <c r="I72" s="31" t="str">
        <f aca="true">IF($B72&gt;TODAY(),"",MAX(0,$D72-$H72))</f>
        <v/>
      </c>
      <c r="J72" s="31" t="str">
        <f aca="false">IF($I72="","",ROUND($I72/SETTINGS!$C$4,1))</f>
        <v/>
      </c>
      <c r="K72" s="31" t="str">
        <f aca="true">IF($B72&gt;TODAY(),"",IF($E72&gt;=SETTINGS!$C$4,"✔ Đủ chỉ tiêu",IF($E72&gt;0,"⚠ Thiếu",IF($F72&gt;0,"◆ Chỉ ôn","✖ Nghỉ / Miss"))))</f>
        <v/>
      </c>
      <c r="L72" s="31" t="str">
        <f aca="false">IF($J72="","",IF($J72&gt;SETTINGS!$C$7,"🔴 VƯỢT NGƯỠNG ĐỆM",IF($J72&gt;3,"🟡 Cần học bù","🟢 Đang ổn")))</f>
        <v/>
      </c>
    </row>
    <row r="73" customFormat="false" ht="15" hidden="false" customHeight="false" outlineLevel="0" collapsed="false">
      <c r="A73" s="31" t="n">
        <v>71</v>
      </c>
      <c r="B73" s="32" t="n">
        <f aca="false">SETTINGS!$C$3+$A73-1</f>
        <v>46370</v>
      </c>
      <c r="C73" s="31" t="str">
        <f aca="false">CHOOSE(WEEKDAY($B73,2),"Thứ 2","Thứ 3","Thứ 4","Thứ 5","Thứ 6","Thứ 7","CN")</f>
        <v>Thứ 2</v>
      </c>
      <c r="D73" s="31" t="n">
        <f aca="false">MIN($A73*SETTINGS!$C$4,SETTINGS!$C$6)</f>
        <v>1420</v>
      </c>
      <c r="E73" s="31" t="n">
        <f aca="false">COUNTIF(SENTENCES!$L$3:$L$1802,$B73)</f>
        <v>0</v>
      </c>
      <c r="F73" s="31" t="n">
        <f aca="false">COUNTIF(SENTENCES!$M$3:$Q$1802,$B73)</f>
        <v>0</v>
      </c>
      <c r="G73" s="31" t="n">
        <f aca="false">$E73+$F73</f>
        <v>0</v>
      </c>
      <c r="H73" s="31" t="n">
        <f aca="false">COUNTIFS(SENTENCES!$L$3:$L$1802,"&lt;="&amp;$B73,SENTENCES!$L$3:$L$1802,"&gt;0")</f>
        <v>0</v>
      </c>
      <c r="I73" s="31" t="str">
        <f aca="true">IF($B73&gt;TODAY(),"",MAX(0,$D73-$H73))</f>
        <v/>
      </c>
      <c r="J73" s="31" t="str">
        <f aca="false">IF($I73="","",ROUND($I73/SETTINGS!$C$4,1))</f>
        <v/>
      </c>
      <c r="K73" s="31" t="str">
        <f aca="true">IF($B73&gt;TODAY(),"",IF($E73&gt;=SETTINGS!$C$4,"✔ Đủ chỉ tiêu",IF($E73&gt;0,"⚠ Thiếu",IF($F73&gt;0,"◆ Chỉ ôn","✖ Nghỉ / Miss"))))</f>
        <v/>
      </c>
      <c r="L73" s="31" t="str">
        <f aca="false">IF($J73="","",IF($J73&gt;SETTINGS!$C$7,"🔴 VƯỢT NGƯỠNG ĐỆM",IF($J73&gt;3,"🟡 Cần học bù","🟢 Đang ổn")))</f>
        <v/>
      </c>
    </row>
    <row r="74" customFormat="false" ht="15" hidden="false" customHeight="false" outlineLevel="0" collapsed="false">
      <c r="A74" s="31" t="n">
        <v>72</v>
      </c>
      <c r="B74" s="32" t="n">
        <f aca="false">SETTINGS!$C$3+$A74-1</f>
        <v>46371</v>
      </c>
      <c r="C74" s="31" t="str">
        <f aca="false">CHOOSE(WEEKDAY($B74,2),"Thứ 2","Thứ 3","Thứ 4","Thứ 5","Thứ 6","Thứ 7","CN")</f>
        <v>Thứ 3</v>
      </c>
      <c r="D74" s="31" t="n">
        <f aca="false">MIN($A74*SETTINGS!$C$4,SETTINGS!$C$6)</f>
        <v>1440</v>
      </c>
      <c r="E74" s="31" t="n">
        <f aca="false">COUNTIF(SENTENCES!$L$3:$L$1802,$B74)</f>
        <v>0</v>
      </c>
      <c r="F74" s="31" t="n">
        <f aca="false">COUNTIF(SENTENCES!$M$3:$Q$1802,$B74)</f>
        <v>0</v>
      </c>
      <c r="G74" s="31" t="n">
        <f aca="false">$E74+$F74</f>
        <v>0</v>
      </c>
      <c r="H74" s="31" t="n">
        <f aca="false">COUNTIFS(SENTENCES!$L$3:$L$1802,"&lt;="&amp;$B74,SENTENCES!$L$3:$L$1802,"&gt;0")</f>
        <v>0</v>
      </c>
      <c r="I74" s="31" t="str">
        <f aca="true">IF($B74&gt;TODAY(),"",MAX(0,$D74-$H74))</f>
        <v/>
      </c>
      <c r="J74" s="31" t="str">
        <f aca="false">IF($I74="","",ROUND($I74/SETTINGS!$C$4,1))</f>
        <v/>
      </c>
      <c r="K74" s="31" t="str">
        <f aca="true">IF($B74&gt;TODAY(),"",IF($E74&gt;=SETTINGS!$C$4,"✔ Đủ chỉ tiêu",IF($E74&gt;0,"⚠ Thiếu",IF($F74&gt;0,"◆ Chỉ ôn","✖ Nghỉ / Miss"))))</f>
        <v/>
      </c>
      <c r="L74" s="31" t="str">
        <f aca="false">IF($J74="","",IF($J74&gt;SETTINGS!$C$7,"🔴 VƯỢT NGƯỠNG ĐỆM",IF($J74&gt;3,"🟡 Cần học bù","🟢 Đang ổn")))</f>
        <v/>
      </c>
    </row>
    <row r="75" customFormat="false" ht="15" hidden="false" customHeight="false" outlineLevel="0" collapsed="false">
      <c r="A75" s="31" t="n">
        <v>73</v>
      </c>
      <c r="B75" s="32" t="n">
        <f aca="false">SETTINGS!$C$3+$A75-1</f>
        <v>46372</v>
      </c>
      <c r="C75" s="31" t="str">
        <f aca="false">CHOOSE(WEEKDAY($B75,2),"Thứ 2","Thứ 3","Thứ 4","Thứ 5","Thứ 6","Thứ 7","CN")</f>
        <v>Thứ 4</v>
      </c>
      <c r="D75" s="31" t="n">
        <f aca="false">MIN($A75*SETTINGS!$C$4,SETTINGS!$C$6)</f>
        <v>1460</v>
      </c>
      <c r="E75" s="31" t="n">
        <f aca="false">COUNTIF(SENTENCES!$L$3:$L$1802,$B75)</f>
        <v>0</v>
      </c>
      <c r="F75" s="31" t="n">
        <f aca="false">COUNTIF(SENTENCES!$M$3:$Q$1802,$B75)</f>
        <v>0</v>
      </c>
      <c r="G75" s="31" t="n">
        <f aca="false">$E75+$F75</f>
        <v>0</v>
      </c>
      <c r="H75" s="31" t="n">
        <f aca="false">COUNTIFS(SENTENCES!$L$3:$L$1802,"&lt;="&amp;$B75,SENTENCES!$L$3:$L$1802,"&gt;0")</f>
        <v>0</v>
      </c>
      <c r="I75" s="31" t="str">
        <f aca="true">IF($B75&gt;TODAY(),"",MAX(0,$D75-$H75))</f>
        <v/>
      </c>
      <c r="J75" s="31" t="str">
        <f aca="false">IF($I75="","",ROUND($I75/SETTINGS!$C$4,1))</f>
        <v/>
      </c>
      <c r="K75" s="31" t="str">
        <f aca="true">IF($B75&gt;TODAY(),"",IF($E75&gt;=SETTINGS!$C$4,"✔ Đủ chỉ tiêu",IF($E75&gt;0,"⚠ Thiếu",IF($F75&gt;0,"◆ Chỉ ôn","✖ Nghỉ / Miss"))))</f>
        <v/>
      </c>
      <c r="L75" s="31" t="str">
        <f aca="false">IF($J75="","",IF($J75&gt;SETTINGS!$C$7,"🔴 VƯỢT NGƯỠNG ĐỆM",IF($J75&gt;3,"🟡 Cần học bù","🟢 Đang ổn")))</f>
        <v/>
      </c>
    </row>
    <row r="76" customFormat="false" ht="15" hidden="false" customHeight="false" outlineLevel="0" collapsed="false">
      <c r="A76" s="31" t="n">
        <v>74</v>
      </c>
      <c r="B76" s="32" t="n">
        <f aca="false">SETTINGS!$C$3+$A76-1</f>
        <v>46373</v>
      </c>
      <c r="C76" s="31" t="str">
        <f aca="false">CHOOSE(WEEKDAY($B76,2),"Thứ 2","Thứ 3","Thứ 4","Thứ 5","Thứ 6","Thứ 7","CN")</f>
        <v>Thứ 5</v>
      </c>
      <c r="D76" s="31" t="n">
        <f aca="false">MIN($A76*SETTINGS!$C$4,SETTINGS!$C$6)</f>
        <v>1480</v>
      </c>
      <c r="E76" s="31" t="n">
        <f aca="false">COUNTIF(SENTENCES!$L$3:$L$1802,$B76)</f>
        <v>0</v>
      </c>
      <c r="F76" s="31" t="n">
        <f aca="false">COUNTIF(SENTENCES!$M$3:$Q$1802,$B76)</f>
        <v>0</v>
      </c>
      <c r="G76" s="31" t="n">
        <f aca="false">$E76+$F76</f>
        <v>0</v>
      </c>
      <c r="H76" s="31" t="n">
        <f aca="false">COUNTIFS(SENTENCES!$L$3:$L$1802,"&lt;="&amp;$B76,SENTENCES!$L$3:$L$1802,"&gt;0")</f>
        <v>0</v>
      </c>
      <c r="I76" s="31" t="str">
        <f aca="true">IF($B76&gt;TODAY(),"",MAX(0,$D76-$H76))</f>
        <v/>
      </c>
      <c r="J76" s="31" t="str">
        <f aca="false">IF($I76="","",ROUND($I76/SETTINGS!$C$4,1))</f>
        <v/>
      </c>
      <c r="K76" s="31" t="str">
        <f aca="true">IF($B76&gt;TODAY(),"",IF($E76&gt;=SETTINGS!$C$4,"✔ Đủ chỉ tiêu",IF($E76&gt;0,"⚠ Thiếu",IF($F76&gt;0,"◆ Chỉ ôn","✖ Nghỉ / Miss"))))</f>
        <v/>
      </c>
      <c r="L76" s="31" t="str">
        <f aca="false">IF($J76="","",IF($J76&gt;SETTINGS!$C$7,"🔴 VƯỢT NGƯỠNG ĐỆM",IF($J76&gt;3,"🟡 Cần học bù","🟢 Đang ổn")))</f>
        <v/>
      </c>
    </row>
    <row r="77" customFormat="false" ht="15" hidden="false" customHeight="false" outlineLevel="0" collapsed="false">
      <c r="A77" s="31" t="n">
        <v>75</v>
      </c>
      <c r="B77" s="32" t="n">
        <f aca="false">SETTINGS!$C$3+$A77-1</f>
        <v>46374</v>
      </c>
      <c r="C77" s="31" t="str">
        <f aca="false">CHOOSE(WEEKDAY($B77,2),"Thứ 2","Thứ 3","Thứ 4","Thứ 5","Thứ 6","Thứ 7","CN")</f>
        <v>Thứ 6</v>
      </c>
      <c r="D77" s="31" t="n">
        <f aca="false">MIN($A77*SETTINGS!$C$4,SETTINGS!$C$6)</f>
        <v>1500</v>
      </c>
      <c r="E77" s="31" t="n">
        <f aca="false">COUNTIF(SENTENCES!$L$3:$L$1802,$B77)</f>
        <v>0</v>
      </c>
      <c r="F77" s="31" t="n">
        <f aca="false">COUNTIF(SENTENCES!$M$3:$Q$1802,$B77)</f>
        <v>0</v>
      </c>
      <c r="G77" s="31" t="n">
        <f aca="false">$E77+$F77</f>
        <v>0</v>
      </c>
      <c r="H77" s="31" t="n">
        <f aca="false">COUNTIFS(SENTENCES!$L$3:$L$1802,"&lt;="&amp;$B77,SENTENCES!$L$3:$L$1802,"&gt;0")</f>
        <v>0</v>
      </c>
      <c r="I77" s="31" t="str">
        <f aca="true">IF($B77&gt;TODAY(),"",MAX(0,$D77-$H77))</f>
        <v/>
      </c>
      <c r="J77" s="31" t="str">
        <f aca="false">IF($I77="","",ROUND($I77/SETTINGS!$C$4,1))</f>
        <v/>
      </c>
      <c r="K77" s="31" t="str">
        <f aca="true">IF($B77&gt;TODAY(),"",IF($E77&gt;=SETTINGS!$C$4,"✔ Đủ chỉ tiêu",IF($E77&gt;0,"⚠ Thiếu",IF($F77&gt;0,"◆ Chỉ ôn","✖ Nghỉ / Miss"))))</f>
        <v/>
      </c>
      <c r="L77" s="31" t="str">
        <f aca="false">IF($J77="","",IF($J77&gt;SETTINGS!$C$7,"🔴 VƯỢT NGƯỠNG ĐỆM",IF($J77&gt;3,"🟡 Cần học bù","🟢 Đang ổn")))</f>
        <v/>
      </c>
    </row>
    <row r="78" customFormat="false" ht="15" hidden="false" customHeight="false" outlineLevel="0" collapsed="false">
      <c r="A78" s="31" t="n">
        <v>76</v>
      </c>
      <c r="B78" s="32" t="n">
        <f aca="false">SETTINGS!$C$3+$A78-1</f>
        <v>46375</v>
      </c>
      <c r="C78" s="31" t="str">
        <f aca="false">CHOOSE(WEEKDAY($B78,2),"Thứ 2","Thứ 3","Thứ 4","Thứ 5","Thứ 6","Thứ 7","CN")</f>
        <v>Thứ 7</v>
      </c>
      <c r="D78" s="31" t="n">
        <f aca="false">MIN($A78*SETTINGS!$C$4,SETTINGS!$C$6)</f>
        <v>1520</v>
      </c>
      <c r="E78" s="31" t="n">
        <f aca="false">COUNTIF(SENTENCES!$L$3:$L$1802,$B78)</f>
        <v>0</v>
      </c>
      <c r="F78" s="31" t="n">
        <f aca="false">COUNTIF(SENTENCES!$M$3:$Q$1802,$B78)</f>
        <v>0</v>
      </c>
      <c r="G78" s="31" t="n">
        <f aca="false">$E78+$F78</f>
        <v>0</v>
      </c>
      <c r="H78" s="31" t="n">
        <f aca="false">COUNTIFS(SENTENCES!$L$3:$L$1802,"&lt;="&amp;$B78,SENTENCES!$L$3:$L$1802,"&gt;0")</f>
        <v>0</v>
      </c>
      <c r="I78" s="31" t="str">
        <f aca="true">IF($B78&gt;TODAY(),"",MAX(0,$D78-$H78))</f>
        <v/>
      </c>
      <c r="J78" s="31" t="str">
        <f aca="false">IF($I78="","",ROUND($I78/SETTINGS!$C$4,1))</f>
        <v/>
      </c>
      <c r="K78" s="31" t="str">
        <f aca="true">IF($B78&gt;TODAY(),"",IF($E78&gt;=SETTINGS!$C$4,"✔ Đủ chỉ tiêu",IF($E78&gt;0,"⚠ Thiếu",IF($F78&gt;0,"◆ Chỉ ôn","✖ Nghỉ / Miss"))))</f>
        <v/>
      </c>
      <c r="L78" s="31" t="str">
        <f aca="false">IF($J78="","",IF($J78&gt;SETTINGS!$C$7,"🔴 VƯỢT NGƯỠNG ĐỆM",IF($J78&gt;3,"🟡 Cần học bù","🟢 Đang ổn")))</f>
        <v/>
      </c>
    </row>
    <row r="79" customFormat="false" ht="15" hidden="false" customHeight="false" outlineLevel="0" collapsed="false">
      <c r="A79" s="31" t="n">
        <v>77</v>
      </c>
      <c r="B79" s="32" t="n">
        <f aca="false">SETTINGS!$C$3+$A79-1</f>
        <v>46376</v>
      </c>
      <c r="C79" s="31" t="str">
        <f aca="false">CHOOSE(WEEKDAY($B79,2),"Thứ 2","Thứ 3","Thứ 4","Thứ 5","Thứ 6","Thứ 7","CN")</f>
        <v>CN</v>
      </c>
      <c r="D79" s="31" t="n">
        <f aca="false">MIN($A79*SETTINGS!$C$4,SETTINGS!$C$6)</f>
        <v>1540</v>
      </c>
      <c r="E79" s="31" t="n">
        <f aca="false">COUNTIF(SENTENCES!$L$3:$L$1802,$B79)</f>
        <v>0</v>
      </c>
      <c r="F79" s="31" t="n">
        <f aca="false">COUNTIF(SENTENCES!$M$3:$Q$1802,$B79)</f>
        <v>0</v>
      </c>
      <c r="G79" s="31" t="n">
        <f aca="false">$E79+$F79</f>
        <v>0</v>
      </c>
      <c r="H79" s="31" t="n">
        <f aca="false">COUNTIFS(SENTENCES!$L$3:$L$1802,"&lt;="&amp;$B79,SENTENCES!$L$3:$L$1802,"&gt;0")</f>
        <v>0</v>
      </c>
      <c r="I79" s="31" t="str">
        <f aca="true">IF($B79&gt;TODAY(),"",MAX(0,$D79-$H79))</f>
        <v/>
      </c>
      <c r="J79" s="31" t="str">
        <f aca="false">IF($I79="","",ROUND($I79/SETTINGS!$C$4,1))</f>
        <v/>
      </c>
      <c r="K79" s="31" t="str">
        <f aca="true">IF($B79&gt;TODAY(),"",IF($E79&gt;=SETTINGS!$C$4,"✔ Đủ chỉ tiêu",IF($E79&gt;0,"⚠ Thiếu",IF($F79&gt;0,"◆ Chỉ ôn","✖ Nghỉ / Miss"))))</f>
        <v/>
      </c>
      <c r="L79" s="31" t="str">
        <f aca="false">IF($J79="","",IF($J79&gt;SETTINGS!$C$7,"🔴 VƯỢT NGƯỠNG ĐỆM",IF($J79&gt;3,"🟡 Cần học bù","🟢 Đang ổn")))</f>
        <v/>
      </c>
    </row>
    <row r="80" customFormat="false" ht="15" hidden="false" customHeight="false" outlineLevel="0" collapsed="false">
      <c r="A80" s="31" t="n">
        <v>78</v>
      </c>
      <c r="B80" s="32" t="n">
        <f aca="false">SETTINGS!$C$3+$A80-1</f>
        <v>46377</v>
      </c>
      <c r="C80" s="31" t="str">
        <f aca="false">CHOOSE(WEEKDAY($B80,2),"Thứ 2","Thứ 3","Thứ 4","Thứ 5","Thứ 6","Thứ 7","CN")</f>
        <v>Thứ 2</v>
      </c>
      <c r="D80" s="31" t="n">
        <f aca="false">MIN($A80*SETTINGS!$C$4,SETTINGS!$C$6)</f>
        <v>1560</v>
      </c>
      <c r="E80" s="31" t="n">
        <f aca="false">COUNTIF(SENTENCES!$L$3:$L$1802,$B80)</f>
        <v>0</v>
      </c>
      <c r="F80" s="31" t="n">
        <f aca="false">COUNTIF(SENTENCES!$M$3:$Q$1802,$B80)</f>
        <v>0</v>
      </c>
      <c r="G80" s="31" t="n">
        <f aca="false">$E80+$F80</f>
        <v>0</v>
      </c>
      <c r="H80" s="31" t="n">
        <f aca="false">COUNTIFS(SENTENCES!$L$3:$L$1802,"&lt;="&amp;$B80,SENTENCES!$L$3:$L$1802,"&gt;0")</f>
        <v>0</v>
      </c>
      <c r="I80" s="31" t="str">
        <f aca="true">IF($B80&gt;TODAY(),"",MAX(0,$D80-$H80))</f>
        <v/>
      </c>
      <c r="J80" s="31" t="str">
        <f aca="false">IF($I80="","",ROUND($I80/SETTINGS!$C$4,1))</f>
        <v/>
      </c>
      <c r="K80" s="31" t="str">
        <f aca="true">IF($B80&gt;TODAY(),"",IF($E80&gt;=SETTINGS!$C$4,"✔ Đủ chỉ tiêu",IF($E80&gt;0,"⚠ Thiếu",IF($F80&gt;0,"◆ Chỉ ôn","✖ Nghỉ / Miss"))))</f>
        <v/>
      </c>
      <c r="L80" s="31" t="str">
        <f aca="false">IF($J80="","",IF($J80&gt;SETTINGS!$C$7,"🔴 VƯỢT NGƯỠNG ĐỆM",IF($J80&gt;3,"🟡 Cần học bù","🟢 Đang ổn")))</f>
        <v/>
      </c>
    </row>
    <row r="81" customFormat="false" ht="15" hidden="false" customHeight="false" outlineLevel="0" collapsed="false">
      <c r="A81" s="31" t="n">
        <v>79</v>
      </c>
      <c r="B81" s="32" t="n">
        <f aca="false">SETTINGS!$C$3+$A81-1</f>
        <v>46378</v>
      </c>
      <c r="C81" s="31" t="str">
        <f aca="false">CHOOSE(WEEKDAY($B81,2),"Thứ 2","Thứ 3","Thứ 4","Thứ 5","Thứ 6","Thứ 7","CN")</f>
        <v>Thứ 3</v>
      </c>
      <c r="D81" s="31" t="n">
        <f aca="false">MIN($A81*SETTINGS!$C$4,SETTINGS!$C$6)</f>
        <v>1580</v>
      </c>
      <c r="E81" s="31" t="n">
        <f aca="false">COUNTIF(SENTENCES!$L$3:$L$1802,$B81)</f>
        <v>0</v>
      </c>
      <c r="F81" s="31" t="n">
        <f aca="false">COUNTIF(SENTENCES!$M$3:$Q$1802,$B81)</f>
        <v>0</v>
      </c>
      <c r="G81" s="31" t="n">
        <f aca="false">$E81+$F81</f>
        <v>0</v>
      </c>
      <c r="H81" s="31" t="n">
        <f aca="false">COUNTIFS(SENTENCES!$L$3:$L$1802,"&lt;="&amp;$B81,SENTENCES!$L$3:$L$1802,"&gt;0")</f>
        <v>0</v>
      </c>
      <c r="I81" s="31" t="str">
        <f aca="true">IF($B81&gt;TODAY(),"",MAX(0,$D81-$H81))</f>
        <v/>
      </c>
      <c r="J81" s="31" t="str">
        <f aca="false">IF($I81="","",ROUND($I81/SETTINGS!$C$4,1))</f>
        <v/>
      </c>
      <c r="K81" s="31" t="str">
        <f aca="true">IF($B81&gt;TODAY(),"",IF($E81&gt;=SETTINGS!$C$4,"✔ Đủ chỉ tiêu",IF($E81&gt;0,"⚠ Thiếu",IF($F81&gt;0,"◆ Chỉ ôn","✖ Nghỉ / Miss"))))</f>
        <v/>
      </c>
      <c r="L81" s="31" t="str">
        <f aca="false">IF($J81="","",IF($J81&gt;SETTINGS!$C$7,"🔴 VƯỢT NGƯỠNG ĐỆM",IF($J81&gt;3,"🟡 Cần học bù","🟢 Đang ổn")))</f>
        <v/>
      </c>
    </row>
    <row r="82" customFormat="false" ht="15" hidden="false" customHeight="false" outlineLevel="0" collapsed="false">
      <c r="A82" s="31" t="n">
        <v>80</v>
      </c>
      <c r="B82" s="32" t="n">
        <f aca="false">SETTINGS!$C$3+$A82-1</f>
        <v>46379</v>
      </c>
      <c r="C82" s="31" t="str">
        <f aca="false">CHOOSE(WEEKDAY($B82,2),"Thứ 2","Thứ 3","Thứ 4","Thứ 5","Thứ 6","Thứ 7","CN")</f>
        <v>Thứ 4</v>
      </c>
      <c r="D82" s="31" t="n">
        <f aca="false">MIN($A82*SETTINGS!$C$4,SETTINGS!$C$6)</f>
        <v>1600</v>
      </c>
      <c r="E82" s="31" t="n">
        <f aca="false">COUNTIF(SENTENCES!$L$3:$L$1802,$B82)</f>
        <v>0</v>
      </c>
      <c r="F82" s="31" t="n">
        <f aca="false">COUNTIF(SENTENCES!$M$3:$Q$1802,$B82)</f>
        <v>0</v>
      </c>
      <c r="G82" s="31" t="n">
        <f aca="false">$E82+$F82</f>
        <v>0</v>
      </c>
      <c r="H82" s="31" t="n">
        <f aca="false">COUNTIFS(SENTENCES!$L$3:$L$1802,"&lt;="&amp;$B82,SENTENCES!$L$3:$L$1802,"&gt;0")</f>
        <v>0</v>
      </c>
      <c r="I82" s="31" t="str">
        <f aca="true">IF($B82&gt;TODAY(),"",MAX(0,$D82-$H82))</f>
        <v/>
      </c>
      <c r="J82" s="31" t="str">
        <f aca="false">IF($I82="","",ROUND($I82/SETTINGS!$C$4,1))</f>
        <v/>
      </c>
      <c r="K82" s="31" t="str">
        <f aca="true">IF($B82&gt;TODAY(),"",IF($E82&gt;=SETTINGS!$C$4,"✔ Đủ chỉ tiêu",IF($E82&gt;0,"⚠ Thiếu",IF($F82&gt;0,"◆ Chỉ ôn","✖ Nghỉ / Miss"))))</f>
        <v/>
      </c>
      <c r="L82" s="31" t="str">
        <f aca="false">IF($J82="","",IF($J82&gt;SETTINGS!$C$7,"🔴 VƯỢT NGƯỠNG ĐỆM",IF($J82&gt;3,"🟡 Cần học bù","🟢 Đang ổn")))</f>
        <v/>
      </c>
    </row>
    <row r="83" customFormat="false" ht="15" hidden="false" customHeight="false" outlineLevel="0" collapsed="false">
      <c r="A83" s="31" t="n">
        <v>81</v>
      </c>
      <c r="B83" s="32" t="n">
        <f aca="false">SETTINGS!$C$3+$A83-1</f>
        <v>46380</v>
      </c>
      <c r="C83" s="31" t="str">
        <f aca="false">CHOOSE(WEEKDAY($B83,2),"Thứ 2","Thứ 3","Thứ 4","Thứ 5","Thứ 6","Thứ 7","CN")</f>
        <v>Thứ 5</v>
      </c>
      <c r="D83" s="31" t="n">
        <f aca="false">MIN($A83*SETTINGS!$C$4,SETTINGS!$C$6)</f>
        <v>1620</v>
      </c>
      <c r="E83" s="31" t="n">
        <f aca="false">COUNTIF(SENTENCES!$L$3:$L$1802,$B83)</f>
        <v>0</v>
      </c>
      <c r="F83" s="31" t="n">
        <f aca="false">COUNTIF(SENTENCES!$M$3:$Q$1802,$B83)</f>
        <v>0</v>
      </c>
      <c r="G83" s="31" t="n">
        <f aca="false">$E83+$F83</f>
        <v>0</v>
      </c>
      <c r="H83" s="31" t="n">
        <f aca="false">COUNTIFS(SENTENCES!$L$3:$L$1802,"&lt;="&amp;$B83,SENTENCES!$L$3:$L$1802,"&gt;0")</f>
        <v>0</v>
      </c>
      <c r="I83" s="31" t="str">
        <f aca="true">IF($B83&gt;TODAY(),"",MAX(0,$D83-$H83))</f>
        <v/>
      </c>
      <c r="J83" s="31" t="str">
        <f aca="false">IF($I83="","",ROUND($I83/SETTINGS!$C$4,1))</f>
        <v/>
      </c>
      <c r="K83" s="31" t="str">
        <f aca="true">IF($B83&gt;TODAY(),"",IF($E83&gt;=SETTINGS!$C$4,"✔ Đủ chỉ tiêu",IF($E83&gt;0,"⚠ Thiếu",IF($F83&gt;0,"◆ Chỉ ôn","✖ Nghỉ / Miss"))))</f>
        <v/>
      </c>
      <c r="L83" s="31" t="str">
        <f aca="false">IF($J83="","",IF($J83&gt;SETTINGS!$C$7,"🔴 VƯỢT NGƯỠNG ĐỆM",IF($J83&gt;3,"🟡 Cần học bù","🟢 Đang ổn")))</f>
        <v/>
      </c>
    </row>
    <row r="84" customFormat="false" ht="15" hidden="false" customHeight="false" outlineLevel="0" collapsed="false">
      <c r="A84" s="31" t="n">
        <v>82</v>
      </c>
      <c r="B84" s="32" t="n">
        <f aca="false">SETTINGS!$C$3+$A84-1</f>
        <v>46381</v>
      </c>
      <c r="C84" s="31" t="str">
        <f aca="false">CHOOSE(WEEKDAY($B84,2),"Thứ 2","Thứ 3","Thứ 4","Thứ 5","Thứ 6","Thứ 7","CN")</f>
        <v>Thứ 6</v>
      </c>
      <c r="D84" s="31" t="n">
        <f aca="false">MIN($A84*SETTINGS!$C$4,SETTINGS!$C$6)</f>
        <v>1640</v>
      </c>
      <c r="E84" s="31" t="n">
        <f aca="false">COUNTIF(SENTENCES!$L$3:$L$1802,$B84)</f>
        <v>0</v>
      </c>
      <c r="F84" s="31" t="n">
        <f aca="false">COUNTIF(SENTENCES!$M$3:$Q$1802,$B84)</f>
        <v>0</v>
      </c>
      <c r="G84" s="31" t="n">
        <f aca="false">$E84+$F84</f>
        <v>0</v>
      </c>
      <c r="H84" s="31" t="n">
        <f aca="false">COUNTIFS(SENTENCES!$L$3:$L$1802,"&lt;="&amp;$B84,SENTENCES!$L$3:$L$1802,"&gt;0")</f>
        <v>0</v>
      </c>
      <c r="I84" s="31" t="str">
        <f aca="true">IF($B84&gt;TODAY(),"",MAX(0,$D84-$H84))</f>
        <v/>
      </c>
      <c r="J84" s="31" t="str">
        <f aca="false">IF($I84="","",ROUND($I84/SETTINGS!$C$4,1))</f>
        <v/>
      </c>
      <c r="K84" s="31" t="str">
        <f aca="true">IF($B84&gt;TODAY(),"",IF($E84&gt;=SETTINGS!$C$4,"✔ Đủ chỉ tiêu",IF($E84&gt;0,"⚠ Thiếu",IF($F84&gt;0,"◆ Chỉ ôn","✖ Nghỉ / Miss"))))</f>
        <v/>
      </c>
      <c r="L84" s="31" t="str">
        <f aca="false">IF($J84="","",IF($J84&gt;SETTINGS!$C$7,"🔴 VƯỢT NGƯỠNG ĐỆM",IF($J84&gt;3,"🟡 Cần học bù","🟢 Đang ổn")))</f>
        <v/>
      </c>
    </row>
    <row r="85" customFormat="false" ht="15" hidden="false" customHeight="false" outlineLevel="0" collapsed="false">
      <c r="A85" s="31" t="n">
        <v>83</v>
      </c>
      <c r="B85" s="32" t="n">
        <f aca="false">SETTINGS!$C$3+$A85-1</f>
        <v>46382</v>
      </c>
      <c r="C85" s="31" t="str">
        <f aca="false">CHOOSE(WEEKDAY($B85,2),"Thứ 2","Thứ 3","Thứ 4","Thứ 5","Thứ 6","Thứ 7","CN")</f>
        <v>Thứ 7</v>
      </c>
      <c r="D85" s="31" t="n">
        <f aca="false">MIN($A85*SETTINGS!$C$4,SETTINGS!$C$6)</f>
        <v>1660</v>
      </c>
      <c r="E85" s="31" t="n">
        <f aca="false">COUNTIF(SENTENCES!$L$3:$L$1802,$B85)</f>
        <v>0</v>
      </c>
      <c r="F85" s="31" t="n">
        <f aca="false">COUNTIF(SENTENCES!$M$3:$Q$1802,$B85)</f>
        <v>0</v>
      </c>
      <c r="G85" s="31" t="n">
        <f aca="false">$E85+$F85</f>
        <v>0</v>
      </c>
      <c r="H85" s="31" t="n">
        <f aca="false">COUNTIFS(SENTENCES!$L$3:$L$1802,"&lt;="&amp;$B85,SENTENCES!$L$3:$L$1802,"&gt;0")</f>
        <v>0</v>
      </c>
      <c r="I85" s="31" t="str">
        <f aca="true">IF($B85&gt;TODAY(),"",MAX(0,$D85-$H85))</f>
        <v/>
      </c>
      <c r="J85" s="31" t="str">
        <f aca="false">IF($I85="","",ROUND($I85/SETTINGS!$C$4,1))</f>
        <v/>
      </c>
      <c r="K85" s="31" t="str">
        <f aca="true">IF($B85&gt;TODAY(),"",IF($E85&gt;=SETTINGS!$C$4,"✔ Đủ chỉ tiêu",IF($E85&gt;0,"⚠ Thiếu",IF($F85&gt;0,"◆ Chỉ ôn","✖ Nghỉ / Miss"))))</f>
        <v/>
      </c>
      <c r="L85" s="31" t="str">
        <f aca="false">IF($J85="","",IF($J85&gt;SETTINGS!$C$7,"🔴 VƯỢT NGƯỠNG ĐỆM",IF($J85&gt;3,"🟡 Cần học bù","🟢 Đang ổn")))</f>
        <v/>
      </c>
    </row>
    <row r="86" customFormat="false" ht="15" hidden="false" customHeight="false" outlineLevel="0" collapsed="false">
      <c r="A86" s="31" t="n">
        <v>84</v>
      </c>
      <c r="B86" s="32" t="n">
        <f aca="false">SETTINGS!$C$3+$A86-1</f>
        <v>46383</v>
      </c>
      <c r="C86" s="31" t="str">
        <f aca="false">CHOOSE(WEEKDAY($B86,2),"Thứ 2","Thứ 3","Thứ 4","Thứ 5","Thứ 6","Thứ 7","CN")</f>
        <v>CN</v>
      </c>
      <c r="D86" s="31" t="n">
        <f aca="false">MIN($A86*SETTINGS!$C$4,SETTINGS!$C$6)</f>
        <v>1680</v>
      </c>
      <c r="E86" s="31" t="n">
        <f aca="false">COUNTIF(SENTENCES!$L$3:$L$1802,$B86)</f>
        <v>0</v>
      </c>
      <c r="F86" s="31" t="n">
        <f aca="false">COUNTIF(SENTENCES!$M$3:$Q$1802,$B86)</f>
        <v>0</v>
      </c>
      <c r="G86" s="31" t="n">
        <f aca="false">$E86+$F86</f>
        <v>0</v>
      </c>
      <c r="H86" s="31" t="n">
        <f aca="false">COUNTIFS(SENTENCES!$L$3:$L$1802,"&lt;="&amp;$B86,SENTENCES!$L$3:$L$1802,"&gt;0")</f>
        <v>0</v>
      </c>
      <c r="I86" s="31" t="str">
        <f aca="true">IF($B86&gt;TODAY(),"",MAX(0,$D86-$H86))</f>
        <v/>
      </c>
      <c r="J86" s="31" t="str">
        <f aca="false">IF($I86="","",ROUND($I86/SETTINGS!$C$4,1))</f>
        <v/>
      </c>
      <c r="K86" s="31" t="str">
        <f aca="true">IF($B86&gt;TODAY(),"",IF($E86&gt;=SETTINGS!$C$4,"✔ Đủ chỉ tiêu",IF($E86&gt;0,"⚠ Thiếu",IF($F86&gt;0,"◆ Chỉ ôn","✖ Nghỉ / Miss"))))</f>
        <v/>
      </c>
      <c r="L86" s="31" t="str">
        <f aca="false">IF($J86="","",IF($J86&gt;SETTINGS!$C$7,"🔴 VƯỢT NGƯỠNG ĐỆM",IF($J86&gt;3,"🟡 Cần học bù","🟢 Đang ổn")))</f>
        <v/>
      </c>
    </row>
    <row r="87" customFormat="false" ht="15" hidden="false" customHeight="false" outlineLevel="0" collapsed="false">
      <c r="A87" s="31" t="n">
        <v>85</v>
      </c>
      <c r="B87" s="32" t="n">
        <f aca="false">SETTINGS!$C$3+$A87-1</f>
        <v>46384</v>
      </c>
      <c r="C87" s="31" t="str">
        <f aca="false">CHOOSE(WEEKDAY($B87,2),"Thứ 2","Thứ 3","Thứ 4","Thứ 5","Thứ 6","Thứ 7","CN")</f>
        <v>Thứ 2</v>
      </c>
      <c r="D87" s="31" t="n">
        <f aca="false">MIN($A87*SETTINGS!$C$4,SETTINGS!$C$6)</f>
        <v>1700</v>
      </c>
      <c r="E87" s="31" t="n">
        <f aca="false">COUNTIF(SENTENCES!$L$3:$L$1802,$B87)</f>
        <v>0</v>
      </c>
      <c r="F87" s="31" t="n">
        <f aca="false">COUNTIF(SENTENCES!$M$3:$Q$1802,$B87)</f>
        <v>0</v>
      </c>
      <c r="G87" s="31" t="n">
        <f aca="false">$E87+$F87</f>
        <v>0</v>
      </c>
      <c r="H87" s="31" t="n">
        <f aca="false">COUNTIFS(SENTENCES!$L$3:$L$1802,"&lt;="&amp;$B87,SENTENCES!$L$3:$L$1802,"&gt;0")</f>
        <v>0</v>
      </c>
      <c r="I87" s="31" t="str">
        <f aca="true">IF($B87&gt;TODAY(),"",MAX(0,$D87-$H87))</f>
        <v/>
      </c>
      <c r="J87" s="31" t="str">
        <f aca="false">IF($I87="","",ROUND($I87/SETTINGS!$C$4,1))</f>
        <v/>
      </c>
      <c r="K87" s="31" t="str">
        <f aca="true">IF($B87&gt;TODAY(),"",IF($E87&gt;=SETTINGS!$C$4,"✔ Đủ chỉ tiêu",IF($E87&gt;0,"⚠ Thiếu",IF($F87&gt;0,"◆ Chỉ ôn","✖ Nghỉ / Miss"))))</f>
        <v/>
      </c>
      <c r="L87" s="31" t="str">
        <f aca="false">IF($J87="","",IF($J87&gt;SETTINGS!$C$7,"🔴 VƯỢT NGƯỠNG ĐỆM",IF($J87&gt;3,"🟡 Cần học bù","🟢 Đang ổn")))</f>
        <v/>
      </c>
    </row>
    <row r="88" customFormat="false" ht="15" hidden="false" customHeight="false" outlineLevel="0" collapsed="false">
      <c r="A88" s="31" t="n">
        <v>86</v>
      </c>
      <c r="B88" s="32" t="n">
        <f aca="false">SETTINGS!$C$3+$A88-1</f>
        <v>46385</v>
      </c>
      <c r="C88" s="31" t="str">
        <f aca="false">CHOOSE(WEEKDAY($B88,2),"Thứ 2","Thứ 3","Thứ 4","Thứ 5","Thứ 6","Thứ 7","CN")</f>
        <v>Thứ 3</v>
      </c>
      <c r="D88" s="31" t="n">
        <f aca="false">MIN($A88*SETTINGS!$C$4,SETTINGS!$C$6)</f>
        <v>1720</v>
      </c>
      <c r="E88" s="31" t="n">
        <f aca="false">COUNTIF(SENTENCES!$L$3:$L$1802,$B88)</f>
        <v>0</v>
      </c>
      <c r="F88" s="31" t="n">
        <f aca="false">COUNTIF(SENTENCES!$M$3:$Q$1802,$B88)</f>
        <v>0</v>
      </c>
      <c r="G88" s="31" t="n">
        <f aca="false">$E88+$F88</f>
        <v>0</v>
      </c>
      <c r="H88" s="31" t="n">
        <f aca="false">COUNTIFS(SENTENCES!$L$3:$L$1802,"&lt;="&amp;$B88,SENTENCES!$L$3:$L$1802,"&gt;0")</f>
        <v>0</v>
      </c>
      <c r="I88" s="31" t="str">
        <f aca="true">IF($B88&gt;TODAY(),"",MAX(0,$D88-$H88))</f>
        <v/>
      </c>
      <c r="J88" s="31" t="str">
        <f aca="false">IF($I88="","",ROUND($I88/SETTINGS!$C$4,1))</f>
        <v/>
      </c>
      <c r="K88" s="31" t="str">
        <f aca="true">IF($B88&gt;TODAY(),"",IF($E88&gt;=SETTINGS!$C$4,"✔ Đủ chỉ tiêu",IF($E88&gt;0,"⚠ Thiếu",IF($F88&gt;0,"◆ Chỉ ôn","✖ Nghỉ / Miss"))))</f>
        <v/>
      </c>
      <c r="L88" s="31" t="str">
        <f aca="false">IF($J88="","",IF($J88&gt;SETTINGS!$C$7,"🔴 VƯỢT NGƯỠNG ĐỆM",IF($J88&gt;3,"🟡 Cần học bù","🟢 Đang ổn")))</f>
        <v/>
      </c>
    </row>
    <row r="89" customFormat="false" ht="15" hidden="false" customHeight="false" outlineLevel="0" collapsed="false">
      <c r="A89" s="31" t="n">
        <v>87</v>
      </c>
      <c r="B89" s="32" t="n">
        <f aca="false">SETTINGS!$C$3+$A89-1</f>
        <v>46386</v>
      </c>
      <c r="C89" s="31" t="str">
        <f aca="false">CHOOSE(WEEKDAY($B89,2),"Thứ 2","Thứ 3","Thứ 4","Thứ 5","Thứ 6","Thứ 7","CN")</f>
        <v>Thứ 4</v>
      </c>
      <c r="D89" s="31" t="n">
        <f aca="false">MIN($A89*SETTINGS!$C$4,SETTINGS!$C$6)</f>
        <v>1740</v>
      </c>
      <c r="E89" s="31" t="n">
        <f aca="false">COUNTIF(SENTENCES!$L$3:$L$1802,$B89)</f>
        <v>0</v>
      </c>
      <c r="F89" s="31" t="n">
        <f aca="false">COUNTIF(SENTENCES!$M$3:$Q$1802,$B89)</f>
        <v>0</v>
      </c>
      <c r="G89" s="31" t="n">
        <f aca="false">$E89+$F89</f>
        <v>0</v>
      </c>
      <c r="H89" s="31" t="n">
        <f aca="false">COUNTIFS(SENTENCES!$L$3:$L$1802,"&lt;="&amp;$B89,SENTENCES!$L$3:$L$1802,"&gt;0")</f>
        <v>0</v>
      </c>
      <c r="I89" s="31" t="str">
        <f aca="true">IF($B89&gt;TODAY(),"",MAX(0,$D89-$H89))</f>
        <v/>
      </c>
      <c r="J89" s="31" t="str">
        <f aca="false">IF($I89="","",ROUND($I89/SETTINGS!$C$4,1))</f>
        <v/>
      </c>
      <c r="K89" s="31" t="str">
        <f aca="true">IF($B89&gt;TODAY(),"",IF($E89&gt;=SETTINGS!$C$4,"✔ Đủ chỉ tiêu",IF($E89&gt;0,"⚠ Thiếu",IF($F89&gt;0,"◆ Chỉ ôn","✖ Nghỉ / Miss"))))</f>
        <v/>
      </c>
      <c r="L89" s="31" t="str">
        <f aca="false">IF($J89="","",IF($J89&gt;SETTINGS!$C$7,"🔴 VƯỢT NGƯỠNG ĐỆM",IF($J89&gt;3,"🟡 Cần học bù","🟢 Đang ổn")))</f>
        <v/>
      </c>
    </row>
    <row r="90" customFormat="false" ht="15" hidden="false" customHeight="false" outlineLevel="0" collapsed="false">
      <c r="A90" s="31" t="n">
        <v>88</v>
      </c>
      <c r="B90" s="32" t="n">
        <f aca="false">SETTINGS!$C$3+$A90-1</f>
        <v>46387</v>
      </c>
      <c r="C90" s="31" t="str">
        <f aca="false">CHOOSE(WEEKDAY($B90,2),"Thứ 2","Thứ 3","Thứ 4","Thứ 5","Thứ 6","Thứ 7","CN")</f>
        <v>Thứ 5</v>
      </c>
      <c r="D90" s="31" t="n">
        <f aca="false">MIN($A90*SETTINGS!$C$4,SETTINGS!$C$6)</f>
        <v>1760</v>
      </c>
      <c r="E90" s="31" t="n">
        <f aca="false">COUNTIF(SENTENCES!$L$3:$L$1802,$B90)</f>
        <v>0</v>
      </c>
      <c r="F90" s="31" t="n">
        <f aca="false">COUNTIF(SENTENCES!$M$3:$Q$1802,$B90)</f>
        <v>0</v>
      </c>
      <c r="G90" s="31" t="n">
        <f aca="false">$E90+$F90</f>
        <v>0</v>
      </c>
      <c r="H90" s="31" t="n">
        <f aca="false">COUNTIFS(SENTENCES!$L$3:$L$1802,"&lt;="&amp;$B90,SENTENCES!$L$3:$L$1802,"&gt;0")</f>
        <v>0</v>
      </c>
      <c r="I90" s="31" t="str">
        <f aca="true">IF($B90&gt;TODAY(),"",MAX(0,$D90-$H90))</f>
        <v/>
      </c>
      <c r="J90" s="31" t="str">
        <f aca="false">IF($I90="","",ROUND($I90/SETTINGS!$C$4,1))</f>
        <v/>
      </c>
      <c r="K90" s="31" t="str">
        <f aca="true">IF($B90&gt;TODAY(),"",IF($E90&gt;=SETTINGS!$C$4,"✔ Đủ chỉ tiêu",IF($E90&gt;0,"⚠ Thiếu",IF($F90&gt;0,"◆ Chỉ ôn","✖ Nghỉ / Miss"))))</f>
        <v/>
      </c>
      <c r="L90" s="31" t="str">
        <f aca="false">IF($J90="","",IF($J90&gt;SETTINGS!$C$7,"🔴 VƯỢT NGƯỠNG ĐỆM",IF($J90&gt;3,"🟡 Cần học bù","🟢 Đang ổn")))</f>
        <v/>
      </c>
    </row>
    <row r="91" customFormat="false" ht="15" hidden="false" customHeight="false" outlineLevel="0" collapsed="false">
      <c r="A91" s="31" t="n">
        <v>89</v>
      </c>
      <c r="B91" s="32" t="n">
        <f aca="false">SETTINGS!$C$3+$A91-1</f>
        <v>46388</v>
      </c>
      <c r="C91" s="31" t="str">
        <f aca="false">CHOOSE(WEEKDAY($B91,2),"Thứ 2","Thứ 3","Thứ 4","Thứ 5","Thứ 6","Thứ 7","CN")</f>
        <v>Thứ 6</v>
      </c>
      <c r="D91" s="31" t="n">
        <f aca="false">MIN($A91*SETTINGS!$C$4,SETTINGS!$C$6)</f>
        <v>1780</v>
      </c>
      <c r="E91" s="31" t="n">
        <f aca="false">COUNTIF(SENTENCES!$L$3:$L$1802,$B91)</f>
        <v>0</v>
      </c>
      <c r="F91" s="31" t="n">
        <f aca="false">COUNTIF(SENTENCES!$M$3:$Q$1802,$B91)</f>
        <v>0</v>
      </c>
      <c r="G91" s="31" t="n">
        <f aca="false">$E91+$F91</f>
        <v>0</v>
      </c>
      <c r="H91" s="31" t="n">
        <f aca="false">COUNTIFS(SENTENCES!$L$3:$L$1802,"&lt;="&amp;$B91,SENTENCES!$L$3:$L$1802,"&gt;0")</f>
        <v>0</v>
      </c>
      <c r="I91" s="31" t="str">
        <f aca="true">IF($B91&gt;TODAY(),"",MAX(0,$D91-$H91))</f>
        <v/>
      </c>
      <c r="J91" s="31" t="str">
        <f aca="false">IF($I91="","",ROUND($I91/SETTINGS!$C$4,1))</f>
        <v/>
      </c>
      <c r="K91" s="31" t="str">
        <f aca="true">IF($B91&gt;TODAY(),"",IF($E91&gt;=SETTINGS!$C$4,"✔ Đủ chỉ tiêu",IF($E91&gt;0,"⚠ Thiếu",IF($F91&gt;0,"◆ Chỉ ôn","✖ Nghỉ / Miss"))))</f>
        <v/>
      </c>
      <c r="L91" s="31" t="str">
        <f aca="false">IF($J91="","",IF($J91&gt;SETTINGS!$C$7,"🔴 VƯỢT NGƯỠNG ĐỆM",IF($J91&gt;3,"🟡 Cần học bù","🟢 Đang ổn")))</f>
        <v/>
      </c>
    </row>
    <row r="92" customFormat="false" ht="15" hidden="false" customHeight="false" outlineLevel="0" collapsed="false">
      <c r="A92" s="31" t="n">
        <v>90</v>
      </c>
      <c r="B92" s="32" t="n">
        <f aca="false">SETTINGS!$C$3+$A92-1</f>
        <v>46389</v>
      </c>
      <c r="C92" s="31" t="str">
        <f aca="false">CHOOSE(WEEKDAY($B92,2),"Thứ 2","Thứ 3","Thứ 4","Thứ 5","Thứ 6","Thứ 7","CN")</f>
        <v>Thứ 7</v>
      </c>
      <c r="D92" s="31" t="n">
        <f aca="false">MIN($A92*SETTINGS!$C$4,SETTINGS!$C$6)</f>
        <v>1800</v>
      </c>
      <c r="E92" s="31" t="n">
        <f aca="false">COUNTIF(SENTENCES!$L$3:$L$1802,$B92)</f>
        <v>0</v>
      </c>
      <c r="F92" s="31" t="n">
        <f aca="false">COUNTIF(SENTENCES!$M$3:$Q$1802,$B92)</f>
        <v>0</v>
      </c>
      <c r="G92" s="31" t="n">
        <f aca="false">$E92+$F92</f>
        <v>0</v>
      </c>
      <c r="H92" s="31" t="n">
        <f aca="false">COUNTIFS(SENTENCES!$L$3:$L$1802,"&lt;="&amp;$B92,SENTENCES!$L$3:$L$1802,"&gt;0")</f>
        <v>0</v>
      </c>
      <c r="I92" s="31" t="str">
        <f aca="true">IF($B92&gt;TODAY(),"",MAX(0,$D92-$H92))</f>
        <v/>
      </c>
      <c r="J92" s="31" t="str">
        <f aca="false">IF($I92="","",ROUND($I92/SETTINGS!$C$4,1))</f>
        <v/>
      </c>
      <c r="K92" s="31" t="str">
        <f aca="true">IF($B92&gt;TODAY(),"",IF($E92&gt;=SETTINGS!$C$4,"✔ Đủ chỉ tiêu",IF($E92&gt;0,"⚠ Thiếu",IF($F92&gt;0,"◆ Chỉ ôn","✖ Nghỉ / Miss"))))</f>
        <v/>
      </c>
      <c r="L92" s="31" t="str">
        <f aca="false">IF($J92="","",IF($J92&gt;SETTINGS!$C$7,"🔴 VƯỢT NGƯỠNG ĐỆM",IF($J92&gt;3,"🟡 Cần học bù","🟢 Đang ổn")))</f>
        <v/>
      </c>
    </row>
    <row r="93" customFormat="false" ht="15" hidden="false" customHeight="false" outlineLevel="0" collapsed="false">
      <c r="A93" s="47" t="n">
        <v>91</v>
      </c>
      <c r="B93" s="48" t="n">
        <f aca="false">SETTINGS!$C$3+$A93-1</f>
        <v>46390</v>
      </c>
      <c r="C93" s="47" t="str">
        <f aca="false">CHOOSE(WEEKDAY($B93,2),"Thứ 2","Thứ 3","Thứ 4","Thứ 5","Thứ 6","Thứ 7","CN")</f>
        <v>CN</v>
      </c>
      <c r="D93" s="47" t="n">
        <f aca="false">MIN($A93*SETTINGS!$C$4,SETTINGS!$C$6)</f>
        <v>1800</v>
      </c>
      <c r="E93" s="47" t="n">
        <f aca="false">COUNTIF(SENTENCES!$L$3:$L$1802,$B93)</f>
        <v>0</v>
      </c>
      <c r="F93" s="47" t="n">
        <f aca="false">COUNTIF(SENTENCES!$M$3:$Q$1802,$B93)</f>
        <v>0</v>
      </c>
      <c r="G93" s="47" t="n">
        <f aca="false">$E93+$F93</f>
        <v>0</v>
      </c>
      <c r="H93" s="47" t="n">
        <f aca="false">COUNTIFS(SENTENCES!$L$3:$L$1802,"&lt;="&amp;$B93,SENTENCES!$L$3:$L$1802,"&gt;0")</f>
        <v>0</v>
      </c>
      <c r="I93" s="47" t="str">
        <f aca="true">IF($B93&gt;TODAY(),"",MAX(0,$D93-$H93))</f>
        <v/>
      </c>
      <c r="J93" s="47" t="str">
        <f aca="false">IF($I93="","",ROUND($I93/SETTINGS!$C$4,1))</f>
        <v/>
      </c>
      <c r="K93" s="47" t="str">
        <f aca="true">IF($B93&gt;TODAY(),"",IF($E93&gt;=SETTINGS!$C$4,"✔ Đủ chỉ tiêu",IF($E93&gt;0,"⚠ Thiếu",IF($F93&gt;0,"◆ Chỉ ôn","✖ Nghỉ / Miss"))))</f>
        <v/>
      </c>
      <c r="L93" s="47" t="str">
        <f aca="false">IF($J93="","",IF($J93&gt;SETTINGS!$C$7,"🔴 VƯỢT NGƯỠNG ĐỆM",IF($J93&gt;3,"🟡 Cần học bù","🟢 Đang ổn")))</f>
        <v/>
      </c>
    </row>
    <row r="94" customFormat="false" ht="15" hidden="false" customHeight="false" outlineLevel="0" collapsed="false">
      <c r="A94" s="47" t="n">
        <v>92</v>
      </c>
      <c r="B94" s="48" t="n">
        <f aca="false">SETTINGS!$C$3+$A94-1</f>
        <v>46391</v>
      </c>
      <c r="C94" s="47" t="str">
        <f aca="false">CHOOSE(WEEKDAY($B94,2),"Thứ 2","Thứ 3","Thứ 4","Thứ 5","Thứ 6","Thứ 7","CN")</f>
        <v>Thứ 2</v>
      </c>
      <c r="D94" s="47" t="n">
        <f aca="false">MIN($A94*SETTINGS!$C$4,SETTINGS!$C$6)</f>
        <v>1800</v>
      </c>
      <c r="E94" s="47" t="n">
        <f aca="false">COUNTIF(SENTENCES!$L$3:$L$1802,$B94)</f>
        <v>0</v>
      </c>
      <c r="F94" s="47" t="n">
        <f aca="false">COUNTIF(SENTENCES!$M$3:$Q$1802,$B94)</f>
        <v>0</v>
      </c>
      <c r="G94" s="47" t="n">
        <f aca="false">$E94+$F94</f>
        <v>0</v>
      </c>
      <c r="H94" s="47" t="n">
        <f aca="false">COUNTIFS(SENTENCES!$L$3:$L$1802,"&lt;="&amp;$B94,SENTENCES!$L$3:$L$1802,"&gt;0")</f>
        <v>0</v>
      </c>
      <c r="I94" s="47" t="str">
        <f aca="true">IF($B94&gt;TODAY(),"",MAX(0,$D94-$H94))</f>
        <v/>
      </c>
      <c r="J94" s="47" t="str">
        <f aca="false">IF($I94="","",ROUND($I94/SETTINGS!$C$4,1))</f>
        <v/>
      </c>
      <c r="K94" s="47" t="str">
        <f aca="true">IF($B94&gt;TODAY(),"",IF($E94&gt;=SETTINGS!$C$4,"✔ Đủ chỉ tiêu",IF($E94&gt;0,"⚠ Thiếu",IF($F94&gt;0,"◆ Chỉ ôn","✖ Nghỉ / Miss"))))</f>
        <v/>
      </c>
      <c r="L94" s="47" t="str">
        <f aca="false">IF($J94="","",IF($J94&gt;SETTINGS!$C$7,"🔴 VƯỢT NGƯỠNG ĐỆM",IF($J94&gt;3,"🟡 Cần học bù","🟢 Đang ổn")))</f>
        <v/>
      </c>
    </row>
    <row r="95" customFormat="false" ht="15" hidden="false" customHeight="false" outlineLevel="0" collapsed="false">
      <c r="A95" s="47" t="n">
        <v>93</v>
      </c>
      <c r="B95" s="48" t="n">
        <f aca="false">SETTINGS!$C$3+$A95-1</f>
        <v>46392</v>
      </c>
      <c r="C95" s="47" t="str">
        <f aca="false">CHOOSE(WEEKDAY($B95,2),"Thứ 2","Thứ 3","Thứ 4","Thứ 5","Thứ 6","Thứ 7","CN")</f>
        <v>Thứ 3</v>
      </c>
      <c r="D95" s="47" t="n">
        <f aca="false">MIN($A95*SETTINGS!$C$4,SETTINGS!$C$6)</f>
        <v>1800</v>
      </c>
      <c r="E95" s="47" t="n">
        <f aca="false">COUNTIF(SENTENCES!$L$3:$L$1802,$B95)</f>
        <v>0</v>
      </c>
      <c r="F95" s="47" t="n">
        <f aca="false">COUNTIF(SENTENCES!$M$3:$Q$1802,$B95)</f>
        <v>0</v>
      </c>
      <c r="G95" s="47" t="n">
        <f aca="false">$E95+$F95</f>
        <v>0</v>
      </c>
      <c r="H95" s="47" t="n">
        <f aca="false">COUNTIFS(SENTENCES!$L$3:$L$1802,"&lt;="&amp;$B95,SENTENCES!$L$3:$L$1802,"&gt;0")</f>
        <v>0</v>
      </c>
      <c r="I95" s="47" t="str">
        <f aca="true">IF($B95&gt;TODAY(),"",MAX(0,$D95-$H95))</f>
        <v/>
      </c>
      <c r="J95" s="47" t="str">
        <f aca="false">IF($I95="","",ROUND($I95/SETTINGS!$C$4,1))</f>
        <v/>
      </c>
      <c r="K95" s="47" t="str">
        <f aca="true">IF($B95&gt;TODAY(),"",IF($E95&gt;=SETTINGS!$C$4,"✔ Đủ chỉ tiêu",IF($E95&gt;0,"⚠ Thiếu",IF($F95&gt;0,"◆ Chỉ ôn","✖ Nghỉ / Miss"))))</f>
        <v/>
      </c>
      <c r="L95" s="47" t="str">
        <f aca="false">IF($J95="","",IF($J95&gt;SETTINGS!$C$7,"🔴 VƯỢT NGƯỠNG ĐỆM",IF($J95&gt;3,"🟡 Cần học bù","🟢 Đang ổn")))</f>
        <v/>
      </c>
    </row>
    <row r="96" customFormat="false" ht="15" hidden="false" customHeight="false" outlineLevel="0" collapsed="false">
      <c r="A96" s="47" t="n">
        <v>94</v>
      </c>
      <c r="B96" s="48" t="n">
        <f aca="false">SETTINGS!$C$3+$A96-1</f>
        <v>46393</v>
      </c>
      <c r="C96" s="47" t="str">
        <f aca="false">CHOOSE(WEEKDAY($B96,2),"Thứ 2","Thứ 3","Thứ 4","Thứ 5","Thứ 6","Thứ 7","CN")</f>
        <v>Thứ 4</v>
      </c>
      <c r="D96" s="47" t="n">
        <f aca="false">MIN($A96*SETTINGS!$C$4,SETTINGS!$C$6)</f>
        <v>1800</v>
      </c>
      <c r="E96" s="47" t="n">
        <f aca="false">COUNTIF(SENTENCES!$L$3:$L$1802,$B96)</f>
        <v>0</v>
      </c>
      <c r="F96" s="47" t="n">
        <f aca="false">COUNTIF(SENTENCES!$M$3:$Q$1802,$B96)</f>
        <v>0</v>
      </c>
      <c r="G96" s="47" t="n">
        <f aca="false">$E96+$F96</f>
        <v>0</v>
      </c>
      <c r="H96" s="47" t="n">
        <f aca="false">COUNTIFS(SENTENCES!$L$3:$L$1802,"&lt;="&amp;$B96,SENTENCES!$L$3:$L$1802,"&gt;0")</f>
        <v>0</v>
      </c>
      <c r="I96" s="47" t="str">
        <f aca="true">IF($B96&gt;TODAY(),"",MAX(0,$D96-$H96))</f>
        <v/>
      </c>
      <c r="J96" s="47" t="str">
        <f aca="false">IF($I96="","",ROUND($I96/SETTINGS!$C$4,1))</f>
        <v/>
      </c>
      <c r="K96" s="47" t="str">
        <f aca="true">IF($B96&gt;TODAY(),"",IF($E96&gt;=SETTINGS!$C$4,"✔ Đủ chỉ tiêu",IF($E96&gt;0,"⚠ Thiếu",IF($F96&gt;0,"◆ Chỉ ôn","✖ Nghỉ / Miss"))))</f>
        <v/>
      </c>
      <c r="L96" s="47" t="str">
        <f aca="false">IF($J96="","",IF($J96&gt;SETTINGS!$C$7,"🔴 VƯỢT NGƯỠNG ĐỆM",IF($J96&gt;3,"🟡 Cần học bù","🟢 Đang ổn")))</f>
        <v/>
      </c>
    </row>
    <row r="97" customFormat="false" ht="15" hidden="false" customHeight="false" outlineLevel="0" collapsed="false">
      <c r="A97" s="47" t="n">
        <v>95</v>
      </c>
      <c r="B97" s="48" t="n">
        <f aca="false">SETTINGS!$C$3+$A97-1</f>
        <v>46394</v>
      </c>
      <c r="C97" s="47" t="str">
        <f aca="false">CHOOSE(WEEKDAY($B97,2),"Thứ 2","Thứ 3","Thứ 4","Thứ 5","Thứ 6","Thứ 7","CN")</f>
        <v>Thứ 5</v>
      </c>
      <c r="D97" s="47" t="n">
        <f aca="false">MIN($A97*SETTINGS!$C$4,SETTINGS!$C$6)</f>
        <v>1800</v>
      </c>
      <c r="E97" s="47" t="n">
        <f aca="false">COUNTIF(SENTENCES!$L$3:$L$1802,$B97)</f>
        <v>0</v>
      </c>
      <c r="F97" s="47" t="n">
        <f aca="false">COUNTIF(SENTENCES!$M$3:$Q$1802,$B97)</f>
        <v>0</v>
      </c>
      <c r="G97" s="47" t="n">
        <f aca="false">$E97+$F97</f>
        <v>0</v>
      </c>
      <c r="H97" s="47" t="n">
        <f aca="false">COUNTIFS(SENTENCES!$L$3:$L$1802,"&lt;="&amp;$B97,SENTENCES!$L$3:$L$1802,"&gt;0")</f>
        <v>0</v>
      </c>
      <c r="I97" s="47" t="str">
        <f aca="true">IF($B97&gt;TODAY(),"",MAX(0,$D97-$H97))</f>
        <v/>
      </c>
      <c r="J97" s="47" t="str">
        <f aca="false">IF($I97="","",ROUND($I97/SETTINGS!$C$4,1))</f>
        <v/>
      </c>
      <c r="K97" s="47" t="str">
        <f aca="true">IF($B97&gt;TODAY(),"",IF($E97&gt;=SETTINGS!$C$4,"✔ Đủ chỉ tiêu",IF($E97&gt;0,"⚠ Thiếu",IF($F97&gt;0,"◆ Chỉ ôn","✖ Nghỉ / Miss"))))</f>
        <v/>
      </c>
      <c r="L97" s="47" t="str">
        <f aca="false">IF($J97="","",IF($J97&gt;SETTINGS!$C$7,"🔴 VƯỢT NGƯỠNG ĐỆM",IF($J97&gt;3,"🟡 Cần học bù","🟢 Đang ổn")))</f>
        <v/>
      </c>
    </row>
    <row r="98" customFormat="false" ht="15" hidden="false" customHeight="false" outlineLevel="0" collapsed="false">
      <c r="A98" s="47" t="n">
        <v>96</v>
      </c>
      <c r="B98" s="48" t="n">
        <f aca="false">SETTINGS!$C$3+$A98-1</f>
        <v>46395</v>
      </c>
      <c r="C98" s="47" t="str">
        <f aca="false">CHOOSE(WEEKDAY($B98,2),"Thứ 2","Thứ 3","Thứ 4","Thứ 5","Thứ 6","Thứ 7","CN")</f>
        <v>Thứ 6</v>
      </c>
      <c r="D98" s="47" t="n">
        <f aca="false">MIN($A98*SETTINGS!$C$4,SETTINGS!$C$6)</f>
        <v>1800</v>
      </c>
      <c r="E98" s="47" t="n">
        <f aca="false">COUNTIF(SENTENCES!$L$3:$L$1802,$B98)</f>
        <v>0</v>
      </c>
      <c r="F98" s="47" t="n">
        <f aca="false">COUNTIF(SENTENCES!$M$3:$Q$1802,$B98)</f>
        <v>0</v>
      </c>
      <c r="G98" s="47" t="n">
        <f aca="false">$E98+$F98</f>
        <v>0</v>
      </c>
      <c r="H98" s="47" t="n">
        <f aca="false">COUNTIFS(SENTENCES!$L$3:$L$1802,"&lt;="&amp;$B98,SENTENCES!$L$3:$L$1802,"&gt;0")</f>
        <v>0</v>
      </c>
      <c r="I98" s="47" t="str">
        <f aca="true">IF($B98&gt;TODAY(),"",MAX(0,$D98-$H98))</f>
        <v/>
      </c>
      <c r="J98" s="47" t="str">
        <f aca="false">IF($I98="","",ROUND($I98/SETTINGS!$C$4,1))</f>
        <v/>
      </c>
      <c r="K98" s="47" t="str">
        <f aca="true">IF($B98&gt;TODAY(),"",IF($E98&gt;=SETTINGS!$C$4,"✔ Đủ chỉ tiêu",IF($E98&gt;0,"⚠ Thiếu",IF($F98&gt;0,"◆ Chỉ ôn","✖ Nghỉ / Miss"))))</f>
        <v/>
      </c>
      <c r="L98" s="47" t="str">
        <f aca="false">IF($J98="","",IF($J98&gt;SETTINGS!$C$7,"🔴 VƯỢT NGƯỠNG ĐỆM",IF($J98&gt;3,"🟡 Cần học bù","🟢 Đang ổn")))</f>
        <v/>
      </c>
    </row>
    <row r="99" customFormat="false" ht="15" hidden="false" customHeight="false" outlineLevel="0" collapsed="false">
      <c r="A99" s="47" t="n">
        <v>97</v>
      </c>
      <c r="B99" s="48" t="n">
        <f aca="false">SETTINGS!$C$3+$A99-1</f>
        <v>46396</v>
      </c>
      <c r="C99" s="47" t="str">
        <f aca="false">CHOOSE(WEEKDAY($B99,2),"Thứ 2","Thứ 3","Thứ 4","Thứ 5","Thứ 6","Thứ 7","CN")</f>
        <v>Thứ 7</v>
      </c>
      <c r="D99" s="47" t="n">
        <f aca="false">MIN($A99*SETTINGS!$C$4,SETTINGS!$C$6)</f>
        <v>1800</v>
      </c>
      <c r="E99" s="47" t="n">
        <f aca="false">COUNTIF(SENTENCES!$L$3:$L$1802,$B99)</f>
        <v>0</v>
      </c>
      <c r="F99" s="47" t="n">
        <f aca="false">COUNTIF(SENTENCES!$M$3:$Q$1802,$B99)</f>
        <v>0</v>
      </c>
      <c r="G99" s="47" t="n">
        <f aca="false">$E99+$F99</f>
        <v>0</v>
      </c>
      <c r="H99" s="47" t="n">
        <f aca="false">COUNTIFS(SENTENCES!$L$3:$L$1802,"&lt;="&amp;$B99,SENTENCES!$L$3:$L$1802,"&gt;0")</f>
        <v>0</v>
      </c>
      <c r="I99" s="47" t="str">
        <f aca="true">IF($B99&gt;TODAY(),"",MAX(0,$D99-$H99))</f>
        <v/>
      </c>
      <c r="J99" s="47" t="str">
        <f aca="false">IF($I99="","",ROUND($I99/SETTINGS!$C$4,1))</f>
        <v/>
      </c>
      <c r="K99" s="47" t="str">
        <f aca="true">IF($B99&gt;TODAY(),"",IF($E99&gt;=SETTINGS!$C$4,"✔ Đủ chỉ tiêu",IF($E99&gt;0,"⚠ Thiếu",IF($F99&gt;0,"◆ Chỉ ôn","✖ Nghỉ / Miss"))))</f>
        <v/>
      </c>
      <c r="L99" s="47" t="str">
        <f aca="false">IF($J99="","",IF($J99&gt;SETTINGS!$C$7,"🔴 VƯỢT NGƯỠNG ĐỆM",IF($J99&gt;3,"🟡 Cần học bù","🟢 Đang ổn")))</f>
        <v/>
      </c>
    </row>
    <row r="100" customFormat="false" ht="15" hidden="false" customHeight="false" outlineLevel="0" collapsed="false">
      <c r="A100" s="47" t="n">
        <v>98</v>
      </c>
      <c r="B100" s="48" t="n">
        <f aca="false">SETTINGS!$C$3+$A100-1</f>
        <v>46397</v>
      </c>
      <c r="C100" s="47" t="str">
        <f aca="false">CHOOSE(WEEKDAY($B100,2),"Thứ 2","Thứ 3","Thứ 4","Thứ 5","Thứ 6","Thứ 7","CN")</f>
        <v>CN</v>
      </c>
      <c r="D100" s="47" t="n">
        <f aca="false">MIN($A100*SETTINGS!$C$4,SETTINGS!$C$6)</f>
        <v>1800</v>
      </c>
      <c r="E100" s="47" t="n">
        <f aca="false">COUNTIF(SENTENCES!$L$3:$L$1802,$B100)</f>
        <v>0</v>
      </c>
      <c r="F100" s="47" t="n">
        <f aca="false">COUNTIF(SENTENCES!$M$3:$Q$1802,$B100)</f>
        <v>0</v>
      </c>
      <c r="G100" s="47" t="n">
        <f aca="false">$E100+$F100</f>
        <v>0</v>
      </c>
      <c r="H100" s="47" t="n">
        <f aca="false">COUNTIFS(SENTENCES!$L$3:$L$1802,"&lt;="&amp;$B100,SENTENCES!$L$3:$L$1802,"&gt;0")</f>
        <v>0</v>
      </c>
      <c r="I100" s="47" t="str">
        <f aca="true">IF($B100&gt;TODAY(),"",MAX(0,$D100-$H100))</f>
        <v/>
      </c>
      <c r="J100" s="47" t="str">
        <f aca="false">IF($I100="","",ROUND($I100/SETTINGS!$C$4,1))</f>
        <v/>
      </c>
      <c r="K100" s="47" t="str">
        <f aca="true">IF($B100&gt;TODAY(),"",IF($E100&gt;=SETTINGS!$C$4,"✔ Đủ chỉ tiêu",IF($E100&gt;0,"⚠ Thiếu",IF($F100&gt;0,"◆ Chỉ ôn","✖ Nghỉ / Miss"))))</f>
        <v/>
      </c>
      <c r="L100" s="47" t="str">
        <f aca="false">IF($J100="","",IF($J100&gt;SETTINGS!$C$7,"🔴 VƯỢT NGƯỠNG ĐỆM",IF($J100&gt;3,"🟡 Cần học bù","🟢 Đang ổn")))</f>
        <v/>
      </c>
    </row>
    <row r="101" customFormat="false" ht="15" hidden="false" customHeight="false" outlineLevel="0" collapsed="false">
      <c r="A101" s="47" t="n">
        <v>99</v>
      </c>
      <c r="B101" s="48" t="n">
        <f aca="false">SETTINGS!$C$3+$A101-1</f>
        <v>46398</v>
      </c>
      <c r="C101" s="47" t="str">
        <f aca="false">CHOOSE(WEEKDAY($B101,2),"Thứ 2","Thứ 3","Thứ 4","Thứ 5","Thứ 6","Thứ 7","CN")</f>
        <v>Thứ 2</v>
      </c>
      <c r="D101" s="47" t="n">
        <f aca="false">MIN($A101*SETTINGS!$C$4,SETTINGS!$C$6)</f>
        <v>1800</v>
      </c>
      <c r="E101" s="47" t="n">
        <f aca="false">COUNTIF(SENTENCES!$L$3:$L$1802,$B101)</f>
        <v>0</v>
      </c>
      <c r="F101" s="47" t="n">
        <f aca="false">COUNTIF(SENTENCES!$M$3:$Q$1802,$B101)</f>
        <v>0</v>
      </c>
      <c r="G101" s="47" t="n">
        <f aca="false">$E101+$F101</f>
        <v>0</v>
      </c>
      <c r="H101" s="47" t="n">
        <f aca="false">COUNTIFS(SENTENCES!$L$3:$L$1802,"&lt;="&amp;$B101,SENTENCES!$L$3:$L$1802,"&gt;0")</f>
        <v>0</v>
      </c>
      <c r="I101" s="47" t="str">
        <f aca="true">IF($B101&gt;TODAY(),"",MAX(0,$D101-$H101))</f>
        <v/>
      </c>
      <c r="J101" s="47" t="str">
        <f aca="false">IF($I101="","",ROUND($I101/SETTINGS!$C$4,1))</f>
        <v/>
      </c>
      <c r="K101" s="47" t="str">
        <f aca="true">IF($B101&gt;TODAY(),"",IF($E101&gt;=SETTINGS!$C$4,"✔ Đủ chỉ tiêu",IF($E101&gt;0,"⚠ Thiếu",IF($F101&gt;0,"◆ Chỉ ôn","✖ Nghỉ / Miss"))))</f>
        <v/>
      </c>
      <c r="L101" s="47" t="str">
        <f aca="false">IF($J101="","",IF($J101&gt;SETTINGS!$C$7,"🔴 VƯỢT NGƯỠNG ĐỆM",IF($J101&gt;3,"🟡 Cần học bù","🟢 Đang ổn")))</f>
        <v/>
      </c>
    </row>
    <row r="102" customFormat="false" ht="15" hidden="false" customHeight="false" outlineLevel="0" collapsed="false">
      <c r="A102" s="47" t="n">
        <v>100</v>
      </c>
      <c r="B102" s="48" t="n">
        <f aca="false">SETTINGS!$C$3+$A102-1</f>
        <v>46399</v>
      </c>
      <c r="C102" s="47" t="str">
        <f aca="false">CHOOSE(WEEKDAY($B102,2),"Thứ 2","Thứ 3","Thứ 4","Thứ 5","Thứ 6","Thứ 7","CN")</f>
        <v>Thứ 3</v>
      </c>
      <c r="D102" s="47" t="n">
        <f aca="false">MIN($A102*SETTINGS!$C$4,SETTINGS!$C$6)</f>
        <v>1800</v>
      </c>
      <c r="E102" s="47" t="n">
        <f aca="false">COUNTIF(SENTENCES!$L$3:$L$1802,$B102)</f>
        <v>0</v>
      </c>
      <c r="F102" s="47" t="n">
        <f aca="false">COUNTIF(SENTENCES!$M$3:$Q$1802,$B102)</f>
        <v>0</v>
      </c>
      <c r="G102" s="47" t="n">
        <f aca="false">$E102+$F102</f>
        <v>0</v>
      </c>
      <c r="H102" s="47" t="n">
        <f aca="false">COUNTIFS(SENTENCES!$L$3:$L$1802,"&lt;="&amp;$B102,SENTENCES!$L$3:$L$1802,"&gt;0")</f>
        <v>0</v>
      </c>
      <c r="I102" s="47" t="str">
        <f aca="true">IF($B102&gt;TODAY(),"",MAX(0,$D102-$H102))</f>
        <v/>
      </c>
      <c r="J102" s="47" t="str">
        <f aca="false">IF($I102="","",ROUND($I102/SETTINGS!$C$4,1))</f>
        <v/>
      </c>
      <c r="K102" s="47" t="str">
        <f aca="true">IF($B102&gt;TODAY(),"",IF($E102&gt;=SETTINGS!$C$4,"✔ Đủ chỉ tiêu",IF($E102&gt;0,"⚠ Thiếu",IF($F102&gt;0,"◆ Chỉ ôn","✖ Nghỉ / Miss"))))</f>
        <v/>
      </c>
      <c r="L102" s="47" t="str">
        <f aca="false">IF($J102="","",IF($J102&gt;SETTINGS!$C$7,"🔴 VƯỢT NGƯỠNG ĐỆM",IF($J102&gt;3,"🟡 Cần học bù","🟢 Đang ổn")))</f>
        <v/>
      </c>
    </row>
    <row r="103" customFormat="false" ht="15" hidden="false" customHeight="false" outlineLevel="0" collapsed="false">
      <c r="A103" s="47" t="n">
        <v>101</v>
      </c>
      <c r="B103" s="48" t="n">
        <f aca="false">SETTINGS!$C$3+$A103-1</f>
        <v>46400</v>
      </c>
      <c r="C103" s="47" t="str">
        <f aca="false">CHOOSE(WEEKDAY($B103,2),"Thứ 2","Thứ 3","Thứ 4","Thứ 5","Thứ 6","Thứ 7","CN")</f>
        <v>Thứ 4</v>
      </c>
      <c r="D103" s="47" t="n">
        <f aca="false">MIN($A103*SETTINGS!$C$4,SETTINGS!$C$6)</f>
        <v>1800</v>
      </c>
      <c r="E103" s="47" t="n">
        <f aca="false">COUNTIF(SENTENCES!$L$3:$L$1802,$B103)</f>
        <v>0</v>
      </c>
      <c r="F103" s="47" t="n">
        <f aca="false">COUNTIF(SENTENCES!$M$3:$Q$1802,$B103)</f>
        <v>0</v>
      </c>
      <c r="G103" s="47" t="n">
        <f aca="false">$E103+$F103</f>
        <v>0</v>
      </c>
      <c r="H103" s="47" t="n">
        <f aca="false">COUNTIFS(SENTENCES!$L$3:$L$1802,"&lt;="&amp;$B103,SENTENCES!$L$3:$L$1802,"&gt;0")</f>
        <v>0</v>
      </c>
      <c r="I103" s="47" t="str">
        <f aca="true">IF($B103&gt;TODAY(),"",MAX(0,$D103-$H103))</f>
        <v/>
      </c>
      <c r="J103" s="47" t="str">
        <f aca="false">IF($I103="","",ROUND($I103/SETTINGS!$C$4,1))</f>
        <v/>
      </c>
      <c r="K103" s="47" t="str">
        <f aca="true">IF($B103&gt;TODAY(),"",IF($E103&gt;=SETTINGS!$C$4,"✔ Đủ chỉ tiêu",IF($E103&gt;0,"⚠ Thiếu",IF($F103&gt;0,"◆ Chỉ ôn","✖ Nghỉ / Miss"))))</f>
        <v/>
      </c>
      <c r="L103" s="47" t="str">
        <f aca="false">IF($J103="","",IF($J103&gt;SETTINGS!$C$7,"🔴 VƯỢT NGƯỠNG ĐỆM",IF($J103&gt;3,"🟡 Cần học bù","🟢 Đang ổn")))</f>
        <v/>
      </c>
    </row>
    <row r="104" customFormat="false" ht="15" hidden="false" customHeight="false" outlineLevel="0" collapsed="false">
      <c r="A104" s="47" t="n">
        <v>102</v>
      </c>
      <c r="B104" s="48" t="n">
        <f aca="false">SETTINGS!$C$3+$A104-1</f>
        <v>46401</v>
      </c>
      <c r="C104" s="47" t="str">
        <f aca="false">CHOOSE(WEEKDAY($B104,2),"Thứ 2","Thứ 3","Thứ 4","Thứ 5","Thứ 6","Thứ 7","CN")</f>
        <v>Thứ 5</v>
      </c>
      <c r="D104" s="47" t="n">
        <f aca="false">MIN($A104*SETTINGS!$C$4,SETTINGS!$C$6)</f>
        <v>1800</v>
      </c>
      <c r="E104" s="47" t="n">
        <f aca="false">COUNTIF(SENTENCES!$L$3:$L$1802,$B104)</f>
        <v>0</v>
      </c>
      <c r="F104" s="47" t="n">
        <f aca="false">COUNTIF(SENTENCES!$M$3:$Q$1802,$B104)</f>
        <v>0</v>
      </c>
      <c r="G104" s="47" t="n">
        <f aca="false">$E104+$F104</f>
        <v>0</v>
      </c>
      <c r="H104" s="47" t="n">
        <f aca="false">COUNTIFS(SENTENCES!$L$3:$L$1802,"&lt;="&amp;$B104,SENTENCES!$L$3:$L$1802,"&gt;0")</f>
        <v>0</v>
      </c>
      <c r="I104" s="47" t="str">
        <f aca="true">IF($B104&gt;TODAY(),"",MAX(0,$D104-$H104))</f>
        <v/>
      </c>
      <c r="J104" s="47" t="str">
        <f aca="false">IF($I104="","",ROUND($I104/SETTINGS!$C$4,1))</f>
        <v/>
      </c>
      <c r="K104" s="47" t="str">
        <f aca="true">IF($B104&gt;TODAY(),"",IF($E104&gt;=SETTINGS!$C$4,"✔ Đủ chỉ tiêu",IF($E104&gt;0,"⚠ Thiếu",IF($F104&gt;0,"◆ Chỉ ôn","✖ Nghỉ / Miss"))))</f>
        <v/>
      </c>
      <c r="L104" s="47" t="str">
        <f aca="false">IF($J104="","",IF($J104&gt;SETTINGS!$C$7,"🔴 VƯỢT NGƯỠNG ĐỆM",IF($J104&gt;3,"🟡 Cần học bù","🟢 Đang ổn")))</f>
        <v/>
      </c>
    </row>
    <row r="105" customFormat="false" ht="15" hidden="false" customHeight="false" outlineLevel="0" collapsed="false">
      <c r="A105" s="47" t="n">
        <v>103</v>
      </c>
      <c r="B105" s="48" t="n">
        <f aca="false">SETTINGS!$C$3+$A105-1</f>
        <v>46402</v>
      </c>
      <c r="C105" s="47" t="str">
        <f aca="false">CHOOSE(WEEKDAY($B105,2),"Thứ 2","Thứ 3","Thứ 4","Thứ 5","Thứ 6","Thứ 7","CN")</f>
        <v>Thứ 6</v>
      </c>
      <c r="D105" s="47" t="n">
        <f aca="false">MIN($A105*SETTINGS!$C$4,SETTINGS!$C$6)</f>
        <v>1800</v>
      </c>
      <c r="E105" s="47" t="n">
        <f aca="false">COUNTIF(SENTENCES!$L$3:$L$1802,$B105)</f>
        <v>0</v>
      </c>
      <c r="F105" s="47" t="n">
        <f aca="false">COUNTIF(SENTENCES!$M$3:$Q$1802,$B105)</f>
        <v>0</v>
      </c>
      <c r="G105" s="47" t="n">
        <f aca="false">$E105+$F105</f>
        <v>0</v>
      </c>
      <c r="H105" s="47" t="n">
        <f aca="false">COUNTIFS(SENTENCES!$L$3:$L$1802,"&lt;="&amp;$B105,SENTENCES!$L$3:$L$1802,"&gt;0")</f>
        <v>0</v>
      </c>
      <c r="I105" s="47" t="str">
        <f aca="true">IF($B105&gt;TODAY(),"",MAX(0,$D105-$H105))</f>
        <v/>
      </c>
      <c r="J105" s="47" t="str">
        <f aca="false">IF($I105="","",ROUND($I105/SETTINGS!$C$4,1))</f>
        <v/>
      </c>
      <c r="K105" s="47" t="str">
        <f aca="true">IF($B105&gt;TODAY(),"",IF($E105&gt;=SETTINGS!$C$4,"✔ Đủ chỉ tiêu",IF($E105&gt;0,"⚠ Thiếu",IF($F105&gt;0,"◆ Chỉ ôn","✖ Nghỉ / Miss"))))</f>
        <v/>
      </c>
      <c r="L105" s="47" t="str">
        <f aca="false">IF($J105="","",IF($J105&gt;SETTINGS!$C$7,"🔴 VƯỢT NGƯỠNG ĐỆM",IF($J105&gt;3,"🟡 Cần học bù","🟢 Đang ổn")))</f>
        <v/>
      </c>
    </row>
    <row r="106" customFormat="false" ht="15" hidden="false" customHeight="false" outlineLevel="0" collapsed="false">
      <c r="A106" s="47" t="n">
        <v>104</v>
      </c>
      <c r="B106" s="48" t="n">
        <f aca="false">SETTINGS!$C$3+$A106-1</f>
        <v>46403</v>
      </c>
      <c r="C106" s="47" t="str">
        <f aca="false">CHOOSE(WEEKDAY($B106,2),"Thứ 2","Thứ 3","Thứ 4","Thứ 5","Thứ 6","Thứ 7","CN")</f>
        <v>Thứ 7</v>
      </c>
      <c r="D106" s="47" t="n">
        <f aca="false">MIN($A106*SETTINGS!$C$4,SETTINGS!$C$6)</f>
        <v>1800</v>
      </c>
      <c r="E106" s="47" t="n">
        <f aca="false">COUNTIF(SENTENCES!$L$3:$L$1802,$B106)</f>
        <v>0</v>
      </c>
      <c r="F106" s="47" t="n">
        <f aca="false">COUNTIF(SENTENCES!$M$3:$Q$1802,$B106)</f>
        <v>0</v>
      </c>
      <c r="G106" s="47" t="n">
        <f aca="false">$E106+$F106</f>
        <v>0</v>
      </c>
      <c r="H106" s="47" t="n">
        <f aca="false">COUNTIFS(SENTENCES!$L$3:$L$1802,"&lt;="&amp;$B106,SENTENCES!$L$3:$L$1802,"&gt;0")</f>
        <v>0</v>
      </c>
      <c r="I106" s="47" t="str">
        <f aca="true">IF($B106&gt;TODAY(),"",MAX(0,$D106-$H106))</f>
        <v/>
      </c>
      <c r="J106" s="47" t="str">
        <f aca="false">IF($I106="","",ROUND($I106/SETTINGS!$C$4,1))</f>
        <v/>
      </c>
      <c r="K106" s="47" t="str">
        <f aca="true">IF($B106&gt;TODAY(),"",IF($E106&gt;=SETTINGS!$C$4,"✔ Đủ chỉ tiêu",IF($E106&gt;0,"⚠ Thiếu",IF($F106&gt;0,"◆ Chỉ ôn","✖ Nghỉ / Miss"))))</f>
        <v/>
      </c>
      <c r="L106" s="47" t="str">
        <f aca="false">IF($J106="","",IF($J106&gt;SETTINGS!$C$7,"🔴 VƯỢT NGƯỠNG ĐỆM",IF($J106&gt;3,"🟡 Cần học bù","🟢 Đang ổn")))</f>
        <v/>
      </c>
    </row>
    <row r="107" customFormat="false" ht="15" hidden="false" customHeight="false" outlineLevel="0" collapsed="false">
      <c r="A107" s="47" t="n">
        <v>105</v>
      </c>
      <c r="B107" s="48" t="n">
        <f aca="false">SETTINGS!$C$3+$A107-1</f>
        <v>46404</v>
      </c>
      <c r="C107" s="47" t="str">
        <f aca="false">CHOOSE(WEEKDAY($B107,2),"Thứ 2","Thứ 3","Thứ 4","Thứ 5","Thứ 6","Thứ 7","CN")</f>
        <v>CN</v>
      </c>
      <c r="D107" s="47" t="n">
        <f aca="false">MIN($A107*SETTINGS!$C$4,SETTINGS!$C$6)</f>
        <v>1800</v>
      </c>
      <c r="E107" s="47" t="n">
        <f aca="false">COUNTIF(SENTENCES!$L$3:$L$1802,$B107)</f>
        <v>0</v>
      </c>
      <c r="F107" s="47" t="n">
        <f aca="false">COUNTIF(SENTENCES!$M$3:$Q$1802,$B107)</f>
        <v>0</v>
      </c>
      <c r="G107" s="47" t="n">
        <f aca="false">$E107+$F107</f>
        <v>0</v>
      </c>
      <c r="H107" s="47" t="n">
        <f aca="false">COUNTIFS(SENTENCES!$L$3:$L$1802,"&lt;="&amp;$B107,SENTENCES!$L$3:$L$1802,"&gt;0")</f>
        <v>0</v>
      </c>
      <c r="I107" s="47" t="str">
        <f aca="true">IF($B107&gt;TODAY(),"",MAX(0,$D107-$H107))</f>
        <v/>
      </c>
      <c r="J107" s="47" t="str">
        <f aca="false">IF($I107="","",ROUND($I107/SETTINGS!$C$4,1))</f>
        <v/>
      </c>
      <c r="K107" s="47" t="str">
        <f aca="true">IF($B107&gt;TODAY(),"",IF($E107&gt;=SETTINGS!$C$4,"✔ Đủ chỉ tiêu",IF($E107&gt;0,"⚠ Thiếu",IF($F107&gt;0,"◆ Chỉ ôn","✖ Nghỉ / Miss"))))</f>
        <v/>
      </c>
      <c r="L107" s="47" t="str">
        <f aca="false">IF($J107="","",IF($J107&gt;SETTINGS!$C$7,"🔴 VƯỢT NGƯỠNG ĐỆM",IF($J107&gt;3,"🟡 Cần học bù","🟢 Đang ổn")))</f>
        <v/>
      </c>
    </row>
  </sheetData>
  <autoFilter ref="A2:L107"/>
  <conditionalFormatting sqref="K3:K107">
    <cfRule type="cellIs" priority="2" operator="equal" aboveAverage="0" equalAverage="0" bottom="0" percent="0" rank="0" text="" dxfId="12">
      <formula>"✖ Nghỉ / Miss"</formula>
    </cfRule>
    <cfRule type="cellIs" priority="3" operator="equal" aboveAverage="0" equalAverage="0" bottom="0" percent="0" rank="0" text="" dxfId="15">
      <formula>"✔ Đủ chỉ tiêu"</formula>
    </cfRule>
    <cfRule type="cellIs" priority="4" operator="equal" aboveAverage="0" equalAverage="0" bottom="0" percent="0" rank="0" text="" dxfId="13">
      <formula>"⚠ Thiếu"</formula>
    </cfRule>
  </conditionalFormatting>
  <conditionalFormatting sqref="L3:L107">
    <cfRule type="cellIs" priority="5" operator="equal" aboveAverage="0" equalAverage="0" bottom="0" percent="0" rank="0" text="" dxfId="21">
      <formula>"🔴 VƯỢT NGƯỠNG ĐỆM"</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2026-10-06T10:20:10Z</dcterms:created>
  <dc:creator>openpyxl</dc:creator>
  <dc:description/>
  <dc:language>en-US</dc:language>
  <cp:lastModifiedBy/>
  <dcterms:modified xsi:type="dcterms:W3CDTF">2026-10-06T10:20:20Z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